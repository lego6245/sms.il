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<sst xmlns="http://schemas.openxmlformats.org/spreadsheetml/2006/main" count="28183" uniqueCount="11780">
  <si>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</si>
  <si>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</si>
  <si>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</si>
  <si>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</si>
  <si>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</si>
  <si>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</si>
  <si>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</si>
  <si>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</si>
  <si>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</si>
  <si>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</si>
  <si>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</si>
  <si>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</si>
  <si>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</si>
  <si>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</si>
  <si>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</si>
  <si>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</si>
  <si>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</si>
  <si>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</si>
  <si>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</si>
  <si>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</si>
  <si>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</si>
  <si>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</si>
  <si>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</si>
  <si>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</si>
  <si>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</si>
  <si>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</si>
  <si>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</si>
  <si>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</si>
  <si>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</si>
  <si>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</si>
  <si>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</si>
  <si>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</si>
  <si>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</si>
  <si>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</si>
  <si>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</si>
  <si>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</si>
  <si>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</si>
  <si>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</si>
  <si>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</si>
  <si>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</si>
  <si>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</si>
  <si>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</si>
  <si>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</si>
  <si>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</si>
  <si>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</si>
  <si>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</si>
  <si>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</si>
  <si>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</si>
  <si>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</si>
  <si>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</si>
  <si>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</si>
  <si>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</si>
  <si>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</si>
  <si>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</si>
  <si>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</si>
  <si>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</si>
  <si>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</si>
  <si>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</si>
  <si>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</si>
  <si>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</si>
  <si>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</si>
  <si>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</si>
  <si>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</si>
  <si>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</si>
  <si>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</si>
  <si>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</si>
  <si>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</si>
  <si>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</si>
  <si>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</si>
  <si>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</si>
  <si>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</si>
  <si>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</si>
  <si>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</si>
  <si>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</si>
  <si>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</si>
  <si>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</si>
  <si>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</si>
  <si>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</si>
  <si>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</si>
  <si>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</si>
  <si>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</si>
  <si>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</si>
  <si>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</si>
  <si>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</si>
  <si>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</si>
  <si>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</si>
  <si>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</si>
  <si>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</si>
  <si>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</si>
  <si>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</si>
  <si>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</si>
  <si>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</si>
  <si>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</si>
  <si>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</si>
  <si>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</si>
  <si>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</si>
  <si>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</si>
  <si>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</si>
  <si>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</si>
  <si>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</si>
  <si>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</si>
  <si>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</si>
  <si>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</si>
  <si>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</si>
  <si>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</si>
  <si>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</si>
  <si>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</si>
  <si>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</si>
  <si>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</si>
  <si>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</si>
  <si>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</si>
  <si>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</si>
  <si>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</si>
  <si>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</si>
  <si>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</si>
  <si>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</si>
  <si>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</si>
  <si>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</si>
  <si>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</si>
  <si>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</si>
  <si>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</si>
  <si>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</si>
  <si>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</si>
  <si>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</si>
  <si>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</si>
  <si>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</si>
  <si>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</si>
  <si>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</si>
  <si>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</si>
  <si>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</si>
  <si>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</si>
  <si>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</si>
  <si>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</si>
  <si>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</si>
  <si>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</si>
  <si>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</si>
  <si>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</si>
  <si>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</si>
  <si>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</si>
  <si>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</si>
  <si>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</si>
  <si>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</si>
  <si>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</si>
  <si>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</si>
  <si>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</si>
  <si>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</si>
  <si>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</si>
  <si>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</si>
  <si>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</si>
  <si>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</si>
  <si>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</si>
  <si>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</si>
  <si>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</si>
  <si>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</si>
  <si>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</si>
  <si>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</si>
  <si>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</si>
  <si>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</si>
  <si>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</si>
  <si>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</si>
  <si>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</si>
  <si>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</si>
  <si>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</si>
  <si>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</si>
  <si>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</si>
  <si>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</si>
  <si>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</si>
  <si>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</si>
  <si>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</si>
  <si>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</si>
  <si>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</si>
  <si>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</si>
  <si>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</si>
  <si>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</si>
  <si>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</si>
  <si>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</si>
  <si>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</si>
  <si>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</si>
  <si>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</si>
  <si>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</si>
  <si>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</si>
  <si>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</si>
  <si>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</si>
  <si>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</si>
  <si>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</si>
  <si>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</si>
  <si>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</si>
  <si>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</si>
  <si>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</si>
  <si>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</si>
  <si>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</si>
  <si>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</si>
  <si>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</si>
  <si>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</si>
  <si>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</si>
  <si>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</si>
  <si>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</si>
  <si>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</si>
  <si>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</si>
  <si>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</si>
  <si>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</si>
  <si>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</si>
  <si>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</si>
  <si>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</si>
  <si>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</si>
  <si>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</si>
  <si>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</si>
  <si>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</si>
  <si>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</si>
  <si>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</si>
  <si>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</si>
  <si>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</si>
  <si>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</si>
  <si>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</si>
  <si>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</si>
  <si>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</si>
  <si>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</si>
  <si>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</si>
  <si>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</si>
  <si>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</si>
  <si>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</si>
  <si>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</si>
  <si>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</si>
  <si>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</si>
  <si>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</si>
  <si>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</si>
  <si>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</si>
  <si>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</si>
  <si>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</si>
  <si>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</si>
  <si>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</si>
  <si>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</si>
  <si>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</si>
  <si>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</si>
  <si>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</si>
  <si>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</si>
  <si>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</si>
  <si>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</si>
  <si>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</si>
  <si>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</si>
  <si>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</si>
  <si>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</si>
  <si>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</si>
  <si>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</si>
  <si>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</si>
  <si>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</si>
  <si>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</si>
  <si>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</si>
  <si>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</si>
  <si>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</si>
  <si>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</si>
  <si>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</si>
  <si>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</si>
  <si>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</si>
  <si>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</si>
  <si>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</si>
  <si>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</si>
  <si>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</si>
  <si>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</si>
  <si>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</si>
  <si>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</si>
  <si>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</si>
  <si>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</si>
  <si>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</si>
  <si>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</si>
  <si>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</si>
  <si>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</si>
  <si>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</si>
  <si>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</si>
  <si>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</si>
  <si>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</si>
  <si>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</si>
  <si>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</si>
  <si>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</si>
  <si>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</si>
  <si>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</si>
  <si>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</si>
  <si>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</si>
  <si>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</si>
  <si>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</si>
  <si>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</si>
  <si>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</si>
  <si>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</si>
  <si>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</si>
  <si>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</si>
  <si>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</si>
  <si>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</si>
  <si>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</si>
  <si>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</si>
  <si>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</si>
  <si>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</si>
  <si>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</si>
  <si>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</si>
  <si>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</si>
  <si>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</si>
  <si>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</si>
  <si>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</si>
  <si>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</si>
  <si>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</si>
  <si>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</si>
  <si>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</si>
  <si>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</si>
  <si>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</si>
  <si>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</si>
  <si>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</si>
  <si>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</si>
  <si>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</si>
  <si>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</si>
  <si>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</si>
  <si>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</si>
  <si>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</si>
  <si>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</si>
  <si>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</si>
  <si>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</si>
  <si>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</si>
  <si>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</si>
  <si>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</si>
  <si>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</si>
  <si>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</si>
  <si>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</si>
  <si>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</si>
  <si>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</si>
  <si>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</si>
  <si>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</si>
  <si>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</si>
  <si>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</si>
  <si>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</si>
  <si>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</si>
  <si>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</si>
  <si>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</si>
  <si>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</si>
  <si>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</si>
  <si>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</si>
  <si>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</si>
  <si>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</si>
  <si>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</si>
  <si>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</si>
  <si>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</si>
  <si>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</si>
  <si>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</si>
  <si>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</si>
  <si>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</si>
  <si>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</si>
  <si>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</si>
  <si>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</si>
  <si>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</si>
  <si>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</si>
  <si>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</si>
  <si>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</si>
  <si>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</si>
  <si>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</si>
  <si>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</si>
  <si>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</si>
  <si>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</si>
  <si>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</si>
  <si>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</si>
  <si>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</si>
  <si>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</si>
  <si>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</si>
  <si>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</si>
  <si>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</si>
  <si>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</si>
  <si>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</si>
  <si>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</si>
  <si>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</si>
  <si>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</si>
  <si>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</si>
  <si>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</si>
  <si>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</si>
  <si>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</si>
  <si>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</si>
  <si>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</si>
  <si>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</si>
  <si>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</si>
  <si>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</si>
  <si>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</si>
  <si>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</si>
  <si>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</si>
  <si>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</si>
  <si>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</si>
  <si>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</si>
  <si>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</si>
  <si>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</si>
  <si>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</si>
  <si>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</si>
  <si>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</si>
  <si>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</si>
  <si>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</si>
  <si>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</si>
  <si>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</si>
  <si>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</si>
  <si>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</si>
  <si>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</si>
  <si>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</si>
  <si>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</si>
  <si>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</si>
  <si>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</si>
  <si>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</si>
  <si>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</si>
  <si>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</si>
  <si>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</si>
  <si>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</si>
  <si>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</si>
  <si>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</si>
  <si>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</si>
  <si>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</si>
  <si>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</si>
  <si>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</si>
  <si>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</si>
  <si>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</si>
  <si>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</si>
  <si>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</si>
  <si>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</si>
  <si>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</si>
  <si>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</si>
  <si>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</si>
  <si>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</si>
  <si>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</si>
  <si>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</si>
  <si>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</si>
  <si>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</si>
  <si>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</si>
  <si>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</si>
  <si>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</si>
  <si>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</si>
  <si>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</si>
  <si>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</si>
  <si>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</si>
  <si>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</si>
  <si>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</si>
  <si>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</si>
  <si>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</si>
  <si>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</si>
  <si>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</si>
  <si>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</si>
  <si>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</si>
  <si>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</si>
  <si>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</si>
  <si>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</si>
  <si>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</si>
  <si>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</si>
  <si>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</si>
  <si>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</si>
  <si>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</si>
  <si>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</si>
  <si>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</si>
  <si>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</si>
  <si>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</si>
  <si>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</si>
  <si>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</si>
  <si>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</si>
  <si>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</si>
  <si>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</si>
  <si>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</si>
  <si>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</si>
  <si>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</si>
  <si>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</si>
  <si>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</si>
  <si>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</si>
  <si>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</si>
  <si>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</si>
  <si>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</si>
  <si>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</si>
  <si>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</si>
  <si>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</si>
  <si>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</si>
  <si>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</si>
  <si>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</si>
  <si>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</si>
  <si>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</si>
  <si>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</si>
  <si>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</si>
  <si>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</si>
  <si>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</si>
  <si>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</si>
  <si>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</si>
  <si>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</si>
  <si>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</si>
  <si>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</si>
  <si>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</si>
  <si>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</si>
  <si>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</si>
  <si>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</si>
  <si>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</si>
  <si>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</si>
  <si>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</si>
  <si>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</si>
  <si>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</si>
  <si>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</si>
  <si>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</si>
  <si>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</si>
  <si>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</si>
  <si>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</si>
  <si>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</si>
  <si>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</si>
  <si>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</si>
  <si>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</si>
  <si>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</si>
  <si>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</si>
  <si>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</si>
  <si>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</si>
  <si>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</si>
  <si>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</si>
  <si>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</si>
  <si>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</si>
  <si>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</si>
  <si>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</si>
  <si>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</si>
  <si>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</si>
  <si>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</si>
  <si>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</si>
  <si>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</si>
  <si>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</si>
  <si>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</si>
  <si>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</si>
  <si>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</si>
  <si>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</si>
  <si>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</si>
  <si>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</si>
  <si>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</si>
  <si>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</si>
  <si>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</si>
  <si>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</si>
  <si>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</si>
  <si>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</si>
  <si>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</si>
  <si>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</si>
  <si>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</si>
  <si>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</si>
  <si>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</si>
  <si>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</si>
  <si>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</si>
  <si>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</si>
  <si>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</si>
  <si>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</si>
  <si>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</si>
  <si>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</si>
  <si>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</si>
  <si>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</si>
  <si>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</si>
  <si>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</si>
  <si>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</si>
  <si>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</si>
  <si>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</si>
  <si>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</si>
  <si>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</si>
  <si>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</si>
  <si>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</si>
  <si>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</si>
  <si>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</si>
  <si>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</si>
  <si>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</si>
  <si>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</si>
  <si>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</si>
  <si>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</si>
  <si>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</si>
  <si>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</si>
  <si>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</si>
  <si>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</si>
  <si>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</si>
  <si>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</si>
  <si>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</si>
  <si>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</si>
  <si>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</si>
  <si>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</si>
  <si>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</si>
  <si>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</si>
  <si>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</si>
  <si>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</si>
  <si>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</si>
  <si>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</si>
  <si>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</si>
  <si>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</si>
  <si>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</si>
  <si>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</si>
  <si>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</si>
  <si>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</si>
  <si>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</si>
  <si>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</si>
  <si>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</si>
  <si>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</si>
  <si>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</si>
  <si>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</si>
  <si>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</si>
  <si>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</si>
  <si>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</si>
  <si>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</si>
  <si>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</si>
  <si>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</si>
  <si>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</si>
  <si>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</si>
  <si>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</si>
  <si>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</si>
  <si>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</si>
  <si>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</si>
  <si>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</si>
  <si>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</si>
  <si>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</si>
  <si>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</si>
  <si>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</si>
  <si>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</si>
  <si>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</si>
  <si>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</si>
  <si>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</si>
  <si>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</si>
  <si>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</si>
  <si>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</si>
  <si>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</si>
  <si>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</si>
  <si>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</si>
  <si>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</si>
  <si>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</si>
  <si>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</si>
  <si>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</si>
  <si>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</si>
  <si>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</si>
  <si>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</si>
  <si>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</si>
  <si>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</si>
  <si>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</si>
  <si>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</si>
  <si>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</si>
  <si>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</si>
  <si>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</si>
  <si>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</si>
  <si>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</si>
  <si>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</si>
  <si>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</si>
  <si>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</si>
  <si>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</si>
  <si>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</si>
  <si>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</si>
  <si>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</si>
  <si>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</si>
  <si>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</si>
  <si>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</si>
  <si>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</si>
  <si>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</si>
  <si>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</si>
  <si>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</si>
  <si>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</si>
  <si>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</si>
  <si>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</si>
  <si>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</si>
  <si>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</si>
  <si>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</si>
  <si>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</si>
  <si>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</si>
  <si>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</si>
  <si>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</si>
  <si>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</si>
  <si>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</si>
  <si>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</si>
  <si>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</si>
  <si>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</si>
  <si>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</si>
  <si>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</si>
  <si>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</si>
  <si>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</si>
  <si>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</si>
  <si>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</si>
  <si>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</si>
  <si>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</si>
  <si>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</si>
  <si>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</si>
  <si>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</si>
  <si>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</si>
  <si>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</si>
  <si>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</si>
  <si>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</si>
  <si>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</si>
  <si>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</si>
  <si>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</si>
  <si>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</si>
  <si>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</si>
  <si>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</si>
  <si>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</si>
  <si>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</si>
  <si>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</si>
  <si>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</si>
  <si>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</si>
  <si>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</si>
  <si>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</si>
  <si>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</si>
  <si>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</si>
  <si>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</si>
  <si>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</si>
  <si>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</si>
  <si>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</si>
  <si>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</si>
  <si>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</si>
  <si>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</si>
  <si>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</si>
  <si>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</si>
  <si>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</si>
  <si>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</si>
  <si>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</si>
  <si>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</si>
  <si>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</si>
  <si>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</si>
  <si>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</si>
  <si>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</si>
  <si>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</si>
  <si>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</si>
  <si>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</si>
  <si>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</si>
  <si>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</si>
  <si>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</si>
  <si>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</si>
  <si>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</si>
  <si>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</si>
  <si>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</si>
  <si>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</si>
  <si>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</si>
  <si>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</si>
  <si>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</si>
  <si>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</si>
  <si>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</si>
  <si>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</si>
  <si>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</si>
  <si>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</si>
  <si>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</si>
  <si>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</si>
  <si>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</si>
  <si>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</si>
  <si>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</si>
  <si>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</si>
  <si>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</si>
  <si>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</si>
  <si>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</si>
  <si>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</si>
  <si>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</si>
  <si>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</si>
  <si>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</si>
  <si>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</si>
  <si>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</si>
  <si>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</si>
  <si>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</si>
  <si>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</si>
  <si>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</si>
  <si>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</si>
  <si>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</si>
  <si>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</si>
  <si>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</si>
  <si>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</si>
  <si>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</si>
  <si>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</si>
  <si>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</si>
  <si>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</si>
  <si>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</si>
  <si>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</si>
  <si>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</si>
  <si>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</si>
  <si>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</si>
  <si>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</si>
  <si>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</si>
  <si>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</si>
  <si>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</si>
  <si>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</si>
  <si>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</si>
  <si>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</si>
  <si>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</si>
  <si>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</si>
  <si>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</si>
  <si>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</si>
  <si>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</si>
  <si>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</si>
  <si>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</si>
  <si>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</si>
  <si>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</si>
  <si>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</si>
  <si>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</si>
  <si>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</si>
  <si>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</si>
  <si>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</si>
  <si>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</si>
  <si>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</si>
  <si>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</si>
  <si>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</si>
  <si>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</si>
  <si>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</si>
  <si>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</si>
  <si>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</si>
  <si>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</si>
  <si>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</si>
  <si>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</si>
  <si>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</si>
  <si>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</si>
  <si>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</si>
  <si>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</si>
  <si>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</si>
  <si>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</si>
  <si>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</si>
  <si>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</si>
  <si>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</si>
  <si>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</si>
  <si>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</si>
  <si>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</si>
  <si>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</si>
  <si>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</si>
  <si>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</si>
  <si>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</si>
  <si>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</si>
  <si>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</si>
  <si>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</si>
  <si>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</si>
  <si>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</si>
  <si>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</si>
  <si>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</si>
  <si>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</si>
  <si>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</si>
  <si>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</si>
  <si>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</si>
  <si>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</si>
  <si>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</si>
  <si>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</si>
  <si>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</si>
  <si>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</si>
  <si>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</si>
  <si>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</si>
  <si>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</si>
  <si>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</si>
  <si>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</si>
  <si>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</si>
  <si>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</si>
  <si>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</si>
  <si>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</si>
  <si>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</si>
  <si>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</si>
  <si>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</si>
  <si>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</si>
  <si>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</si>
  <si>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</si>
  <si>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</si>
  <si>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</si>
  <si>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</si>
  <si>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</si>
  <si>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</si>
  <si>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</si>
  <si>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</si>
  <si>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</si>
  <si>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</si>
  <si>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</si>
  <si>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</si>
  <si>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</si>
  <si>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</si>
  <si>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</si>
  <si>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</si>
  <si>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</si>
  <si>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</si>
  <si>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</si>
  <si>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</si>
  <si>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</si>
  <si>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</si>
  <si>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</si>
  <si>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</si>
  <si>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</si>
  <si>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</si>
  <si>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</si>
  <si>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</si>
  <si>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</si>
  <si>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</si>
  <si>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</si>
  <si>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</si>
  <si>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</si>
  <si>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</si>
  <si>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</si>
  <si>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</si>
  <si>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</si>
  <si>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</si>
  <si>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</si>
  <si>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</si>
  <si>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</si>
  <si>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</si>
  <si>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</si>
  <si>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</si>
  <si>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</si>
  <si>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</si>
  <si>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</si>
  <si>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</si>
  <si>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</si>
  <si>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</si>
  <si>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</si>
  <si>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</si>
  <si>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</si>
  <si>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</si>
  <si>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</si>
  <si>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</si>
  <si>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</si>
  <si>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</si>
  <si>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</si>
  <si>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</si>
  <si>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</si>
  <si>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</si>
  <si>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</si>
  <si>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</si>
  <si>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</si>
  <si>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</si>
  <si>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</si>
  <si>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</si>
  <si>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</si>
  <si>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</si>
  <si>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</si>
  <si>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</si>
  <si>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</si>
  <si>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</si>
  <si>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</si>
  <si>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</si>
  <si>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</si>
  <si>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</si>
  <si>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</si>
  <si>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</si>
  <si>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</si>
  <si>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</si>
  <si>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</si>
  <si>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</si>
  <si>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</si>
  <si>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</si>
  <si>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</si>
  <si>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</si>
  <si>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</si>
  <si>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</si>
  <si>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</si>
  <si>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</si>
  <si>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</si>
  <si>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</si>
  <si>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</si>
  <si>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</si>
  <si>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</si>
  <si>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</si>
  <si>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</si>
  <si>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</si>
  <si>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</si>
  <si>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</si>
  <si>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</si>
  <si>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</si>
  <si>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</si>
  <si>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</si>
  <si>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</si>
  <si>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</si>
  <si>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</si>
  <si>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</si>
  <si>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</si>
  <si>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</si>
  <si>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</si>
  <si>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</si>
  <si>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</si>
  <si>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</si>
  <si>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</si>
  <si>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</si>
  <si>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</si>
  <si>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</si>
  <si>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</si>
  <si>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</si>
  <si>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</si>
  <si>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</si>
  <si>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</si>
  <si>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</si>
  <si>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</si>
  <si>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</si>
  <si>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</si>
  <si>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</si>
  <si>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</si>
  <si>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</si>
  <si>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</si>
  <si>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</si>
  <si>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</si>
  <si>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</si>
  <si>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</si>
  <si>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</si>
  <si>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</si>
  <si>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</si>
  <si>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</si>
  <si>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</si>
  <si>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</si>
  <si>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</si>
  <si>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</si>
  <si>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</si>
  <si>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</si>
  <si>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</si>
  <si>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</si>
  <si>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</si>
  <si>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</si>
  <si>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</si>
  <si>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</si>
  <si>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</si>
  <si>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</si>
  <si>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</si>
  <si>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</si>
  <si>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</si>
  <si>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</si>
  <si>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</si>
  <si>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</si>
  <si>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</si>
  <si>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</si>
  <si>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</si>
  <si>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</si>
  <si>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</si>
  <si>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</si>
  <si>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</si>
  <si>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</si>
  <si>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</si>
  <si>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</si>
  <si>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</si>
  <si>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</si>
  <si>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</si>
  <si>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</si>
  <si>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</si>
  <si>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</si>
  <si>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</si>
  <si>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</si>
  <si>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</si>
  <si>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</si>
  <si>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</si>
  <si>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</si>
  <si>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</si>
  <si>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</si>
  <si>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</si>
  <si>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</si>
  <si>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</si>
  <si>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</si>
  <si>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</si>
  <si>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</si>
  <si>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</si>
  <si>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</si>
  <si>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</si>
  <si>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</si>
  <si>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</si>
  <si>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</si>
  <si>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</si>
  <si>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</si>
  <si>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</si>
  <si>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</si>
  <si>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</si>
  <si>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</si>
  <si>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</si>
  <si>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</si>
  <si>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</si>
  <si>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</si>
  <si>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</si>
  <si>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</si>
  <si>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</si>
  <si>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</si>
  <si>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</si>
  <si>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</si>
  <si>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</si>
  <si>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</si>
  <si>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</si>
  <si>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</si>
  <si>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</si>
  <si>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</si>
  <si>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</si>
  <si>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</si>
  <si>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</si>
  <si>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</si>
  <si>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</si>
  <si>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</si>
  <si>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</si>
  <si>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</si>
  <si>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</si>
  <si>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</si>
  <si>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</si>
  <si>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</si>
  <si>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</si>
  <si>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</si>
  <si>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</si>
  <si>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</si>
  <si>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</si>
  <si>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</si>
  <si>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</si>
  <si>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</si>
  <si>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</si>
  <si>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</si>
  <si>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</si>
  <si>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</si>
  <si>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</si>
  <si>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</si>
  <si>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</si>
  <si>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</si>
  <si>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</si>
  <si>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</si>
  <si>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</si>
  <si>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</si>
  <si>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</si>
  <si>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</si>
  <si>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</si>
  <si>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</si>
  <si>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</si>
  <si>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</si>
  <si>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</si>
  <si>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</si>
  <si>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</si>
  <si>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</si>
  <si>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</si>
  <si>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</si>
  <si>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</si>
  <si>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</si>
  <si>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</si>
  <si>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</si>
  <si>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</si>
  <si>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</si>
  <si>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</si>
  <si>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</si>
  <si>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</si>
  <si>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</si>
  <si>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</si>
  <si>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</si>
  <si>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</si>
  <si>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</si>
  <si>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</si>
  <si>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</si>
  <si>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</si>
  <si>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</si>
  <si>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</si>
  <si>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</si>
  <si>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</si>
  <si>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</si>
  <si>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</si>
  <si>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</si>
  <si>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</si>
  <si>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</si>
  <si>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</si>
  <si>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</si>
  <si>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</si>
  <si>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</si>
  <si>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</si>
  <si>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</si>
  <si>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</si>
  <si>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</si>
  <si>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</si>
  <si>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</si>
  <si>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</si>
  <si>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</si>
  <si>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</si>
  <si>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</si>
  <si>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</si>
  <si>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</si>
  <si>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</si>
  <si>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</si>
  <si>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</si>
  <si>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</si>
  <si>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</si>
  <si>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</si>
  <si>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</si>
  <si>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</si>
  <si>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</si>
  <si>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</si>
  <si>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</si>
  <si>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</si>
  <si>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</si>
  <si>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</si>
  <si>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</si>
  <si>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</si>
  <si>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</si>
  <si>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</si>
  <si>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</si>
  <si>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</si>
  <si>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</si>
  <si>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</si>
  <si>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</si>
  <si>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</si>
  <si>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</si>
  <si>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</si>
  <si>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</si>
  <si>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</si>
  <si>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</si>
  <si>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</si>
  <si>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</si>
  <si>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</si>
  <si>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</si>
  <si>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</si>
  <si>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</si>
  <si>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</si>
  <si>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</si>
  <si>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</si>
  <si>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</si>
  <si>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</si>
  <si>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</si>
  <si>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</si>
  <si>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</si>
  <si>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</si>
  <si>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</si>
  <si>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</si>
  <si>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</si>
  <si>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</si>
  <si>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</si>
  <si>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</si>
  <si>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</si>
  <si>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</si>
  <si>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</si>
  <si>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</si>
  <si>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</si>
  <si>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</si>
  <si>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</si>
  <si>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</si>
  <si>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</si>
  <si>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</si>
  <si>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</si>
  <si>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</si>
  <si>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</si>
  <si>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</si>
  <si>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</si>
  <si>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</si>
  <si>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</si>
  <si>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</si>
  <si>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</si>
  <si>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</si>
  <si>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</si>
  <si>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</si>
  <si>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</si>
  <si>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</si>
  <si>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</si>
  <si>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</si>
  <si>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</si>
  <si>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</si>
  <si>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</si>
  <si>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</si>
  <si>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</si>
  <si>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</si>
  <si>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</si>
  <si>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</si>
  <si>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</si>
  <si>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</si>
  <si>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</si>
  <si>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</si>
  <si>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</si>
  <si>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</si>
  <si>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</si>
  <si>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</si>
  <si>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</si>
  <si>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</si>
  <si>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</si>
  <si>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</si>
  <si>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</si>
  <si>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</si>
  <si>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</si>
  <si>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</si>
  <si>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</si>
  <si>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</si>
  <si>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</si>
  <si>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</si>
  <si>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</si>
  <si>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</si>
  <si>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</si>
  <si>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</si>
  <si>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</si>
  <si>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</si>
  <si>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</si>
  <si>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</si>
  <si>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</si>
  <si>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</si>
  <si>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</si>
  <si>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</si>
  <si>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</si>
  <si>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</si>
  <si>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</si>
  <si>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</si>
  <si>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</si>
  <si>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</si>
  <si>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</si>
  <si>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</si>
  <si>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</si>
  <si>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</si>
  <si>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</si>
  <si>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</si>
  <si>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</si>
  <si>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</si>
  <si>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</si>
  <si>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</si>
  <si>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</si>
  <si>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</si>
  <si>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</si>
  <si>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</si>
  <si>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</si>
  <si>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</si>
  <si>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</si>
  <si>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</si>
  <si>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</si>
  <si>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</si>
  <si>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</si>
  <si>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</si>
  <si>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</si>
  <si>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</si>
  <si>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</si>
  <si>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</si>
  <si>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</si>
  <si>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</si>
  <si>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</si>
  <si>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</si>
  <si>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</si>
  <si>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</si>
  <si>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</si>
  <si>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</si>
  <si>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</si>
  <si>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</si>
  <si>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</si>
  <si>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</si>
  <si>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</si>
  <si>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</si>
  <si>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</si>
  <si>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</si>
  <si>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</si>
  <si>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</si>
  <si>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</si>
  <si>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</si>
  <si>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</si>
  <si>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</si>
  <si>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</si>
  <si>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</si>
  <si>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</si>
  <si>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</si>
  <si>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</si>
  <si>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</si>
  <si>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</si>
  <si>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</si>
  <si>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</si>
  <si>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</si>
  <si>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</si>
  <si>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</si>
  <si>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</si>
  <si>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</si>
  <si>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</si>
  <si>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</si>
  <si>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</si>
  <si>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</si>
  <si>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</si>
  <si>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</si>
  <si>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</si>
  <si>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</si>
  <si>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</si>
  <si>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</si>
  <si>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</si>
  <si>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</si>
  <si>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</si>
  <si>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</si>
  <si>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</si>
  <si>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</si>
  <si>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</si>
  <si>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</si>
  <si>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</si>
  <si>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</si>
  <si>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</si>
  <si>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</si>
  <si>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</si>
  <si>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</si>
  <si>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</si>
  <si>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</si>
  <si>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</si>
  <si>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</si>
  <si>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</si>
  <si>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</si>
  <si>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</si>
  <si>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</si>
  <si>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</si>
  <si>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</si>
  <si>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</si>
  <si>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</si>
  <si>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</si>
  <si>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</si>
  <si>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</si>
  <si>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</si>
  <si>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</si>
  <si>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</si>
  <si>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</si>
  <si>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</si>
  <si>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</si>
  <si>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</si>
  <si>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</si>
  <si>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</si>
  <si>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</si>
  <si>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</si>
  <si>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</si>
  <si>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</si>
  <si>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</si>
  <si>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</si>
  <si>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</si>
  <si>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</si>
  <si>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</si>
  <si>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</si>
  <si>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</si>
  <si>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</si>
  <si>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</si>
  <si>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</si>
  <si>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</si>
  <si>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</si>
  <si>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</si>
  <si>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</si>
  <si>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</si>
  <si>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</si>
  <si>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</si>
  <si>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</si>
  <si>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</si>
  <si>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</si>
  <si>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</si>
  <si>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</si>
  <si>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</si>
  <si>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</si>
  <si>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</si>
  <si>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</si>
  <si>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</si>
  <si>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</si>
  <si>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</si>
  <si>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</si>
  <si>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</si>
  <si>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</si>
  <si>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</si>
  <si>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</si>
  <si>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</si>
  <si>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</si>
  <si>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</si>
  <si>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</si>
  <si>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</si>
  <si>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</si>
  <si>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</si>
  <si>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</si>
  <si>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</si>
  <si>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</si>
  <si>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</si>
  <si>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</si>
  <si>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</si>
  <si>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</si>
  <si>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</si>
  <si>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</si>
  <si>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</si>
  <si>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</si>
  <si>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</si>
  <si>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</si>
  <si>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</si>
  <si>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</si>
  <si>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</si>
  <si>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</si>
  <si>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</si>
  <si>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</si>
  <si>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</si>
  <si>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</si>
  <si>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</si>
  <si>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</si>
  <si>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</si>
  <si>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</si>
  <si>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</si>
  <si>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</si>
  <si>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</si>
  <si>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</si>
  <si>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</si>
  <si>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</si>
  <si>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</si>
  <si>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</si>
  <si>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</si>
  <si>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</si>
  <si>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</si>
  <si>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</si>
  <si>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</si>
  <si>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</si>
  <si>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</si>
  <si>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</si>
  <si>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</si>
  <si>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</si>
  <si>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</si>
  <si>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</si>
  <si>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</si>
  <si>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</si>
  <si>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</si>
  <si>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</si>
  <si>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</si>
  <si>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</si>
  <si>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</si>
  <si>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</si>
  <si>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</si>
  <si>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</si>
  <si>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</si>
  <si>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</si>
  <si>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</si>
  <si>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</si>
  <si>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</si>
  <si>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</si>
  <si>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</si>
  <si>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</si>
  <si>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</si>
  <si>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</si>
  <si>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</si>
  <si>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</si>
  <si>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</si>
  <si>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</si>
  <si>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</si>
  <si>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</si>
  <si>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</si>
  <si>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</si>
  <si>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</si>
  <si>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</si>
  <si>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</si>
  <si>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</si>
  <si>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</si>
  <si>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</si>
  <si>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</si>
  <si>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</si>
  <si>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</si>
  <si>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</si>
  <si>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</si>
  <si>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</si>
  <si>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</si>
  <si>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</si>
  <si>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</si>
  <si>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</si>
  <si>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</si>
  <si>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</si>
  <si>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</si>
  <si>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</si>
  <si>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</si>
  <si>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</si>
  <si>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</si>
  <si>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</si>
  <si>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</si>
  <si>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</si>
  <si>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</si>
  <si>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</si>
  <si>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</si>
  <si>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</si>
  <si>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</si>
  <si>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</si>
  <si>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</si>
  <si>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</si>
  <si>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</si>
  <si>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</si>
  <si>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</si>
  <si>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</si>
  <si>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</si>
  <si>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</si>
  <si>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</si>
  <si>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</si>
  <si>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</si>
  <si>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</si>
  <si>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</si>
  <si>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</si>
  <si>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</si>
  <si>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</si>
  <si>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</si>
  <si>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</si>
  <si>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</si>
  <si>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</si>
  <si>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</si>
  <si>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</si>
  <si>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</si>
  <si>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</si>
  <si>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</si>
  <si>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</si>
  <si>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</si>
  <si>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</si>
  <si>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</si>
  <si>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</si>
  <si>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</si>
  <si>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</si>
  <si>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</si>
  <si>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</si>
  <si>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</si>
  <si>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</si>
  <si>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</si>
  <si>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</si>
  <si>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</si>
  <si>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</si>
  <si>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</si>
  <si>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</si>
  <si>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</si>
  <si>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</si>
  <si>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</si>
  <si>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</si>
  <si>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</si>
  <si>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</si>
  <si>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</si>
  <si>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</si>
  <si>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</si>
  <si>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</si>
  <si>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</si>
  <si>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</si>
  <si>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</si>
  <si>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</si>
  <si>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</si>
  <si>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</si>
  <si>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</si>
  <si>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</si>
  <si>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</si>
  <si>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</si>
  <si>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</si>
  <si>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</si>
  <si>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</si>
  <si>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</si>
  <si>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</si>
  <si>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</si>
  <si>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</si>
  <si>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</si>
  <si>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</si>
  <si>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</si>
  <si>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</si>
  <si>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</si>
  <si>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</si>
  <si>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</si>
  <si>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</si>
  <si>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</si>
  <si>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</si>
  <si>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</si>
  <si>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</si>
  <si>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</si>
  <si>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</si>
  <si>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</si>
  <si>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</si>
  <si>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</si>
  <si>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</si>
  <si>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</si>
  <si>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</si>
  <si>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</si>
  <si>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</si>
  <si>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</si>
  <si>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</si>
  <si>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</si>
  <si>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</si>
  <si>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</si>
  <si>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</si>
  <si>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</si>
  <si>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</si>
  <si>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</si>
  <si>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</si>
  <si>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</si>
  <si>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</si>
  <si>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</si>
  <si>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</si>
  <si>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</si>
  <si>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</si>
  <si>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</si>
  <si>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</si>
  <si>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</si>
  <si>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</si>
  <si>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</si>
  <si>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</si>
  <si>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</si>
  <si>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7839</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</si>
  <si>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</si>
  <si>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</si>
  <si>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</si>
  <si>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</si>
  <si>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</si>
  <si>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</si>
  <si>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</si>
  <si>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</si>
  <si>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</si>
  <si>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</si>
  <si>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</si>
  <si>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</si>
  <si>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</si>
  <si>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</si>
  <si>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</si>
  <si>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</si>
  <si>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</si>
  <si>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</si>
  <si>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</si>
  <si>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</si>
  <si>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</si>
  <si>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</si>
  <si>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</si>
  <si>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</si>
  <si>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</si>
  <si>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</si>
  <si>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</si>
  <si>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</si>
  <si>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</si>
  <si>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</si>
  <si>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</si>
  <si>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</si>
  <si>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</si>
  <si>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</si>
  <si>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</si>
  <si>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</si>
  <si>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</si>
  <si>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</si>
  <si>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</si>
  <si>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</si>
  <si>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</si>
  <si>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</si>
  <si>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</si>
  <si>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</si>
  <si>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</si>
  <si>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</si>
  <si>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</si>
  <si>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</si>
  <si>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</si>
  <si>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</si>
  <si>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</si>
  <si>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</si>
  <si>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</si>
  <si>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</si>
  <si>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</si>
  <si>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</si>
  <si>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</si>
  <si>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</si>
  <si>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</si>
  <si>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</si>
  <si>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</si>
  <si>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</si>
  <si>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</si>
  <si>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</si>
  <si>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</si>
  <si>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</si>
  <si>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</si>
  <si>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</si>
  <si>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</si>
  <si>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</si>
  <si>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</si>
  <si>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</si>
  <si>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</si>
  <si>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</si>
  <si>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</si>
  <si>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</si>
  <si>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</si>
  <si>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</si>
  <si>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</si>
  <si>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</si>
  <si>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</si>
  <si>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</si>
  <si>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</si>
  <si>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</si>
  <si>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</si>
  <si>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</si>
  <si>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</si>
  <si>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</si>
  <si>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</si>
  <si>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</si>
  <si>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</si>
  <si>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</si>
  <si>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</si>
  <si>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</si>
  <si>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</si>
  <si>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</si>
  <si>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</si>
  <si>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</si>
  <si>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</si>
  <si>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</si>
  <si>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</si>
  <si>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</si>
  <si>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</si>
  <si>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</si>
  <si>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</si>
  <si>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</si>
  <si>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</si>
  <si>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</si>
  <si>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</si>
  <si>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</si>
  <si>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</si>
  <si>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</si>
  <si>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</si>
  <si>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</si>
  <si>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</si>
  <si>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</si>
  <si>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</si>
  <si>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</si>
  <si>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</si>
  <si>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</si>
  <si>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</si>
  <si>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</si>
  <si>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</si>
  <si>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</si>
  <si>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</si>
  <si>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</si>
  <si>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</si>
  <si>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</si>
  <si>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</si>
  <si>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</si>
  <si>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</si>
  <si>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</si>
  <si>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</si>
  <si>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</si>
  <si>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</si>
  <si>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</si>
  <si>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</si>
  <si>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</si>
  <si>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</si>
  <si>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</si>
  <si>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</si>
  <si>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</si>
  <si>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</si>
  <si>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</si>
  <si>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</si>
  <si>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</si>
  <si>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</si>
  <si>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</si>
  <si>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</si>
  <si>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</si>
  <si>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</si>
  <si>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</si>
  <si>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</si>
  <si>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</si>
  <si>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</si>
  <si>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</si>
  <si>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</si>
  <si>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</si>
  <si>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</si>
  <si>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</si>
  <si>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</si>
  <si>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</si>
  <si>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</si>
  <si>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</si>
  <si>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</si>
  <si>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</si>
  <si>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</si>
  <si>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</si>
  <si>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</si>
  <si>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</si>
  <si>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</si>
  <si>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</si>
  <si>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</si>
  <si>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</si>
  <si>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</si>
  <si>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</si>
  <si>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</si>
  <si>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</si>
  <si>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</si>
  <si>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</si>
  <si>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</si>
  <si>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</si>
  <si>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</si>
  <si>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</si>
  <si>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</si>
  <si>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</si>
  <si>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</si>
  <si>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</si>
  <si>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</si>
  <si>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</si>
  <si>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</si>
  <si>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</si>
  <si>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</si>
  <si>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</si>
  <si>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</si>
  <si>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</si>
  <si>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</si>
  <si>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</si>
  <si>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</si>
  <si>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</si>
  <si>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</si>
  <si>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</si>
  <si>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</si>
  <si>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</si>
  <si>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</si>
  <si>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</si>
  <si>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</si>
  <si>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</si>
  <si>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</si>
  <si>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</si>
  <si>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</si>
  <si>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</si>
  <si>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</si>
  <si>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</si>
  <si>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</si>
  <si>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</si>
  <si>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</si>
  <si>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</si>
  <si>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</si>
  <si>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</si>
  <si>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</si>
  <si>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</si>
  <si>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</si>
  <si>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</si>
  <si>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</si>
  <si>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</si>
  <si>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</si>
  <si>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</si>
  <si>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</si>
  <si>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</si>
  <si>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</si>
  <si>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</si>
  <si>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</si>
  <si>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</si>
  <si>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</si>
  <si>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</si>
  <si>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</si>
  <si>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</si>
  <si>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</si>
  <si>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</si>
  <si>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</si>
  <si>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</si>
  <si>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</si>
  <si>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</si>
  <si>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</si>
  <si>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</si>
  <si>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7703</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</si>
  <si>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</si>
  <si>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</si>
  <si>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</si>
  <si>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</si>
  <si>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</si>
  <si>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</si>
  <si>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</si>
  <si>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</si>
  <si>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</si>
  <si>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</si>
  <si>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</si>
  <si>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</si>
  <si>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</si>
  <si>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</si>
  <si>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</si>
  <si>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</si>
  <si>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</si>
  <si>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</si>
  <si>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</si>
  <si>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</si>
  <si>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</si>
  <si>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</si>
  <si>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</si>
  <si>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</si>
  <si>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</si>
  <si>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</si>
  <si>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</si>
  <si>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</si>
  <si>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</si>
  <si>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</si>
  <si>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</si>
  <si>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</si>
  <si>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</si>
  <si>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</si>
  <si>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</si>
  <si>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</si>
  <si>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</si>
  <si>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</si>
  <si>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</si>
  <si>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</si>
  <si>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</si>
  <si>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</si>
  <si>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</si>
  <si>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</si>
  <si>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</si>
  <si>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</si>
  <si>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</si>
  <si>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</si>
  <si>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</si>
  <si>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</si>
  <si>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</si>
  <si>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</si>
  <si>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</si>
  <si>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</si>
  <si>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</si>
  <si>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</si>
  <si>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</si>
  <si>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</si>
  <si>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</si>
  <si>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</si>
  <si>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</si>
  <si>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</si>
  <si>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</si>
  <si>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</si>
  <si>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</si>
  <si>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</si>
  <si>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</si>
  <si>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</si>
  <si>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</si>
  <si>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</si>
  <si>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</si>
  <si>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</si>
  <si>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</si>
  <si>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</si>
  <si>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</si>
  <si>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</si>
  <si>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</si>
  <si>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</si>
  <si>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</si>
  <si>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</si>
  <si>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</si>
  <si>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</si>
  <si>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</si>
  <si>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</si>
  <si>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</si>
  <si>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</si>
  <si>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</si>
  <si>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</si>
  <si>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</si>
  <si>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</si>
  <si>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</si>
  <si>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</si>
  <si>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</si>
  <si>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</si>
  <si>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</si>
  <si>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</si>
  <si>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</si>
  <si>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</si>
  <si>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</si>
  <si>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</si>
  <si>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</si>
  <si>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</si>
  <si>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</si>
  <si>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</si>
  <si>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</si>
  <si>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</si>
  <si>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</si>
  <si>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</si>
  <si>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</si>
  <si>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</si>
  <si>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</si>
  <si>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</si>
  <si>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</si>
  <si>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</si>
  <si>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</si>
  <si>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</si>
  <si>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</si>
  <si>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</si>
  <si>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</si>
  <si>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</si>
  <si>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</si>
  <si>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</si>
  <si>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</si>
  <si>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</si>
  <si>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</si>
  <si>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</si>
  <si>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</si>
  <si>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</si>
  <si>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</si>
  <si>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</si>
  <si>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</si>
  <si>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</si>
  <si>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</si>
  <si>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</si>
  <si>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</si>
  <si>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</si>
  <si>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</si>
  <si>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</si>
  <si>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</si>
  <si>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</si>
  <si>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</si>
  <si>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</si>
  <si>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</si>
  <si>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</si>
  <si>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</si>
  <si>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</si>
  <si>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</si>
  <si>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</si>
  <si>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</si>
  <si>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</si>
  <si>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</si>
  <si>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</si>
  <si>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</si>
  <si>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</si>
  <si>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</si>
  <si>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</si>
  <si>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</si>
  <si>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</si>
  <si>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</si>
  <si>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</si>
  <si>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</si>
  <si>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</si>
  <si>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</si>
  <si>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</si>
  <si>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</si>
  <si>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</si>
  <si>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</si>
  <si>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</si>
  <si>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</si>
  <si>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</si>
  <si>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</si>
  <si>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</si>
  <si>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</si>
  <si>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</si>
  <si>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</si>
  <si>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</si>
  <si>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</si>
  <si>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</si>
  <si>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</si>
  <si>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</si>
  <si>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</si>
  <si>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</si>
  <si>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</si>
  <si>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</si>
  <si>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</si>
  <si>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</si>
  <si>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</si>
  <si>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</si>
  <si>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</si>
  <si>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</si>
  <si>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</si>
  <si>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</si>
  <si>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</si>
  <si>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</si>
  <si>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</si>
  <si>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</si>
  <si>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</si>
  <si>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</si>
  <si>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</si>
  <si>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</si>
  <si>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</si>
  <si>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</si>
  <si>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</si>
  <si>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</si>
  <si>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</si>
  <si>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</si>
  <si>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</si>
  <si>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</si>
  <si>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</si>
  <si>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</si>
  <si>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</si>
  <si>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</si>
  <si>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</si>
  <si>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</si>
  <si>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</si>
  <si>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</si>
  <si>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</si>
  <si>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</si>
  <si>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</si>
  <si>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</si>
  <si>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</si>
  <si>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</si>
  <si>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</si>
  <si>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</si>
  <si>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</si>
  <si>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7069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</si>
  <si>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</si>
  <si>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</si>
  <si>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</si>
  <si>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</si>
  <si>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</si>
  <si>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</si>
  <si>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</si>
  <si>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</si>
  <si>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</si>
  <si>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</si>
  <si>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</si>
  <si>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</si>
  <si>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</si>
  <si>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</si>
  <si>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</si>
  <si>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</si>
  <si>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</si>
  <si>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</si>
  <si>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</si>
  <si>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</si>
  <si>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</si>
  <si>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</si>
  <si>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</si>
  <si>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</si>
  <si>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</si>
  <si>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</si>
  <si>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</si>
  <si>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</si>
  <si>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</si>
  <si>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</si>
  <si>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</si>
  <si>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</si>
  <si>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</si>
  <si>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</si>
  <si>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</si>
  <si>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</si>
  <si>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</si>
  <si>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</si>
  <si>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</si>
  <si>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</si>
  <si>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</si>
  <si>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</si>
  <si>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</si>
  <si>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</si>
  <si>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</si>
  <si>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</si>
  <si>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</si>
  <si>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</si>
  <si>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</si>
  <si>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</si>
  <si>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</si>
  <si>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</si>
  <si>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</si>
  <si>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</si>
  <si>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</si>
  <si>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</si>
  <si>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</si>
  <si>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</si>
  <si>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</si>
  <si>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</si>
  <si>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</si>
  <si>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</si>
  <si>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</si>
  <si>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</si>
  <si>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</si>
  <si>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</si>
  <si>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</si>
  <si>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</si>
  <si>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</si>
  <si>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</si>
  <si>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</si>
  <si>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</si>
  <si>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</si>
  <si>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</si>
  <si>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</si>
  <si>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</si>
  <si>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</si>
  <si>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</si>
  <si>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</si>
  <si>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</si>
  <si>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</si>
  <si>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</si>
  <si>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</si>
  <si>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</si>
  <si>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</si>
  <si>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</si>
  <si>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</si>
  <si>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</si>
  <si>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</si>
  <si>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</si>
  <si>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</si>
  <si>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</si>
  <si>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</si>
  <si>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</si>
  <si>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</si>
  <si>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</si>
  <si>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</si>
  <si>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</si>
  <si>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</si>
  <si>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</si>
  <si>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</si>
  <si>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</si>
  <si>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</si>
  <si>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</si>
  <si>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</si>
  <si>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</si>
  <si>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</si>
  <si>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</si>
  <si>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</si>
  <si>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</si>
  <si>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</si>
  <si>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</si>
  <si>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</si>
  <si>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</si>
  <si>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</si>
  <si>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</si>
  <si>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</si>
  <si>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</si>
  <si>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</si>
  <si>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</si>
  <si>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</si>
  <si>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</si>
  <si>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</si>
  <si>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</si>
  <si>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</si>
  <si>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</si>
  <si>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</si>
  <si>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</si>
  <si>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</si>
  <si>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</si>
  <si>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</si>
  <si>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</si>
  <si>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</si>
  <si>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</si>
  <si>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</si>
  <si>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</si>
  <si>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</si>
  <si>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</si>
  <si>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</si>
  <si>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</si>
  <si>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</si>
  <si>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</si>
  <si>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</si>
  <si>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</si>
  <si>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</si>
  <si>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</si>
  <si>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</si>
  <si>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</si>
  <si>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</si>
  <si>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</si>
  <si>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</si>
  <si>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</si>
  <si>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</si>
  <si>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</si>
  <si>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</si>
  <si>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</si>
  <si>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</si>
  <si>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</si>
  <si>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</si>
  <si>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</si>
  <si>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</si>
  <si>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</si>
  <si>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</si>
  <si>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</si>
  <si>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</si>
  <si>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</si>
  <si>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</si>
  <si>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</si>
  <si>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</si>
  <si>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</si>
  <si>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</si>
  <si>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</si>
  <si>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</si>
  <si>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</si>
  <si>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</si>
  <si>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</si>
  <si>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</si>
  <si>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</si>
  <si>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</si>
  <si>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</si>
  <si>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</si>
  <si>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</si>
  <si>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</si>
  <si>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</si>
  <si>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</si>
  <si>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</si>
  <si>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</si>
  <si>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</si>
  <si>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</si>
  <si>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</si>
  <si>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</si>
  <si>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</si>
  <si>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</si>
  <si>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</si>
  <si>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</si>
  <si>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</si>
  <si>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</si>
  <si>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</si>
  <si>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</si>
  <si>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</si>
  <si>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</si>
  <si>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</si>
  <si>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</si>
  <si>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</si>
  <si>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</si>
  <si>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</si>
  <si>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</si>
  <si>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</si>
  <si>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</si>
  <si>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</si>
  <si>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</si>
  <si>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</si>
  <si>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</si>
  <si>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</si>
  <si>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</si>
  <si>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</si>
  <si>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</si>
  <si>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</si>
  <si>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</si>
  <si>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</si>
  <si>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</si>
  <si>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</si>
  <si>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</si>
  <si>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</si>
  <si>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</si>
  <si>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</si>
  <si>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</si>
  <si>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</si>
  <si>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</si>
  <si>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</si>
  <si>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</si>
  <si>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</si>
  <si>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</si>
  <si>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</si>
  <si>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</si>
  <si>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</si>
  <si>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</si>
  <si>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</si>
  <si>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</si>
  <si>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</si>
  <si>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</si>
  <si>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</si>
  <si>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</si>
  <si>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</si>
  <si>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</si>
  <si>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</si>
  <si>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</si>
  <si>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</si>
  <si>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</si>
  <si>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</si>
  <si>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</si>
  <si>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</si>
  <si>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</si>
  <si>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</si>
  <si>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</si>
  <si>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</si>
  <si>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</si>
  <si>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</si>
  <si>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</si>
  <si>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</si>
  <si>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</si>
  <si>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</si>
  <si>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</si>
  <si>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</si>
  <si>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</si>
  <si>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</si>
  <si>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</si>
  <si>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</si>
  <si>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</si>
  <si>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</si>
  <si>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</si>
  <si>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</si>
  <si>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</si>
  <si>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</si>
  <si>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</si>
  <si>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</si>
  <si>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</si>
  <si>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</si>
  <si>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</si>
  <si>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</si>
  <si>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</si>
  <si>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</si>
  <si>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</si>
  <si>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</si>
  <si>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</si>
  <si>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</si>
  <si>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</si>
  <si>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</si>
  <si>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</si>
  <si>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</si>
  <si>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</si>
  <si>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</si>
  <si>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</si>
  <si>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</si>
  <si>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</si>
  <si>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</si>
  <si>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</si>
  <si>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</si>
  <si>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</si>
  <si>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</si>
  <si>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</si>
  <si>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</si>
  <si>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</si>
  <si>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</si>
  <si>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</si>
  <si>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</si>
  <si>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</si>
  <si>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</si>
  <si>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</si>
  <si>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</si>
  <si>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</si>
  <si>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</si>
  <si>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</si>
  <si>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</si>
  <si>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</si>
  <si>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</si>
  <si>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</si>
  <si>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</si>
  <si>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</si>
  <si>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</si>
  <si>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</si>
  <si>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</si>
  <si>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</si>
  <si>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</si>
  <si>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</si>
  <si>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</si>
  <si>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</si>
  <si>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</si>
  <si>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</si>
  <si>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</si>
  <si>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</si>
  <si>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</si>
  <si>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</si>
  <si>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</si>
  <si>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</si>
  <si>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</si>
  <si>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</si>
  <si>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</si>
  <si>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</si>
  <si>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</si>
  <si>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</si>
  <si>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</si>
  <si>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</si>
  <si>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</si>
  <si>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</si>
  <si>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</si>
  <si>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</si>
  <si>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</si>
  <si>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</si>
  <si>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</si>
  <si>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</si>
  <si>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</si>
  <si>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</si>
  <si>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</si>
  <si>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</si>
  <si>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</si>
  <si>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</si>
  <si>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</si>
  <si>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</si>
  <si>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</si>
  <si>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</si>
  <si>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</si>
  <si>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</si>
  <si>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</si>
  <si>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</si>
  <si>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</si>
  <si>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</si>
  <si>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</si>
  <si>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</si>
  <si>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</si>
  <si>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</si>
  <si>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</si>
  <si>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</si>
  <si>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</si>
  <si>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</si>
  <si>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</si>
  <si>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</si>
  <si>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</si>
  <si>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</si>
  <si>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</si>
  <si>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</si>
  <si>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</si>
  <si>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</si>
  <si>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</si>
  <si>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</si>
  <si>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</si>
  <si>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</si>
  <si>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</si>
  <si>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</si>
  <si>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</si>
  <si>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</si>
  <si>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</si>
  <si>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</si>
  <si>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</si>
  <si>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</si>
  <si>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</si>
  <si>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</si>
  <si>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</si>
  <si>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</si>
  <si>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</si>
  <si>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</si>
  <si>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</si>
  <si>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</si>
  <si>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</si>
  <si>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</si>
  <si>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</si>
  <si>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</si>
  <si>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</si>
  <si>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</si>
  <si>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</si>
  <si>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</si>
  <si>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</si>
  <si>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</si>
  <si>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</si>
  <si>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</si>
  <si>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</si>
  <si>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</si>
  <si>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</si>
  <si>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</si>
  <si>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</si>
  <si>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</si>
  <si>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</si>
  <si>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</si>
  <si>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</si>
  <si>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</si>
  <si>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</si>
  <si>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</si>
  <si>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</si>
  <si>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</si>
  <si>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</si>
  <si>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</si>
  <si>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</si>
  <si>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</si>
  <si>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</si>
  <si>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</si>
  <si>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</si>
  <si>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</si>
  <si>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6328</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</si>
  <si>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</si>
  <si>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</si>
  <si>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</si>
  <si>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</si>
  <si>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</si>
  <si>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</si>
  <si>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</si>
  <si>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</si>
  <si>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</si>
  <si>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</si>
  <si>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</si>
  <si>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</si>
  <si>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</si>
  <si>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</si>
  <si>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</si>
  <si>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</si>
  <si>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</si>
  <si>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</si>
  <si>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</si>
  <si>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</si>
  <si>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</si>
  <si>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</si>
  <si>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</si>
  <si>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</si>
  <si>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</si>
  <si>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</si>
  <si>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</si>
  <si>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</si>
  <si>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</si>
  <si>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</si>
  <si>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</si>
  <si>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</si>
  <si>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</si>
  <si>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</si>
  <si>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</si>
  <si>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6198</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</si>
  <si>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</si>
  <si>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</si>
  <si>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</si>
  <si>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</si>
  <si>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</si>
  <si>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</si>
  <si>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</si>
  <si>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</si>
  <si>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</si>
  <si>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</si>
  <si>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</si>
  <si>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</si>
  <si>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</si>
  <si>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</si>
  <si>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</si>
  <si>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</si>
  <si>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</si>
  <si>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</si>
  <si>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</si>
  <si>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</si>
  <si>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</si>
  <si>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</si>
  <si>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</si>
  <si>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</si>
  <si>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</si>
  <si>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</si>
  <si>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</si>
  <si>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</si>
  <si>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</si>
  <si>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</si>
  <si>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</si>
  <si>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</si>
  <si>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</si>
  <si>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</si>
  <si>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</si>
  <si>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</si>
  <si>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</si>
  <si>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</si>
  <si>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</si>
  <si>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</si>
  <si>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</si>
  <si>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</si>
  <si>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</si>
  <si>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</si>
  <si>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</si>
  <si>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</si>
  <si>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</si>
  <si>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</si>
  <si>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</si>
  <si>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</si>
  <si>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</si>
  <si>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</si>
  <si>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</si>
  <si>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</si>
  <si>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</si>
  <si>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</si>
  <si>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</si>
  <si>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</si>
  <si>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</si>
  <si>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</si>
  <si>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</si>
  <si>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</si>
  <si>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</si>
  <si>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</si>
  <si>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</si>
  <si>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</si>
  <si>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</si>
  <si>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</si>
  <si>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</si>
  <si>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</si>
  <si>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</si>
  <si>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</si>
  <si>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</si>
  <si>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</si>
  <si>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</si>
  <si>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</si>
  <si>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</si>
  <si>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</si>
  <si>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</si>
  <si>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</si>
  <si>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</si>
  <si>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</si>
  <si>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</si>
  <si>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</si>
  <si>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</si>
  <si>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</si>
  <si>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</si>
  <si>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</si>
  <si>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</si>
  <si>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</si>
  <si>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</si>
  <si>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</si>
  <si>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</si>
  <si>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</si>
  <si>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</si>
  <si>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</si>
  <si>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</si>
  <si>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</si>
  <si>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</si>
  <si>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</si>
  <si>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</si>
  <si>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</si>
  <si>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</si>
  <si>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</si>
  <si>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</si>
  <si>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</si>
  <si>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</si>
  <si>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</si>
  <si>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</si>
  <si>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</si>
  <si>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</si>
  <si>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</si>
  <si>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</si>
  <si>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</si>
  <si>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</si>
  <si>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</si>
  <si>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</si>
  <si>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</si>
  <si>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</si>
  <si>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</si>
  <si>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</si>
  <si>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</si>
  <si>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</si>
  <si>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</si>
  <si>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</si>
  <si>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</si>
  <si>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</si>
  <si>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</si>
  <si>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</si>
  <si>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</si>
  <si>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</si>
  <si>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</si>
  <si>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</si>
  <si>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6026</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</si>
  <si>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</si>
  <si>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</si>
  <si>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</si>
  <si>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</si>
  <si>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</si>
  <si>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</si>
  <si>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</si>
  <si>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</si>
  <si>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</si>
  <si>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</si>
  <si>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</si>
  <si>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</si>
  <si>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</si>
  <si>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</si>
  <si>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</si>
  <si>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</si>
  <si>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</si>
  <si>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</si>
  <si>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</si>
  <si>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</si>
  <si>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</si>
  <si>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</si>
  <si>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</si>
  <si>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</si>
  <si>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</si>
  <si>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</si>
  <si>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</si>
  <si>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</si>
  <si>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</si>
  <si>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</si>
  <si>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</si>
  <si>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</si>
  <si>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</si>
  <si>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</si>
  <si>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</si>
  <si>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</si>
  <si>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</si>
  <si>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</si>
  <si>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</si>
  <si>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</si>
  <si>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</si>
  <si>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</si>
  <si>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</si>
  <si>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</si>
  <si>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</si>
  <si>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</si>
  <si>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</si>
  <si>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</si>
  <si>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</si>
  <si>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</si>
  <si>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</si>
  <si>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</si>
  <si>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</si>
  <si>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</si>
  <si>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</si>
  <si>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</si>
  <si>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</si>
  <si>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</si>
  <si>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</si>
  <si>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</si>
  <si>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</si>
  <si>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</si>
  <si>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</si>
  <si>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</si>
  <si>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</si>
  <si>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</si>
  <si>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</si>
  <si>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</si>
  <si>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</si>
  <si>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</si>
  <si>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</si>
  <si>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</si>
  <si>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</si>
  <si>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</si>
  <si>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</si>
  <si>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</si>
  <si>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</si>
  <si>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</si>
  <si>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</si>
  <si>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</si>
  <si>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</si>
  <si>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</si>
  <si>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</si>
  <si>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</si>
  <si>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</si>
  <si>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</si>
  <si>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</si>
  <si>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</si>
  <si>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</si>
  <si>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</si>
  <si>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</si>
  <si>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</si>
  <si>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</si>
  <si>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</si>
  <si>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</si>
  <si>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</si>
  <si>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</si>
  <si>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</si>
  <si>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</si>
  <si>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</si>
  <si>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</si>
  <si>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</si>
  <si>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</si>
  <si>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</si>
  <si>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</si>
  <si>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</si>
  <si>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</si>
  <si>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</si>
  <si>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</si>
  <si>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</si>
  <si>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</si>
  <si>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</si>
  <si>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</si>
  <si>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</si>
  <si>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</si>
  <si>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</si>
  <si>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</si>
  <si>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</si>
  <si>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</si>
  <si>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</si>
  <si>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</si>
  <si>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</si>
  <si>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</si>
  <si>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</si>
  <si>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</si>
  <si>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</si>
  <si>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</si>
  <si>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</si>
  <si>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</si>
  <si>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</si>
  <si>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</si>
  <si>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</si>
  <si>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</si>
  <si>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</si>
  <si>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</si>
  <si>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</si>
  <si>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</si>
  <si>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</si>
  <si>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</si>
  <si>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</si>
  <si>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</si>
  <si>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</si>
  <si>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</si>
  <si>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</si>
  <si>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</si>
  <si>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</si>
  <si>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</si>
  <si>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</si>
  <si>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</si>
  <si>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</si>
  <si>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</si>
  <si>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</si>
  <si>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</si>
  <si>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</si>
  <si>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</si>
  <si>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</si>
  <si>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</si>
  <si>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</si>
  <si>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</si>
  <si>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</si>
  <si>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</si>
  <si>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</si>
  <si>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</si>
  <si>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</si>
  <si>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</si>
  <si>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</si>
  <si>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</si>
  <si>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</si>
  <si>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</si>
  <si>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</si>
  <si>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</si>
  <si>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</si>
  <si>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</si>
  <si>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</si>
  <si>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</si>
  <si>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</si>
  <si>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</si>
  <si>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</si>
  <si>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</si>
  <si>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</si>
  <si>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</si>
  <si>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</si>
  <si>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</si>
  <si>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</si>
  <si>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</si>
  <si>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</si>
  <si>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</si>
  <si>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</si>
  <si>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</si>
  <si>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</si>
  <si>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</si>
  <si>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</si>
  <si>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</si>
  <si>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</si>
  <si>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</si>
  <si>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</si>
  <si>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</si>
  <si>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</si>
  <si>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</si>
  <si>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</si>
  <si>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</si>
  <si>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</si>
  <si>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</si>
  <si>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</si>
  <si>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</si>
  <si>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</si>
  <si>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</si>
  <si>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</si>
  <si>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</si>
  <si>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</si>
  <si>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</si>
  <si>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</si>
  <si>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</si>
  <si>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</si>
  <si>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</si>
  <si>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</si>
  <si>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</si>
  <si>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</si>
  <si>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</si>
  <si>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</si>
  <si>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</si>
  <si>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</si>
  <si>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</si>
  <si>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</si>
  <si>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</si>
  <si>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</si>
  <si>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</si>
  <si>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</si>
  <si>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</si>
  <si>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</si>
  <si>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</si>
  <si>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</si>
  <si>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</si>
  <si>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</si>
  <si>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</si>
  <si>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</si>
  <si>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</si>
  <si>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</si>
  <si>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</si>
  <si>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</si>
  <si>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</si>
  <si>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</si>
  <si>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</si>
  <si>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</si>
  <si>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</si>
  <si>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</si>
  <si>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</si>
  <si>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</si>
  <si>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</si>
  <si>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</si>
  <si>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</si>
  <si>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</si>
  <si>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</si>
  <si>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</si>
  <si>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</si>
  <si>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</si>
  <si>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</si>
  <si>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</si>
  <si>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</si>
  <si>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</si>
  <si>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</si>
  <si>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</si>
  <si>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</si>
  <si>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</si>
  <si>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</si>
  <si>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</si>
  <si>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</si>
  <si>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</si>
  <si>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</si>
  <si>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</si>
  <si>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</si>
  <si>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</si>
  <si>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</si>
  <si>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</si>
  <si>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</si>
  <si>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</si>
  <si>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</si>
  <si>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</si>
  <si>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</si>
  <si>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</si>
  <si>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</si>
  <si>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</si>
  <si>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</si>
  <si>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</si>
  <si>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</si>
  <si>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</si>
  <si>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</si>
  <si>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</si>
  <si>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</si>
  <si>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</si>
  <si>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</si>
  <si>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</si>
  <si>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</si>
  <si>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</si>
  <si>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</si>
  <si>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</si>
  <si>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</si>
  <si>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</si>
  <si>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</si>
  <si>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</si>
  <si>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</si>
  <si>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</si>
  <si>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</si>
  <si>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</si>
  <si>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</si>
  <si>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</si>
  <si>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</si>
  <si>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</si>
  <si>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</si>
  <si>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</si>
  <si>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</si>
  <si>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</si>
  <si>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</si>
  <si>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</si>
  <si>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</si>
  <si>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</si>
  <si>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</si>
  <si>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</si>
  <si>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</si>
  <si>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</si>
  <si>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</si>
  <si>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</si>
  <si>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</si>
  <si>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</si>
  <si>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</si>
  <si>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</si>
  <si>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</si>
  <si>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</si>
  <si>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</si>
  <si>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</si>
  <si>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</si>
  <si>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</si>
  <si>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</si>
  <si>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</si>
  <si>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</si>
  <si>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</si>
  <si>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</si>
  <si>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</si>
  <si>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</si>
  <si>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</si>
  <si>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</si>
  <si>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</si>
  <si>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</si>
  <si>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</si>
  <si>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</si>
  <si>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</si>
  <si>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</si>
  <si>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</si>
  <si>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</si>
  <si>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</si>
  <si>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</si>
  <si>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</si>
  <si>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</si>
  <si>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</si>
  <si>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</si>
  <si>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</si>
  <si>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</si>
  <si>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</si>
  <si>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</si>
  <si>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</si>
  <si>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</si>
  <si>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</si>
  <si>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</si>
  <si>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</si>
  <si>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</si>
  <si>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</si>
  <si>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</si>
  <si>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</si>
  <si>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</si>
  <si>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</si>
  <si>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</si>
  <si>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</si>
  <si>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</si>
  <si>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</si>
  <si>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</si>
  <si>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</si>
  <si>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</si>
  <si>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</si>
  <si>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</si>
  <si>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</si>
  <si>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</si>
  <si>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</si>
  <si>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</si>
  <si>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</si>
  <si>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</si>
  <si>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</si>
  <si>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</si>
  <si>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</si>
  <si>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</si>
  <si>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</si>
  <si>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</si>
  <si>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</si>
  <si>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</si>
  <si>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</si>
  <si>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</si>
  <si>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</si>
  <si>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</si>
  <si>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</si>
  <si>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</si>
  <si>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</si>
  <si>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</si>
  <si>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</si>
  <si>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</si>
  <si>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</si>
  <si>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</si>
  <si>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</si>
  <si>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</si>
  <si>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</si>
  <si>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</si>
  <si>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</si>
  <si>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</si>
  <si>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</si>
  <si>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</si>
  <si>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</si>
  <si>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</si>
  <si>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</si>
  <si>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</si>
  <si>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</si>
  <si>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</si>
  <si>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</si>
  <si>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</si>
  <si>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</si>
  <si>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</si>
  <si>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</si>
  <si>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</si>
  <si>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</si>
  <si>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</si>
  <si>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</si>
  <si>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</si>
  <si>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</si>
  <si>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</si>
  <si>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</si>
  <si>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</si>
  <si>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</si>
  <si>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</si>
  <si>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</si>
  <si>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</si>
  <si>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</si>
  <si>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</si>
  <si>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</si>
  <si>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</si>
  <si>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</si>
  <si>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</si>
  <si>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</si>
  <si>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</si>
  <si>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</si>
  <si>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</si>
  <si>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</si>
  <si>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</si>
  <si>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</si>
  <si>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</si>
  <si>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</si>
  <si>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</si>
  <si>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</si>
  <si>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</si>
  <si>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</si>
  <si>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</si>
  <si>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</si>
  <si>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</si>
  <si>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</si>
  <si>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</si>
  <si>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</si>
  <si>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</si>
  <si>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</si>
  <si>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</si>
  <si>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</si>
  <si>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</si>
  <si>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</si>
  <si>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</si>
  <si>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</si>
  <si>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</si>
  <si>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</si>
  <si>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</si>
  <si>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</si>
  <si>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</si>
  <si>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</si>
  <si>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</si>
  <si>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</si>
  <si>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</si>
  <si>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</si>
  <si>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</si>
  <si>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</si>
  <si>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</si>
  <si>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</si>
  <si>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</si>
  <si>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</si>
  <si>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</si>
  <si>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</si>
  <si>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</si>
  <si>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</si>
  <si>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</si>
  <si>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</si>
  <si>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</si>
  <si>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</si>
  <si>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</si>
  <si>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</si>
  <si>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</si>
  <si>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</si>
  <si>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</si>
  <si>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</si>
  <si>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</si>
  <si>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</si>
  <si>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</si>
  <si>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</si>
  <si>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</si>
  <si>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</si>
  <si>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</si>
  <si>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</si>
  <si>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</si>
  <si>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</si>
  <si>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</si>
  <si>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</si>
  <si>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</si>
  <si>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</si>
  <si>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</si>
  <si>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</si>
  <si>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</si>
  <si>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</si>
  <si>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</si>
  <si>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</si>
  <si>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</si>
  <si>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</si>
  <si>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</si>
  <si>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</si>
  <si>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</si>
  <si>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</si>
  <si>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</si>
  <si>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</si>
  <si>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</si>
  <si>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</si>
  <si>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</si>
  <si>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</si>
  <si>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</si>
  <si>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</si>
  <si>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</si>
  <si>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</si>
  <si>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</si>
  <si>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</si>
  <si>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</si>
  <si>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</si>
  <si>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</si>
  <si>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</si>
  <si>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</si>
  <si>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</si>
  <si>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</si>
  <si>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</si>
  <si>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</si>
  <si>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</si>
  <si>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</si>
  <si>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</si>
  <si>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</si>
  <si>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</si>
  <si>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</si>
  <si>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</si>
  <si>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</si>
  <si>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</si>
  <si>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</si>
  <si>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</si>
  <si>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</si>
  <si>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</si>
  <si>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</si>
  <si>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</si>
  <si>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</si>
  <si>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</si>
  <si>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</si>
  <si>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</si>
  <si>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</si>
  <si>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</si>
  <si>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</si>
  <si>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</si>
  <si>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</si>
  <si>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</si>
  <si>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</si>
  <si>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</si>
  <si>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</si>
  <si>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</si>
  <si>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</si>
  <si>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</si>
  <si>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</si>
  <si>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</si>
  <si>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</si>
  <si>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</si>
  <si>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</si>
  <si>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</si>
  <si>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</si>
  <si>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</si>
  <si>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</si>
  <si>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</si>
  <si>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</si>
  <si>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</si>
  <si>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</si>
  <si>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</si>
  <si>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</si>
  <si>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</si>
  <si>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</si>
  <si>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</si>
  <si>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</si>
  <si>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</si>
  <si>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</si>
  <si>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</si>
  <si>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</si>
  <si>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</si>
  <si>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</si>
  <si>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</si>
  <si>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</si>
  <si>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</si>
  <si>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</si>
  <si>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</si>
  <si>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</si>
  <si>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</si>
  <si>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</si>
  <si>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</si>
  <si>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</si>
  <si>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</si>
  <si>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</si>
  <si>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</si>
  <si>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</si>
  <si>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</si>
  <si>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</si>
  <si>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</si>
  <si>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</si>
  <si>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</si>
  <si>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</si>
  <si>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</si>
  <si>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</si>
  <si>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</si>
  <si>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</si>
  <si>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</si>
  <si>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</si>
  <si>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</si>
  <si>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</si>
  <si>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</si>
  <si>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</si>
  <si>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</si>
  <si>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</si>
  <si>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</si>
  <si>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</si>
  <si>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</si>
  <si>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</si>
  <si>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</si>
  <si>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</si>
  <si>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</si>
  <si>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</si>
  <si>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</si>
  <si>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</si>
  <si>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</si>
  <si>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</si>
  <si>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</si>
  <si>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</si>
  <si>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</si>
  <si>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</si>
  <si>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</si>
  <si>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</si>
  <si>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</si>
  <si>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</si>
  <si>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</si>
  <si>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</si>
  <si>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</si>
  <si>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</si>
  <si>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</si>
  <si>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</si>
  <si>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</si>
  <si>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</si>
  <si>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</si>
  <si>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</si>
  <si>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</si>
  <si>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</si>
  <si>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</si>
  <si>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</si>
  <si>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</si>
  <si>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</si>
  <si>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</si>
  <si>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</si>
  <si>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</si>
  <si>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</si>
  <si>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</si>
  <si>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</si>
  <si>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</si>
  <si>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</si>
  <si>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</si>
  <si>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</si>
  <si>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</si>
  <si>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</si>
  <si>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</si>
  <si>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</si>
  <si>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</si>
  <si>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</si>
  <si>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</si>
  <si>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</si>
  <si>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</si>
  <si>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</si>
  <si>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</si>
  <si>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</si>
  <si>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</si>
  <si>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</si>
  <si>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</si>
  <si>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</si>
  <si>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</si>
  <si>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</si>
  <si>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</si>
  <si>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</si>
  <si>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</si>
  <si>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</si>
  <si>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</si>
  <si>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</si>
  <si>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</si>
  <si>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</si>
  <si>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</si>
  <si>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</si>
  <si>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</si>
  <si>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</si>
  <si>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</si>
  <si>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</si>
  <si>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</si>
  <si>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</si>
  <si>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</si>
  <si>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</si>
  <si>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</si>
  <si>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</si>
  <si>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</si>
  <si>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</si>
  <si>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</si>
  <si>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</si>
  <si>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</si>
  <si>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</si>
  <si>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</si>
  <si>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</si>
  <si>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</si>
  <si>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</si>
  <si>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</si>
  <si>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</si>
  <si>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</si>
  <si>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</si>
  <si>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</si>
  <si>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</si>
  <si>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</si>
  <si>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</si>
  <si>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</si>
  <si>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</si>
  <si>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</si>
  <si>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</si>
  <si>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</si>
  <si>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</si>
  <si>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</si>
  <si>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</si>
  <si>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</si>
  <si>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</si>
  <si>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</si>
  <si>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</si>
  <si>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</si>
  <si>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</si>
  <si>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</si>
  <si>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</si>
  <si>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</si>
  <si>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</si>
  <si>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</si>
  <si>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</si>
  <si>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</si>
  <si>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</si>
  <si>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</si>
  <si>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</si>
  <si>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</si>
  <si>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</si>
  <si>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</si>
  <si>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</si>
  <si>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</si>
  <si>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</si>
  <si>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</si>
  <si>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</si>
  <si>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</si>
  <si>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</si>
  <si>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</si>
  <si>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</si>
  <si>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</si>
  <si>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</si>
  <si>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</si>
  <si>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</si>
  <si>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</si>
  <si>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</si>
  <si>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</si>
  <si>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</si>
  <si>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</si>
  <si>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</si>
  <si>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</si>
  <si>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</si>
  <si>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</si>
  <si>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</si>
  <si>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</si>
  <si>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</si>
  <si>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</si>
  <si>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</si>
  <si>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</si>
  <si>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</si>
  <si>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</si>
  <si>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</si>
  <si>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</si>
  <si>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</si>
  <si>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</si>
  <si>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</si>
  <si>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</si>
  <si>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</si>
  <si>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</si>
  <si>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</si>
  <si>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</si>
  <si>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</si>
  <si>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</si>
  <si>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</si>
  <si>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</si>
  <si>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</si>
  <si>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</si>
  <si>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</si>
  <si>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</si>
  <si>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</si>
  <si>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</si>
  <si>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</si>
  <si>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</si>
  <si>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</si>
  <si>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</si>
  <si>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</si>
  <si>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</si>
  <si>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</si>
  <si>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</si>
  <si>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</si>
  <si>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</si>
  <si>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</si>
  <si>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</si>
  <si>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</si>
  <si>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</si>
  <si>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</si>
  <si>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</si>
  <si>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</si>
  <si>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</si>
  <si>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</si>
  <si>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</si>
  <si>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</si>
  <si>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</si>
  <si>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</si>
  <si>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</si>
  <si>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</si>
  <si>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</si>
  <si>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</si>
  <si>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</si>
  <si>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</si>
  <si>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</si>
  <si>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</si>
  <si>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</si>
  <si>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</si>
  <si>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</si>
  <si>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</si>
  <si>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</si>
  <si>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</si>
  <si>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</si>
  <si>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</si>
  <si>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</si>
  <si>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</si>
  <si>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</si>
  <si>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</si>
  <si>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</si>
  <si>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</si>
  <si>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</si>
  <si>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</si>
  <si>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</si>
  <si>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</si>
  <si>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</si>
  <si>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</si>
  <si>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</si>
  <si>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</si>
  <si>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</si>
  <si>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</si>
  <si>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</si>
  <si>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</si>
  <si>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</si>
  <si>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</si>
  <si>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</si>
  <si>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</si>
  <si>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</si>
  <si>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</si>
  <si>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</si>
  <si>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</si>
  <si>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</si>
  <si>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</si>
  <si>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</si>
  <si>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</si>
  <si>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</si>
  <si>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</si>
  <si>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</si>
  <si>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</si>
  <si>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</si>
  <si>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</si>
  <si>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</si>
  <si>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</si>
  <si>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</si>
  <si>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</si>
  <si>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</si>
  <si>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</si>
  <si>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</si>
  <si>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</si>
  <si>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</si>
  <si>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</si>
  <si>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</si>
  <si>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</si>
  <si>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</si>
  <si>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</si>
  <si>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</si>
  <si>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</si>
  <si>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</si>
  <si>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</si>
  <si>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</si>
  <si>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</si>
  <si>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</si>
  <si>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</si>
  <si>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</si>
  <si>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</si>
  <si>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</si>
  <si>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</si>
  <si>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</si>
  <si>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</si>
  <si>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</si>
  <si>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</si>
  <si>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</si>
  <si>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</si>
  <si>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</si>
  <si>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</si>
  <si>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</si>
  <si>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</si>
  <si>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</si>
  <si>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</si>
  <si>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</si>
  <si>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</si>
  <si>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</si>
  <si>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</si>
  <si>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</si>
  <si>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</si>
  <si>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</si>
  <si>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</si>
  <si>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</si>
  <si>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</si>
  <si>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</si>
  <si>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</si>
  <si>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</si>
  <si>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</si>
  <si>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</si>
  <si>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</si>
  <si>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</si>
  <si>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</si>
  <si>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</si>
  <si>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</si>
  <si>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</si>
  <si>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</si>
  <si>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</si>
  <si>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</si>
  <si>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</si>
  <si>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</si>
  <si>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</si>
  <si>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</si>
  <si>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</si>
  <si>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</si>
  <si>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</si>
  <si>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</si>
  <si>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</si>
  <si>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</si>
  <si>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</si>
  <si>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</si>
  <si>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</si>
  <si>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</si>
  <si>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</si>
  <si>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</si>
  <si>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</si>
  <si>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</si>
  <si>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</si>
  <si>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</si>
  <si>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</si>
  <si>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</si>
  <si>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</si>
  <si>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</si>
  <si>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</si>
  <si>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</si>
  <si>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</si>
  <si>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</si>
  <si>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</si>
  <si>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</si>
  <si>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</si>
  <si>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</si>
  <si>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</si>
  <si>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</si>
  <si>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</si>
  <si>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</si>
  <si>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</si>
  <si>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</si>
  <si>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</si>
  <si>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</si>
  <si>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</si>
  <si>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</si>
  <si>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</si>
  <si>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</si>
  <si>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</si>
  <si>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</si>
  <si>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</si>
  <si>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</si>
  <si>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</si>
  <si>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</si>
  <si>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</si>
  <si>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</si>
  <si>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</si>
  <si>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</si>
  <si>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</si>
  <si>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</si>
  <si>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</si>
  <si>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</si>
  <si>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</si>
  <si>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</si>
  <si>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</si>
  <si>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</si>
  <si>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</si>
  <si>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</si>
  <si>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</si>
  <si>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</si>
  <si>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</si>
  <si>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</si>
  <si>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</si>
  <si>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</si>
  <si>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</si>
  <si>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</si>
  <si>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</si>
  <si>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</si>
  <si>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</si>
  <si>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</si>
  <si>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</si>
  <si>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</si>
  <si>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</si>
  <si>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</si>
  <si>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</si>
  <si>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</si>
  <si>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</si>
  <si>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</si>
  <si>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</si>
  <si>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</si>
  <si>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</si>
  <si>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</si>
  <si>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</si>
  <si>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</si>
  <si>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</si>
  <si>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</si>
  <si>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</si>
  <si>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</si>
  <si>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</si>
  <si>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</si>
  <si>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</si>
  <si>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</si>
  <si>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</si>
  <si>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</si>
  <si>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</si>
  <si>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</si>
  <si>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</si>
  <si>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</si>
  <si>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</si>
  <si>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</si>
  <si>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</si>
  <si>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</si>
  <si>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</si>
  <si>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</si>
  <si>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</si>
  <si>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</si>
  <si>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</si>
  <si>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</si>
  <si>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</si>
  <si>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</si>
  <si>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</si>
  <si>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</si>
  <si>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</si>
  <si>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</si>
  <si>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</si>
  <si>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</si>
  <si>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</si>
  <si>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</si>
  <si>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</si>
  <si>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</si>
  <si>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</si>
  <si>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</si>
  <si>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</si>
  <si>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</si>
  <si>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</si>
  <si>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</si>
  <si>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</si>
  <si>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</si>
  <si>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</si>
  <si>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</si>
  <si>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</si>
  <si>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</si>
  <si>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</si>
  <si>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</si>
  <si>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</si>
  <si>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</si>
  <si>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</si>
  <si>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</si>
  <si>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</si>
  <si>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</si>
  <si>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</si>
  <si>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</si>
  <si>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</si>
  <si>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</si>
  <si>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</si>
  <si>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</si>
  <si>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</si>
  <si>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</si>
  <si>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</si>
  <si>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</si>
  <si>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</si>
  <si>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</si>
  <si>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</si>
  <si>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</si>
  <si>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</si>
  <si>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</si>
  <si>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</si>
  <si>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</si>
  <si>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</si>
  <si>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</si>
  <si>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</si>
  <si>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</si>
  <si>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</si>
  <si>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</si>
  <si>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</si>
  <si>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</si>
  <si>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</si>
  <si>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</si>
  <si>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</si>
  <si>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4591</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</si>
  <si>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</si>
  <si>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</si>
  <si>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</si>
  <si>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</si>
  <si>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</si>
  <si>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</si>
  <si>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</si>
  <si>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</si>
  <si>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</si>
  <si>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</si>
  <si>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</si>
  <si>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</si>
  <si>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</si>
  <si>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</si>
  <si>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</si>
  <si>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</si>
  <si>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</si>
  <si>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</si>
  <si>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</si>
  <si>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</si>
  <si>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</si>
  <si>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</si>
  <si>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</si>
  <si>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</si>
  <si>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</si>
  <si>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</si>
  <si>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</si>
  <si>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</si>
  <si>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</si>
  <si>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</si>
  <si>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</si>
  <si>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</si>
  <si>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</si>
  <si>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</si>
  <si>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</si>
  <si>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</si>
  <si>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</si>
  <si>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</si>
  <si>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</si>
  <si>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</si>
  <si>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</si>
  <si>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</si>
  <si>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</si>
  <si>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</si>
  <si>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</si>
  <si>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</si>
  <si>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</si>
  <si>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</si>
  <si>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</si>
  <si>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</si>
  <si>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</si>
  <si>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</si>
  <si>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</si>
  <si>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</si>
  <si>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</si>
  <si>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</si>
  <si>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</si>
  <si>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</si>
  <si>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</si>
  <si>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</si>
  <si>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</si>
  <si>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</si>
  <si>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</si>
  <si>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</si>
  <si>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</si>
  <si>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</si>
  <si>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</si>
  <si>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</si>
  <si>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</si>
  <si>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</si>
  <si>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</si>
  <si>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</si>
  <si>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</si>
  <si>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</si>
  <si>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</si>
  <si>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</si>
  <si>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</si>
  <si>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</si>
  <si>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</si>
  <si>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</si>
  <si>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</si>
  <si>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</si>
  <si>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</si>
  <si>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</si>
  <si>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</si>
  <si>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</si>
  <si>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</si>
  <si>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</si>
  <si>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</si>
  <si>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</si>
  <si>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</si>
  <si>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</si>
  <si>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</si>
  <si>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</si>
  <si>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</si>
  <si>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</si>
  <si>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</si>
  <si>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</si>
  <si>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</si>
  <si>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</si>
  <si>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</si>
  <si>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</si>
  <si>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</si>
  <si>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</si>
  <si>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</si>
  <si>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</si>
  <si>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</si>
  <si>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</si>
  <si>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</si>
  <si>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</si>
  <si>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</si>
  <si>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</si>
  <si>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</si>
  <si>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</si>
  <si>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</si>
  <si>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</si>
  <si>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</si>
  <si>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</si>
  <si>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</si>
  <si>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</si>
  <si>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</si>
  <si>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</si>
  <si>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</si>
  <si>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</si>
  <si>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</si>
  <si>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</si>
  <si>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</si>
  <si>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</si>
  <si>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</si>
  <si>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</si>
  <si>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</si>
  <si>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</si>
  <si>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</si>
  <si>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</si>
  <si>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</si>
  <si>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</si>
  <si>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</si>
  <si>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</si>
  <si>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</si>
  <si>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</si>
  <si>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</si>
  <si>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</si>
  <si>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</si>
  <si>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</si>
  <si>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</si>
  <si>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</si>
  <si>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</si>
  <si>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</si>
  <si>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</si>
  <si>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</si>
  <si>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</si>
  <si>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</si>
  <si>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</si>
  <si>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</si>
  <si>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</si>
  <si>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</si>
  <si>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</si>
  <si>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</si>
  <si>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</si>
  <si>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</si>
  <si>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</si>
  <si>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</si>
  <si>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</si>
  <si>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</si>
  <si>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</si>
  <si>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</si>
  <si>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</si>
  <si>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</si>
  <si>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</si>
  <si>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</si>
  <si>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</si>
  <si>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</si>
  <si>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</si>
  <si>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</si>
  <si>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</si>
  <si>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</si>
  <si>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</si>
  <si>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</si>
  <si>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</si>
  <si>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</si>
  <si>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</si>
  <si>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</si>
  <si>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</si>
  <si>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</si>
  <si>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</si>
  <si>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</si>
  <si>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</si>
  <si>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</si>
  <si>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</si>
  <si>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4502</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</si>
  <si>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</si>
  <si>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</si>
  <si>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</si>
  <si>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</si>
  <si>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</si>
  <si>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</si>
  <si>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</si>
  <si>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</si>
  <si>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</si>
  <si>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</si>
  <si>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</si>
  <si>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</si>
  <si>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</si>
  <si>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</si>
  <si>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</si>
  <si>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</si>
  <si>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</si>
  <si>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</si>
  <si>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</si>
  <si>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</si>
  <si>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</si>
  <si>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</si>
  <si>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</si>
  <si>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</si>
  <si>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</si>
  <si>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</si>
  <si>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</si>
  <si>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</si>
  <si>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</si>
  <si>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</si>
  <si>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</si>
  <si>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</si>
  <si>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</si>
  <si>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</si>
  <si>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</si>
  <si>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</si>
  <si>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</si>
  <si>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</si>
  <si>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</si>
  <si>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</si>
  <si>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</si>
  <si>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</si>
  <si>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</si>
  <si>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</si>
  <si>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</si>
  <si>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</si>
  <si>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</si>
  <si>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</si>
  <si>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</si>
  <si>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</si>
  <si>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</si>
  <si>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</si>
  <si>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</si>
  <si>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</si>
  <si>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</si>
  <si>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</si>
  <si>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</si>
  <si>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</si>
  <si>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</si>
  <si>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</si>
  <si>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</si>
  <si>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</si>
  <si>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</si>
  <si>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</si>
  <si>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</si>
  <si>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</si>
  <si>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</si>
  <si>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</si>
  <si>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</si>
  <si>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</si>
  <si>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</si>
  <si>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</si>
  <si>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</si>
  <si>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</si>
  <si>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</si>
  <si>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</si>
  <si>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</si>
  <si>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</si>
  <si>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4253</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</si>
  <si>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</si>
  <si>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</si>
  <si>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</si>
  <si>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</si>
  <si>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</si>
  <si>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</si>
  <si>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</si>
  <si>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</si>
  <si>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</si>
  <si>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</si>
  <si>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</si>
  <si>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</si>
  <si>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</si>
  <si>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</si>
  <si>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</si>
  <si>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</si>
  <si>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</si>
  <si>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</si>
  <si>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</si>
  <si>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</si>
  <si>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</si>
  <si>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</si>
  <si>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</si>
  <si>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</si>
  <si>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</si>
  <si>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</si>
  <si>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</si>
  <si>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</si>
  <si>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</si>
  <si>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</si>
  <si>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</si>
  <si>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</si>
  <si>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</si>
  <si>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</si>
  <si>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</si>
  <si>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</si>
  <si>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</si>
  <si>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</si>
  <si>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</si>
  <si>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</si>
  <si>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</si>
  <si>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</si>
  <si>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</si>
  <si>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</si>
  <si>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</si>
  <si>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</si>
  <si>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</si>
  <si>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</si>
  <si>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</si>
  <si>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</si>
  <si>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</si>
  <si>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</si>
  <si>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</si>
  <si>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</si>
  <si>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</si>
  <si>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</si>
  <si>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</si>
  <si>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</si>
  <si>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</si>
  <si>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</si>
  <si>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</si>
  <si>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</si>
  <si>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</si>
  <si>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</si>
  <si>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</si>
  <si>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</si>
  <si>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</si>
  <si>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</si>
  <si>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</si>
  <si>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</si>
  <si>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</si>
  <si>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</si>
  <si>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</si>
  <si>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</si>
  <si>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</si>
  <si>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</si>
  <si>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</si>
  <si>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</si>
  <si>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</si>
  <si>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</si>
  <si>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</si>
  <si>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</si>
  <si>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</si>
  <si>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</si>
  <si>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</si>
  <si>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</si>
  <si>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</si>
  <si>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</si>
  <si>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</si>
  <si>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</si>
  <si>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</si>
  <si>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</si>
  <si>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</si>
  <si>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</si>
  <si>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</si>
  <si>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</si>
  <si>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</si>
  <si>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</si>
  <si>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</si>
  <si>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</si>
  <si>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</si>
  <si>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</si>
  <si>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</si>
  <si>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</si>
  <si>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</si>
  <si>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</si>
  <si>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</si>
  <si>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</si>
  <si>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</si>
  <si>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</si>
  <si>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</si>
  <si>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</si>
  <si>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</si>
  <si>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</si>
  <si>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</si>
  <si>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</si>
  <si>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</si>
  <si>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</si>
  <si>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</si>
  <si>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</si>
  <si>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</si>
  <si>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</si>
  <si>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</si>
  <si>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</si>
  <si>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</si>
  <si>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</si>
  <si>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</si>
  <si>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</si>
  <si>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</si>
  <si>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</si>
  <si>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</si>
  <si>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</si>
  <si>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</si>
  <si>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</si>
  <si>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</si>
  <si>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</si>
  <si>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</si>
  <si>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</si>
  <si>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</si>
  <si>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</si>
  <si>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</si>
  <si>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</si>
  <si>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</si>
  <si>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</si>
  <si>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</si>
  <si>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</si>
  <si>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</si>
  <si>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</si>
  <si>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3966</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</si>
  <si>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</si>
  <si>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</si>
  <si>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</si>
  <si>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</si>
  <si>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</si>
  <si>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</si>
  <si>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</si>
  <si>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</si>
  <si>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</si>
  <si>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</si>
  <si>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</si>
  <si>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</si>
  <si>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</si>
  <si>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</si>
  <si>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</si>
  <si>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</si>
  <si>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</si>
  <si>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</si>
  <si>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</si>
  <si>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</si>
  <si>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</si>
  <si>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</si>
  <si>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</si>
  <si>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</si>
  <si>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</si>
  <si>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</si>
  <si>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</si>
  <si>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</si>
  <si>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</si>
  <si>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</si>
  <si>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</si>
  <si>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</si>
  <si>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</si>
  <si>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</si>
  <si>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</si>
  <si>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</si>
  <si>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</si>
  <si>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</si>
  <si>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</si>
  <si>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</si>
  <si>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</si>
  <si>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</si>
  <si>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</si>
  <si>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</si>
  <si>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</si>
  <si>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</si>
  <si>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</si>
  <si>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</si>
  <si>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</si>
  <si>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</si>
  <si>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</si>
  <si>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</si>
  <si>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</si>
  <si>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</si>
  <si>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</si>
  <si>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</si>
  <si>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</si>
  <si>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</si>
  <si>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</si>
  <si>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</si>
  <si>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</si>
  <si>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</si>
  <si>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</si>
  <si>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</si>
  <si>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</si>
  <si>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</si>
  <si>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</si>
  <si>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</si>
  <si>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</si>
  <si>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</si>
  <si>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</si>
  <si>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</si>
  <si>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</si>
  <si>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</si>
  <si>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</si>
  <si>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</si>
  <si>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</si>
  <si>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</si>
  <si>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</si>
  <si>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</si>
  <si>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</si>
  <si>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</si>
  <si>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</si>
  <si>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</si>
  <si>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</si>
  <si>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</si>
  <si>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</si>
  <si>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</si>
  <si>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</si>
  <si>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</si>
  <si>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</si>
  <si>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</si>
  <si>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</si>
  <si>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</si>
  <si>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</si>
  <si>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</si>
  <si>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</si>
  <si>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</si>
  <si>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</si>
  <si>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</si>
  <si>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</si>
  <si>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</si>
  <si>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</si>
  <si>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</si>
  <si>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</si>
  <si>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</si>
  <si>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</si>
  <si>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</si>
  <si>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</si>
  <si>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</si>
  <si>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</si>
  <si>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</si>
  <si>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</si>
  <si>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</si>
  <si>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</si>
  <si>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</si>
  <si>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</si>
  <si>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</si>
  <si>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</si>
  <si>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</si>
  <si>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</si>
  <si>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</si>
  <si>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</si>
  <si>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</si>
  <si>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</si>
  <si>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</si>
  <si>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</si>
  <si>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</si>
  <si>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</si>
  <si>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</si>
  <si>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</si>
  <si>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</si>
  <si>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</si>
  <si>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</si>
  <si>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</si>
  <si>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</si>
  <si>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</si>
  <si>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</si>
  <si>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</si>
  <si>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</si>
  <si>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</si>
  <si>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</si>
  <si>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</si>
  <si>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</si>
  <si>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</si>
  <si>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</si>
  <si>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</si>
  <si>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</si>
  <si>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</si>
  <si>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</si>
  <si>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</si>
  <si>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</si>
  <si>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</si>
  <si>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</si>
  <si>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</si>
  <si>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</si>
  <si>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</si>
  <si>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</si>
  <si>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</si>
  <si>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</si>
  <si>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</si>
  <si>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</si>
  <si>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</si>
  <si>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</si>
  <si>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</si>
  <si>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</si>
  <si>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</si>
  <si>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</si>
  <si>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</si>
  <si>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</si>
  <si>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</si>
  <si>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</si>
  <si>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</si>
  <si>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</si>
  <si>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</si>
  <si>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</si>
  <si>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</si>
  <si>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</si>
  <si>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</si>
  <si>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</si>
  <si>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</si>
  <si>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</si>
  <si>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</si>
  <si>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</si>
  <si>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</si>
  <si>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</si>
  <si>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</si>
  <si>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</si>
  <si>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</si>
  <si>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</si>
  <si>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</si>
  <si>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</si>
  <si>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</si>
  <si>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</si>
  <si>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</si>
  <si>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</si>
  <si>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</si>
  <si>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</si>
  <si>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</si>
  <si>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</si>
  <si>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</si>
  <si>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</si>
  <si>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</si>
  <si>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</si>
  <si>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</si>
  <si>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</si>
  <si>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</si>
  <si>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</si>
  <si>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</si>
  <si>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</si>
  <si>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</si>
  <si>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</si>
  <si>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</si>
  <si>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</si>
  <si>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</si>
  <si>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</si>
  <si>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</si>
  <si>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</si>
  <si>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</si>
  <si>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</si>
  <si>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</si>
  <si>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</si>
  <si>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</si>
  <si>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</si>
  <si>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</si>
  <si>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</si>
  <si>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</si>
  <si>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</si>
  <si>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</si>
  <si>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</si>
  <si>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</si>
  <si>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</si>
  <si>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</si>
  <si>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</si>
  <si>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</si>
  <si>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</si>
  <si>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</si>
  <si>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</si>
  <si>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</si>
  <si>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</si>
  <si>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</si>
  <si>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</si>
  <si>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</si>
  <si>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</si>
  <si>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</si>
  <si>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</si>
  <si>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</si>
  <si>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</si>
  <si>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</si>
  <si>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</si>
  <si>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3612</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</si>
  <si>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</si>
  <si>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</si>
  <si>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</si>
  <si>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</si>
  <si>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</si>
  <si>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</si>
  <si>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</si>
  <si>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</si>
  <si>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</si>
  <si>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</si>
  <si>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</si>
  <si>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</si>
  <si>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</si>
  <si>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</si>
  <si>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</si>
  <si>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</si>
  <si>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</si>
  <si>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</si>
  <si>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</si>
  <si>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</si>
  <si>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</si>
  <si>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</si>
  <si>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</si>
  <si>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</si>
  <si>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</si>
  <si>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</si>
  <si>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</si>
  <si>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</si>
  <si>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</si>
  <si>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</si>
  <si>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</si>
  <si>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</si>
  <si>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</si>
  <si>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</si>
  <si>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</si>
  <si>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</si>
  <si>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</si>
  <si>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</si>
  <si>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</si>
  <si>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</si>
  <si>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</si>
  <si>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</si>
  <si>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</si>
  <si>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</si>
  <si>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</si>
  <si>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</si>
  <si>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</si>
  <si>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</si>
  <si>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</si>
  <si>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</si>
  <si>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</si>
  <si>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</si>
  <si>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</si>
  <si>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</si>
  <si>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</si>
  <si>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</si>
  <si>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</si>
  <si>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</si>
  <si>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</si>
  <si>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</si>
  <si>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</si>
  <si>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</si>
  <si>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</si>
  <si>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</si>
  <si>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</si>
  <si>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</si>
  <si>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</si>
  <si>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</si>
  <si>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</si>
  <si>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</si>
  <si>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</si>
  <si>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</si>
  <si>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</si>
  <si>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</si>
  <si>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</si>
  <si>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</si>
  <si>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</si>
  <si>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</si>
  <si>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</si>
  <si>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</si>
  <si>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</si>
  <si>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</si>
  <si>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</si>
  <si>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</si>
  <si>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</si>
  <si>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</si>
  <si>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</si>
  <si>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</si>
  <si>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</si>
  <si>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</si>
  <si>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</si>
  <si>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</si>
  <si>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</si>
  <si>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</si>
  <si>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</si>
  <si>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</si>
  <si>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</si>
  <si>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</si>
  <si>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</si>
  <si>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</si>
  <si>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</si>
  <si>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</si>
  <si>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</si>
  <si>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</si>
  <si>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</si>
  <si>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</si>
  <si>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</si>
  <si>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</si>
  <si>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</si>
  <si>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</si>
  <si>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</si>
  <si>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</si>
  <si>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</si>
  <si>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</si>
  <si>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</si>
  <si>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</si>
  <si>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</si>
  <si>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</si>
  <si>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</si>
  <si>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</si>
  <si>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</si>
  <si>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</si>
  <si>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</si>
  <si>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</si>
  <si>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</si>
  <si>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</si>
  <si>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</si>
  <si>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</si>
  <si>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</si>
  <si>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</si>
  <si>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</si>
  <si>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</si>
  <si>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</si>
  <si>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</si>
  <si>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</si>
  <si>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</si>
  <si>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</si>
  <si>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</si>
  <si>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</si>
  <si>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</si>
  <si>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</si>
  <si>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</si>
  <si>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</si>
  <si>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</si>
  <si>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</si>
  <si>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</si>
  <si>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</si>
  <si>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</si>
  <si>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</si>
  <si>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</si>
  <si>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</si>
  <si>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</si>
  <si>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</si>
  <si>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</si>
  <si>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</si>
  <si>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</si>
  <si>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</si>
  <si>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</si>
  <si>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</si>
  <si>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</si>
  <si>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</si>
  <si>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</si>
  <si>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</si>
  <si>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</si>
  <si>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</si>
  <si>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</si>
  <si>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</si>
  <si>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</si>
  <si>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</si>
  <si>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</si>
  <si>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</si>
  <si>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</si>
  <si>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</si>
  <si>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</si>
  <si>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</si>
  <si>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</si>
  <si>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</si>
  <si>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</si>
  <si>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</si>
  <si>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</si>
  <si>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</si>
  <si>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</si>
  <si>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</si>
  <si>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</si>
  <si>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</si>
  <si>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</si>
  <si>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</si>
  <si>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</si>
  <si>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</si>
  <si>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</si>
  <si>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</si>
  <si>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</si>
  <si>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</si>
  <si>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</si>
  <si>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</si>
  <si>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</si>
  <si>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</si>
  <si>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</si>
  <si>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</si>
  <si>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</si>
  <si>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</si>
  <si>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</si>
  <si>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</si>
  <si>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</si>
  <si>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</si>
  <si>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</si>
  <si>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</si>
  <si>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</si>
  <si>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</si>
  <si>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</si>
  <si>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</si>
  <si>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</si>
  <si>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</si>
  <si>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</si>
  <si>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</si>
  <si>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</si>
  <si>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</si>
  <si>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</si>
  <si>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</si>
  <si>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</si>
  <si>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</si>
  <si>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</si>
  <si>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</si>
  <si>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</si>
  <si>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</si>
  <si>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</si>
  <si>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</si>
  <si>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</si>
  <si>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</si>
  <si>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</si>
  <si>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</si>
  <si>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</si>
  <si>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</si>
  <si>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</si>
  <si>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</si>
  <si>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</si>
  <si>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</si>
  <si>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</si>
  <si>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</si>
  <si>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</si>
  <si>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</si>
  <si>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</si>
  <si>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</si>
  <si>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</si>
  <si>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</si>
  <si>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</si>
  <si>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</si>
  <si>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</si>
  <si>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</si>
  <si>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</si>
  <si>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</si>
  <si>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</si>
  <si>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</si>
  <si>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</si>
  <si>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</si>
  <si>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</si>
  <si>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</si>
  <si>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</si>
  <si>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</si>
  <si>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</si>
  <si>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</si>
  <si>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</si>
  <si>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</si>
  <si>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</si>
  <si>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</si>
  <si>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</si>
  <si>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</si>
  <si>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</si>
  <si>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</si>
  <si>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</si>
  <si>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</si>
  <si>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</si>
  <si>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</si>
  <si>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</si>
  <si>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</si>
  <si>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</si>
  <si>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</si>
  <si>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</si>
  <si>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</si>
  <si>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</si>
  <si>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</si>
  <si>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</si>
  <si>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</si>
  <si>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</si>
  <si>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</si>
  <si>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</si>
  <si>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</si>
  <si>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</si>
  <si>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</si>
  <si>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</si>
  <si>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</si>
  <si>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</si>
  <si>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</si>
  <si>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</si>
  <si>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</si>
  <si>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</si>
  <si>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</si>
  <si>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</si>
  <si>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</si>
  <si>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</si>
  <si>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</si>
  <si>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</si>
  <si>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</si>
  <si>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</si>
  <si>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</si>
  <si>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</si>
  <si>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</si>
  <si>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</si>
  <si>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</si>
  <si>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</si>
  <si>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</si>
  <si>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</si>
  <si>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</si>
  <si>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</si>
  <si>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</si>
  <si>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</si>
  <si>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</si>
  <si>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</si>
  <si>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</si>
  <si>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</si>
  <si>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</si>
  <si>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</si>
  <si>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</si>
  <si>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</si>
  <si>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</si>
  <si>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</si>
  <si>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</si>
  <si>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</si>
  <si>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</si>
  <si>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</si>
  <si>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</si>
  <si>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</si>
  <si>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</si>
  <si>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</si>
  <si>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</si>
  <si>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</si>
  <si>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</si>
  <si>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</si>
  <si>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</si>
  <si>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</si>
  <si>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</si>
  <si>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</si>
  <si>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</si>
  <si>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</si>
  <si>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</si>
  <si>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</si>
  <si>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</si>
  <si>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</si>
  <si>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</si>
  <si>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</si>
  <si>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</si>
  <si>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</si>
  <si>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</si>
  <si>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</si>
  <si>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</si>
  <si>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</si>
  <si>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</si>
  <si>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</si>
  <si>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</si>
  <si>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</si>
  <si>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</si>
  <si>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</si>
  <si>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</si>
  <si>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</si>
  <si>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</si>
  <si>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</si>
  <si>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</si>
  <si>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</si>
  <si>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</si>
  <si>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</si>
  <si>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</si>
  <si>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</si>
  <si>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</si>
  <si>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</si>
  <si>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</si>
  <si>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</si>
  <si>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</si>
  <si>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</si>
  <si>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</si>
  <si>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</si>
  <si>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</si>
  <si>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</si>
  <si>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</si>
  <si>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</si>
  <si>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</si>
  <si>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</si>
  <si>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</si>
  <si>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</si>
  <si>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</si>
  <si>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</si>
  <si>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</si>
  <si>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</si>
  <si>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</si>
  <si>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</si>
  <si>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</si>
  <si>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</si>
  <si>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</si>
  <si>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</si>
  <si>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</si>
  <si>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</si>
  <si>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</si>
  <si>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</si>
  <si>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</si>
  <si>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</si>
  <si>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</si>
  <si>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</si>
  <si>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</si>
  <si>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</si>
  <si>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</si>
  <si>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</si>
  <si>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</si>
  <si>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</si>
  <si>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</si>
  <si>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</si>
  <si>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</si>
  <si>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</si>
  <si>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</si>
  <si>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</si>
  <si>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</si>
  <si>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</si>
  <si>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</si>
  <si>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</si>
  <si>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</si>
  <si>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</si>
  <si>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</si>
  <si>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</si>
  <si>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</si>
  <si>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</si>
  <si>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</si>
  <si>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</si>
  <si>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</si>
  <si>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</si>
  <si>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</si>
  <si>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</si>
  <si>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</si>
  <si>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</si>
  <si>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</si>
  <si>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</si>
  <si>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</si>
  <si>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</si>
  <si>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</si>
  <si>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</si>
  <si>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</si>
  <si>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</si>
  <si>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</si>
  <si>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</si>
  <si>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</si>
  <si>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</si>
  <si>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</si>
  <si>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</si>
  <si>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</si>
  <si>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</si>
  <si>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</si>
  <si>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</si>
  <si>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</si>
  <si>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</si>
  <si>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</si>
  <si>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</si>
  <si>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</si>
  <si>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</si>
  <si>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</si>
  <si>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</si>
  <si>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</si>
  <si>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</si>
  <si>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</si>
  <si>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</si>
  <si>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</si>
  <si>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</si>
  <si>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</si>
  <si>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</si>
  <si>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</si>
  <si>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</si>
  <si>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</si>
  <si>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</si>
  <si>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</si>
  <si>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</si>
  <si>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</si>
  <si>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</si>
  <si>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</si>
  <si>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</si>
  <si>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</si>
  <si>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</si>
  <si>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</si>
  <si>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</si>
  <si>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</si>
  <si>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</si>
  <si>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</si>
  <si>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</si>
  <si>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</si>
  <si>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</si>
  <si>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</si>
  <si>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</si>
  <si>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</si>
  <si>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</si>
  <si>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</si>
  <si>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</si>
  <si>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</si>
  <si>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</si>
  <si>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</si>
  <si>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</si>
  <si>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</si>
  <si>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</si>
  <si>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</si>
  <si>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</si>
  <si>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</si>
  <si>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</si>
  <si>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</si>
  <si>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</si>
  <si>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</si>
  <si>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</si>
  <si>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</si>
  <si>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</si>
  <si>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</si>
  <si>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</si>
  <si>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</si>
  <si>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</si>
  <si>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</si>
  <si>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</si>
  <si>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</si>
  <si>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</si>
  <si>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</si>
  <si>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</si>
  <si>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</si>
  <si>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</si>
  <si>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</si>
  <si>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</si>
  <si>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</si>
  <si>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</si>
  <si>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</si>
  <si>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</si>
  <si>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</si>
  <si>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</si>
  <si>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</si>
  <si>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</si>
  <si>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</si>
  <si>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</si>
  <si>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</si>
  <si>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</si>
  <si>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</si>
  <si>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</si>
  <si>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</si>
  <si>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</si>
  <si>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</si>
  <si>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</si>
  <si>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</si>
  <si>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</si>
  <si>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</si>
  <si>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</si>
  <si>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</si>
  <si>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</si>
  <si>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</si>
  <si>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</si>
  <si>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</si>
  <si>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</si>
  <si>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</si>
  <si>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</si>
  <si>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</si>
  <si>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</si>
  <si>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</si>
  <si>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</si>
  <si>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</si>
  <si>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</si>
  <si>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</si>
  <si>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</si>
  <si>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</si>
  <si>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</si>
  <si>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</si>
  <si>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</si>
  <si>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</si>
  <si>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</si>
  <si>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</si>
  <si>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</si>
  <si>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</si>
  <si>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</si>
  <si>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</si>
  <si>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</si>
  <si>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</si>
  <si>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</si>
  <si>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</si>
  <si>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</si>
  <si>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</si>
  <si>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</si>
  <si>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</si>
  <si>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</si>
  <si>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</si>
  <si>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</si>
  <si>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</si>
  <si>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</si>
  <si>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</si>
  <si>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</si>
  <si>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</si>
  <si>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</si>
  <si>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</si>
  <si>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2420</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</si>
  <si>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</si>
  <si>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</si>
  <si>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</si>
  <si>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</si>
  <si>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</si>
  <si>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</si>
  <si>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</si>
  <si>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</si>
  <si>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</si>
  <si>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</si>
  <si>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</si>
  <si>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</si>
  <si>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</si>
  <si>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</si>
  <si>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</si>
  <si>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</si>
  <si>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</si>
  <si>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</si>
  <si>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</si>
  <si>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</si>
  <si>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</si>
  <si>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</si>
  <si>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</si>
  <si>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</si>
  <si>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</si>
  <si>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</si>
  <si>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</si>
  <si>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</si>
  <si>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</si>
  <si>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</si>
  <si>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</si>
  <si>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</si>
  <si>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</si>
  <si>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</si>
  <si>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</si>
  <si>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</si>
  <si>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</si>
  <si>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</si>
  <si>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</si>
  <si>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</si>
  <si>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</si>
  <si>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</si>
  <si>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</si>
  <si>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</si>
  <si>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</si>
  <si>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</si>
  <si>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</si>
  <si>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</si>
  <si>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</si>
  <si>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</si>
  <si>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</si>
  <si>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</si>
  <si>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</si>
  <si>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</si>
  <si>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</si>
  <si>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</si>
  <si>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</si>
  <si>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</si>
  <si>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</si>
  <si>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</si>
  <si>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</si>
  <si>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</si>
  <si>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</si>
  <si>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</si>
  <si>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</si>
  <si>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</si>
  <si>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</si>
  <si>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</si>
  <si>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</si>
  <si>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</si>
  <si>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</si>
  <si>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</si>
  <si>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</si>
  <si>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</si>
  <si>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</si>
  <si>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</si>
  <si>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</si>
  <si>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</si>
  <si>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</si>
  <si>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</si>
  <si>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</si>
  <si>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</si>
  <si>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</si>
  <si>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</si>
  <si>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</si>
  <si>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</si>
  <si>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</si>
  <si>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</si>
  <si>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</si>
  <si>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2180</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</si>
  <si>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</si>
  <si>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</si>
  <si>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</si>
  <si>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</si>
  <si>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</si>
  <si>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</si>
  <si>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</si>
  <si>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</si>
  <si>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</si>
  <si>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</si>
  <si>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</si>
  <si>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</si>
  <si>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</si>
  <si>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</si>
  <si>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</si>
  <si>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</si>
  <si>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</si>
  <si>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</si>
  <si>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</si>
  <si>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</si>
  <si>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</si>
  <si>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</si>
  <si>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</si>
  <si>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</si>
  <si>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</si>
  <si>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</si>
  <si>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</si>
  <si>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</si>
  <si>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</si>
  <si>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</si>
  <si>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</si>
  <si>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</si>
  <si>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2141</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</si>
  <si>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</si>
  <si>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</si>
  <si>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</si>
  <si>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</si>
  <si>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</si>
  <si>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</si>
  <si>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</si>
  <si>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</si>
  <si>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</si>
  <si>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</si>
  <si>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</si>
  <si>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</si>
  <si>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</si>
  <si>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</si>
  <si>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</si>
  <si>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</si>
  <si>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</si>
  <si>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</si>
  <si>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</si>
  <si>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</si>
  <si>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</si>
  <si>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</si>
  <si>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</si>
  <si>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</si>
  <si>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</si>
  <si>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</si>
  <si>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</si>
  <si>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</si>
  <si>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</si>
  <si>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</si>
  <si>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</si>
  <si>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</si>
  <si>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</si>
  <si>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</si>
  <si>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</si>
  <si>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</si>
  <si>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2129</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</si>
  <si>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</si>
  <si>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</si>
  <si>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</si>
  <si>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</si>
  <si>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</si>
  <si>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</si>
  <si>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</si>
  <si>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</si>
  <si>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</si>
  <si>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</si>
  <si>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</si>
  <si>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</si>
  <si>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</si>
  <si>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</si>
  <si>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</si>
  <si>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</si>
  <si>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</si>
  <si>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</si>
  <si>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</si>
  <si>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</si>
  <si>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</si>
  <si>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</si>
  <si>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</si>
  <si>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</si>
  <si>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</si>
  <si>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</si>
  <si>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</si>
  <si>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</si>
  <si>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</si>
  <si>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</si>
  <si>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</si>
  <si>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</si>
  <si>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</si>
  <si>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</si>
  <si>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</si>
  <si>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</si>
  <si>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</si>
  <si>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</si>
  <si>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</si>
  <si>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</si>
  <si>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</si>
  <si>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</si>
  <si>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</si>
  <si>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</si>
  <si>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</si>
  <si>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</si>
  <si>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</si>
  <si>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</si>
  <si>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</si>
  <si>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</si>
  <si>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</si>
  <si>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</si>
  <si>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</si>
  <si>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</si>
  <si>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</si>
  <si>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</si>
  <si>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</si>
  <si>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</si>
  <si>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</si>
  <si>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</si>
  <si>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</si>
  <si>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</si>
  <si>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</si>
  <si>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</si>
  <si>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</si>
  <si>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</si>
  <si>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</si>
  <si>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</si>
  <si>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</si>
  <si>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</si>
  <si>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</si>
  <si>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</si>
  <si>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</si>
  <si>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</si>
  <si>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</si>
  <si>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</si>
  <si>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</si>
  <si>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</si>
  <si>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</si>
  <si>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</si>
  <si>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</si>
  <si>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</si>
  <si>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</si>
  <si>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</si>
  <si>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</si>
  <si>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</si>
  <si>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</si>
  <si>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</si>
  <si>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</si>
  <si>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</si>
  <si>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</si>
  <si>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</si>
  <si>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</si>
  <si>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</si>
  <si>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</si>
  <si>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</si>
  <si>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</si>
  <si>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</si>
  <si>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</si>
  <si>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</si>
  <si>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</si>
  <si>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</si>
  <si>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</si>
  <si>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</si>
  <si>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</si>
  <si>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</si>
  <si>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</si>
  <si>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</si>
  <si>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</si>
  <si>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</si>
  <si>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</si>
  <si>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</si>
  <si>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</si>
  <si>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</si>
  <si>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</si>
  <si>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</si>
  <si>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</si>
  <si>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</si>
  <si>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</si>
  <si>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</si>
  <si>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</si>
  <si>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</si>
  <si>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</si>
  <si>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</si>
  <si>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</si>
  <si>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</si>
  <si>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</si>
  <si>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</si>
  <si>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</si>
  <si>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</si>
  <si>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</si>
  <si>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</si>
  <si>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</si>
  <si>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</si>
  <si>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</si>
  <si>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</si>
  <si>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</si>
  <si>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</si>
  <si>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</si>
  <si>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</si>
  <si>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</si>
  <si>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</si>
  <si>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</si>
  <si>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</si>
  <si>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</si>
  <si>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</si>
  <si>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</si>
  <si>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</si>
  <si>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</si>
  <si>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</si>
  <si>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</si>
  <si>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</si>
  <si>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</si>
  <si>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</si>
  <si>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</si>
  <si>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</si>
  <si>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</si>
  <si>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</si>
  <si>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</si>
  <si>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</si>
  <si>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</si>
  <si>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</si>
  <si>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</si>
  <si>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</si>
  <si>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</si>
  <si>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</si>
  <si>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</si>
  <si>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</si>
  <si>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</si>
  <si>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</si>
  <si>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</si>
  <si>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</si>
  <si>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</si>
  <si>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</si>
  <si>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</si>
  <si>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</si>
  <si>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</si>
  <si>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</si>
  <si>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</si>
  <si>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</si>
  <si>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</si>
  <si>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</si>
  <si>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</si>
  <si>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</si>
  <si>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</si>
  <si>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</si>
  <si>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</si>
  <si>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</si>
  <si>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</si>
  <si>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</si>
  <si>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</si>
  <si>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2102</t>
  </si>
  <si>
    <t>1:22.88</t>
  </si>
  <si>
    <t>14.06</t>
  </si>
  <si>
    <t>46.86</t>
  </si>
  <si>
    <t>16.18</t>
  </si>
  <si>
    <t>1:31.48</t>
  </si>
  <si>
    <t>17.19</t>
  </si>
  <si>
    <t>43.61</t>
  </si>
  <si>
    <t>47.93</t>
  </si>
  <si>
    <t>13.32</t>
  </si>
  <si>
    <t>1:49.03</t>
  </si>
  <si>
    <t>2:22.71</t>
  </si>
  <si>
    <t>1:02.48</t>
  </si>
  <si>
    <t>32.20</t>
  </si>
  <si>
    <t>36.02</t>
  </si>
  <si>
    <t>15.05</t>
  </si>
  <si>
    <t>1:16.60</t>
  </si>
  <si>
    <t>48.11</t>
  </si>
  <si>
    <t>50.22</t>
  </si>
  <si>
    <t>34.28</t>
  </si>
  <si>
    <t>2:10.99</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</si>
  <si>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</si>
  <si>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</si>
  <si>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</si>
  <si>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</si>
  <si>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</si>
  <si>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</si>
  <si>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</si>
  <si>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</si>
  <si>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</si>
  <si>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</si>
  <si>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</si>
  <si>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</si>
  <si>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</si>
  <si>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</si>
  <si>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</si>
  <si>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</si>
  <si>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</si>
  <si>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</si>
  <si>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</si>
  <si>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</si>
  <si>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</si>
  <si>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</si>
  <si>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</si>
  <si>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</si>
  <si>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</si>
  <si>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</si>
  <si>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</si>
  <si>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</si>
  <si>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</si>
  <si>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</si>
  <si>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</si>
  <si>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</si>
  <si>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</si>
  <si>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</si>
  <si>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</si>
  <si>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</si>
  <si>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</si>
  <si>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</si>
  <si>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</si>
  <si>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</si>
  <si>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</si>
  <si>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</si>
  <si>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2037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</si>
  <si>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</si>
  <si>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</si>
  <si>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</si>
  <si>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</si>
  <si>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</si>
  <si>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</si>
  <si>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</si>
  <si>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</si>
  <si>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</si>
  <si>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</si>
  <si>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</si>
  <si>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</si>
  <si>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</si>
  <si>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</si>
  <si>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</si>
  <si>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</si>
  <si>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</si>
  <si>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</si>
  <si>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</si>
  <si>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</si>
  <si>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</si>
  <si>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</si>
  <si>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</si>
  <si>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</si>
  <si>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</si>
  <si>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</si>
  <si>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</si>
  <si>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</si>
  <si>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</si>
  <si>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</si>
  <si>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</si>
  <si>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</si>
  <si>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</si>
  <si>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</si>
  <si>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28.094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</si>
  <si>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</si>
  <si>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</si>
  <si>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</si>
  <si>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</si>
  <si>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</si>
  <si>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</si>
  <si>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</si>
  <si>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</si>
  <si>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</si>
  <si>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</si>
  <si>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</si>
  <si>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</si>
  <si>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</si>
  <si>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</si>
  <si>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</si>
  <si>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</si>
  <si>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</si>
  <si>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</si>
  <si>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</si>
  <si>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</si>
  <si>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</si>
  <si>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</si>
  <si>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</si>
  <si>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</si>
  <si>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</si>
  <si>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</si>
  <si>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</si>
  <si>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</si>
  <si>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</si>
  <si>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</si>
  <si>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</si>
  <si>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</si>
  <si>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</si>
  <si>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</si>
  <si>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</si>
  <si>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</si>
  <si>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</si>
  <si>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</si>
  <si>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</si>
  <si>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</si>
  <si>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</si>
  <si>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</si>
  <si>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</si>
  <si>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</si>
  <si>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</si>
  <si>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</si>
  <si>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</si>
  <si>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</si>
  <si>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</si>
  <si>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</si>
  <si>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</si>
  <si>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</si>
  <si>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</si>
  <si>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</si>
  <si>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</si>
  <si>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</si>
  <si>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</si>
  <si>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</si>
  <si>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</si>
  <si>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</si>
  <si>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</si>
  <si>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</si>
  <si>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</si>
  <si>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</si>
  <si>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</si>
  <si>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</si>
  <si>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</si>
  <si>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</si>
  <si>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</si>
  <si>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</si>
  <si>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</si>
  <si>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</si>
  <si>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</si>
  <si>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</si>
  <si>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</si>
  <si>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</si>
  <si>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</si>
  <si>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</si>
  <si>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</si>
  <si>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</si>
  <si>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</si>
  <si>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</si>
  <si>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</si>
  <si>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</si>
  <si>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</si>
  <si>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</si>
  <si>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</si>
  <si>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</si>
  <si>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</si>
  <si>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</si>
  <si>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</si>
  <si>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</si>
  <si>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</si>
  <si>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</si>
  <si>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</si>
  <si>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</si>
  <si>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</si>
  <si>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</si>
  <si>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</si>
  <si>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</si>
  <si>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</si>
  <si>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</si>
  <si>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</si>
  <si>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</si>
  <si>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</si>
  <si>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</si>
  <si>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</si>
  <si>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</si>
  <si>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</si>
  <si>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</si>
  <si>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</si>
  <si>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</si>
  <si>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</si>
  <si>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</si>
  <si>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</si>
  <si>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</si>
  <si>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</si>
  <si>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</si>
  <si>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</si>
  <si>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</si>
  <si>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</si>
  <si>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</si>
  <si>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</si>
  <si>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</si>
  <si>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</si>
  <si>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</si>
  <si>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</si>
  <si>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</si>
  <si>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</si>
  <si>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</si>
  <si>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</si>
  <si>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</si>
  <si>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</si>
  <si>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</si>
  <si>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</si>
  <si>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</si>
  <si>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</si>
  <si>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</si>
  <si>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</si>
  <si>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</si>
  <si>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</si>
  <si>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</si>
  <si>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</si>
  <si>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</si>
  <si>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</si>
  <si>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</si>
  <si>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</si>
  <si>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</si>
  <si>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</si>
  <si>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</si>
  <si>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</si>
  <si>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</si>
  <si>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</si>
  <si>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</si>
  <si>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</si>
  <si>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</si>
  <si>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</si>
  <si>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</si>
  <si>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</si>
  <si>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</si>
  <si>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</si>
  <si>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</si>
  <si>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</si>
  <si>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</si>
  <si>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</si>
  <si>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</si>
  <si>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</si>
  <si>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</si>
  <si>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</si>
  <si>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</si>
  <si>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</si>
  <si>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</si>
  <si>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</si>
  <si>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</si>
  <si>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</si>
  <si>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</si>
  <si>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</si>
  <si>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</si>
  <si>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</si>
  <si>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</si>
  <si>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</si>
  <si>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</si>
  <si>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</si>
  <si>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</si>
  <si>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</si>
  <si>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</si>
  <si>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</si>
  <si>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</si>
  <si>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</si>
  <si>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</si>
  <si>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</si>
  <si>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</si>
  <si>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</si>
  <si>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</si>
  <si>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</si>
  <si>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</si>
  <si>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</si>
  <si>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</si>
  <si>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</si>
  <si>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1325</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</si>
  <si>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</si>
  <si>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</si>
  <si>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</si>
  <si>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</si>
  <si>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</si>
  <si>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</si>
  <si>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</si>
  <si>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</si>
  <si>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</si>
  <si>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</si>
  <si>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</si>
  <si>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</si>
  <si>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</si>
  <si>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</si>
  <si>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</si>
  <si>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</si>
  <si>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</si>
  <si>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</si>
  <si>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</si>
  <si>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</si>
  <si>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</si>
  <si>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</si>
  <si>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</si>
  <si>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</si>
  <si>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</si>
  <si>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</si>
  <si>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</si>
  <si>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</si>
  <si>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</si>
  <si>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</si>
  <si>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</si>
  <si>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</si>
  <si>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</si>
  <si>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</si>
  <si>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</si>
  <si>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</si>
  <si>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</si>
  <si>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</si>
  <si>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</si>
  <si>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</si>
  <si>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</si>
  <si>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</si>
  <si>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</si>
  <si>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</si>
  <si>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</si>
  <si>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</si>
  <si>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</si>
  <si>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</si>
  <si>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</si>
  <si>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</si>
  <si>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</si>
  <si>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</si>
  <si>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</si>
  <si>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</si>
  <si>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</si>
  <si>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</si>
  <si>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</si>
  <si>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</si>
  <si>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</si>
  <si>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</si>
  <si>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</si>
  <si>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</si>
  <si>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</si>
  <si>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</si>
  <si>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</si>
  <si>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</si>
  <si>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</si>
  <si>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</si>
  <si>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</si>
  <si>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</si>
  <si>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</si>
  <si>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</si>
  <si>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</si>
  <si>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</si>
  <si>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</si>
  <si>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</si>
  <si>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</si>
  <si>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</si>
  <si>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</si>
  <si>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</si>
  <si>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</si>
  <si>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</si>
  <si>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</si>
  <si>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</si>
  <si>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</si>
  <si>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</si>
  <si>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</si>
  <si>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</si>
  <si>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</si>
  <si>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</si>
  <si>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</si>
  <si>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</si>
  <si>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</si>
  <si>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</si>
  <si>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</si>
  <si>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</si>
  <si>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</si>
  <si>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</si>
  <si>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</si>
  <si>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</si>
  <si>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</si>
  <si>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</si>
  <si>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</si>
  <si>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</si>
  <si>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</si>
  <si>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</si>
  <si>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</si>
  <si>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</si>
  <si>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</si>
  <si>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</si>
  <si>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</si>
  <si>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</si>
  <si>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</si>
  <si>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</si>
  <si>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</si>
  <si>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</si>
  <si>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</si>
  <si>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</si>
  <si>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</si>
  <si>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</si>
  <si>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</si>
  <si>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</si>
  <si>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</si>
  <si>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</si>
  <si>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</si>
  <si>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Basten</t>
  </si>
  <si>
    <t>1211</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</si>
  <si>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</si>
  <si>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</si>
  <si>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</si>
  <si>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</si>
  <si>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</si>
  <si>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</si>
  <si>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</si>
  <si>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</si>
  <si>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</si>
  <si>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</si>
  <si>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</si>
  <si>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</si>
  <si>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</si>
  <si>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</si>
  <si>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</si>
  <si>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</si>
  <si>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</si>
  <si>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</si>
  <si>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</si>
  <si>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</si>
  <si>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</si>
  <si>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</si>
  <si>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</si>
  <si>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</si>
  <si>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</si>
  <si>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</si>
  <si>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</si>
  <si>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</si>
  <si>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</si>
  <si>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</si>
  <si>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</si>
  <si>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</si>
  <si>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</si>
  <si>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</si>
  <si>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</si>
  <si>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</si>
  <si>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</si>
  <si>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</si>
  <si>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</si>
  <si>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</si>
  <si>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</si>
  <si>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</si>
  <si>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</si>
  <si>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</si>
  <si>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</si>
  <si>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</si>
  <si>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</si>
  <si>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</si>
  <si>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</si>
  <si>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</si>
  <si>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</si>
  <si>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</si>
  <si>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</si>
  <si>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</si>
  <si>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</si>
  <si>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</si>
  <si>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</si>
  <si>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</si>
  <si>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</si>
  <si>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</si>
  <si>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</si>
  <si>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</si>
  <si>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</si>
  <si>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</si>
  <si>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</si>
  <si>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</si>
  <si>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</si>
  <si>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</si>
  <si>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</si>
  <si>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</si>
  <si>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</si>
  <si>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</si>
  <si>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</si>
  <si>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</si>
  <si>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</si>
  <si>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</si>
  <si>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</si>
  <si>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</si>
  <si>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</si>
  <si>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</si>
  <si>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</si>
  <si>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</si>
  <si>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</si>
  <si>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</si>
  <si>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</si>
  <si>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</si>
  <si>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</si>
  <si>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</si>
  <si>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</si>
  <si>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</si>
  <si>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</si>
  <si>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</si>
  <si>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</si>
  <si>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</si>
  <si>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</si>
  <si>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</si>
  <si>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</si>
  <si>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</si>
  <si>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</si>
  <si>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</si>
  <si>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</si>
  <si>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</si>
  <si>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</si>
  <si>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</si>
  <si>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</si>
  <si>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</si>
  <si>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</si>
  <si>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</si>
  <si>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</si>
  <si>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</si>
  <si>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</si>
  <si>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</si>
  <si>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</si>
  <si>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</si>
  <si>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</si>
  <si>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</si>
  <si>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</si>
  <si>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</si>
  <si>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</si>
  <si>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</si>
  <si>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</si>
  <si>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</si>
  <si>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</si>
  <si>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</si>
  <si>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</si>
  <si>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</si>
  <si>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</si>
  <si>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</si>
  <si>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</si>
  <si>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</si>
  <si>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</si>
  <si>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</si>
  <si>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</si>
  <si>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</si>
  <si>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</si>
  <si>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</si>
  <si>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</si>
  <si>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</si>
  <si>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</si>
  <si>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</si>
  <si>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</si>
  <si>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</si>
  <si>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</si>
  <si>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</si>
  <si>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</si>
  <si>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941</t>
  </si>
  <si>
    <t>40.75</t>
  </si>
  <si>
    <t>28.90</t>
  </si>
  <si>
    <t>26.32</t>
  </si>
  <si>
    <t>1:43.62</t>
  </si>
  <si>
    <t>14.28</t>
  </si>
  <si>
    <t>Source</t>
  </si>
  <si>
    <t>940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</si>
  <si>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</si>
  <si>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</si>
  <si>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</si>
  <si>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</si>
  <si>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</si>
  <si>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</si>
  <si>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</si>
  <si>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</si>
  <si>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</si>
  <si>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</si>
  <si>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</si>
  <si>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</si>
  <si>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</si>
  <si>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</si>
  <si>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</si>
  <si>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</si>
  <si>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</si>
  <si>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</si>
  <si>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</si>
  <si>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</si>
  <si>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</si>
  <si>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</si>
  <si>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</si>
  <si>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</si>
  <si>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</si>
  <si>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</si>
  <si>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</si>
  <si>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</si>
  <si>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</si>
  <si>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</si>
  <si>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</si>
  <si>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</si>
  <si>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</si>
  <si>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</si>
  <si>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</si>
  <si>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</si>
  <si>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</si>
  <si>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</si>
  <si>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</si>
  <si>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</si>
  <si>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</si>
  <si>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</si>
  <si>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</si>
  <si>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</si>
  <si>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</si>
  <si>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</si>
  <si>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</si>
  <si>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</si>
  <si>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</si>
  <si>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</si>
  <si>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</si>
  <si>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</si>
  <si>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</si>
  <si>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</si>
  <si>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</si>
  <si>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</si>
  <si>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</si>
  <si>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</si>
  <si>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</si>
  <si>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</si>
  <si>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</si>
  <si>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</si>
  <si>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</si>
  <si>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</si>
  <si>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</si>
  <si>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</si>
  <si>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</si>
  <si>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</si>
  <si>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</si>
  <si>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</si>
  <si>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</si>
  <si>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</si>
  <si>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</si>
  <si>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</si>
  <si>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</si>
  <si>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</si>
  <si>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</si>
  <si>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</si>
  <si>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</si>
  <si>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</si>
  <si>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</si>
  <si>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</si>
  <si>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</si>
  <si>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</si>
  <si>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</si>
  <si>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</si>
  <si>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</si>
  <si>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</si>
  <si>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</si>
  <si>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</si>
  <si>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</si>
  <si>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</si>
  <si>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</si>
  <si>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</si>
  <si>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</si>
  <si>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</si>
  <si>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</si>
  <si>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</si>
  <si>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</si>
  <si>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</si>
  <si>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</si>
  <si>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</si>
  <si>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</si>
  <si>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</si>
  <si>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</si>
  <si>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</si>
  <si>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</si>
  <si>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</si>
  <si>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</si>
  <si>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</si>
  <si>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</si>
  <si>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</si>
  <si>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</si>
  <si>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</si>
  <si>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</si>
  <si>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</si>
  <si>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</si>
  <si>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</si>
  <si>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</si>
  <si>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</si>
  <si>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</si>
  <si>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</si>
  <si>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</si>
  <si>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</si>
  <si>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</si>
  <si>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</si>
  <si>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</si>
  <si>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</si>
  <si>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</si>
  <si>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</si>
  <si>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</si>
  <si>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</si>
  <si>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</si>
  <si>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</si>
  <si>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</si>
  <si>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</si>
  <si>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</si>
  <si>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</si>
  <si>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</si>
  <si>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</si>
  <si>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</si>
  <si>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</si>
  <si>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</si>
  <si>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</si>
  <si>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</si>
  <si>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</si>
  <si>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</si>
  <si>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</si>
  <si>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</si>
  <si>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</si>
  <si>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</si>
  <si>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</si>
  <si>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</si>
  <si>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</si>
  <si>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</si>
  <si>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</si>
  <si>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</si>
  <si>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</si>
  <si>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</si>
  <si>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</si>
  <si>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</si>
  <si>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</si>
  <si>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</si>
  <si>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</si>
  <si>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</si>
  <si>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</si>
  <si>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</si>
  <si>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</si>
  <si>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</si>
  <si>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</si>
  <si>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</si>
  <si>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</si>
  <si>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</si>
  <si>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</si>
  <si>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</si>
  <si>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</si>
  <si>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</si>
  <si>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</si>
  <si>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</si>
  <si>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</si>
  <si>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</si>
  <si>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</si>
  <si>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</si>
  <si>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</si>
  <si>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</si>
  <si>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</si>
  <si>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</si>
  <si>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</si>
  <si>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</si>
  <si>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</si>
  <si>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</si>
  <si>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</si>
  <si>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</si>
  <si>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</si>
  <si>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</si>
  <si>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</si>
  <si>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</si>
  <si>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</si>
  <si>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</si>
  <si>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</si>
  <si>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</si>
  <si>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</si>
  <si>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</si>
  <si>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</si>
  <si>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</si>
  <si>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</si>
  <si>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</si>
  <si>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</si>
  <si>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</si>
  <si>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</si>
  <si>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</si>
  <si>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</si>
  <si>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</si>
  <si>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</si>
  <si>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</si>
  <si>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</si>
  <si>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</si>
  <si>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</si>
  <si>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</si>
  <si>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</si>
  <si>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</si>
  <si>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</si>
  <si>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</si>
  <si>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</si>
  <si>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</si>
  <si>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</si>
  <si>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</si>
  <si>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</si>
  <si>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</si>
  <si>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</si>
  <si>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</si>
  <si>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</si>
  <si>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</si>
  <si>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</si>
  <si>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</si>
  <si>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</si>
  <si>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</si>
  <si>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</si>
  <si>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</si>
  <si>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</si>
  <si>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</si>
  <si>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</si>
  <si>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</si>
  <si>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</si>
  <si>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</si>
  <si>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</si>
  <si>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</si>
  <si>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</si>
  <si>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</si>
  <si>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</si>
  <si>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</si>
  <si>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</si>
  <si>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</si>
  <si>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</si>
  <si>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</si>
  <si>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</si>
  <si>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</si>
  <si>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</si>
  <si>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</si>
  <si>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</si>
  <si>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</si>
  <si>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</si>
  <si>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</si>
  <si>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</si>
  <si>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</si>
  <si>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</si>
  <si>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</si>
  <si>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</si>
  <si>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</si>
  <si>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</si>
  <si>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</si>
  <si>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</si>
  <si>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</si>
  <si>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</si>
  <si>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</si>
  <si>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</si>
  <si>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</si>
  <si>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</si>
  <si>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</si>
  <si>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</si>
  <si>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</si>
  <si>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</si>
  <si>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</si>
  <si>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</si>
  <si>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</si>
  <si>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</si>
  <si>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</si>
  <si>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</si>
  <si>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</si>
  <si>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</si>
  <si>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</si>
  <si>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</si>
  <si>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</si>
  <si>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</si>
  <si>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</si>
  <si>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</si>
  <si>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</si>
  <si>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</si>
  <si>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</si>
  <si>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</si>
  <si>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</si>
  <si>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</si>
  <si>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</si>
  <si>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</si>
  <si>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</si>
  <si>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</si>
  <si>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</si>
  <si>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</si>
  <si>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</si>
  <si>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</si>
  <si>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</si>
  <si>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</si>
  <si>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</si>
  <si>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</si>
  <si>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</si>
  <si>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</si>
  <si>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</si>
  <si>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</si>
  <si>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</si>
  <si>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</si>
  <si>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</si>
  <si>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</si>
  <si>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</si>
  <si>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</si>
  <si>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</si>
  <si>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</si>
  <si>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</si>
  <si>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</si>
  <si>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</si>
  <si>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</si>
  <si>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</si>
  <si>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</si>
  <si>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</si>
  <si>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</si>
  <si>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</si>
  <si>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</si>
  <si>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</si>
  <si>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</si>
  <si>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</si>
  <si>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</si>
  <si>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</si>
  <si>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</si>
  <si>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</si>
  <si>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</si>
  <si>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</si>
  <si>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</si>
  <si>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</si>
  <si>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</si>
  <si>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</si>
  <si>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</si>
  <si>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</si>
  <si>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</si>
  <si>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</si>
  <si>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</si>
  <si>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</si>
  <si>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</si>
  <si>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</si>
  <si>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</si>
  <si>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</si>
  <si>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</si>
  <si>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</si>
  <si>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</si>
  <si>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</si>
  <si>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</si>
  <si>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</si>
  <si>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</si>
  <si>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</si>
  <si>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</si>
  <si>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</si>
  <si>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</si>
  <si>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</si>
  <si>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</si>
  <si>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</si>
  <si>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</si>
  <si>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</si>
  <si>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</si>
  <si>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</si>
  <si>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</si>
  <si>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</si>
  <si>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</si>
  <si>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</si>
  <si>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</si>
  <si>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</si>
  <si>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</si>
  <si>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</si>
  <si>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</si>
  <si>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</si>
  <si>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</si>
  <si>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</si>
  <si>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</si>
  <si>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</si>
  <si>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</si>
  <si>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</si>
  <si>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</si>
  <si>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</si>
  <si>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</si>
  <si>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</si>
  <si>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</si>
  <si>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</si>
  <si>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</si>
  <si>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</si>
  <si>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</si>
  <si>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</si>
  <si>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</si>
  <si>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</si>
  <si>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</si>
  <si>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</si>
  <si>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</si>
  <si>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</si>
  <si>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</si>
  <si>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</si>
  <si>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</si>
  <si>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</si>
  <si>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</si>
  <si>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</si>
  <si>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</si>
  <si>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</si>
  <si>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</si>
  <si>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</si>
  <si>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</si>
  <si>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</si>
  <si>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</si>
  <si>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</si>
  <si>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</si>
  <si>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</si>
  <si>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</si>
  <si>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</si>
  <si>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</si>
  <si>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</si>
  <si>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</si>
  <si>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</si>
  <si>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</si>
  <si>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</si>
  <si>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</si>
  <si>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</si>
  <si>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</si>
  <si>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</si>
  <si>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</si>
  <si>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</si>
  <si>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</si>
  <si>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</si>
  <si>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</si>
  <si>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</si>
  <si>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</si>
  <si>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</si>
  <si>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</si>
  <si>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</si>
  <si>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</si>
  <si>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</si>
  <si>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</si>
  <si>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</si>
  <si>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</si>
  <si>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</si>
  <si>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</si>
  <si>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</si>
  <si>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</si>
  <si>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</si>
  <si>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</si>
  <si>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</si>
  <si>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</si>
  <si>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</si>
  <si>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</si>
  <si>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</si>
  <si>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</si>
  <si>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</si>
  <si>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</si>
  <si>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</si>
  <si>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</si>
  <si>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</si>
  <si>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</si>
  <si>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</si>
  <si>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</si>
  <si>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</si>
  <si>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</si>
  <si>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</si>
  <si>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</si>
  <si>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</si>
  <si>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</si>
  <si>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</si>
  <si>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</si>
  <si>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</si>
  <si>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</si>
  <si>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</si>
  <si>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</si>
  <si>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</si>
  <si>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</si>
  <si>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</si>
  <si>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</si>
  <si>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</si>
  <si>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</si>
  <si>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</si>
  <si>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</si>
  <si>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</si>
  <si>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</si>
  <si>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</si>
  <si>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</si>
  <si>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</si>
  <si>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</si>
  <si>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</si>
  <si>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</si>
  <si>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</si>
  <si>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</si>
  <si>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</si>
  <si>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</si>
  <si>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</si>
  <si>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</si>
  <si>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</si>
  <si>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</si>
  <si>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</si>
  <si>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</si>
  <si>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</si>
  <si>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</si>
  <si>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</si>
  <si>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</si>
  <si>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</si>
  <si>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</si>
  <si>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</si>
  <si>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</si>
  <si>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</si>
  <si>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</si>
  <si>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</si>
  <si>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</si>
  <si>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</si>
  <si>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</si>
  <si>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</si>
  <si>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</si>
  <si>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</si>
  <si>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</si>
  <si>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</si>
  <si>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</si>
  <si>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</si>
  <si>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</si>
  <si>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</si>
  <si>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</si>
  <si>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</si>
  <si>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</si>
  <si>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</si>
  <si>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</si>
  <si>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</si>
  <si>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</si>
  <si>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</si>
  <si>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</si>
  <si>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</si>
  <si>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</si>
  <si>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</si>
  <si>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</si>
  <si>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</si>
  <si>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</si>
  <si>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</si>
  <si>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</si>
  <si>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</si>
  <si>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</si>
  <si>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</si>
  <si>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</si>
  <si>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</si>
  <si>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</si>
  <si>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</si>
  <si>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</si>
  <si>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</si>
  <si>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</si>
  <si>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</si>
  <si>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</si>
  <si>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</si>
  <si>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</si>
  <si>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</si>
  <si>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</si>
  <si>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</si>
  <si>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</si>
  <si>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</si>
  <si>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</si>
  <si>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</si>
  <si>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</si>
  <si>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</si>
  <si>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</si>
  <si>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</si>
  <si>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</si>
  <si>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</si>
  <si>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</si>
  <si>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</si>
  <si>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</si>
  <si>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</si>
  <si>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</si>
  <si>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</si>
  <si>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</si>
  <si>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</si>
  <si>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</si>
  <si>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</si>
  <si>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</si>
  <si>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</si>
  <si>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</si>
  <si>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</si>
  <si>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</si>
  <si>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</si>
  <si>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</si>
  <si>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</si>
  <si>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</si>
  <si>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</si>
  <si>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</si>
  <si>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</si>
  <si>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</si>
  <si>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</si>
  <si>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</si>
  <si>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</si>
  <si>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</si>
  <si>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</si>
  <si>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</si>
  <si>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</si>
  <si>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</si>
  <si>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</si>
  <si>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</si>
  <si>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</si>
  <si>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</si>
  <si>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</si>
  <si>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</si>
  <si>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</si>
  <si>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</si>
  <si>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</si>
  <si>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</si>
  <si>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</si>
  <si>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</si>
  <si>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</si>
  <si>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</si>
  <si>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</si>
  <si>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</si>
  <si>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</si>
  <si>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</si>
  <si>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</si>
  <si>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</si>
  <si>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</si>
  <si>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</si>
  <si>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</si>
  <si>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</si>
  <si>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</si>
  <si>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</si>
  <si>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</si>
  <si>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</si>
  <si>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</si>
  <si>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</si>
  <si>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</si>
  <si>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</si>
  <si>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</si>
  <si>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</si>
  <si>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</si>
  <si>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</si>
  <si>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</si>
  <si>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</si>
  <si>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</si>
  <si>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</si>
  <si>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</si>
  <si>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</si>
  <si>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</si>
  <si>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</si>
  <si>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</si>
  <si>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</si>
  <si>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</si>
  <si>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</si>
  <si>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</si>
  <si>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</si>
  <si>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</si>
  <si>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</si>
  <si>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</si>
  <si>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</si>
  <si>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</si>
  <si>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</si>
  <si>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</si>
  <si>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</si>
  <si>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</si>
  <si>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</si>
  <si>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</si>
  <si>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</si>
  <si>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</si>
  <si>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</si>
  <si>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</si>
  <si>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</si>
  <si>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</si>
  <si>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</si>
  <si>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</si>
  <si>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</si>
  <si>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</si>
  <si>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</si>
  <si>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</si>
  <si>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</si>
  <si>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</si>
  <si>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</si>
  <si>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</si>
  <si>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</si>
  <si>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</si>
  <si>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</si>
  <si>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</si>
  <si>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</si>
  <si>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</si>
  <si>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</si>
  <si>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</si>
  <si>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</si>
  <si>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</si>
  <si>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</si>
  <si>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</si>
  <si>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</si>
  <si>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</si>
  <si>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</si>
  <si>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</si>
  <si>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</si>
  <si>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</si>
  <si>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</si>
  <si>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</si>
  <si>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</si>
  <si>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</si>
  <si>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</si>
  <si>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</si>
  <si>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</si>
  <si>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</si>
  <si>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</si>
  <si>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</si>
  <si>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</si>
  <si>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</si>
  <si>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</si>
  <si>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</si>
  <si>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</si>
  <si>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</si>
  <si>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</si>
  <si>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</si>
  <si>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</si>
  <si>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</si>
  <si>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</si>
  <si>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</si>
  <si>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</si>
  <si>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</si>
  <si>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</si>
  <si>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</si>
  <si>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</si>
  <si>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</si>
  <si>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</si>
  <si>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</si>
  <si>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</si>
  <si>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</si>
  <si>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</si>
  <si>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</si>
  <si>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</si>
  <si>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</si>
  <si>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</si>
  <si>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</si>
  <si>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</si>
  <si>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</si>
  <si>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</si>
  <si>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</si>
  <si>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</si>
  <si>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</si>
  <si>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</si>
  <si>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</si>
  <si>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</si>
  <si>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</si>
  <si>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</si>
  <si>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</si>
  <si>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</si>
  <si>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</si>
  <si>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</si>
  <si>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</si>
  <si>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</si>
  <si>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</si>
  <si>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</si>
  <si>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</si>
  <si>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</si>
  <si>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</si>
  <si>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</si>
  <si>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</si>
  <si>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</si>
  <si>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</si>
  <si>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</si>
  <si>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</si>
  <si>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</si>
  <si>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</si>
  <si>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</si>
  <si>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</si>
  <si>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</si>
  <si>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</si>
  <si>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</si>
  <si>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</si>
  <si>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</si>
  <si>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</si>
  <si>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</si>
  <si>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</si>
  <si>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</si>
  <si>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</si>
  <si>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</si>
  <si>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</si>
  <si>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</si>
  <si>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</si>
  <si>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</si>
  <si>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</si>
  <si>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</si>
  <si>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</si>
  <si>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</si>
  <si>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</si>
  <si>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</si>
  <si>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</si>
  <si>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</si>
  <si>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</si>
  <si>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</si>
  <si>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</si>
  <si>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</si>
  <si>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</si>
  <si>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</si>
  <si>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</si>
  <si>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</si>
  <si>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</si>
  <si>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</si>
  <si>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</si>
  <si>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</si>
  <si>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</si>
  <si>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</si>
  <si>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</si>
  <si>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</si>
  <si>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</si>
  <si>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</si>
  <si>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</si>
  <si>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</si>
  <si>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</si>
  <si>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</si>
  <si>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</si>
  <si>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</si>
  <si>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</si>
  <si>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</si>
  <si>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</si>
  <si>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</si>
  <si>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</si>
  <si>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</si>
  <si>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</si>
  <si>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</si>
  <si>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</si>
  <si>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</si>
  <si>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</si>
  <si>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</si>
  <si>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</si>
  <si>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</si>
  <si>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</si>
  <si>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</si>
  <si>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</si>
  <si>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</si>
  <si>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</si>
  <si>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</si>
  <si>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</si>
  <si>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</si>
  <si>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</si>
  <si>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</si>
  <si>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</si>
  <si>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</si>
  <si>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</si>
  <si>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</si>
  <si>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</si>
  <si>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</si>
  <si>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</si>
  <si>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</si>
  <si>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</si>
  <si>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</si>
  <si>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</si>
  <si>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</si>
  <si>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</si>
  <si>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</si>
  <si>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</si>
  <si>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</si>
  <si>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</si>
  <si>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</si>
  <si>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</si>
  <si>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</si>
  <si>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</si>
  <si>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</si>
  <si>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</si>
  <si>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</si>
  <si>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</si>
  <si>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</si>
  <si>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</si>
  <si>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</si>
  <si>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</si>
  <si>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</si>
  <si>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</si>
  <si>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</si>
  <si>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</si>
  <si>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</si>
  <si>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</si>
  <si>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</si>
  <si>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</si>
  <si>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</si>
  <si>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</si>
  <si>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</si>
  <si>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</si>
  <si>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</si>
  <si>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</si>
  <si>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</si>
  <si>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</si>
  <si>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</si>
  <si>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</si>
  <si>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</si>
  <si>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</si>
  <si>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</si>
  <si>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</si>
  <si>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</si>
  <si>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</si>
  <si>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</si>
  <si>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</si>
  <si>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</si>
  <si>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</si>
  <si>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</si>
  <si>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</si>
  <si>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</si>
  <si>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</si>
  <si>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</si>
  <si>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</si>
  <si>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</si>
  <si>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</si>
  <si>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</si>
  <si>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</si>
  <si>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</si>
  <si>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</si>
  <si>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</si>
  <si>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</si>
  <si>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</si>
  <si>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</si>
  <si>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</si>
  <si>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</si>
  <si>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</si>
  <si>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</si>
  <si>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</si>
  <si>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</si>
  <si>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</si>
  <si>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</si>
  <si>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</si>
  <si>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</si>
  <si>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</si>
  <si>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</si>
  <si>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</si>
  <si>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</si>
  <si>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</si>
  <si>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</si>
  <si>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</si>
  <si>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</si>
  <si>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</si>
  <si>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</si>
  <si>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</si>
  <si>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</si>
  <si>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</si>
  <si>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</si>
  <si>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</si>
  <si>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</si>
  <si>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</si>
  <si>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</si>
  <si>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</si>
  <si>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</si>
  <si>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</si>
  <si>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</si>
  <si>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</si>
  <si>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</si>
  <si>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</si>
  <si>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</si>
  <si>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</si>
  <si>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</si>
  <si>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</si>
  <si>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</si>
  <si>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</si>
  <si>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</si>
  <si>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</si>
  <si>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</si>
  <si>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</si>
  <si>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</si>
  <si>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</si>
  <si>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</si>
  <si>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</si>
  <si>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</si>
  <si>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</si>
  <si>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</si>
  <si>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</si>
  <si>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</si>
  <si>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</si>
  <si>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</si>
  <si>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</si>
  <si>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</si>
  <si>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</si>
  <si>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</si>
  <si>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</si>
  <si>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</si>
  <si>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</si>
  <si>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</si>
  <si>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</si>
  <si>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</si>
  <si>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</si>
  <si>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</si>
  <si>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</si>
  <si>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</si>
  <si>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</si>
  <si>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</si>
  <si>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</si>
  <si>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</si>
  <si>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</si>
  <si>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</si>
  <si>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</si>
  <si>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</si>
  <si>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</si>
  <si>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</si>
  <si>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</si>
  <si>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</si>
  <si>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</si>
  <si>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</si>
  <si>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</si>
  <si>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</si>
  <si>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</si>
  <si>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</si>
  <si>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</si>
  <si>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</si>
  <si>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</si>
  <si>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</si>
  <si>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</si>
  <si>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</si>
  <si>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</si>
  <si>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</si>
  <si>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</si>
  <si>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</si>
  <si>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</si>
  <si>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</si>
  <si>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</si>
  <si>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</si>
  <si>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</si>
  <si>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</si>
  <si>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</si>
  <si>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</si>
  <si>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</si>
  <si>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</si>
  <si>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</si>
  <si>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</si>
  <si>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</si>
  <si>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</si>
  <si>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</si>
  <si>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</si>
  <si>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</si>
  <si>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</si>
  <si>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</si>
  <si>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</si>
  <si>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</si>
  <si>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</si>
  <si>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</si>
  <si>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</si>
  <si>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</si>
  <si>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</si>
  <si>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</si>
  <si>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</si>
  <si>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</si>
  <si>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</si>
  <si>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</si>
  <si>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</si>
  <si>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</si>
  <si>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</si>
  <si>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</si>
  <si>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</si>
  <si>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</si>
  <si>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</si>
  <si>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</si>
  <si>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</si>
  <si>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</si>
  <si>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</si>
  <si>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</si>
  <si>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</si>
  <si>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</si>
  <si>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</si>
  <si>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</si>
  <si>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</si>
  <si>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</si>
  <si>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</si>
  <si>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</si>
  <si>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</si>
  <si>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</si>
  <si>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</si>
  <si>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</si>
  <si>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</si>
  <si>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</si>
  <si>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</si>
  <si>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</si>
  <si>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</si>
  <si>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</si>
  <si>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</si>
  <si>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</si>
  <si>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</si>
  <si>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</si>
  <si>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</si>
  <si>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</si>
  <si>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</si>
  <si>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</si>
  <si>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</si>
  <si>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</si>
  <si>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</si>
  <si>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</si>
  <si>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</si>
  <si>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</si>
  <si>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</si>
  <si>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</si>
  <si>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</si>
  <si>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</si>
  <si>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</si>
  <si>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</si>
  <si>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</si>
  <si>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</si>
  <si>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</si>
  <si>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</si>
  <si>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</si>
  <si>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</si>
  <si>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</si>
  <si>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</si>
  <si>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</si>
  <si>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</si>
  <si>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</si>
  <si>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</si>
  <si>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</si>
  <si>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</si>
  <si>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</si>
  <si>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</si>
  <si>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</si>
  <si>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</si>
  <si>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</si>
  <si>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</si>
  <si>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</si>
  <si>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</si>
  <si>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</si>
  <si>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</si>
  <si>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</si>
  <si>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</si>
  <si>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</si>
  <si>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</si>
  <si>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</si>
  <si>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</si>
  <si>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</si>
  <si>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</si>
  <si>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</si>
  <si>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</si>
  <si>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</si>
  <si>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</si>
  <si>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</si>
  <si>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</si>
  <si>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</si>
  <si>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</si>
  <si>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</si>
  <si>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</si>
  <si>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</si>
  <si>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</si>
  <si>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</si>
  <si>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</si>
  <si>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</si>
  <si>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</si>
  <si>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</si>
  <si>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</si>
  <si>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</si>
  <si>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</si>
  <si>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</si>
  <si>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</si>
  <si>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</si>
  <si>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</si>
  <si>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</si>
  <si>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</si>
  <si>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</si>
  <si>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</si>
  <si>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</si>
  <si>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</si>
  <si>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</si>
  <si>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</si>
  <si>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</si>
  <si>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</si>
  <si>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</si>
  <si>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</si>
  <si>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</si>
  <si>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</si>
  <si>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</si>
  <si>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</si>
  <si>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</si>
  <si>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</si>
  <si>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</si>
  <si>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</si>
  <si>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</si>
  <si>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</si>
  <si>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</si>
  <si>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</si>
  <si>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</si>
  <si>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</si>
  <si>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</si>
  <si>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</si>
  <si>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</si>
  <si>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</si>
  <si>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</si>
  <si>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</si>
  <si>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</si>
  <si>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</si>
  <si>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</si>
  <si>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</si>
  <si>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</si>
  <si>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</si>
  <si>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</si>
  <si>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</si>
  <si>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</si>
  <si>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</si>
  <si>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</si>
  <si>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</si>
  <si>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</si>
  <si>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</si>
  <si>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</si>
  <si>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</si>
  <si>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</si>
  <si>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</si>
  <si>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</si>
  <si>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</si>
  <si>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</si>
  <si>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</si>
  <si>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</si>
  <si>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</si>
  <si>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</si>
  <si>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</si>
  <si>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</si>
  <si>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</si>
  <si>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</si>
  <si>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</si>
  <si>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</si>
  <si>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</si>
  <si>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</si>
  <si>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</si>
  <si>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</si>
  <si>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</si>
  <si>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</si>
  <si>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</si>
  <si>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</si>
  <si>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</si>
  <si>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</si>
  <si>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</si>
  <si>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</si>
  <si>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</si>
  <si>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</si>
  <si>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</si>
  <si>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</si>
  <si>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</si>
  <si>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</si>
  <si>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</si>
  <si>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</si>
  <si>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</si>
  <si>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</si>
  <si>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</si>
  <si>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</si>
  <si>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</si>
  <si>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</si>
  <si>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</si>
  <si>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</si>
  <si>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</si>
  <si>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</si>
  <si>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</si>
  <si>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</si>
  <si>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</si>
  <si>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</si>
  <si>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</si>
  <si>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</si>
  <si>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</si>
  <si>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</si>
  <si>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</si>
  <si>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</si>
  <si>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</si>
  <si>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</si>
  <si>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</si>
  <si>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</si>
  <si>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</si>
  <si>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</si>
  <si>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</si>
  <si>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</si>
  <si>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</si>
  <si>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</si>
  <si>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</si>
  <si>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</si>
  <si>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</si>
  <si>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</si>
  <si>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</si>
  <si>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</si>
  <si>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</si>
  <si>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</si>
  <si>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</si>
  <si>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</si>
  <si>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</si>
  <si>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</si>
  <si>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</si>
  <si>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</si>
  <si>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</si>
  <si>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</si>
  <si>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</si>
  <si>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</si>
  <si>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</si>
  <si>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</si>
  <si>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</si>
  <si>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</si>
  <si>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</si>
  <si>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</si>
  <si>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</si>
  <si>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</si>
  <si>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</si>
  <si>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</si>
  <si>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</si>
  <si>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</si>
  <si>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</si>
  <si>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</si>
  <si>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</si>
  <si>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</si>
  <si>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</si>
  <si>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</si>
  <si>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</si>
  <si>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</si>
  <si>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</si>
  <si>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</si>
  <si>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</si>
  <si>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</si>
  <si>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</si>
  <si>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</si>
  <si>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</si>
  <si>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</si>
  <si>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</si>
  <si>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</si>
  <si>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</si>
  <si>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</si>
  <si>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</si>
  <si>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</si>
  <si>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</si>
  <si>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</si>
  <si>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</si>
  <si>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</si>
  <si>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</si>
  <si>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</si>
  <si>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</si>
  <si>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</si>
  <si>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</si>
  <si>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</si>
  <si>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</si>
  <si>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</si>
  <si>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</si>
  <si>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</si>
  <si>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</si>
  <si>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</si>
  <si>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</si>
  <si>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</si>
  <si>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</si>
  <si>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</si>
  <si>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</si>
  <si>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</si>
  <si>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</si>
  <si>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</si>
  <si>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</si>
  <si>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</si>
  <si>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</si>
  <si>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</si>
  <si>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</si>
  <si>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</si>
  <si>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</si>
  <si>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</si>
  <si>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</si>
  <si>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</si>
  <si>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</si>
  <si>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</si>
  <si>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</si>
  <si>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</si>
  <si>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</si>
  <si>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</si>
  <si>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</si>
  <si>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</si>
  <si>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</si>
  <si>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</si>
  <si>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</si>
  <si>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</si>
  <si>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</si>
  <si>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</si>
  <si>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</si>
  <si>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</si>
  <si>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</si>
  <si>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</si>
  <si>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</si>
  <si>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</si>
  <si>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</si>
  <si>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</si>
  <si>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</si>
  <si>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</si>
  <si>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</si>
  <si>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</si>
  <si>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</si>
  <si>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</si>
  <si>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</si>
  <si>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</si>
  <si>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</si>
  <si>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</si>
  <si>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</si>
  <si>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</si>
  <si>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</si>
  <si>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</si>
  <si>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</si>
  <si>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</si>
  <si>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</si>
  <si>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</si>
  <si>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</si>
  <si>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</si>
  <si>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</si>
  <si>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</si>
  <si>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</si>
  <si>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</si>
  <si>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</si>
  <si>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</si>
  <si>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</si>
  <si>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</si>
  <si>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</si>
  <si>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</si>
  <si>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</si>
  <si>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</si>
  <si>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</si>
  <si>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</si>
  <si>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</si>
  <si>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</si>
  <si>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</si>
  <si>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</si>
  <si>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</si>
  <si>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</si>
  <si>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</si>
  <si>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</si>
  <si>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</si>
  <si>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</si>
  <si>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</si>
  <si>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</si>
  <si>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</si>
  <si>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</si>
  <si>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</si>
  <si>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</si>
  <si>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</si>
  <si>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</si>
  <si>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</si>
  <si>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</si>
  <si>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</si>
  <si>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</si>
  <si>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</si>
  <si>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</si>
  <si>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</si>
  <si>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</si>
  <si>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</si>
  <si>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</si>
  <si>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</si>
  <si>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</si>
  <si>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</si>
  <si>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</si>
  <si>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</si>
  <si>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</si>
  <si>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</si>
  <si>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</si>
  <si>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</si>
  <si>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</si>
  <si>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</si>
  <si>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</si>
  <si>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</si>
  <si>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</si>
  <si>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</si>
  <si>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</si>
  <si>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</si>
  <si>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</si>
  <si>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</si>
  <si>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</si>
  <si>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</si>
  <si>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</si>
  <si>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</si>
  <si>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</si>
  <si>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</si>
  <si>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</si>
  <si>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</si>
  <si>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</si>
  <si>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</si>
  <si>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</si>
  <si>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</si>
  <si>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</si>
  <si>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</si>
  <si>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</si>
  <si>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</si>
  <si>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</si>
  <si>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</si>
  <si>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</si>
  <si>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</si>
  <si>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</si>
  <si>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</si>
  <si>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</si>
  <si>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</si>
  <si>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</si>
  <si>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</si>
  <si>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</si>
  <si>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</si>
  <si>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</si>
  <si>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</si>
  <si>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</si>
  <si>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</si>
  <si>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</si>
  <si>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</si>
  <si>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</si>
  <si>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</si>
  <si>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</si>
  <si>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</si>
  <si>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</si>
  <si>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</si>
  <si>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</si>
  <si>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</si>
  <si>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</si>
  <si>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</si>
  <si>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</si>
  <si>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</si>
  <si>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</si>
  <si>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</si>
  <si>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</si>
  <si>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</si>
  <si>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</si>
  <si>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</si>
  <si>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</si>
  <si>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</si>
  <si>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</si>
  <si>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</si>
  <si>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</si>
  <si>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</si>
  <si>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</si>
  <si>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</si>
  <si>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</si>
  <si>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</si>
  <si>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</si>
  <si>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</si>
  <si>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</si>
  <si>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</si>
  <si>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</si>
  <si>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</si>
  <si>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</si>
  <si>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</si>
  <si>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</si>
  <si>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</si>
  <si>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</si>
  <si>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</si>
  <si>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</si>
  <si>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</si>
  <si>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</si>
  <si>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</si>
  <si>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</si>
  <si>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</si>
  <si>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</si>
  <si>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</si>
  <si>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</si>
  <si>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</si>
  <si>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</si>
  <si>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</si>
  <si>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</si>
  <si>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</si>
  <si>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</si>
  <si>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</si>
  <si>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</si>
  <si>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</si>
  <si>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</si>
  <si>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</si>
  <si>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</si>
  <si>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</si>
  <si>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</si>
  <si>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</si>
  <si>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</si>
  <si>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</si>
  <si>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</si>
  <si>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</si>
  <si>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</si>
  <si>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</si>
  <si>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</si>
  <si>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</si>
  <si>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</si>
  <si>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</si>
  <si>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</si>
  <si>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</si>
  <si>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</si>
  <si>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</si>
  <si>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</si>
  <si>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</si>
  <si>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</si>
  <si>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</si>
  <si>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</si>
  <si>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</si>
  <si>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</si>
  <si>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</si>
  <si>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</si>
  <si>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</si>
  <si>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</si>
  <si>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</si>
  <si>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</si>
  <si>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</si>
  <si>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</si>
  <si>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</si>
  <si>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</si>
  <si>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</si>
  <si>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</si>
  <si>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</si>
  <si>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</si>
  <si>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</si>
  <si>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</si>
  <si>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</si>
  <si>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</si>
  <si>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</si>
  <si>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</si>
  <si>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</si>
  <si>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</si>
  <si>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</si>
  <si>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</si>
  <si>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</si>
  <si>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</si>
  <si>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</si>
  <si>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</si>
  <si>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</si>
  <si>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</si>
  <si>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</si>
  <si>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</si>
  <si>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</si>
  <si>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</si>
  <si>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</si>
  <si>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</si>
  <si>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</si>
  <si>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</si>
  <si>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</si>
  <si>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</si>
  <si>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</si>
  <si>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</si>
  <si>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</si>
  <si>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</si>
  <si>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</si>
  <si>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</si>
  <si>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</si>
  <si>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</si>
  <si>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</si>
  <si>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</si>
  <si>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</si>
  <si>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</si>
  <si>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</si>
  <si>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</si>
  <si>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</si>
  <si>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</si>
  <si>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</si>
  <si>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</si>
  <si>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</si>
  <si>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</si>
  <si>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</si>
  <si>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</si>
  <si>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</si>
  <si>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</si>
  <si>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</si>
  <si>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</si>
  <si>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</si>
  <si>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</si>
  <si>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</si>
  <si>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</si>
  <si>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</si>
  <si>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</si>
  <si>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</si>
  <si>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</si>
  <si>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</si>
  <si>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</si>
  <si>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</si>
  <si>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</si>
  <si>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</si>
  <si>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</si>
  <si>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</si>
  <si>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</si>
  <si>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</si>
  <si>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</si>
  <si>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</si>
  <si>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</si>
  <si>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</si>
  <si>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</si>
  <si>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</si>
  <si>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</si>
  <si>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</si>
  <si>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</si>
  <si>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</si>
  <si>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</si>
  <si>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</si>
  <si>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</si>
  <si>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</si>
  <si>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</si>
  <si>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</si>
  <si>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</si>
  <si>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</si>
  <si>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</si>
  <si>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</si>
  <si>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</si>
  <si>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</si>
  <si>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</si>
  <si>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</si>
  <si>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</si>
  <si>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</si>
  <si>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</si>
  <si>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</si>
  <si>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</si>
  <si>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</si>
  <si>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</si>
  <si>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</si>
  <si>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</si>
  <si>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</si>
  <si>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</si>
  <si>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</si>
  <si>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</si>
  <si>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</si>
  <si>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</si>
  <si>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</si>
  <si>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</si>
  <si>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</si>
  <si>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</si>
  <si>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</si>
  <si>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</si>
  <si>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</si>
  <si>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</si>
  <si>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</si>
  <si>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</si>
  <si>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</si>
  <si>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</si>
  <si>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</si>
  <si>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</si>
  <si>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</si>
  <si>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</si>
  <si>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</si>
  <si>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</si>
  <si>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</si>
  <si>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</si>
  <si>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</si>
  <si>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</si>
  <si>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</si>
  <si>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</si>
  <si>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</si>
  <si>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</si>
  <si>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</si>
  <si>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</si>
  <si>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</si>
  <si>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</si>
  <si>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</si>
  <si>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</si>
  <si>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</si>
  <si>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</si>
  <si>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</si>
  <si>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</si>
  <si>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</si>
  <si>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</si>
  <si>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</si>
  <si>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</si>
  <si>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</si>
  <si>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</si>
  <si>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</si>
  <si>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</si>
  <si>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</si>
  <si>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</si>
  <si>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</si>
  <si>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</si>
  <si>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</si>
  <si>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</si>
  <si>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</si>
  <si>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</si>
  <si>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</si>
  <si>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</si>
  <si>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</si>
  <si>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</si>
  <si>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</si>
  <si>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</si>
  <si>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</si>
  <si>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</si>
  <si>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</si>
  <si>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</si>
  <si>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</si>
  <si>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</si>
  <si>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</si>
  <si>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</si>
  <si>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</si>
  <si>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</si>
  <si>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</si>
  <si>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</si>
  <si>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</si>
  <si>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</si>
  <si>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</si>
  <si>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</si>
  <si>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</si>
  <si>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</si>
  <si>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</si>
  <si>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</si>
  <si>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</si>
  <si>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</si>
  <si>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</si>
  <si>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</si>
  <si>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</si>
  <si>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</si>
  <si>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</si>
  <si>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</si>
  <si>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</si>
  <si>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</si>
  <si>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</si>
  <si>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</si>
  <si>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</si>
  <si>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</si>
  <si>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</si>
  <si>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</si>
  <si>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</si>
  <si>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</si>
  <si>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</si>
  <si>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</si>
  <si>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</si>
  <si>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</si>
  <si>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</si>
  <si>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</si>
  <si>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</si>
  <si>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</si>
  <si>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</si>
  <si>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</si>
  <si>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</si>
  <si>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</si>
  <si>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</si>
  <si>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</si>
  <si>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</si>
  <si>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</si>
  <si>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</si>
  <si>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</si>
  <si>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</si>
  <si>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</si>
  <si>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</si>
  <si>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</si>
  <si>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</si>
  <si>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</si>
  <si>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</si>
  <si>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</si>
  <si>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</si>
  <si>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</si>
  <si>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</si>
  <si>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</si>
  <si>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</si>
  <si>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</si>
  <si>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</si>
  <si>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</si>
  <si>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</si>
  <si>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</si>
  <si>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</si>
  <si>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</si>
  <si>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</si>
  <si>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</si>
  <si>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</si>
  <si>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</si>
  <si>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</si>
  <si>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</si>
  <si>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</si>
  <si>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</si>
  <si>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</si>
  <si>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</si>
  <si>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</si>
  <si>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</si>
  <si>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</si>
  <si>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</si>
  <si>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</si>
  <si>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</si>
  <si>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</si>
  <si>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</si>
  <si>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</si>
  <si>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</si>
  <si>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</si>
  <si>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</si>
  <si>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</si>
  <si>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</si>
  <si>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</si>
  <si>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</si>
  <si>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</si>
  <si>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</si>
  <si>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</si>
  <si>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</si>
  <si>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</si>
  <si>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</si>
  <si>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</si>
  <si>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</si>
  <si>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</si>
  <si>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</si>
  <si>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</si>
  <si>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</si>
  <si>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</si>
  <si>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</si>
  <si>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</si>
  <si>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</si>
  <si>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</si>
  <si>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</si>
  <si>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</si>
  <si>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</si>
  <si>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</si>
  <si>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</si>
  <si>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</si>
  <si>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</si>
  <si>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</si>
  <si>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</si>
  <si>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</si>
  <si>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</si>
  <si>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</si>
  <si>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</si>
  <si>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</si>
  <si>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</si>
  <si>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</si>
  <si>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</si>
  <si>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</si>
  <si>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</si>
  <si>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</si>
  <si>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</si>
  <si>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</si>
  <si>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</si>
  <si>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</si>
  <si>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</si>
  <si>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</si>
  <si>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</si>
  <si>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</si>
  <si>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</si>
  <si>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</si>
  <si>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</si>
  <si>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</si>
  <si>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</si>
  <si>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</si>
  <si>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</si>
  <si>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</si>
  <si>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</si>
  <si>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</si>
  <si>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</si>
  <si>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</si>
  <si>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</si>
  <si>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</si>
  <si>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</si>
  <si>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</si>
  <si>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</si>
  <si>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</si>
  <si>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</si>
  <si>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</si>
  <si>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</si>
  <si>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</si>
  <si>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</si>
  <si>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</si>
  <si>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</si>
  <si>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</si>
  <si>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</si>
  <si>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</si>
  <si>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</si>
  <si>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</si>
  <si>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</si>
  <si>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</si>
  <si>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</si>
  <si>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</si>
  <si>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</si>
  <si>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</si>
  <si>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</si>
  <si>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</si>
  <si>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</si>
  <si>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</si>
  <si>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</si>
  <si>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</si>
  <si>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</si>
  <si>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</si>
  <si>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</si>
  <si>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</si>
  <si>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</si>
  <si>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</si>
  <si>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</si>
  <si>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</si>
  <si>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</si>
  <si>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</si>
  <si>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</si>
  <si>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</si>
  <si>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</si>
  <si>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</si>
  <si>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</si>
  <si>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</si>
  <si>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</si>
  <si>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</si>
  <si>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</si>
  <si>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</si>
  <si>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</si>
  <si>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</si>
  <si>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</si>
  <si>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</si>
  <si>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</si>
  <si>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</si>
  <si>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</si>
  <si>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</si>
  <si>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</si>
  <si>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</si>
  <si>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</si>
  <si>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</si>
  <si>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</si>
  <si>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</si>
  <si>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</si>
  <si>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</si>
  <si>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</si>
  <si>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</si>
  <si>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</si>
  <si>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</si>
  <si>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</si>
  <si>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</si>
  <si>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</si>
  <si>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</si>
  <si>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</si>
  <si>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</si>
  <si>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</si>
  <si>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</si>
  <si>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</si>
  <si>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</si>
  <si>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</si>
  <si>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</si>
  <si>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</si>
  <si>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</si>
  <si>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</si>
  <si>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</si>
  <si>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</si>
  <si>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</si>
  <si>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</si>
  <si>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</si>
  <si>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</si>
  <si>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</si>
  <si>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</si>
  <si>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</si>
  <si>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</si>
  <si>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</si>
  <si>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</si>
  <si>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</si>
  <si>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</si>
  <si>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</si>
  <si>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</si>
  <si>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</si>
  <si>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</si>
  <si>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</si>
  <si>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</si>
  <si>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</si>
  <si>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</si>
  <si>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</si>
  <si>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</si>
  <si>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</si>
  <si>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</si>
  <si>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</si>
  <si>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</si>
  <si>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</si>
  <si>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</si>
  <si>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</si>
  <si>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</si>
  <si>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</si>
  <si>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</si>
  <si>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</si>
  <si>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</si>
  <si>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</si>
  <si>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</si>
  <si>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</si>
  <si>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</si>
  <si>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</si>
  <si>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</si>
  <si>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</si>
  <si>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</si>
  <si>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</si>
  <si>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</si>
  <si>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</si>
  <si>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</si>
  <si>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</si>
  <si>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</si>
  <si>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</si>
  <si>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</si>
  <si>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</si>
  <si>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</si>
  <si>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</si>
  <si>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</si>
  <si>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</si>
  <si>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</si>
  <si>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</si>
  <si>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</si>
  <si>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</si>
  <si>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</si>
  <si>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</si>
  <si>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</si>
  <si>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</si>
  <si>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</si>
  <si>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</si>
  <si>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</si>
  <si>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</si>
  <si>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</si>
  <si>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</si>
  <si>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</si>
  <si>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</si>
  <si>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</si>
  <si>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</si>
  <si>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</si>
  <si>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</si>
  <si>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</si>
  <si>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</si>
  <si>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</si>
  <si>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</si>
  <si>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</si>
  <si>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</si>
  <si>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</si>
  <si>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</si>
  <si>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</si>
  <si>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</si>
  <si>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</si>
  <si>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</si>
  <si>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</si>
  <si>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</si>
  <si>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</si>
  <si>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</si>
  <si>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</si>
  <si>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</si>
  <si>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</si>
  <si>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</si>
  <si>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</si>
  <si>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</si>
  <si>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</si>
  <si>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</si>
  <si>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</si>
  <si>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</si>
  <si>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</si>
  <si>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</si>
  <si>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</si>
  <si>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</si>
  <si>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</si>
  <si>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</si>
  <si>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</si>
  <si>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</si>
  <si>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</si>
  <si>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</si>
  <si>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</si>
  <si>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</si>
  <si>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</si>
  <si>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</si>
  <si>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</si>
  <si>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</si>
  <si>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</si>
  <si>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</si>
  <si>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</si>
  <si>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</si>
  <si>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</si>
  <si>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</si>
  <si>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</si>
  <si>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</si>
  <si>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</si>
  <si>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</si>
  <si>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</si>
  <si>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</si>
  <si>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</si>
  <si>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</si>
  <si>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</si>
  <si>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</si>
  <si>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</si>
  <si>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</si>
  <si>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</si>
  <si>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</si>
  <si>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</si>
  <si>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</si>
  <si>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</si>
  <si>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</si>
  <si>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</si>
  <si>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</si>
  <si>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</si>
  <si>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</si>
  <si>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</si>
  <si>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</si>
  <si>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</si>
  <si>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</si>
  <si>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</si>
  <si>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</si>
  <si>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</si>
  <si>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</si>
  <si>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</si>
  <si>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</si>
  <si>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</si>
  <si>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</si>
  <si>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</si>
  <si>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</si>
  <si>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</si>
  <si>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</si>
  <si>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</si>
  <si>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</si>
  <si>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</si>
  <si>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</si>
  <si>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</si>
  <si>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</si>
  <si>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</si>
  <si>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</si>
  <si>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</si>
  <si>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</si>
  <si>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</si>
  <si>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</si>
  <si>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</si>
  <si>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</si>
  <si>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</si>
  <si>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</si>
  <si>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</si>
  <si>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</si>
  <si>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</si>
  <si>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</si>
  <si>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</si>
  <si>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</si>
  <si>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</si>
  <si>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</si>
  <si>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</si>
  <si>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</si>
  <si>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</si>
  <si>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</si>
  <si>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</si>
  <si>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</si>
  <si>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</si>
  <si>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</si>
  <si>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</si>
  <si>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</si>
  <si>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</si>
  <si>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</si>
  <si>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</si>
  <si>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</si>
  <si>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</si>
  <si>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</si>
  <si>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</si>
  <si>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</si>
  <si>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</si>
  <si>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</si>
  <si>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</si>
  <si>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</si>
  <si>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</si>
  <si>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</si>
  <si>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</si>
  <si>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</si>
  <si>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</si>
  <si>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</si>
  <si>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</si>
  <si>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</si>
  <si>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</si>
  <si>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</si>
  <si>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</si>
  <si>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</si>
  <si>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</si>
  <si>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</si>
  <si>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</si>
  <si>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</si>
  <si>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</si>
  <si>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</si>
  <si>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</si>
  <si>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</si>
  <si>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</si>
  <si>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</si>
  <si>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</si>
  <si>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</si>
  <si>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</si>
  <si>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</si>
  <si>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</si>
  <si>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</si>
  <si>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</si>
  <si>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</si>
  <si>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</si>
  <si>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</si>
  <si>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</si>
  <si>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</si>
  <si>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</si>
  <si>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</si>
  <si>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</si>
  <si>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</si>
  <si>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</si>
  <si>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</si>
  <si>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</si>
  <si>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</si>
  <si>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</si>
  <si>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</si>
  <si>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</si>
  <si>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</si>
  <si>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</si>
  <si>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</si>
  <si>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</si>
  <si>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</si>
  <si>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</si>
  <si>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</si>
  <si>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</si>
  <si>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</si>
  <si>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</si>
  <si>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</si>
  <si>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</si>
  <si>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</si>
  <si>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</si>
  <si>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</si>
  <si>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</si>
  <si>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</si>
  <si>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</si>
  <si>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</si>
  <si>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</si>
  <si>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</si>
  <si>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</si>
  <si>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</si>
  <si>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</si>
  <si>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</si>
  <si>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</si>
  <si>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</si>
  <si>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</si>
  <si>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</si>
  <si>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</si>
  <si>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</si>
  <si>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</si>
  <si>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</si>
  <si>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</si>
  <si>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</si>
  <si>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</si>
  <si>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</si>
  <si>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</si>
  <si>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</si>
  <si>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</si>
  <si>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</si>
  <si>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</si>
  <si>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</si>
  <si>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</si>
  <si>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</si>
  <si>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</si>
  <si>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</si>
  <si>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</si>
  <si>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</si>
  <si>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</si>
  <si>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</si>
  <si>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</si>
  <si>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</si>
  <si>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</si>
  <si>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</si>
  <si>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</si>
  <si>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</si>
  <si>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</si>
  <si>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</si>
  <si>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</si>
  <si>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</si>
  <si>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</si>
  <si>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</si>
  <si>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</si>
  <si>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</si>
  <si>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</si>
  <si>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</si>
  <si>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</si>
  <si>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</si>
  <si>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</si>
  <si>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</si>
  <si>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</si>
  <si>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</si>
  <si>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</si>
  <si>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</si>
  <si>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</si>
  <si>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</si>
  <si>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</si>
  <si>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</si>
  <si>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</si>
  <si>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</si>
  <si>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</si>
  <si>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</si>
  <si>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</si>
  <si>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</si>
  <si>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</si>
  <si>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</si>
  <si>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</si>
  <si>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</si>
  <si>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</si>
  <si>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</si>
  <si>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</si>
  <si>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</si>
  <si>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</si>
  <si>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</si>
  <si>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</si>
  <si>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</si>
  <si>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</si>
  <si>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</si>
  <si>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</si>
  <si>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</si>
  <si>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</si>
  <si>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</si>
  <si>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</si>
  <si>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</si>
  <si>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</si>
  <si>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</si>
  <si>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</si>
  <si>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</si>
  <si>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</si>
  <si>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</si>
  <si>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</si>
  <si>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</si>
  <si>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</si>
  <si>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</si>
  <si>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</si>
  <si>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</si>
  <si>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</si>
  <si>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</si>
  <si>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</si>
  <si>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</si>
  <si>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</si>
  <si>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</si>
  <si>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</si>
  <si>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</si>
  <si>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</si>
  <si>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</si>
  <si>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</si>
  <si>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</si>
  <si>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</si>
  <si>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</si>
  <si>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</si>
  <si>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</si>
  <si>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</si>
  <si>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</si>
  <si>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</si>
  <si>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</si>
  <si>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</si>
  <si>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</si>
  <si>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</si>
  <si>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</si>
  <si>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</si>
  <si>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</si>
  <si>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</si>
  <si>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</si>
  <si>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</si>
  <si>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</si>
  <si>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</si>
  <si>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</si>
  <si>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</si>
  <si>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</si>
  <si>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</si>
  <si>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</si>
  <si>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</si>
  <si>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</si>
  <si>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</si>
  <si>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</si>
  <si>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</si>
  <si>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</si>
  <si>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</si>
  <si>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</si>
  <si>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</si>
  <si>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</si>
  <si>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</si>
  <si>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</si>
  <si>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</si>
  <si>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</si>
  <si>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</si>
  <si>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</si>
  <si>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</si>
  <si>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</si>
  <si>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</si>
  <si>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</si>
  <si>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</si>
  <si>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</si>
  <si>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</si>
  <si>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</si>
  <si>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</si>
  <si>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</si>
  <si>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</si>
  <si>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</si>
  <si>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</si>
  <si>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</si>
  <si>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</si>
  <si>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</si>
  <si>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</si>
  <si>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</si>
  <si>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</si>
  <si>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</si>
  <si>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</si>
  <si>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</si>
  <si>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</si>
  <si>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</si>
  <si>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</si>
  <si>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</si>
  <si>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</si>
  <si>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</si>
  <si>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</si>
  <si>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</si>
  <si>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</si>
  <si>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</si>
  <si>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</si>
  <si>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</si>
  <si>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</si>
  <si>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</si>
  <si>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</si>
  <si>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</si>
  <si>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</si>
  <si>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</si>
  <si>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</si>
  <si>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</si>
  <si>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</si>
  <si>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</si>
  <si>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4:11</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</si>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</sst>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www.twitch.tv/powonateur/clip/DependableSlickPotPeoplesChamp-eBEGv00_u9Q_vrcU"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7PeU1iWA2ro"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JJ_VC6uEsxc"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TAwydb697hQ"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q8XoC6L5V3Y" TargetMode="External"/><Relationship Id="rId2427" Type="http://schemas.openxmlformats.org/officeDocument/2006/relationships/hyperlink" Target="https://youtu.be/7sueJhQaEwI" TargetMode="External"/><Relationship Id="rId3759" Type="http://schemas.openxmlformats.org/officeDocument/2006/relationships/hyperlink" Target="https://youtu.be/fd6_7meeF5M"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l-J95YPF38s"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ptAIiXvgE8E"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DEaYD0fWcsg"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KYZNySrslfk"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ioQ_htK8yrE"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twitch.tv/videos/681678115" TargetMode="External"/><Relationship Id="rId2403" Type="http://schemas.openxmlformats.org/officeDocument/2006/relationships/hyperlink" Target="https://youtu.be/CHZNyc6nkrY" TargetMode="External"/><Relationship Id="rId3735" Type="http://schemas.openxmlformats.org/officeDocument/2006/relationships/hyperlink" Target="https://youtu.be/25AeESPcxzg"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ZnukiMGN8KQ" TargetMode="External"/><Relationship Id="rId3737" Type="http://schemas.openxmlformats.org/officeDocument/2006/relationships/hyperlink" Target="https://youtu.be/LCSY9YY_piU"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uDn0dR839pg"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9qke0AxeiZc"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www.youtube.com/watch?v=-w_NO07IP9M"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X3aieaTiM0A"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EmpathicBlitheMouseCclamChamp-vw9pV9yJ-0wMcIE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BlindingWittySquidArsonNoSexy-an14cMVazpBQ8zTL"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DependableWimpyPlumberNerfRedBlaster-l0N1ltNqN24DfqO-"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lfGGIoutiGc"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k6JbP64JkNs"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evt6rjp33-s"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www.twitch.tv/videos/1283042923"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qCn2ckp3j1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9-4Sx88Rrlk" TargetMode="External"/><Relationship Id="rId3832" Type="http://schemas.openxmlformats.org/officeDocument/2006/relationships/hyperlink" Target="https://youtu.be/oJ7uiss0Fac" TargetMode="External"/><Relationship Id="rId2501" Type="http://schemas.openxmlformats.org/officeDocument/2006/relationships/hyperlink" Target="https://youtu.be/qFyGDuNYB1Y" TargetMode="External"/><Relationship Id="rId3831" Type="http://schemas.openxmlformats.org/officeDocument/2006/relationships/hyperlink" Target="https://youtu.be/6in2eMbJ0ow" TargetMode="External"/><Relationship Id="rId2502" Type="http://schemas.openxmlformats.org/officeDocument/2006/relationships/hyperlink" Target="https://youtu.be/VOb_HIsYMEk" TargetMode="External"/><Relationship Id="rId3834" Type="http://schemas.openxmlformats.org/officeDocument/2006/relationships/hyperlink" Target="https://youtu.be/HhrXXa3_6QQ" TargetMode="External"/><Relationship Id="rId2503" Type="http://schemas.openxmlformats.org/officeDocument/2006/relationships/hyperlink" Target="https://youtu.be/NOWSgC9zUaw" TargetMode="External"/><Relationship Id="rId3833" Type="http://schemas.openxmlformats.org/officeDocument/2006/relationships/hyperlink" Target="https://youtu.be/cMWcL3kLKVs" TargetMode="External"/><Relationship Id="rId2504" Type="http://schemas.openxmlformats.org/officeDocument/2006/relationships/hyperlink" Target="https://youtu.be/WVo87yYidJ4" TargetMode="External"/><Relationship Id="rId3836" Type="http://schemas.openxmlformats.org/officeDocument/2006/relationships/hyperlink" Target="https://youtu.be/7104U-nv8CU" TargetMode="External"/><Relationship Id="rId2505" Type="http://schemas.openxmlformats.org/officeDocument/2006/relationships/hyperlink" Target="https://youtu.be/eYfAbzNBvRM" TargetMode="External"/><Relationship Id="rId3835" Type="http://schemas.openxmlformats.org/officeDocument/2006/relationships/hyperlink" Target="https://youtu.be/pTOrGSUJHWI"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_HULD2HMJ-o"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youtu.be/7BFRkUtZva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pr-HbxWOWKM" TargetMode="External"/><Relationship Id="rId3853" Type="http://schemas.openxmlformats.org/officeDocument/2006/relationships/hyperlink" Target="https://youtu.be/_5EE7piEfdA" TargetMode="External"/><Relationship Id="rId2524" Type="http://schemas.openxmlformats.org/officeDocument/2006/relationships/hyperlink" Target="https://youtu.be/uzlELasL6rs" TargetMode="External"/><Relationship Id="rId3856" Type="http://schemas.openxmlformats.org/officeDocument/2006/relationships/hyperlink" Target="https://youtu.be/IA9rZ_hatPE" TargetMode="External"/><Relationship Id="rId2525" Type="http://schemas.openxmlformats.org/officeDocument/2006/relationships/hyperlink" Target="https://youtu.be/C8NGezkLAlk"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mXYEUsXV4vA" TargetMode="External"/><Relationship Id="rId3858" Type="http://schemas.openxmlformats.org/officeDocument/2006/relationships/hyperlink" Target="https://youtu.be/3Ovu89Qc6hc" TargetMode="External"/><Relationship Id="rId2527" Type="http://schemas.openxmlformats.org/officeDocument/2006/relationships/hyperlink" Target="https://youtu.be/a4ItpBSNA8Q" TargetMode="External"/><Relationship Id="rId3857" Type="http://schemas.openxmlformats.org/officeDocument/2006/relationships/hyperlink" Target="https://youtu.be/npPbGmcpwTg"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tUVOVRxFAm4"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OVLOMgv4lHM" TargetMode="External"/><Relationship Id="rId3843" Type="http://schemas.openxmlformats.org/officeDocument/2006/relationships/hyperlink" Target="https://youtu.be/L1J8ZYanHK4" TargetMode="External"/><Relationship Id="rId2512" Type="http://schemas.openxmlformats.org/officeDocument/2006/relationships/hyperlink" Target="https://youtu.be/S8E5TXAF_Fg" TargetMode="External"/><Relationship Id="rId3842" Type="http://schemas.openxmlformats.org/officeDocument/2006/relationships/hyperlink" Target="https://youtu.be/Abytid8Ky78" TargetMode="External"/><Relationship Id="rId2513" Type="http://schemas.openxmlformats.org/officeDocument/2006/relationships/hyperlink" Target="https://youtu.be/vCWp4nv7kPM" TargetMode="External"/><Relationship Id="rId3845" Type="http://schemas.openxmlformats.org/officeDocument/2006/relationships/hyperlink" Target="https://youtu.be/hv7cmfuaj-s" TargetMode="External"/><Relationship Id="rId2514" Type="http://schemas.openxmlformats.org/officeDocument/2006/relationships/hyperlink" Target="https://youtu.be/yqMLlzyocdY" TargetMode="External"/><Relationship Id="rId3844" Type="http://schemas.openxmlformats.org/officeDocument/2006/relationships/hyperlink" Target="https://youtu.be/wEm0hI8D0Es" TargetMode="External"/><Relationship Id="rId2515" Type="http://schemas.openxmlformats.org/officeDocument/2006/relationships/hyperlink" Target="https://youtu.be/qWe0hRuACd4" TargetMode="External"/><Relationship Id="rId3847" Type="http://schemas.openxmlformats.org/officeDocument/2006/relationships/hyperlink" Target="https://youtu.be/MWIaeCpCjRg" TargetMode="External"/><Relationship Id="rId2516" Type="http://schemas.openxmlformats.org/officeDocument/2006/relationships/hyperlink" Target="https://youtu.be/XCuw2OQP0gA" TargetMode="External"/><Relationship Id="rId3846" Type="http://schemas.openxmlformats.org/officeDocument/2006/relationships/hyperlink" Target="https://youtu.be/TC6szU0KMQ0" TargetMode="External"/><Relationship Id="rId2517" Type="http://schemas.openxmlformats.org/officeDocument/2006/relationships/hyperlink" Target="https://youtu.be/4DBJt6tskao"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NSaW590zATs" TargetMode="External"/><Relationship Id="rId3848" Type="http://schemas.openxmlformats.org/officeDocument/2006/relationships/hyperlink" Target="https://youtu.be/YzH9npRkfKQ"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okwGTTwcW4w" TargetMode="External"/><Relationship Id="rId3930" Type="http://schemas.openxmlformats.org/officeDocument/2006/relationships/hyperlink" Target="https://youtu.be/BZgjhNOo-go" TargetMode="External"/><Relationship Id="rId2601" Type="http://schemas.openxmlformats.org/officeDocument/2006/relationships/hyperlink" Target="https://youtu.be/F5NfRzs9WmY" TargetMode="External"/><Relationship Id="rId3933" Type="http://schemas.openxmlformats.org/officeDocument/2006/relationships/hyperlink" Target="https://youtu.be/CfDEkDG5HFI" TargetMode="External"/><Relationship Id="rId2602" Type="http://schemas.openxmlformats.org/officeDocument/2006/relationships/hyperlink" Target="https://youtu.be/zZ4xsh3x0VA" TargetMode="External"/><Relationship Id="rId3932" Type="http://schemas.openxmlformats.org/officeDocument/2006/relationships/hyperlink" Target="https://youtu.be/dOp5piQQYqg" TargetMode="External"/><Relationship Id="rId2603" Type="http://schemas.openxmlformats.org/officeDocument/2006/relationships/hyperlink" Target="https://youtu.be/m_ZBiqY_Nho" TargetMode="External"/><Relationship Id="rId3935" Type="http://schemas.openxmlformats.org/officeDocument/2006/relationships/hyperlink" Target="https://youtu.be/RqUNHa6gnVg" TargetMode="External"/><Relationship Id="rId2604" Type="http://schemas.openxmlformats.org/officeDocument/2006/relationships/hyperlink" Target="https://youtu.be/abhI8pfN-HM" TargetMode="External"/><Relationship Id="rId3934" Type="http://schemas.openxmlformats.org/officeDocument/2006/relationships/hyperlink" Target="https://youtu.be/YkHffV7svTc" TargetMode="External"/><Relationship Id="rId2605" Type="http://schemas.openxmlformats.org/officeDocument/2006/relationships/hyperlink" Target="https://youtu.be/5o3N19-vMCQ" TargetMode="External"/><Relationship Id="rId3937" Type="http://schemas.openxmlformats.org/officeDocument/2006/relationships/hyperlink" Target="https://youtu.be/v8KAMn60AmI" TargetMode="External"/><Relationship Id="rId2606" Type="http://schemas.openxmlformats.org/officeDocument/2006/relationships/hyperlink" Target="https://youtu.be/P-JOJi5CDwo"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youtu.be/o57m9Wl80TA"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mWq4iiECe0I" TargetMode="External"/><Relationship Id="rId3955" Type="http://schemas.openxmlformats.org/officeDocument/2006/relationships/hyperlink" Target="https://youtu.be/hNY2YLYWw0A"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sY5sBSU2oXc" TargetMode="External"/><Relationship Id="rId2625" Type="http://schemas.openxmlformats.org/officeDocument/2006/relationships/hyperlink" Target="https://youtu.be/zp2dCbaFloM"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9ZLF3U9S0ek" TargetMode="External"/><Relationship Id="rId3956" Type="http://schemas.openxmlformats.org/officeDocument/2006/relationships/hyperlink" Target="https://youtu.be/U6dEEcEm8Kg"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mUlsoL1veGc" TargetMode="External"/><Relationship Id="rId3950" Type="http://schemas.openxmlformats.org/officeDocument/2006/relationships/hyperlink" Target="https://youtu.be/LUwqtTI4T1k" TargetMode="External"/><Relationship Id="rId2610" Type="http://schemas.openxmlformats.org/officeDocument/2006/relationships/hyperlink" Target="https://youtu.be/cpjM9d2bBow" TargetMode="External"/><Relationship Id="rId3942" Type="http://schemas.openxmlformats.org/officeDocument/2006/relationships/hyperlink" Target="https://youtu.be/SlWniPyjlmc" TargetMode="External"/><Relationship Id="rId2611" Type="http://schemas.openxmlformats.org/officeDocument/2006/relationships/hyperlink" Target="https://youtu.be/77Bxvngg3oY" TargetMode="External"/><Relationship Id="rId3941" Type="http://schemas.openxmlformats.org/officeDocument/2006/relationships/hyperlink" Target="https://youtu.be/5-gF0Swsi3g" TargetMode="External"/><Relationship Id="rId2612" Type="http://schemas.openxmlformats.org/officeDocument/2006/relationships/hyperlink" Target="https://youtu.be/U-Y7rFlhjrs" TargetMode="External"/><Relationship Id="rId3944" Type="http://schemas.openxmlformats.org/officeDocument/2006/relationships/hyperlink" Target="https://youtu.be/4rPxyleozvM" TargetMode="External"/><Relationship Id="rId2613" Type="http://schemas.openxmlformats.org/officeDocument/2006/relationships/hyperlink" Target="https://youtu.be/xHwGHlDLeVQ" TargetMode="External"/><Relationship Id="rId3943" Type="http://schemas.openxmlformats.org/officeDocument/2006/relationships/hyperlink" Target="https://youtu.be/4MSMADxISLE" TargetMode="External"/><Relationship Id="rId2614" Type="http://schemas.openxmlformats.org/officeDocument/2006/relationships/hyperlink" Target="https://youtu.be/_JtFC5kdmvA" TargetMode="External"/><Relationship Id="rId3946" Type="http://schemas.openxmlformats.org/officeDocument/2006/relationships/hyperlink" Target="https://youtu.be/Qym3rnWucfc" TargetMode="External"/><Relationship Id="rId2615" Type="http://schemas.openxmlformats.org/officeDocument/2006/relationships/hyperlink" Target="https://youtu.be/do6X5dQR_Zs" TargetMode="External"/><Relationship Id="rId3945" Type="http://schemas.openxmlformats.org/officeDocument/2006/relationships/hyperlink" Target="https://youtu.be/HtBNhb-7Umg" TargetMode="External"/><Relationship Id="rId2616" Type="http://schemas.openxmlformats.org/officeDocument/2006/relationships/hyperlink" Target="https://youtu.be/r1KAG19-pdY"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lTLV2YNvtk0" TargetMode="External"/><Relationship Id="rId3947" Type="http://schemas.openxmlformats.org/officeDocument/2006/relationships/hyperlink" Target="https://youtu.be/HZnBxf4JU_E"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B3nzsJTZgr8"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youtu.be/_-CeL_OF9PE" TargetMode="External"/><Relationship Id="rId1218" Type="http://schemas.openxmlformats.org/officeDocument/2006/relationships/hyperlink" Target="https://clips.twitch.tv/FaithfulAgitatedSardineSeemsGood-k1jxuaQOQXlfuVn-"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youtu.be/BIwB8aMG3fk"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clips.twitch.tv/MildWittyHerbsLitFam-1tUBUJoQnTtzkoSc"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youtu.be/hHITvO7XueU"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youtu.be/TX8Oe2Rwyu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videos/2431608318" TargetMode="External"/><Relationship Id="rId762" Type="http://schemas.openxmlformats.org/officeDocument/2006/relationships/hyperlink" Target="https://youtu.be/BQCKRfpztFM" TargetMode="External"/><Relationship Id="rId1353" Type="http://schemas.openxmlformats.org/officeDocument/2006/relationships/hyperlink" Target="https://youtu.be/Gu9t01gh3ek"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628389365"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x.com/inkstarLum/status/1713868539566899289?s=20"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youtu.be/lal_goibTZQ"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73O2pX4ELkY" TargetMode="External"/><Relationship Id="rId1344" Type="http://schemas.openxmlformats.org/officeDocument/2006/relationships/hyperlink" Target="https://youtu.be/pXkmcZIsCgA"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youtu.be/NdyFOs0CNzA" TargetMode="External"/><Relationship Id="rId1319" Type="http://schemas.openxmlformats.org/officeDocument/2006/relationships/hyperlink" Target="https://clips.twitch.tv/NaiveSuperEyeballUWot-FjpYnzacEzYqQuiE"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youtu.be/O8P9PpENARI" TargetMode="External"/><Relationship Id="rId780" Type="http://schemas.openxmlformats.org/officeDocument/2006/relationships/hyperlink" Target="https://youtu.be/lal_goibTZQ"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PSR8d6nBOfQ" TargetMode="External"/><Relationship Id="rId1374" Type="http://schemas.openxmlformats.org/officeDocument/2006/relationships/hyperlink" Target="https://youtu.be/BQscRiGi4hc"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FgAtSSQHpQ" TargetMode="External"/><Relationship Id="rId783" Type="http://schemas.openxmlformats.org/officeDocument/2006/relationships/hyperlink" Target="https://youtu.be/RzlVqd8meSA"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phvKkRyVEV4"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Ay4FY71sJJo" TargetMode="External"/><Relationship Id="rId771" Type="http://schemas.openxmlformats.org/officeDocument/2006/relationships/hyperlink" Target="https://youtu.be/O40upq_B08g"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nEeLpTRXpvo" TargetMode="External"/><Relationship Id="rId1386" Type="http://schemas.openxmlformats.org/officeDocument/2006/relationships/hyperlink" Target="https://youtu.be/BnHhD0LrPMw"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JOtL2pyq7MM"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UAaPTc80xqw?t=8"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LN4qCj9UWyY"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MKyvngaKz-I" TargetMode="External"/><Relationship Id="rId1401" Type="http://schemas.openxmlformats.org/officeDocument/2006/relationships/hyperlink" Target="https://youtu.be/tAAvzoOfUkg" TargetMode="External"/><Relationship Id="rId1402" Type="http://schemas.openxmlformats.org/officeDocument/2006/relationships/hyperlink" Target="https://www.twitch.tv/videos/2030169824"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qADFpn791V4" TargetMode="External"/><Relationship Id="rId1423" Type="http://schemas.openxmlformats.org/officeDocument/2006/relationships/hyperlink" Target="https://youtu.be/84gmAUcAD6Y" TargetMode="External"/><Relationship Id="rId1424" Type="http://schemas.openxmlformats.org/officeDocument/2006/relationships/hyperlink" Target="https://clips.twitch.tv/RelatedCoyWaspOhMyDog-Jn-IO2hOlpCeg8LO"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7LclDQkIkYU"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mtPLaPYM5bE"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VlGSJ7oj0LY"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youtu.be/-cZziOaZ-0M" TargetMode="External"/><Relationship Id="rId1486" Type="http://schemas.openxmlformats.org/officeDocument/2006/relationships/hyperlink" Target="https://youtu.be/zwUKiy2wr3A"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clips.twitch.tv/TolerantFairVelociraptorFloof--3_9x879_IsfRAXm" TargetMode="External"/><Relationship Id="rId1507" Type="http://schemas.openxmlformats.org/officeDocument/2006/relationships/hyperlink" Target="https://youtu.be/u-5A_eTZPA0" TargetMode="External"/><Relationship Id="rId1508" Type="http://schemas.openxmlformats.org/officeDocument/2006/relationships/hyperlink" Target="https://clips.twitch.tv/TolerantFairVelociraptorFloof--3_9x879_IsfRAXm" TargetMode="External"/><Relationship Id="rId1509" Type="http://schemas.openxmlformats.org/officeDocument/2006/relationships/hyperlink" Target="https://youtu.be/r3QCIKx-vOk"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clips.twitch.tv/OriginalFrailHerdPMSTwin-KS-qRbfk1pmFP48Q"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SpeedyObedientTrayTwitchRaid-IUBzYaF_dOFFl1D7" TargetMode="External"/><Relationship Id="rId391" Type="http://schemas.openxmlformats.org/officeDocument/2006/relationships/hyperlink" Target="https://www.twitch.tv/videos/918556631" TargetMode="External"/><Relationship Id="rId390" Type="http://schemas.openxmlformats.org/officeDocument/2006/relationships/hyperlink" Target="https://www.twitch.tv/videos/1110672226" TargetMode="External"/><Relationship Id="rId385" Type="http://schemas.openxmlformats.org/officeDocument/2006/relationships/hyperlink" Target="https://www.twitch.tv/videos/885940624" TargetMode="External"/><Relationship Id="rId384" Type="http://schemas.openxmlformats.org/officeDocument/2006/relationships/hyperlink" Target="https://www.twitch.tv/videos/853440137" TargetMode="External"/><Relationship Id="rId383" Type="http://schemas.openxmlformats.org/officeDocument/2006/relationships/hyperlink" Target="https://www.twitch.tv/videos/871331205" TargetMode="External"/><Relationship Id="rId382" Type="http://schemas.openxmlformats.org/officeDocument/2006/relationships/hyperlink" Target="https://www.twitch.tv/videos/871284163" TargetMode="External"/><Relationship Id="rId389" Type="http://schemas.openxmlformats.org/officeDocument/2006/relationships/hyperlink" Target="https://www.twitch.tv/videos/793513590" TargetMode="External"/><Relationship Id="rId388" Type="http://schemas.openxmlformats.org/officeDocument/2006/relationships/hyperlink" Target="https://clips.twitch.tv/AntediluvianSpunkyMonkeyKeyboardCat" TargetMode="External"/><Relationship Id="rId387" Type="http://schemas.openxmlformats.org/officeDocument/2006/relationships/hyperlink" Target="https://youtu.be/MzBDzcfjg-I" TargetMode="External"/><Relationship Id="rId386" Type="http://schemas.openxmlformats.org/officeDocument/2006/relationships/hyperlink" Target="https://youtu.be/YOOf_mVEwEs" TargetMode="External"/><Relationship Id="rId381" Type="http://schemas.openxmlformats.org/officeDocument/2006/relationships/hyperlink" Target="https://youtu.be/-RLBStYcFT0" TargetMode="External"/><Relationship Id="rId380" Type="http://schemas.openxmlformats.org/officeDocument/2006/relationships/hyperlink" Target="https://www.youtube.com/watch?v=Wcsp_zkyYlg" TargetMode="External"/><Relationship Id="rId379" Type="http://schemas.openxmlformats.org/officeDocument/2006/relationships/hyperlink" Target="https://www.youtube.com/watch?v=lN-uU0AEkPk" TargetMode="External"/><Relationship Id="rId374" Type="http://schemas.openxmlformats.org/officeDocument/2006/relationships/hyperlink" Target="https://youtu.be/nkNseVsL1KE?si=2D2oOR3PCRWkiqP5" TargetMode="External"/><Relationship Id="rId373" Type="http://schemas.openxmlformats.org/officeDocument/2006/relationships/hyperlink" Target="https://youtu.be/Nq2minuqvwE" TargetMode="External"/><Relationship Id="rId372" Type="http://schemas.openxmlformats.org/officeDocument/2006/relationships/hyperlink" Target="https://youtu.be/M-HJ4DgMATU?t=5" TargetMode="External"/><Relationship Id="rId371" Type="http://schemas.openxmlformats.org/officeDocument/2006/relationships/hyperlink" Target="https://youtu.be/SIe7REnh62A" TargetMode="External"/><Relationship Id="rId378" Type="http://schemas.openxmlformats.org/officeDocument/2006/relationships/hyperlink" Target="https://youtu.be/1yj1sq69K5E" TargetMode="External"/><Relationship Id="rId377" Type="http://schemas.openxmlformats.org/officeDocument/2006/relationships/hyperlink" Target="https://youtu.be/JT2r0BCPtSQ" TargetMode="External"/><Relationship Id="rId376" Type="http://schemas.openxmlformats.org/officeDocument/2006/relationships/hyperlink" Target="https://youtu.be/qMRqCni_obU" TargetMode="External"/><Relationship Id="rId375" Type="http://schemas.openxmlformats.org/officeDocument/2006/relationships/hyperlink" Target="https://youtu.be/aQbm8ue82IY" TargetMode="External"/><Relationship Id="rId396" Type="http://schemas.openxmlformats.org/officeDocument/2006/relationships/hyperlink" Target="https://youtu.be/lSApUL_xsJk" TargetMode="External"/><Relationship Id="rId395" Type="http://schemas.openxmlformats.org/officeDocument/2006/relationships/hyperlink" Target="https://youtu.be/fYx-OXIquf8" TargetMode="External"/><Relationship Id="rId394" Type="http://schemas.openxmlformats.org/officeDocument/2006/relationships/hyperlink" Target="https://youtu.be/wugopZ8KIhM" TargetMode="External"/><Relationship Id="rId393" Type="http://schemas.openxmlformats.org/officeDocument/2006/relationships/hyperlink" Target="https://clips.twitch.tv/VainDepressedMooseDatBoi" TargetMode="External"/><Relationship Id="rId399" Type="http://schemas.openxmlformats.org/officeDocument/2006/relationships/hyperlink" Target="https://youtu.be/BokNxn7JKSw" TargetMode="External"/><Relationship Id="rId398" Type="http://schemas.openxmlformats.org/officeDocument/2006/relationships/hyperlink" Target="https://youtu.be/CdmEy0CTSUs" TargetMode="External"/><Relationship Id="rId397" Type="http://schemas.openxmlformats.org/officeDocument/2006/relationships/hyperlink" Target="https://clips.twitch.tv/NeighborlyPuzzledSagePermaSmug-zz9_X2MingO1n-Hx"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GloriousObliviousTubersPhilosoraptor" TargetMode="External"/><Relationship Id="rId348" Type="http://schemas.openxmlformats.org/officeDocument/2006/relationships/hyperlink" Target="https://www.youtube.com/watch?v=yysm1Nwi6Oc" TargetMode="External"/><Relationship Id="rId347" Type="http://schemas.openxmlformats.org/officeDocument/2006/relationships/hyperlink" Target="https://www.twitch.tv/videos/1028770481" TargetMode="External"/><Relationship Id="rId346" Type="http://schemas.openxmlformats.org/officeDocument/2006/relationships/hyperlink" Target="https://youtu.be/RgUras9a4nU?si=-v86-NOlz6JVF6HR" TargetMode="External"/><Relationship Id="rId341" Type="http://schemas.openxmlformats.org/officeDocument/2006/relationships/hyperlink" Target="https://youtu.be/418hKZDiUWU" TargetMode="External"/><Relationship Id="rId340" Type="http://schemas.openxmlformats.org/officeDocument/2006/relationships/hyperlink" Target="https://clips.twitch.tv/SpunkyThoughtfulSamosaAllenHuhu-zTPAfQxOJjnuLZFX" TargetMode="External"/><Relationship Id="rId345" Type="http://schemas.openxmlformats.org/officeDocument/2006/relationships/hyperlink" Target="https://www.youtube.com/watch?v=yBc3XoX39zw" TargetMode="External"/><Relationship Id="rId344" Type="http://schemas.openxmlformats.org/officeDocument/2006/relationships/hyperlink" Target="https://youtu.be/adfGqi7Kyp0" TargetMode="External"/><Relationship Id="rId343" Type="http://schemas.openxmlformats.org/officeDocument/2006/relationships/hyperlink" Target="https://youtu.be/LX0lO1bws2g" TargetMode="External"/><Relationship Id="rId342" Type="http://schemas.openxmlformats.org/officeDocument/2006/relationships/hyperlink" Target="https://youtu.be/3tlDTV92Frw" TargetMode="External"/><Relationship Id="rId338" Type="http://schemas.openxmlformats.org/officeDocument/2006/relationships/hyperlink" Target="https://www.twitch.tv/videos/2605868059" TargetMode="External"/><Relationship Id="rId337" Type="http://schemas.openxmlformats.org/officeDocument/2006/relationships/hyperlink" Target="https://www.youtube.com/watch?v=M1zxqG6jy88&amp;ab_channel=ChaseChiang" TargetMode="External"/><Relationship Id="rId336" Type="http://schemas.openxmlformats.org/officeDocument/2006/relationships/hyperlink" Target="https://www.twitch.tv/videos/2616247250" TargetMode="External"/><Relationship Id="rId335" Type="http://schemas.openxmlformats.org/officeDocument/2006/relationships/hyperlink" Target="https://www.twitch.tv/videos/2616258976" TargetMode="External"/><Relationship Id="rId339" Type="http://schemas.openxmlformats.org/officeDocument/2006/relationships/hyperlink" Target="https://www.twitch.tv/videos/2621288372" TargetMode="External"/><Relationship Id="rId330" Type="http://schemas.openxmlformats.org/officeDocument/2006/relationships/hyperlink" Target="https://www.twitch.tv/videos/2640889393" TargetMode="External"/><Relationship Id="rId334" Type="http://schemas.openxmlformats.org/officeDocument/2006/relationships/hyperlink" Target="https://www.twitch.tv/videos/2644325093" TargetMode="External"/><Relationship Id="rId333" Type="http://schemas.openxmlformats.org/officeDocument/2006/relationships/hyperlink" Target="https://www.twitch.tv/videos/2616229194" TargetMode="External"/><Relationship Id="rId332" Type="http://schemas.openxmlformats.org/officeDocument/2006/relationships/hyperlink" Target="https://www.twitch.tv/videos/2644326418" TargetMode="External"/><Relationship Id="rId331" Type="http://schemas.openxmlformats.org/officeDocument/2006/relationships/hyperlink" Target="https://www.twitch.tv/videos/2620462564" TargetMode="External"/><Relationship Id="rId370" Type="http://schemas.openxmlformats.org/officeDocument/2006/relationships/hyperlink" Target="https://youtu.be/q3aU-MA82kY" TargetMode="External"/><Relationship Id="rId369" Type="http://schemas.openxmlformats.org/officeDocument/2006/relationships/hyperlink" Target="https://youtu.be/GTeTm-cZ_VE?t=7" TargetMode="External"/><Relationship Id="rId368" Type="http://schemas.openxmlformats.org/officeDocument/2006/relationships/hyperlink" Target="https://youtu.be/_bSiI9Y8hnE" TargetMode="External"/><Relationship Id="rId363" Type="http://schemas.openxmlformats.org/officeDocument/2006/relationships/hyperlink" Target="https://www.youtube.com/watch?v=cY4UAY0wuck" TargetMode="External"/><Relationship Id="rId362" Type="http://schemas.openxmlformats.org/officeDocument/2006/relationships/hyperlink" Target="https://youtu.be/SwRBC6MocXg" TargetMode="External"/><Relationship Id="rId361" Type="http://schemas.openxmlformats.org/officeDocument/2006/relationships/hyperlink" Target="https://youtu.be/Qu8uGbGvejM" TargetMode="External"/><Relationship Id="rId360" Type="http://schemas.openxmlformats.org/officeDocument/2006/relationships/hyperlink" Target="https://youtu.be/2hDiKlxy0Wk" TargetMode="External"/><Relationship Id="rId367" Type="http://schemas.openxmlformats.org/officeDocument/2006/relationships/hyperlink" Target="https://youtu.be/uv3UvOzLLRc" TargetMode="External"/><Relationship Id="rId366" Type="http://schemas.openxmlformats.org/officeDocument/2006/relationships/hyperlink" Target="https://youtu.be/U2h7aamwRXs" TargetMode="External"/><Relationship Id="rId365" Type="http://schemas.openxmlformats.org/officeDocument/2006/relationships/hyperlink" Target="https://youtu.be/GQizq4VeGtM" TargetMode="External"/><Relationship Id="rId364" Type="http://schemas.openxmlformats.org/officeDocument/2006/relationships/hyperlink" Target="https://youtu.be/fIDMly3bGq8"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tBjtLvsEKB8" TargetMode="External"/><Relationship Id="rId358" Type="http://schemas.openxmlformats.org/officeDocument/2006/relationships/hyperlink" Target="https://youtu.be/jEQeDs3FbNE" TargetMode="External"/><Relationship Id="rId357" Type="http://schemas.openxmlformats.org/officeDocument/2006/relationships/hyperlink" Target="https://youtu.be/950HrqE5YCo" TargetMode="External"/><Relationship Id="rId352" Type="http://schemas.openxmlformats.org/officeDocument/2006/relationships/hyperlink" Target="https://www.youtube.com/watch?v=A82NEJ2Rt4Q" TargetMode="External"/><Relationship Id="rId351" Type="http://schemas.openxmlformats.org/officeDocument/2006/relationships/hyperlink" Target="https://www.youtube.com/watch?v=rcAi7l6-JnI" TargetMode="External"/><Relationship Id="rId350" Type="http://schemas.openxmlformats.org/officeDocument/2006/relationships/hyperlink" Target="https://www.youtube.com/watch?v=EEMqqju65rY" TargetMode="External"/><Relationship Id="rId356" Type="http://schemas.openxmlformats.org/officeDocument/2006/relationships/hyperlink" Target="https://youtu.be/ccui68bxA5g" TargetMode="External"/><Relationship Id="rId355" Type="http://schemas.openxmlformats.org/officeDocument/2006/relationships/hyperlink" Target="https://youtu.be/AlsuhBS2KgI" TargetMode="External"/><Relationship Id="rId354" Type="http://schemas.openxmlformats.org/officeDocument/2006/relationships/hyperlink" Target="https://youtu.be/lJbfdlbYKic" TargetMode="External"/><Relationship Id="rId353" Type="http://schemas.openxmlformats.org/officeDocument/2006/relationships/hyperlink" Target="https://clips.twitch.tv/SpikySmoggyLlamaFeelsBadMan" TargetMode="External"/><Relationship Id="rId305" Type="http://schemas.openxmlformats.org/officeDocument/2006/relationships/hyperlink" Target="https://youtu.be/-Ohqisa88zk" TargetMode="External"/><Relationship Id="rId304" Type="http://schemas.openxmlformats.org/officeDocument/2006/relationships/hyperlink" Target="https://www.twitch.tv/videos/945986789" TargetMode="External"/><Relationship Id="rId303" Type="http://schemas.openxmlformats.org/officeDocument/2006/relationships/hyperlink" Target="https://youtu.be/ziemwfieqs0" TargetMode="External"/><Relationship Id="rId302" Type="http://schemas.openxmlformats.org/officeDocument/2006/relationships/hyperlink" Target="https://youtu.be/U2QkTJ-cyf0" TargetMode="External"/><Relationship Id="rId309" Type="http://schemas.openxmlformats.org/officeDocument/2006/relationships/hyperlink" Target="https://youtu.be/1eDNR62Y32w" TargetMode="External"/><Relationship Id="rId308" Type="http://schemas.openxmlformats.org/officeDocument/2006/relationships/hyperlink" Target="https://youtu.be/6gK0PyqVQo4" TargetMode="External"/><Relationship Id="rId307" Type="http://schemas.openxmlformats.org/officeDocument/2006/relationships/hyperlink" Target="https://www.twitch.tv/videos/979484417" TargetMode="External"/><Relationship Id="rId306" Type="http://schemas.openxmlformats.org/officeDocument/2006/relationships/hyperlink" Target="https://www.twitch.tv/videos/979483039" TargetMode="External"/><Relationship Id="rId301" Type="http://schemas.openxmlformats.org/officeDocument/2006/relationships/hyperlink" Target="https://youtu.be/SDlFA5FfjL0" TargetMode="External"/><Relationship Id="rId300" Type="http://schemas.openxmlformats.org/officeDocument/2006/relationships/hyperlink" Target="https://youtu.be/d3Ivh3DzHm8" TargetMode="External"/><Relationship Id="rId327" Type="http://schemas.openxmlformats.org/officeDocument/2006/relationships/hyperlink" Target="https://www.twitch.tv/videos/2620489102" TargetMode="External"/><Relationship Id="rId326" Type="http://schemas.openxmlformats.org/officeDocument/2006/relationships/hyperlink" Target="https://www.youtube.com/watch?v=IUrLuXCnVlk" TargetMode="External"/><Relationship Id="rId325" Type="http://schemas.openxmlformats.org/officeDocument/2006/relationships/hyperlink" Target="https://www.youtube.com/watch?v=TvXuW2p00lg" TargetMode="External"/><Relationship Id="rId324" Type="http://schemas.openxmlformats.org/officeDocument/2006/relationships/hyperlink" Target="https://www.youtube.com/watch?v=-GHU68seT2w" TargetMode="External"/><Relationship Id="rId329" Type="http://schemas.openxmlformats.org/officeDocument/2006/relationships/hyperlink" Target="https://www.twitch.tv/videos/2640887420" TargetMode="External"/><Relationship Id="rId328" Type="http://schemas.openxmlformats.org/officeDocument/2006/relationships/hyperlink" Target="https://www.twitch.tv/videos/2620318476" TargetMode="External"/><Relationship Id="rId323" Type="http://schemas.openxmlformats.org/officeDocument/2006/relationships/hyperlink" Target="https://www.youtube.com/watch?v=J-ZTfp7f1qY" TargetMode="External"/><Relationship Id="rId322" Type="http://schemas.openxmlformats.org/officeDocument/2006/relationships/hyperlink" Target="https://www.twitch.tv/videos/2644289434" TargetMode="External"/><Relationship Id="rId321" Type="http://schemas.openxmlformats.org/officeDocument/2006/relationships/hyperlink" Target="https://www.youtube.com/watch?v=sIN04uhfY0w" TargetMode="External"/><Relationship Id="rId320" Type="http://schemas.openxmlformats.org/officeDocument/2006/relationships/hyperlink" Target="https://www.youtube.com/watch?v=8LF1Gf1b3q4" TargetMode="External"/><Relationship Id="rId316" Type="http://schemas.openxmlformats.org/officeDocument/2006/relationships/hyperlink" Target="https://www.youtube.com/watch?v=OMeTQGkVxfk" TargetMode="External"/><Relationship Id="rId315" Type="http://schemas.openxmlformats.org/officeDocument/2006/relationships/hyperlink" Target="https://www.youtube.com/watch?v=b2LQnMenPZ0" TargetMode="External"/><Relationship Id="rId314" Type="http://schemas.openxmlformats.org/officeDocument/2006/relationships/hyperlink" Target="https://youtu.be/Qj8Quhiv4G8" TargetMode="External"/><Relationship Id="rId313" Type="http://schemas.openxmlformats.org/officeDocument/2006/relationships/hyperlink" Target="https://youtu.be/cC0WR2XDqjU" TargetMode="External"/><Relationship Id="rId319" Type="http://schemas.openxmlformats.org/officeDocument/2006/relationships/hyperlink" Target="https://www.youtube.com/watch?v=iSMxdE15dp8" TargetMode="External"/><Relationship Id="rId318" Type="http://schemas.openxmlformats.org/officeDocument/2006/relationships/hyperlink" Target="https://www.youtube.com/watch?v=xXk6Kdde6g8" TargetMode="External"/><Relationship Id="rId317" Type="http://schemas.openxmlformats.org/officeDocument/2006/relationships/hyperlink" Target="https://www.twitch.tv/videos/2608495333" TargetMode="External"/><Relationship Id="rId312" Type="http://schemas.openxmlformats.org/officeDocument/2006/relationships/hyperlink" Target="https://youtu.be/96rn7zZ8NTo" TargetMode="External"/><Relationship Id="rId311" Type="http://schemas.openxmlformats.org/officeDocument/2006/relationships/hyperlink" Target="https://youtu.be/aPGjLZK2uD0" TargetMode="External"/><Relationship Id="rId310" Type="http://schemas.openxmlformats.org/officeDocument/2006/relationships/hyperlink" Target="https://youtu.be/aPGjLZK2uD0" TargetMode="External"/><Relationship Id="rId297" Type="http://schemas.openxmlformats.org/officeDocument/2006/relationships/hyperlink" Target="https://youtu.be/ovm--oC5EGM" TargetMode="External"/><Relationship Id="rId296" Type="http://schemas.openxmlformats.org/officeDocument/2006/relationships/hyperlink" Target="https://youtu.be/hz2lcjaQP88" TargetMode="External"/><Relationship Id="rId295" Type="http://schemas.openxmlformats.org/officeDocument/2006/relationships/hyperlink" Target="https://youtu.be/dzGEhjLsd3Y" TargetMode="External"/><Relationship Id="rId294" Type="http://schemas.openxmlformats.org/officeDocument/2006/relationships/hyperlink" Target="https://youtu.be/Hg3DzKNbZMw" TargetMode="External"/><Relationship Id="rId299" Type="http://schemas.openxmlformats.org/officeDocument/2006/relationships/hyperlink" Target="https://youtu.be/CFzNTVViYm8" TargetMode="External"/><Relationship Id="rId298" Type="http://schemas.openxmlformats.org/officeDocument/2006/relationships/hyperlink" Target="https://youtu.be/tk1MY-cnAJA" TargetMode="External"/><Relationship Id="rId271" Type="http://schemas.openxmlformats.org/officeDocument/2006/relationships/hyperlink" Target="https://youtu.be/cgC1dYdc4c0?t=53" TargetMode="External"/><Relationship Id="rId270" Type="http://schemas.openxmlformats.org/officeDocument/2006/relationships/hyperlink" Target="https://www.youtube.com/watch?v=ya_Dm6MfR3g" TargetMode="External"/><Relationship Id="rId269" Type="http://schemas.openxmlformats.org/officeDocument/2006/relationships/hyperlink" Target="https://youtu.be/kVrEnMDABM0" TargetMode="External"/><Relationship Id="rId264" Type="http://schemas.openxmlformats.org/officeDocument/2006/relationships/hyperlink" Target="https://youtu.be/FUJHxWIIHKw" TargetMode="External"/><Relationship Id="rId263" Type="http://schemas.openxmlformats.org/officeDocument/2006/relationships/hyperlink" Target="https://youtu.be/0OLBXI8fp1s" TargetMode="External"/><Relationship Id="rId262" Type="http://schemas.openxmlformats.org/officeDocument/2006/relationships/hyperlink" Target="https://youtu.be/fCGuJamdZIE" TargetMode="External"/><Relationship Id="rId261" Type="http://schemas.openxmlformats.org/officeDocument/2006/relationships/hyperlink" Target="https://youtu.be/A0iGewjnyBw" TargetMode="External"/><Relationship Id="rId268" Type="http://schemas.openxmlformats.org/officeDocument/2006/relationships/hyperlink" Target="https://www.youtube.com/watch?v=El5FZP0IphQ" TargetMode="External"/><Relationship Id="rId267" Type="http://schemas.openxmlformats.org/officeDocument/2006/relationships/hyperlink" Target="https://youtu.be/WvdOcNTJwy8" TargetMode="External"/><Relationship Id="rId266" Type="http://schemas.openxmlformats.org/officeDocument/2006/relationships/hyperlink" Target="https://www.youtube.com/watch?reload=9&amp;v=spyJS8AJS-o" TargetMode="External"/><Relationship Id="rId265" Type="http://schemas.openxmlformats.org/officeDocument/2006/relationships/hyperlink" Target="https://youtu.be/dsNZji3alLw" TargetMode="External"/><Relationship Id="rId260" Type="http://schemas.openxmlformats.org/officeDocument/2006/relationships/hyperlink" Target="https://youtu.be/A04BJsGCXao" TargetMode="External"/><Relationship Id="rId259" Type="http://schemas.openxmlformats.org/officeDocument/2006/relationships/hyperlink" Target="https://youtu.be/Tn7oh1WvDGc" TargetMode="External"/><Relationship Id="rId258" Type="http://schemas.openxmlformats.org/officeDocument/2006/relationships/hyperlink" Target="https://youtu.be/lFLyrti2sds" TargetMode="External"/><Relationship Id="rId253" Type="http://schemas.openxmlformats.org/officeDocument/2006/relationships/hyperlink" Target="https://youtu.be/buFrAgcL6f4" TargetMode="External"/><Relationship Id="rId252" Type="http://schemas.openxmlformats.org/officeDocument/2006/relationships/hyperlink" Target="https://youtu.be/CQ13Tj0lUko" TargetMode="External"/><Relationship Id="rId251" Type="http://schemas.openxmlformats.org/officeDocument/2006/relationships/hyperlink" Target="https://www.youtube.com/watch?v=bRmogW16NbQ" TargetMode="External"/><Relationship Id="rId250" Type="http://schemas.openxmlformats.org/officeDocument/2006/relationships/hyperlink" Target="https://youtu.be/fMsk0Hfzwxc" TargetMode="External"/><Relationship Id="rId257" Type="http://schemas.openxmlformats.org/officeDocument/2006/relationships/hyperlink" Target="https://youtu.be/bB75u301Ees" TargetMode="External"/><Relationship Id="rId256" Type="http://schemas.openxmlformats.org/officeDocument/2006/relationships/hyperlink" Target="https://youtu.be/A05e4h1D9Hc" TargetMode="External"/><Relationship Id="rId255" Type="http://schemas.openxmlformats.org/officeDocument/2006/relationships/hyperlink" Target="https://youtu.be/tAh66uKBK00" TargetMode="External"/><Relationship Id="rId254" Type="http://schemas.openxmlformats.org/officeDocument/2006/relationships/hyperlink" Target="https://www.youtube.com/watch?v=rul-V0Jy76w" TargetMode="External"/><Relationship Id="rId293" Type="http://schemas.openxmlformats.org/officeDocument/2006/relationships/hyperlink" Target="https://youtu.be/kNLNdfCUsR8" TargetMode="External"/><Relationship Id="rId292" Type="http://schemas.openxmlformats.org/officeDocument/2006/relationships/hyperlink" Target="https://youtu.be/RrYStRdoOPQ" TargetMode="External"/><Relationship Id="rId291" Type="http://schemas.openxmlformats.org/officeDocument/2006/relationships/hyperlink" Target="https://youtu.be/kjlrd1GALWI" TargetMode="External"/><Relationship Id="rId290" Type="http://schemas.openxmlformats.org/officeDocument/2006/relationships/hyperlink" Target="https://youtu.be/O1ojYADSAgY" TargetMode="External"/><Relationship Id="rId286" Type="http://schemas.openxmlformats.org/officeDocument/2006/relationships/hyperlink" Target="https://youtu.be/9zhU5Ii7fsA" TargetMode="External"/><Relationship Id="rId285" Type="http://schemas.openxmlformats.org/officeDocument/2006/relationships/hyperlink" Target="https://youtu.be/DTRsomXJR-s" TargetMode="External"/><Relationship Id="rId284" Type="http://schemas.openxmlformats.org/officeDocument/2006/relationships/hyperlink" Target="https://youtu.be/OCpM515vPjg" TargetMode="External"/><Relationship Id="rId283" Type="http://schemas.openxmlformats.org/officeDocument/2006/relationships/hyperlink" Target="https://youtu.be/E89EVfWR4mk" TargetMode="External"/><Relationship Id="rId289" Type="http://schemas.openxmlformats.org/officeDocument/2006/relationships/hyperlink" Target="https://youtu.be/sKsdCWJpC_A" TargetMode="External"/><Relationship Id="rId288" Type="http://schemas.openxmlformats.org/officeDocument/2006/relationships/hyperlink" Target="https://youtu.be/C7TsOglNKsU" TargetMode="External"/><Relationship Id="rId287" Type="http://schemas.openxmlformats.org/officeDocument/2006/relationships/hyperlink" Target="https://youtu.be/gll2J8peIdk" TargetMode="External"/><Relationship Id="rId282" Type="http://schemas.openxmlformats.org/officeDocument/2006/relationships/hyperlink" Target="https://youtu.be/27nIIDzpGjc" TargetMode="External"/><Relationship Id="rId281" Type="http://schemas.openxmlformats.org/officeDocument/2006/relationships/hyperlink" Target="https://youtu.be/yPVi_6V0T9Y" TargetMode="External"/><Relationship Id="rId280" Type="http://schemas.openxmlformats.org/officeDocument/2006/relationships/hyperlink" Target="https://youtu.be/kvMJVczfkbI" TargetMode="External"/><Relationship Id="rId275" Type="http://schemas.openxmlformats.org/officeDocument/2006/relationships/hyperlink" Target="https://youtu.be/NI3Pboc4Asc" TargetMode="External"/><Relationship Id="rId274" Type="http://schemas.openxmlformats.org/officeDocument/2006/relationships/hyperlink" Target="https://youtu.be/xUr3zhGSslU?t=20" TargetMode="External"/><Relationship Id="rId273" Type="http://schemas.openxmlformats.org/officeDocument/2006/relationships/hyperlink" Target="https://youtu.be/A7Cqi8ORnoI" TargetMode="External"/><Relationship Id="rId272" Type="http://schemas.openxmlformats.org/officeDocument/2006/relationships/hyperlink" Target="https://youtu.be/WNduN6SN4nY" TargetMode="External"/><Relationship Id="rId279" Type="http://schemas.openxmlformats.org/officeDocument/2006/relationships/hyperlink" Target="https://youtu.be/gEbeYAr85MI" TargetMode="External"/><Relationship Id="rId278" Type="http://schemas.openxmlformats.org/officeDocument/2006/relationships/hyperlink" Target="https://youtu.be/x4k4NXiFRsQ" TargetMode="External"/><Relationship Id="rId277" Type="http://schemas.openxmlformats.org/officeDocument/2006/relationships/hyperlink" Target="https://youtu.be/KuYJ9zSk_k4" TargetMode="External"/><Relationship Id="rId276" Type="http://schemas.openxmlformats.org/officeDocument/2006/relationships/hyperlink" Target="https://youtu.be/S8JbWou2tHc" TargetMode="External"/><Relationship Id="rId228" Type="http://schemas.openxmlformats.org/officeDocument/2006/relationships/hyperlink" Target="https://youtu.be/qCxU_w_7XD0?t=34" TargetMode="External"/><Relationship Id="rId227" Type="http://schemas.openxmlformats.org/officeDocument/2006/relationships/hyperlink" Target="https://youtu.be/gNiSNs-ZBmM?t=29" TargetMode="External"/><Relationship Id="rId226" Type="http://schemas.openxmlformats.org/officeDocument/2006/relationships/hyperlink" Target="https://www.youtube.com/watch?v=ofyjmYogX9Q" TargetMode="External"/><Relationship Id="rId225" Type="http://schemas.openxmlformats.org/officeDocument/2006/relationships/hyperlink" Target="https://www.youtube.com/watch?v=oFDY-FlMpmg" TargetMode="External"/><Relationship Id="rId229" Type="http://schemas.openxmlformats.org/officeDocument/2006/relationships/hyperlink" Target="https://youtu.be/YNeNEstAmdM" TargetMode="External"/><Relationship Id="rId220" Type="http://schemas.openxmlformats.org/officeDocument/2006/relationships/hyperlink" Target="https://youtu.be/PZz0DDTKp58?t=160" TargetMode="External"/><Relationship Id="rId224" Type="http://schemas.openxmlformats.org/officeDocument/2006/relationships/hyperlink" Target="https://www.youtube.com/watch?v=NaIq3ZBJK6o" TargetMode="External"/><Relationship Id="rId223" Type="http://schemas.openxmlformats.org/officeDocument/2006/relationships/hyperlink" Target="https://www.youtube.com/watch?v=BFDhDF6az5U" TargetMode="External"/><Relationship Id="rId222" Type="http://schemas.openxmlformats.org/officeDocument/2006/relationships/hyperlink" Target="https://youtu.be/PzXSbI52Sdk?t=40" TargetMode="External"/><Relationship Id="rId221" Type="http://schemas.openxmlformats.org/officeDocument/2006/relationships/hyperlink" Target="https://www.youtube.com/watch?v=-M54ebbJhJI" TargetMode="External"/><Relationship Id="rId217" Type="http://schemas.openxmlformats.org/officeDocument/2006/relationships/hyperlink" Target="https://youtu.be/lLMuWzAYzxg" TargetMode="External"/><Relationship Id="rId216" Type="http://schemas.openxmlformats.org/officeDocument/2006/relationships/hyperlink" Target="https://youtu.be/A0py9rZ6pYk" TargetMode="External"/><Relationship Id="rId215" Type="http://schemas.openxmlformats.org/officeDocument/2006/relationships/hyperlink" Target="https://youtu.be/gx-wxoGlSHY" TargetMode="External"/><Relationship Id="rId214" Type="http://schemas.openxmlformats.org/officeDocument/2006/relationships/hyperlink" Target="https://youtu.be/nbvBqTxc4YE" TargetMode="External"/><Relationship Id="rId219" Type="http://schemas.openxmlformats.org/officeDocument/2006/relationships/hyperlink" Target="https://www.youtube.com/watch?v=0unm9uDEe_I" TargetMode="External"/><Relationship Id="rId218" Type="http://schemas.openxmlformats.org/officeDocument/2006/relationships/hyperlink" Target="https://www.youtube.com/watch?v=9xms2gSGs-A" TargetMode="External"/><Relationship Id="rId213" Type="http://schemas.openxmlformats.org/officeDocument/2006/relationships/hyperlink" Target="https://youtu.be/zndxurNJGHU" TargetMode="External"/><Relationship Id="rId212" Type="http://schemas.openxmlformats.org/officeDocument/2006/relationships/hyperlink" Target="https://youtu.be/my1Wz89vofg" TargetMode="External"/><Relationship Id="rId211" Type="http://schemas.openxmlformats.org/officeDocument/2006/relationships/hyperlink" Target="https://youtu.be/e3zQyrQgKis" TargetMode="External"/><Relationship Id="rId210" Type="http://schemas.openxmlformats.org/officeDocument/2006/relationships/hyperlink" Target="https://www.youtube.com/watch?v=Rmspe1-cq0U" TargetMode="External"/><Relationship Id="rId249" Type="http://schemas.openxmlformats.org/officeDocument/2006/relationships/hyperlink" Target="https://youtu.be/PTEEQDKmLwo" TargetMode="External"/><Relationship Id="rId248" Type="http://schemas.openxmlformats.org/officeDocument/2006/relationships/hyperlink" Target="https://youtu.be/1HrkPS0qeYY" TargetMode="External"/><Relationship Id="rId247" Type="http://schemas.openxmlformats.org/officeDocument/2006/relationships/hyperlink" Target="https://discord.com/channels/715421729199226920/715425867802607656/817250698835656734" TargetMode="External"/><Relationship Id="rId242" Type="http://schemas.openxmlformats.org/officeDocument/2006/relationships/hyperlink" Target="https://youtu.be/ARaHsr14x50?si=vQLryyEPecY3xCHi&amp;t=60" TargetMode="External"/><Relationship Id="rId241" Type="http://schemas.openxmlformats.org/officeDocument/2006/relationships/hyperlink" Target="https://www.twitch.tv/videos/1005440285" TargetMode="External"/><Relationship Id="rId240" Type="http://schemas.openxmlformats.org/officeDocument/2006/relationships/hyperlink" Target="https://youtu.be/DSqjOC8F1zg" TargetMode="External"/><Relationship Id="rId246" Type="http://schemas.openxmlformats.org/officeDocument/2006/relationships/hyperlink" Target="https://youtu.be/evVCJKPJWbU" TargetMode="External"/><Relationship Id="rId245" Type="http://schemas.openxmlformats.org/officeDocument/2006/relationships/hyperlink" Target="https://youtu.be/QQy-SAuK_rg" TargetMode="External"/><Relationship Id="rId244" Type="http://schemas.openxmlformats.org/officeDocument/2006/relationships/hyperlink" Target="https://youtu.be/hF83qoi7nyA" TargetMode="External"/><Relationship Id="rId243" Type="http://schemas.openxmlformats.org/officeDocument/2006/relationships/hyperlink" Target="https://youtu.be/iFZMmA950qs?si=fufCX2rZCr6MyZkl&amp;t=57" TargetMode="External"/><Relationship Id="rId239" Type="http://schemas.openxmlformats.org/officeDocument/2006/relationships/hyperlink" Target="https://youtu.be/Rid-vpJMkvo" TargetMode="External"/><Relationship Id="rId238" Type="http://schemas.openxmlformats.org/officeDocument/2006/relationships/hyperlink" Target="https://youtu.be/nxwIN3rLnY0" TargetMode="External"/><Relationship Id="rId237" Type="http://schemas.openxmlformats.org/officeDocument/2006/relationships/hyperlink" Target="https://youtu.be/7X42mXlBSoI" TargetMode="External"/><Relationship Id="rId236" Type="http://schemas.openxmlformats.org/officeDocument/2006/relationships/hyperlink" Target="https://clips.twitch.tv/SuspiciousShakingWaterTwitchRaid--x0q-i_DNmYP3Iyb" TargetMode="External"/><Relationship Id="rId231" Type="http://schemas.openxmlformats.org/officeDocument/2006/relationships/hyperlink" Target="https://youtu.be/95eCuiSlY14" TargetMode="External"/><Relationship Id="rId230" Type="http://schemas.openxmlformats.org/officeDocument/2006/relationships/hyperlink" Target="https://youtu.be/VpXqdf5n2Io" TargetMode="External"/><Relationship Id="rId235" Type="http://schemas.openxmlformats.org/officeDocument/2006/relationships/hyperlink" Target="https://youtu.be/G3C3FqmCsQM" TargetMode="External"/><Relationship Id="rId234" Type="http://schemas.openxmlformats.org/officeDocument/2006/relationships/hyperlink" Target="https://www.twitch.tv/videos/2641739180" TargetMode="External"/><Relationship Id="rId233" Type="http://schemas.openxmlformats.org/officeDocument/2006/relationships/hyperlink" Target="https://www.youtube.com/watch?v=pbtSCCaXne8" TargetMode="External"/><Relationship Id="rId232" Type="http://schemas.openxmlformats.org/officeDocument/2006/relationships/hyperlink" Target="https://www.twitch.tv/videos/1003781546" TargetMode="External"/><Relationship Id="rId206" Type="http://schemas.openxmlformats.org/officeDocument/2006/relationships/hyperlink" Target="https://youtu.be/BmuUbGGzBIY" TargetMode="External"/><Relationship Id="rId205" Type="http://schemas.openxmlformats.org/officeDocument/2006/relationships/hyperlink" Target="https://youtu.be/EAQZS_IfcmM" TargetMode="External"/><Relationship Id="rId204" Type="http://schemas.openxmlformats.org/officeDocument/2006/relationships/hyperlink" Target="https://www.youtube.com/watch?v=CIfLZ_ToOQg" TargetMode="External"/><Relationship Id="rId203" Type="http://schemas.openxmlformats.org/officeDocument/2006/relationships/hyperlink" Target="https://www.youtube.com/watch?v=L_fw3GJ_uv8" TargetMode="External"/><Relationship Id="rId209" Type="http://schemas.openxmlformats.org/officeDocument/2006/relationships/hyperlink" Target="https://youtu.be/tOWIwpVqFL0" TargetMode="External"/><Relationship Id="rId208" Type="http://schemas.openxmlformats.org/officeDocument/2006/relationships/hyperlink" Target="https://youtu.be/Nt10bUAdxPw" TargetMode="External"/><Relationship Id="rId207" Type="http://schemas.openxmlformats.org/officeDocument/2006/relationships/hyperlink" Target="https://youtu.be/Im23T5i9pZY" TargetMode="External"/><Relationship Id="rId202" Type="http://schemas.openxmlformats.org/officeDocument/2006/relationships/hyperlink" Target="https://youtu.be/aEchMe3URnA" TargetMode="External"/><Relationship Id="rId201" Type="http://schemas.openxmlformats.org/officeDocument/2006/relationships/hyperlink" Target="https://youtu.be/48viFGWdifs" TargetMode="External"/><Relationship Id="rId200" Type="http://schemas.openxmlformats.org/officeDocument/2006/relationships/hyperlink" Target="https://youtu.be/CAo98o1H7ag" TargetMode="External"/><Relationship Id="rId409" Type="http://schemas.openxmlformats.org/officeDocument/2006/relationships/hyperlink" Target="https://www.youtube.com/watch?v=8fq-kj5vJsg" TargetMode="External"/><Relationship Id="rId404" Type="http://schemas.openxmlformats.org/officeDocument/2006/relationships/hyperlink" Target="https://youtu.be/fUdSxtmkG4s" TargetMode="External"/><Relationship Id="rId403" Type="http://schemas.openxmlformats.org/officeDocument/2006/relationships/hyperlink" Target="https://youtu.be/o-f5zXYMgDw" TargetMode="External"/><Relationship Id="rId402" Type="http://schemas.openxmlformats.org/officeDocument/2006/relationships/hyperlink" Target="https://youtu.be/L8KC10KJkSo" TargetMode="External"/><Relationship Id="rId401" Type="http://schemas.openxmlformats.org/officeDocument/2006/relationships/hyperlink" Target="https://youtu.be/7TnlhMZVrAE" TargetMode="External"/><Relationship Id="rId408" Type="http://schemas.openxmlformats.org/officeDocument/2006/relationships/hyperlink" Target="https://www.youtube.com/watch?v=xCcstN1urLM" TargetMode="External"/><Relationship Id="rId407" Type="http://schemas.openxmlformats.org/officeDocument/2006/relationships/hyperlink" Target="https://youtu.be/N7vdXJJDNHw" TargetMode="External"/><Relationship Id="rId406" Type="http://schemas.openxmlformats.org/officeDocument/2006/relationships/hyperlink" Target="https://clips.twitch.tv/CloudyTameSandwichFloof" TargetMode="External"/><Relationship Id="rId405" Type="http://schemas.openxmlformats.org/officeDocument/2006/relationships/hyperlink" Target="https://clips.twitch.tv/CredulousGloriousOcelotKappaWealth" TargetMode="External"/><Relationship Id="rId400" Type="http://schemas.openxmlformats.org/officeDocument/2006/relationships/hyperlink" Target="https://youtu.be/ISg4n5gMmmQ" TargetMode="External"/><Relationship Id="rId457" Type="http://schemas.openxmlformats.org/officeDocument/2006/relationships/table" Target="../tables/table44.xml"/><Relationship Id="rId456" Type="http://schemas.openxmlformats.org/officeDocument/2006/relationships/table" Target="../tables/table43.xml"/><Relationship Id="rId451" Type="http://schemas.openxmlformats.org/officeDocument/2006/relationships/table" Target="../tables/table38.xml"/><Relationship Id="rId450" Type="http://schemas.openxmlformats.org/officeDocument/2006/relationships/table" Target="../tables/table37.xml"/><Relationship Id="rId455" Type="http://schemas.openxmlformats.org/officeDocument/2006/relationships/table" Target="../tables/table42.xml"/><Relationship Id="rId454" Type="http://schemas.openxmlformats.org/officeDocument/2006/relationships/table" Target="../tables/table41.xml"/><Relationship Id="rId453" Type="http://schemas.openxmlformats.org/officeDocument/2006/relationships/table" Target="../tables/table40.xml"/><Relationship Id="rId452" Type="http://schemas.openxmlformats.org/officeDocument/2006/relationships/table" Target="../tables/table39.xml"/><Relationship Id="rId426" Type="http://schemas.openxmlformats.org/officeDocument/2006/relationships/hyperlink" Target="https://youtu.be/OqxYXrOopxc" TargetMode="External"/><Relationship Id="rId425" Type="http://schemas.openxmlformats.org/officeDocument/2006/relationships/hyperlink" Target="https://youtu.be/NXNDzAbBp2w?si=eFn43gGFI6IxIbQT" TargetMode="External"/><Relationship Id="rId424" Type="http://schemas.openxmlformats.org/officeDocument/2006/relationships/hyperlink" Target="https://youtu.be/jg5k9ywf-1I" TargetMode="External"/><Relationship Id="rId423" Type="http://schemas.openxmlformats.org/officeDocument/2006/relationships/hyperlink" Target="https://www.youtube.com/watch?v=3DwN2RDxcPo" TargetMode="External"/><Relationship Id="rId429" Type="http://schemas.openxmlformats.org/officeDocument/2006/relationships/hyperlink" Target="https://youtu.be/CTF6IRcMya0" TargetMode="External"/><Relationship Id="rId428" Type="http://schemas.openxmlformats.org/officeDocument/2006/relationships/hyperlink" Target="https://www.twitch.tv/videos/987882405" TargetMode="External"/><Relationship Id="rId427" Type="http://schemas.openxmlformats.org/officeDocument/2006/relationships/hyperlink" Target="https://www.twitch.tv/videos/1841255945" TargetMode="External"/><Relationship Id="rId422" Type="http://schemas.openxmlformats.org/officeDocument/2006/relationships/hyperlink" Target="https://www.youtube.com/watch?v=geI-nokU_b8" TargetMode="External"/><Relationship Id="rId421" Type="http://schemas.openxmlformats.org/officeDocument/2006/relationships/hyperlink" Target="https://clips.twitch.tv/GrotesqueAgitatedEyeballPeteZaroll" TargetMode="External"/><Relationship Id="rId420" Type="http://schemas.openxmlformats.org/officeDocument/2006/relationships/hyperlink" Target="https://youtu.be/bp4E5fVK69A?si=trpb3FFvZsRASTlt" TargetMode="External"/><Relationship Id="rId415" Type="http://schemas.openxmlformats.org/officeDocument/2006/relationships/hyperlink" Target="https://clips.twitch.tv/SteamyJoyousFinchVoteYea-cuE_n1DB2HJNqFXi" TargetMode="External"/><Relationship Id="rId414" Type="http://schemas.openxmlformats.org/officeDocument/2006/relationships/hyperlink" Target="https://youtu.be/4NY-h_YXDSk" TargetMode="External"/><Relationship Id="rId413" Type="http://schemas.openxmlformats.org/officeDocument/2006/relationships/hyperlink" Target="https://www.youtube.com/watch?v=3LDgf3IJYiQ" TargetMode="External"/><Relationship Id="rId412" Type="http://schemas.openxmlformats.org/officeDocument/2006/relationships/hyperlink" Target="https://youtu.be/Cvfcc1rdjgY" TargetMode="External"/><Relationship Id="rId419" Type="http://schemas.openxmlformats.org/officeDocument/2006/relationships/hyperlink" Target="https://www.twitch.tv/videos/538922789" TargetMode="External"/><Relationship Id="rId418" Type="http://schemas.openxmlformats.org/officeDocument/2006/relationships/hyperlink" Target="https://www.twitch.tv/videos/991533932" TargetMode="External"/><Relationship Id="rId417" Type="http://schemas.openxmlformats.org/officeDocument/2006/relationships/hyperlink" Target="https://youtu.be/gMuZqHQOJ10" TargetMode="External"/><Relationship Id="rId416" Type="http://schemas.openxmlformats.org/officeDocument/2006/relationships/hyperlink" Target="https://youtu.be/ORhDo64WxW8" TargetMode="External"/><Relationship Id="rId411" Type="http://schemas.openxmlformats.org/officeDocument/2006/relationships/hyperlink" Target="https://www.twitch.tv/videos/1033622780" TargetMode="External"/><Relationship Id="rId410" Type="http://schemas.openxmlformats.org/officeDocument/2006/relationships/hyperlink" Target="https://www.twitch.tv/videos/1033616376" TargetMode="External"/><Relationship Id="rId448" Type="http://schemas.openxmlformats.org/officeDocument/2006/relationships/table" Target="../tables/table35.xml"/><Relationship Id="rId447" Type="http://schemas.openxmlformats.org/officeDocument/2006/relationships/table" Target="../tables/table34.xml"/><Relationship Id="rId446" Type="http://schemas.openxmlformats.org/officeDocument/2006/relationships/table" Target="../tables/table33.xml"/><Relationship Id="rId449" Type="http://schemas.openxmlformats.org/officeDocument/2006/relationships/table" Target="../tables/table36.xml"/><Relationship Id="rId433" Type="http://schemas.openxmlformats.org/officeDocument/2006/relationships/vmlDrawing" Target="../drawings/vmlDrawing5.vml"/><Relationship Id="rId432" Type="http://schemas.openxmlformats.org/officeDocument/2006/relationships/drawing" Target="../drawings/drawing6.xml"/><Relationship Id="rId431" Type="http://schemas.openxmlformats.org/officeDocument/2006/relationships/hyperlink" Target="https://youtu.be/TYxPXYNzxLg" TargetMode="External"/><Relationship Id="rId430" Type="http://schemas.openxmlformats.org/officeDocument/2006/relationships/hyperlink" Target="https://youtu.be/1TLjqVZQXy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MYqTENtXOU" TargetMode="External"/><Relationship Id="rId194" Type="http://schemas.openxmlformats.org/officeDocument/2006/relationships/hyperlink" Target="https://youtu.be/ToJlQqApSE4" TargetMode="External"/><Relationship Id="rId193" Type="http://schemas.openxmlformats.org/officeDocument/2006/relationships/hyperlink" Target="https://youtu.be/M4h-Zmdbkog" TargetMode="External"/><Relationship Id="rId192" Type="http://schemas.openxmlformats.org/officeDocument/2006/relationships/hyperlink" Target="https://youtu.be/drf4UEBSaSA" TargetMode="External"/><Relationship Id="rId191" Type="http://schemas.openxmlformats.org/officeDocument/2006/relationships/hyperlink" Target="https://youtu.be/k9T0r4Nw3fM" TargetMode="External"/><Relationship Id="rId187" Type="http://schemas.openxmlformats.org/officeDocument/2006/relationships/hyperlink" Target="https://youtu.be/J0Xx_PW41tg" TargetMode="External"/><Relationship Id="rId186" Type="http://schemas.openxmlformats.org/officeDocument/2006/relationships/hyperlink" Target="https://youtu.be/07_1_4IXR6o" TargetMode="External"/><Relationship Id="rId185" Type="http://schemas.openxmlformats.org/officeDocument/2006/relationships/hyperlink" Target="https://youtu.be/L-NBJaIyqOQ" TargetMode="External"/><Relationship Id="rId184" Type="http://schemas.openxmlformats.org/officeDocument/2006/relationships/hyperlink" Target="https://youtu.be/qOuv9MIqCBM" TargetMode="External"/><Relationship Id="rId189" Type="http://schemas.openxmlformats.org/officeDocument/2006/relationships/hyperlink" Target="https://youtu.be/fvP8Davf2y0" TargetMode="External"/><Relationship Id="rId188" Type="http://schemas.openxmlformats.org/officeDocument/2006/relationships/hyperlink" Target="https://youtu.be/OJW8A-fSOC0" TargetMode="External"/><Relationship Id="rId183" Type="http://schemas.openxmlformats.org/officeDocument/2006/relationships/hyperlink" Target="https://youtu.be/5EQue4B1fhA" TargetMode="External"/><Relationship Id="rId182" Type="http://schemas.openxmlformats.org/officeDocument/2006/relationships/hyperlink" Target="https://youtu.be/3LxWTO6td8s" TargetMode="External"/><Relationship Id="rId181" Type="http://schemas.openxmlformats.org/officeDocument/2006/relationships/hyperlink" Target="https://youtu.be/RCYPA60Hy5U" TargetMode="External"/><Relationship Id="rId180" Type="http://schemas.openxmlformats.org/officeDocument/2006/relationships/hyperlink" Target="https://youtu.be/yGbJhgBQT_o"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tdCBsekdiaU"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pAiw9qsuug4" TargetMode="External"/><Relationship Id="rId197" Type="http://schemas.openxmlformats.org/officeDocument/2006/relationships/hyperlink" Target="https://youtu.be/Q5hL2yArxAM" TargetMode="External"/><Relationship Id="rId196" Type="http://schemas.openxmlformats.org/officeDocument/2006/relationships/hyperlink" Target="https://youtu.be/5L8pcltH_PU" TargetMode="External"/><Relationship Id="rId195" Type="http://schemas.openxmlformats.org/officeDocument/2006/relationships/hyperlink" Target="https://youtu.be/MBVUpmVfN38" TargetMode="External"/><Relationship Id="rId199" Type="http://schemas.openxmlformats.org/officeDocument/2006/relationships/hyperlink" Target="https://www.youtube.com/watch?v=Bx3tym-qAhI"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2468</v>
      </c>
      <c r="P85" s="94" t="s">
        <v>240</v>
      </c>
      <c r="Q85" s="99"/>
      <c r="R85" s="99"/>
      <c r="S85" s="99"/>
      <c r="T85" s="99"/>
      <c r="U85" s="99"/>
      <c r="V85" s="99"/>
      <c r="W85" s="92"/>
      <c r="X85" s="94" t="s">
        <v>4631</v>
      </c>
      <c r="Y85" s="94"/>
      <c r="Z85" s="94" t="s">
        <v>578</v>
      </c>
      <c r="AA85" s="94" t="s">
        <v>3631</v>
      </c>
      <c r="AB85" s="94" t="s">
        <v>4632</v>
      </c>
      <c r="AC85" s="94" t="s">
        <v>3693</v>
      </c>
      <c r="AD85" s="94" t="s">
        <v>4633</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4634</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4635</v>
      </c>
      <c r="CJ85" s="94" t="s">
        <v>4636</v>
      </c>
      <c r="CK85" s="94"/>
      <c r="CL85" s="94"/>
      <c r="CM85" s="94" t="s">
        <v>3606</v>
      </c>
      <c r="CN85" s="94" t="s">
        <v>2172</v>
      </c>
      <c r="CO85" s="94" t="s">
        <v>4532</v>
      </c>
      <c r="CP85" s="99"/>
      <c r="CQ85" s="99"/>
      <c r="CR85" s="99"/>
      <c r="CS85" s="99"/>
      <c r="CT85" s="99"/>
      <c r="CU85" s="92"/>
      <c r="CV85" s="94" t="s">
        <v>4637</v>
      </c>
      <c r="CW85" s="99"/>
      <c r="CX85" s="94" t="s">
        <v>1972</v>
      </c>
      <c r="CY85" s="88" t="s">
        <v>4638</v>
      </c>
      <c r="CZ85" s="94" t="s">
        <v>4639</v>
      </c>
      <c r="DA85" s="94" t="s">
        <v>3386</v>
      </c>
      <c r="DB85" s="94" t="s">
        <v>4640</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4641</v>
      </c>
      <c r="B86" s="104" t="s">
        <v>4642</v>
      </c>
      <c r="C86" s="105" t="s">
        <v>1256</v>
      </c>
      <c r="D86" s="106" t="s">
        <v>1256</v>
      </c>
      <c r="E86" s="107" t="s">
        <v>1256</v>
      </c>
      <c r="F86" s="108" t="s">
        <v>3098</v>
      </c>
      <c r="G86" s="104" t="s">
        <v>2376</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4645</v>
      </c>
      <c r="CH86" s="264" t="s">
        <v>4646</v>
      </c>
      <c r="CI86" s="132" t="str">
        <f>HYPERLINK("https://clips.twitch.tv/VenomousSavoryOtterPeteZaroll","36.77")</f>
        <v>36.77</v>
      </c>
      <c r="CJ86" s="510" t="str">
        <f>HYPERLINK("https://www.twitch.tv/videos/203127903","1:35.90")</f>
        <v>1:35.90</v>
      </c>
      <c r="CK86" s="511"/>
      <c r="CL86" s="511"/>
      <c r="CM86" s="264" t="s">
        <v>4647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4648</v>
      </c>
      <c r="B87" s="82" t="s">
        <v>4649</v>
      </c>
      <c r="C87" s="83" t="s">
        <v>1256</v>
      </c>
      <c r="D87" s="84" t="s">
        <v>1256</v>
      </c>
      <c r="E87" s="85" t="s">
        <v>1256</v>
      </c>
      <c r="F87" s="86" t="s">
        <v>1256</v>
      </c>
      <c r="G87" s="82" t="s">
        <v>4596</v>
      </c>
      <c r="H87" s="94"/>
      <c r="I87" s="94" t="s">
        <v>3675</v>
      </c>
      <c r="J87" s="94" t="s">
        <v>4650</v>
      </c>
      <c r="K87" s="94" t="s">
        <v>4651</v>
      </c>
      <c r="L87" s="94" t="s">
        <v>4652</v>
      </c>
      <c r="M87" s="99"/>
      <c r="N87" s="94" t="s">
        <v>4653</v>
      </c>
      <c r="O87" s="94" t="s">
        <v>4260</v>
      </c>
      <c r="P87" s="94" t="s">
        <v>4654</v>
      </c>
      <c r="Q87" s="99"/>
      <c r="R87" s="99"/>
      <c r="S87" s="94" t="s">
        <v>1203</v>
      </c>
      <c r="T87" s="99"/>
      <c r="U87" s="94" t="s">
        <v>1862</v>
      </c>
      <c r="V87" s="99"/>
      <c r="W87" s="92"/>
      <c r="X87" s="94" t="s">
        <v>1314</v>
      </c>
      <c r="Y87" s="94"/>
      <c r="Z87" s="94" t="s">
        <v>720</v>
      </c>
      <c r="AA87" s="94" t="s">
        <v>4655</v>
      </c>
      <c r="AB87" s="94" t="s">
        <v>3611</v>
      </c>
      <c r="AC87" s="94" t="s">
        <v>1781</v>
      </c>
      <c r="AD87" s="94" t="s">
        <v>1732</v>
      </c>
      <c r="AE87" s="99"/>
      <c r="AF87" s="94" t="s">
        <v>3146</v>
      </c>
      <c r="AG87" s="99"/>
      <c r="AH87" s="99"/>
      <c r="AI87" s="94"/>
      <c r="AJ87" s="94" t="s">
        <v>3140</v>
      </c>
      <c r="AK87" s="99"/>
      <c r="AL87" s="97"/>
      <c r="AM87" s="99"/>
      <c r="AN87" s="94" t="s">
        <v>4245</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1423</v>
      </c>
      <c r="BF87" s="94" t="s">
        <v>1509</v>
      </c>
      <c r="BG87" s="99"/>
      <c r="BH87" s="99"/>
      <c r="BI87" s="94" t="s">
        <v>1172</v>
      </c>
      <c r="BJ87" s="94" t="s">
        <v>4659</v>
      </c>
      <c r="BK87" s="94"/>
      <c r="BL87" s="99"/>
      <c r="BM87" s="99"/>
      <c r="BN87" s="94" t="s">
        <v>3688</v>
      </c>
      <c r="BO87" s="99"/>
      <c r="BP87" s="99"/>
      <c r="BQ87" s="236"/>
      <c r="BR87" s="94" t="s">
        <v>4660</v>
      </c>
      <c r="BS87" s="94" t="s">
        <v>3682</v>
      </c>
      <c r="BT87" s="94" t="s">
        <v>2307</v>
      </c>
      <c r="BU87" s="94" t="s">
        <v>4661</v>
      </c>
      <c r="BV87" s="94" t="s">
        <v>244</v>
      </c>
      <c r="BW87" s="94" t="s">
        <v>3855</v>
      </c>
      <c r="BX87" s="99"/>
      <c r="BY87" s="94" t="s">
        <v>2452</v>
      </c>
      <c r="BZ87" s="94" t="s">
        <v>4662</v>
      </c>
      <c r="CA87" s="94"/>
      <c r="CB87" s="99"/>
      <c r="CC87" s="94" t="s">
        <v>1480</v>
      </c>
      <c r="CD87" s="94" t="s">
        <v>144</v>
      </c>
      <c r="CE87" s="99"/>
      <c r="CF87" s="236"/>
      <c r="CG87" s="94" t="s">
        <v>3231</v>
      </c>
      <c r="CH87" s="94" t="s">
        <v>509</v>
      </c>
      <c r="CI87" s="513"/>
      <c r="CJ87" s="94" t="s">
        <v>4663</v>
      </c>
      <c r="CK87" s="94"/>
      <c r="CL87" s="94"/>
      <c r="CM87" s="94" t="s">
        <v>4664</v>
      </c>
      <c r="CN87" s="94" t="s">
        <v>2188</v>
      </c>
      <c r="CO87" s="99"/>
      <c r="CP87" s="99"/>
      <c r="CQ87" s="99"/>
      <c r="CR87" s="94"/>
      <c r="CS87" s="94" t="s">
        <v>4665</v>
      </c>
      <c r="CT87" s="99"/>
      <c r="CU87" s="92"/>
      <c r="CV87" s="94" t="s">
        <v>3860</v>
      </c>
      <c r="CW87" s="99"/>
      <c r="CX87" s="94" t="s">
        <v>4616</v>
      </c>
      <c r="CY87" s="94" t="s">
        <v>4666</v>
      </c>
      <c r="CZ87" s="94" t="s">
        <v>4350</v>
      </c>
      <c r="DA87" s="99"/>
      <c r="DB87" s="94" t="s">
        <v>4667</v>
      </c>
      <c r="DC87" s="94" t="s">
        <v>4668</v>
      </c>
      <c r="DD87" s="99"/>
      <c r="DE87" s="94" t="s">
        <v>2279</v>
      </c>
      <c r="DF87" s="99"/>
      <c r="DG87" s="99"/>
      <c r="DH87" s="236"/>
      <c r="DI87" s="99"/>
      <c r="DJ87" s="99"/>
      <c r="DK87" s="99"/>
      <c r="DL87" s="99"/>
      <c r="DM87" s="94" t="s">
        <v>1779</v>
      </c>
      <c r="DN87" s="99"/>
      <c r="DO87" s="99"/>
      <c r="DP87" s="99"/>
      <c r="DQ87" s="99"/>
      <c r="DR87" s="99"/>
      <c r="DS87" s="99"/>
      <c r="DT87" s="94" t="s">
        <v>4669</v>
      </c>
      <c r="DU87" s="99"/>
      <c r="DV87" s="99"/>
      <c r="DW87" s="94" t="s">
        <v>4670</v>
      </c>
      <c r="DX87" s="99"/>
      <c r="DY87" s="99"/>
      <c r="DZ87" s="94" t="s">
        <v>1671</v>
      </c>
      <c r="EA87" s="94" t="s">
        <v>4671</v>
      </c>
      <c r="EB87" s="99"/>
      <c r="EC87" s="99"/>
      <c r="ED87" s="261"/>
    </row>
    <row r="88">
      <c r="A88" s="426" t="s">
        <v>4672</v>
      </c>
      <c r="B88" s="104" t="s">
        <v>4673</v>
      </c>
      <c r="C88" s="105" t="s">
        <v>1256</v>
      </c>
      <c r="D88" s="106" t="s">
        <v>437</v>
      </c>
      <c r="E88" s="107" t="s">
        <v>1256</v>
      </c>
      <c r="F88" s="108" t="s">
        <v>4674</v>
      </c>
      <c r="G88" s="104" t="s">
        <v>2089</v>
      </c>
      <c r="H88" s="112" t="s">
        <v>3682</v>
      </c>
      <c r="I88" s="427"/>
      <c r="J88" s="419" t="s">
        <v>4675</v>
      </c>
      <c r="K88" s="112" t="s">
        <v>987</v>
      </c>
      <c r="L88" s="112" t="s">
        <v>2200</v>
      </c>
      <c r="M88" s="112" t="s">
        <v>4676</v>
      </c>
      <c r="N88" s="419"/>
      <c r="O88" s="419" t="s">
        <v>108</v>
      </c>
      <c r="P88" s="112" t="s">
        <v>556</v>
      </c>
      <c r="Q88" s="112" t="s">
        <v>4677</v>
      </c>
      <c r="R88" s="112" t="s">
        <v>4005</v>
      </c>
      <c r="S88" s="243"/>
      <c r="T88" s="112" t="s">
        <v>4678</v>
      </c>
      <c r="U88" s="243"/>
      <c r="V88" s="112" t="s">
        <v>4679</v>
      </c>
      <c r="W88" s="92"/>
      <c r="X88" s="117"/>
      <c r="Y88" s="117"/>
      <c r="Z88" s="117" t="s">
        <v>2763</v>
      </c>
      <c r="AA88" s="116" t="s">
        <v>322</v>
      </c>
      <c r="AB88" s="295"/>
      <c r="AC88" s="117" t="s">
        <v>1051</v>
      </c>
      <c r="AD88" s="116" t="s">
        <v>4680</v>
      </c>
      <c r="AE88" s="198" t="s">
        <v>4681</v>
      </c>
      <c r="AF88" s="116" t="s">
        <v>2281</v>
      </c>
      <c r="AG88" s="116" t="s">
        <v>1277</v>
      </c>
      <c r="AH88" s="116" t="s">
        <v>4682</v>
      </c>
      <c r="AI88" s="116" t="s">
        <v>1828</v>
      </c>
      <c r="AJ88" s="116" t="s">
        <v>1828</v>
      </c>
      <c r="AK88" s="116" t="s">
        <v>4683</v>
      </c>
      <c r="AL88" s="97"/>
      <c r="AM88" s="124"/>
      <c r="AN88" s="124"/>
      <c r="AO88" s="247"/>
      <c r="AP88" s="247"/>
      <c r="AQ88" s="168"/>
      <c r="AR88" s="168"/>
      <c r="AS88" s="247"/>
      <c r="AT88" s="247"/>
      <c r="AU88" s="124" t="s">
        <v>363</v>
      </c>
      <c r="AV88" s="121" t="s">
        <v>4684</v>
      </c>
      <c r="AW88" s="124"/>
      <c r="AX88" s="121" t="s">
        <v>1752</v>
      </c>
      <c r="AY88" s="121" t="s">
        <v>1752</v>
      </c>
      <c r="AZ88" s="170"/>
      <c r="BA88" s="247"/>
      <c r="BB88" s="353"/>
      <c r="BC88" s="353"/>
      <c r="BD88" s="353"/>
      <c r="BE88" s="126" t="s">
        <v>1454</v>
      </c>
      <c r="BF88" s="353"/>
      <c r="BG88" s="126" t="s">
        <v>4685</v>
      </c>
      <c r="BH88" s="173"/>
      <c r="BI88" s="353"/>
      <c r="BJ88" s="173"/>
      <c r="BK88" s="353" t="s">
        <v>4686</v>
      </c>
      <c r="BL88" s="127" t="s">
        <v>4687</v>
      </c>
      <c r="BM88" s="173"/>
      <c r="BN88" s="126" t="s">
        <v>3874</v>
      </c>
      <c r="BO88" s="126" t="s">
        <v>4688</v>
      </c>
      <c r="BP88" s="173"/>
      <c r="BQ88" s="249"/>
      <c r="BR88" s="131"/>
      <c r="BS88" s="131"/>
      <c r="BT88" s="129" t="s">
        <v>4689</v>
      </c>
      <c r="BU88" s="131"/>
      <c r="BV88" s="131"/>
      <c r="BW88" s="131"/>
      <c r="BX88" s="253"/>
      <c r="BY88" s="131" t="s">
        <v>4690</v>
      </c>
      <c r="BZ88" s="131" t="s">
        <v>4151</v>
      </c>
      <c r="CA88" s="131"/>
      <c r="CB88" s="253"/>
      <c r="CC88" s="129" t="s">
        <v>4691</v>
      </c>
      <c r="CD88" s="253"/>
      <c r="CE88" s="253"/>
      <c r="CF88" s="254"/>
      <c r="CG88" s="135" t="s">
        <v>1389</v>
      </c>
      <c r="CH88" s="135" t="s">
        <v>2355</v>
      </c>
      <c r="CI88" s="135" t="s">
        <v>1657</v>
      </c>
      <c r="CJ88" s="136"/>
      <c r="CK88" s="136"/>
      <c r="CL88" s="136"/>
      <c r="CM88" s="136"/>
      <c r="CN88" s="135" t="s">
        <v>1694</v>
      </c>
      <c r="CO88" s="135" t="s">
        <v>3942</v>
      </c>
      <c r="CP88" s="429"/>
      <c r="CQ88" s="256"/>
      <c r="CR88" s="232" t="s">
        <v>4692</v>
      </c>
      <c r="CS88" s="135" t="s">
        <v>2069</v>
      </c>
      <c r="CT88" s="256"/>
      <c r="CU88" s="92"/>
      <c r="CV88" s="285"/>
      <c r="CW88" s="285"/>
      <c r="CX88" s="140" t="s">
        <v>4693</v>
      </c>
      <c r="CY88" s="140" t="s">
        <v>2208</v>
      </c>
      <c r="CZ88" s="285"/>
      <c r="DA88" s="285"/>
      <c r="DB88" s="140" t="s">
        <v>4213</v>
      </c>
      <c r="DC88" s="140" t="s">
        <v>3833</v>
      </c>
      <c r="DD88" s="140" t="s">
        <v>4694</v>
      </c>
      <c r="DE88" s="140" t="s">
        <v>4695</v>
      </c>
      <c r="DF88" s="257"/>
      <c r="DG88" s="257"/>
      <c r="DH88" s="258"/>
      <c r="DI88" s="206"/>
      <c r="DJ88" s="259"/>
      <c r="DK88" s="259"/>
      <c r="DL88" s="206"/>
      <c r="DM88" s="206"/>
      <c r="DN88" s="206"/>
      <c r="DO88" s="259"/>
      <c r="DP88" s="259"/>
      <c r="DQ88" s="259"/>
      <c r="DR88" s="206"/>
      <c r="DS88" s="206"/>
      <c r="DT88" s="259"/>
      <c r="DU88" s="206"/>
      <c r="DV88" s="259"/>
      <c r="DW88" s="259"/>
      <c r="DX88" s="145" t="s">
        <v>4696</v>
      </c>
      <c r="DY88" s="259"/>
      <c r="DZ88" s="259"/>
      <c r="EA88" s="206"/>
      <c r="EB88" s="259"/>
      <c r="EC88" s="259"/>
      <c r="ED88" s="287"/>
    </row>
    <row r="89">
      <c r="A89" s="81" t="s">
        <v>4697</v>
      </c>
      <c r="B89" s="82" t="s">
        <v>4698</v>
      </c>
      <c r="C89" s="83" t="s">
        <v>1256</v>
      </c>
      <c r="D89" s="84" t="s">
        <v>1256</v>
      </c>
      <c r="E89" s="85" t="s">
        <v>1256</v>
      </c>
      <c r="F89" s="86" t="s">
        <v>647</v>
      </c>
      <c r="G89" s="82" t="s">
        <v>3869</v>
      </c>
      <c r="H89" s="94" t="s">
        <v>4699</v>
      </c>
      <c r="I89" s="94" t="s">
        <v>4130</v>
      </c>
      <c r="J89" s="94" t="s">
        <v>4322</v>
      </c>
      <c r="K89" s="94" t="s">
        <v>1952</v>
      </c>
      <c r="L89" s="94" t="s">
        <v>1080</v>
      </c>
      <c r="M89" s="94" t="s">
        <v>4700</v>
      </c>
      <c r="N89" s="94" t="s">
        <v>4701</v>
      </c>
      <c r="O89" s="94" t="s">
        <v>923</v>
      </c>
      <c r="P89" s="94" t="s">
        <v>4702</v>
      </c>
      <c r="Q89" s="99"/>
      <c r="R89" s="99"/>
      <c r="S89" s="94" t="s">
        <v>4703</v>
      </c>
      <c r="T89" s="94"/>
      <c r="U89" s="94" t="s">
        <v>4704</v>
      </c>
      <c r="V89" s="99"/>
      <c r="W89" s="92"/>
      <c r="X89" s="94" t="s">
        <v>4705</v>
      </c>
      <c r="Y89" s="94"/>
      <c r="Z89" s="94" t="s">
        <v>3911</v>
      </c>
      <c r="AA89" s="94" t="s">
        <v>4706</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4707</v>
      </c>
      <c r="BC89" s="94" t="s">
        <v>148</v>
      </c>
      <c r="BD89" s="94" t="s">
        <v>2705</v>
      </c>
      <c r="BE89" s="94" t="s">
        <v>4708</v>
      </c>
      <c r="BF89" s="94" t="s">
        <v>3387</v>
      </c>
      <c r="BG89" s="94"/>
      <c r="BH89" s="99"/>
      <c r="BI89" s="94" t="s">
        <v>1905</v>
      </c>
      <c r="BJ89" s="94" t="s">
        <v>4709</v>
      </c>
      <c r="BK89" s="94"/>
      <c r="BL89" s="94" t="s">
        <v>2535</v>
      </c>
      <c r="BM89" s="94" t="s">
        <v>4710</v>
      </c>
      <c r="BN89" s="94" t="s">
        <v>3688</v>
      </c>
      <c r="BO89" s="99"/>
      <c r="BP89" s="99"/>
      <c r="BQ89" s="236"/>
      <c r="BR89" s="94"/>
      <c r="BS89" s="94" t="s">
        <v>2214</v>
      </c>
      <c r="BT89" s="94" t="s">
        <v>4462</v>
      </c>
      <c r="BU89" s="88" t="s">
        <v>887</v>
      </c>
      <c r="BV89" s="94" t="s">
        <v>4711</v>
      </c>
      <c r="BW89" s="88" t="s">
        <v>162</v>
      </c>
      <c r="BX89" s="94" t="s">
        <v>3408</v>
      </c>
      <c r="BY89" s="94" t="s">
        <v>4712</v>
      </c>
      <c r="BZ89" s="99"/>
      <c r="CA89" s="88" t="s">
        <v>1237</v>
      </c>
      <c r="CB89" s="94" t="s">
        <v>4713</v>
      </c>
      <c r="CC89" s="94" t="s">
        <v>4714</v>
      </c>
      <c r="CD89" s="94" t="s">
        <v>590</v>
      </c>
      <c r="CE89" s="99"/>
      <c r="CF89" s="236"/>
      <c r="CG89" s="94" t="s">
        <v>4715</v>
      </c>
      <c r="CH89" s="94" t="s">
        <v>3337</v>
      </c>
      <c r="CI89" s="94" t="s">
        <v>3493</v>
      </c>
      <c r="CJ89" s="94" t="s">
        <v>4716</v>
      </c>
      <c r="CK89" s="94"/>
      <c r="CL89" s="94"/>
      <c r="CM89" s="94" t="s">
        <v>4717</v>
      </c>
      <c r="CN89" s="94" t="s">
        <v>3838</v>
      </c>
      <c r="CO89" s="94" t="s">
        <v>109</v>
      </c>
      <c r="CP89" s="99"/>
      <c r="CQ89" s="99"/>
      <c r="CR89" s="99"/>
      <c r="CS89" s="94" t="s">
        <v>4718</v>
      </c>
      <c r="CT89" s="99"/>
      <c r="CU89" s="92"/>
      <c r="CV89" s="94" t="s">
        <v>2553</v>
      </c>
      <c r="CW89" s="94" t="s">
        <v>4719</v>
      </c>
      <c r="CX89" s="94" t="s">
        <v>4720</v>
      </c>
      <c r="CY89" s="94" t="s">
        <v>508</v>
      </c>
      <c r="CZ89" s="94" t="s">
        <v>4721</v>
      </c>
      <c r="DA89" s="94" t="s">
        <v>1082</v>
      </c>
      <c r="DB89" s="94" t="s">
        <v>4722</v>
      </c>
      <c r="DC89" s="94" t="s">
        <v>363</v>
      </c>
      <c r="DD89" s="99"/>
      <c r="DE89" s="99"/>
      <c r="DF89" s="99"/>
      <c r="DG89" s="99"/>
      <c r="DH89" s="236"/>
      <c r="DI89" s="99"/>
      <c r="DJ89" s="99"/>
      <c r="DK89" s="99"/>
      <c r="DL89" s="99"/>
      <c r="DM89" s="94" t="s">
        <v>510</v>
      </c>
      <c r="DN89" s="99"/>
      <c r="DO89" s="99"/>
      <c r="DP89" s="99"/>
      <c r="DQ89" s="99"/>
      <c r="DR89" s="94"/>
      <c r="DS89" s="94" t="s">
        <v>2961</v>
      </c>
      <c r="DT89" s="99"/>
      <c r="DU89" s="94" t="s">
        <v>4723</v>
      </c>
      <c r="DV89" s="94" t="s">
        <v>4724</v>
      </c>
      <c r="DW89" s="94" t="s">
        <v>3428</v>
      </c>
      <c r="DX89" s="99"/>
      <c r="DY89" s="99"/>
      <c r="DZ89" s="94" t="s">
        <v>4516</v>
      </c>
      <c r="EA89" s="94" t="s">
        <v>1317</v>
      </c>
      <c r="EB89" s="99"/>
      <c r="EC89" s="99"/>
      <c r="ED89" s="261"/>
    </row>
    <row r="90">
      <c r="A90" s="514" t="s">
        <v>4725</v>
      </c>
      <c r="B90" s="515" t="s">
        <v>4726</v>
      </c>
      <c r="C90" s="516" t="s">
        <v>1256</v>
      </c>
      <c r="D90" s="517" t="s">
        <v>1256</v>
      </c>
      <c r="E90" s="518" t="s">
        <v>1256</v>
      </c>
      <c r="F90" s="519" t="s">
        <v>2994</v>
      </c>
      <c r="G90" s="515" t="s">
        <v>1348</v>
      </c>
      <c r="H90" s="520" t="s">
        <v>4727</v>
      </c>
      <c r="I90" s="521" t="s">
        <v>4728</v>
      </c>
      <c r="J90" s="520" t="s">
        <v>4729</v>
      </c>
      <c r="K90" s="520" t="s">
        <v>2162</v>
      </c>
      <c r="L90" s="520" t="s">
        <v>2942</v>
      </c>
      <c r="M90" s="520" t="s">
        <v>4730</v>
      </c>
      <c r="N90" s="521" t="s">
        <v>4731</v>
      </c>
      <c r="O90" s="520" t="s">
        <v>372</v>
      </c>
      <c r="P90" s="522" t="s">
        <v>4732</v>
      </c>
      <c r="Q90" s="522" t="s">
        <v>4733</v>
      </c>
      <c r="R90" s="522" t="s">
        <v>2523</v>
      </c>
      <c r="S90" s="522" t="s">
        <v>3609</v>
      </c>
      <c r="T90" s="522" t="s">
        <v>1265</v>
      </c>
      <c r="U90" s="522" t="s">
        <v>4734</v>
      </c>
      <c r="V90" s="520" t="s">
        <v>4735</v>
      </c>
      <c r="W90" s="523"/>
      <c r="X90" s="524" t="s">
        <v>2967</v>
      </c>
      <c r="Y90" s="524"/>
      <c r="Z90" s="524" t="s">
        <v>4736</v>
      </c>
      <c r="AA90" s="525" t="s">
        <v>510</v>
      </c>
      <c r="AB90" s="525" t="s">
        <v>629</v>
      </c>
      <c r="AC90" s="524" t="s">
        <v>2298</v>
      </c>
      <c r="AD90" s="525" t="s">
        <v>4737</v>
      </c>
      <c r="AE90" s="524"/>
      <c r="AF90" s="524" t="s">
        <v>4738</v>
      </c>
      <c r="AG90" s="526" t="s">
        <v>4739</v>
      </c>
      <c r="AH90" s="524" t="s">
        <v>3625</v>
      </c>
      <c r="AI90" s="527" t="s">
        <v>1400</v>
      </c>
      <c r="AJ90" s="116" t="s">
        <v>2209</v>
      </c>
      <c r="AK90" s="527" t="s">
        <v>4740</v>
      </c>
      <c r="AL90" s="528"/>
      <c r="AM90" s="529" t="s">
        <v>3436</v>
      </c>
      <c r="AN90" s="529" t="s">
        <v>1304</v>
      </c>
      <c r="AO90" s="529" t="s">
        <v>4741</v>
      </c>
      <c r="AP90" s="530" t="s">
        <v>2998</v>
      </c>
      <c r="AQ90" s="530" t="s">
        <v>134</v>
      </c>
      <c r="AR90" s="530" t="s">
        <v>1931</v>
      </c>
      <c r="AS90" s="529" t="s">
        <v>4742</v>
      </c>
      <c r="AT90" s="530" t="s">
        <v>4743</v>
      </c>
      <c r="AU90" s="530" t="s">
        <v>3154</v>
      </c>
      <c r="AV90" s="531" t="s">
        <v>2536</v>
      </c>
      <c r="AW90" s="529" t="s">
        <v>3269</v>
      </c>
      <c r="AX90" s="530" t="s">
        <v>261</v>
      </c>
      <c r="AY90" s="530" t="s">
        <v>750</v>
      </c>
      <c r="AZ90" s="530" t="s">
        <v>4744</v>
      </c>
      <c r="BA90" s="532"/>
      <c r="BB90" s="533" t="s">
        <v>4745</v>
      </c>
      <c r="BC90" s="534" t="s">
        <v>4746</v>
      </c>
      <c r="BD90" s="533" t="s">
        <v>616</v>
      </c>
      <c r="BE90" s="535" t="s">
        <v>141</v>
      </c>
      <c r="BF90" s="533" t="s">
        <v>4747</v>
      </c>
      <c r="BG90" s="533" t="s">
        <v>4748</v>
      </c>
      <c r="BH90" s="533" t="s">
        <v>4378</v>
      </c>
      <c r="BI90" s="533" t="s">
        <v>2473</v>
      </c>
      <c r="BJ90" s="533" t="s">
        <v>4749</v>
      </c>
      <c r="BK90" s="174"/>
      <c r="BL90" s="535" t="s">
        <v>2499</v>
      </c>
      <c r="BM90" s="536"/>
      <c r="BN90" s="536"/>
      <c r="BO90" s="536"/>
      <c r="BP90" s="536"/>
      <c r="BQ90" s="537"/>
      <c r="BR90" s="538"/>
      <c r="BS90" s="539" t="s">
        <v>4750</v>
      </c>
      <c r="BT90" s="540" t="s">
        <v>4751</v>
      </c>
      <c r="BU90" s="539" t="s">
        <v>2850</v>
      </c>
      <c r="BV90" s="540" t="s">
        <v>4378</v>
      </c>
      <c r="BW90" s="540" t="s">
        <v>4752</v>
      </c>
      <c r="BX90" s="540" t="s">
        <v>4753</v>
      </c>
      <c r="BY90" s="541" t="s">
        <v>4754</v>
      </c>
      <c r="BZ90" s="538"/>
      <c r="CA90" s="542" t="s">
        <v>4755</v>
      </c>
      <c r="CB90" s="538"/>
      <c r="CC90" s="538"/>
      <c r="CD90" s="538"/>
      <c r="CE90" s="538"/>
      <c r="CF90" s="543"/>
      <c r="CG90" s="544" t="s">
        <v>4756</v>
      </c>
      <c r="CH90" s="545" t="s">
        <v>817</v>
      </c>
      <c r="CI90" s="546" t="s">
        <v>4682</v>
      </c>
      <c r="CJ90" s="545" t="s">
        <v>4757</v>
      </c>
      <c r="CK90" s="545"/>
      <c r="CL90" s="545" t="s">
        <v>2177</v>
      </c>
      <c r="CM90" s="545" t="s">
        <v>4758</v>
      </c>
      <c r="CN90" s="545" t="s">
        <v>1061</v>
      </c>
      <c r="CO90" s="546" t="s">
        <v>3608</v>
      </c>
      <c r="CP90" s="545"/>
      <c r="CQ90" s="546" t="s">
        <v>3275</v>
      </c>
      <c r="CR90" s="546" t="s">
        <v>4759</v>
      </c>
      <c r="CS90" s="547"/>
      <c r="CT90" s="547"/>
      <c r="CU90" s="523"/>
      <c r="CV90" s="548" t="s">
        <v>4564</v>
      </c>
      <c r="CW90" s="549" t="s">
        <v>2143</v>
      </c>
      <c r="CX90" s="550" t="s">
        <v>4760</v>
      </c>
      <c r="CY90" s="549" t="s">
        <v>4761</v>
      </c>
      <c r="CZ90" s="550" t="s">
        <v>4762</v>
      </c>
      <c r="DA90" s="548" t="s">
        <v>2132</v>
      </c>
      <c r="DB90" s="551" t="s">
        <v>4763</v>
      </c>
      <c r="DC90" s="552" t="s">
        <v>1055</v>
      </c>
      <c r="DD90" s="553"/>
      <c r="DE90" s="553"/>
      <c r="DF90" s="553"/>
      <c r="DG90" s="553"/>
      <c r="DH90" s="554"/>
      <c r="DI90" s="555" t="s">
        <v>3905</v>
      </c>
      <c r="DJ90" s="556"/>
      <c r="DK90" s="555" t="s">
        <v>4764</v>
      </c>
      <c r="DL90" s="555"/>
      <c r="DM90" s="557" t="s">
        <v>4765</v>
      </c>
      <c r="DN90" s="555" t="s">
        <v>4766</v>
      </c>
      <c r="DO90" s="555" t="s">
        <v>4767</v>
      </c>
      <c r="DP90" s="555" t="s">
        <v>2015</v>
      </c>
      <c r="DQ90" s="555" t="s">
        <v>4768</v>
      </c>
      <c r="DR90" s="555" t="s">
        <v>4769</v>
      </c>
      <c r="DS90" s="558" t="s">
        <v>4770</v>
      </c>
      <c r="DT90" s="555" t="s">
        <v>3349</v>
      </c>
      <c r="DU90" s="555" t="s">
        <v>4771</v>
      </c>
      <c r="DV90" s="559"/>
      <c r="DW90" s="557" t="s">
        <v>1626</v>
      </c>
      <c r="DX90" s="556"/>
      <c r="DY90" s="557" t="s">
        <v>3126</v>
      </c>
      <c r="DZ90" s="555" t="s">
        <v>2827</v>
      </c>
      <c r="EA90" s="559"/>
      <c r="EB90" s="555" t="s">
        <v>1026</v>
      </c>
      <c r="EC90" s="559"/>
      <c r="ED90" s="142" t="s">
        <v>4772</v>
      </c>
    </row>
    <row r="91">
      <c r="A91" s="560" t="s">
        <v>4773</v>
      </c>
      <c r="B91" s="82" t="s">
        <v>4774</v>
      </c>
      <c r="C91" s="83" t="s">
        <v>1256</v>
      </c>
      <c r="D91" s="84" t="s">
        <v>1256</v>
      </c>
      <c r="E91" s="85" t="s">
        <v>1256</v>
      </c>
      <c r="F91" s="86" t="s">
        <v>4775</v>
      </c>
      <c r="G91" s="82" t="s">
        <v>4776</v>
      </c>
      <c r="H91" s="99"/>
      <c r="I91" s="88" t="s">
        <v>2518</v>
      </c>
      <c r="J91" s="88" t="s">
        <v>2218</v>
      </c>
      <c r="K91" s="88" t="s">
        <v>1952</v>
      </c>
      <c r="L91" s="88" t="s">
        <v>1093</v>
      </c>
      <c r="M91" s="88" t="s">
        <v>4777</v>
      </c>
      <c r="N91" s="88" t="s">
        <v>4778</v>
      </c>
      <c r="O91" s="88" t="s">
        <v>1445</v>
      </c>
      <c r="P91" s="88" t="s">
        <v>556</v>
      </c>
      <c r="Q91" s="99"/>
      <c r="R91" s="99"/>
      <c r="S91" s="99"/>
      <c r="T91" s="99"/>
      <c r="U91" s="99"/>
      <c r="V91" s="99"/>
      <c r="W91" s="92"/>
      <c r="X91" s="88" t="s">
        <v>4779</v>
      </c>
      <c r="Y91" s="99"/>
      <c r="Z91" s="99"/>
      <c r="AA91" s="88" t="s">
        <v>4780</v>
      </c>
      <c r="AB91" s="88" t="s">
        <v>4781</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4782</v>
      </c>
      <c r="BD91" s="88" t="s">
        <v>2217</v>
      </c>
      <c r="BE91" s="88" t="s">
        <v>4783</v>
      </c>
      <c r="BF91" s="88" t="s">
        <v>2165</v>
      </c>
      <c r="BG91" s="99"/>
      <c r="BH91" s="99"/>
      <c r="BI91" s="88" t="s">
        <v>610</v>
      </c>
      <c r="BJ91" s="99"/>
      <c r="BK91" s="88" t="s">
        <v>4784</v>
      </c>
      <c r="BL91" s="88" t="s">
        <v>2609</v>
      </c>
      <c r="BM91" s="99"/>
      <c r="BN91" s="99"/>
      <c r="BO91" s="99"/>
      <c r="BP91" s="99"/>
      <c r="BQ91" s="236"/>
      <c r="BR91" s="88" t="s">
        <v>4785</v>
      </c>
      <c r="BS91" s="88" t="s">
        <v>2241</v>
      </c>
      <c r="BT91" s="88" t="s">
        <v>3644</v>
      </c>
      <c r="BU91" s="88" t="s">
        <v>4786</v>
      </c>
      <c r="BV91" s="99"/>
      <c r="BW91" s="88" t="s">
        <v>977</v>
      </c>
      <c r="BX91" s="94" t="s">
        <v>4787</v>
      </c>
      <c r="BY91" s="99"/>
      <c r="BZ91" s="88" t="s">
        <v>4788</v>
      </c>
      <c r="CA91" s="88" t="s">
        <v>1340</v>
      </c>
      <c r="CB91" s="99"/>
      <c r="CC91" s="99"/>
      <c r="CD91" s="99"/>
      <c r="CE91" s="99"/>
      <c r="CF91" s="236"/>
      <c r="CG91" s="99"/>
      <c r="CH91" s="88" t="s">
        <v>755</v>
      </c>
      <c r="CI91" s="99"/>
      <c r="CJ91" s="94" t="s">
        <v>4789</v>
      </c>
      <c r="CK91" s="94"/>
      <c r="CL91" s="94"/>
      <c r="CM91" s="99"/>
      <c r="CN91" s="88" t="s">
        <v>3520</v>
      </c>
      <c r="CO91" s="88" t="s">
        <v>2673</v>
      </c>
      <c r="CP91" s="99"/>
      <c r="CQ91" s="99"/>
      <c r="CR91" s="99"/>
      <c r="CS91" s="99"/>
      <c r="CT91" s="99"/>
      <c r="CU91" s="92"/>
      <c r="CV91" s="88" t="s">
        <v>4790</v>
      </c>
      <c r="CW91" s="421" t="str">
        <f>HYPERLINK("https://youtu.be/E3G9EWGMU-8?t=986", "14.55")</f>
        <v>14.55</v>
      </c>
      <c r="CX91" s="88" t="s">
        <v>3568</v>
      </c>
      <c r="CY91" s="88" t="s">
        <v>4791</v>
      </c>
      <c r="CZ91" s="88" t="s">
        <v>623</v>
      </c>
      <c r="DA91" s="99"/>
      <c r="DB91" s="88" t="s">
        <v>4792</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4793</v>
      </c>
      <c r="EB91" s="88" t="s">
        <v>2803</v>
      </c>
      <c r="EC91" s="99"/>
      <c r="ED91" s="98" t="s">
        <v>1721</v>
      </c>
    </row>
    <row r="92">
      <c r="A92" s="166" t="s">
        <v>4794</v>
      </c>
      <c r="B92" s="104" t="s">
        <v>4795</v>
      </c>
      <c r="C92" s="105" t="s">
        <v>1256</v>
      </c>
      <c r="D92" s="106" t="s">
        <v>1256</v>
      </c>
      <c r="E92" s="107" t="s">
        <v>1256</v>
      </c>
      <c r="F92" s="108" t="s">
        <v>1197</v>
      </c>
      <c r="G92" s="104" t="s">
        <v>1812</v>
      </c>
      <c r="H92" s="167" t="s">
        <v>3466</v>
      </c>
      <c r="I92" s="167" t="s">
        <v>4796</v>
      </c>
      <c r="J92" s="167" t="s">
        <v>1364</v>
      </c>
      <c r="K92" s="167" t="s">
        <v>4599</v>
      </c>
      <c r="L92" s="167" t="s">
        <v>4797</v>
      </c>
      <c r="M92" s="243"/>
      <c r="N92" s="167" t="s">
        <v>2243</v>
      </c>
      <c r="O92" s="167" t="s">
        <v>4412</v>
      </c>
      <c r="P92" s="167" t="s">
        <v>4798</v>
      </c>
      <c r="Q92" s="167" t="s">
        <v>2820</v>
      </c>
      <c r="R92" s="243"/>
      <c r="S92" s="167" t="s">
        <v>196</v>
      </c>
      <c r="T92" s="243"/>
      <c r="U92" s="243"/>
      <c r="V92" s="167" t="s">
        <v>4799</v>
      </c>
      <c r="W92" s="92"/>
      <c r="X92" s="198" t="s">
        <v>4800</v>
      </c>
      <c r="Y92" s="198"/>
      <c r="Z92" s="198" t="s">
        <v>4801</v>
      </c>
      <c r="AA92" s="198" t="s">
        <v>240</v>
      </c>
      <c r="AB92" s="198" t="s">
        <v>4802</v>
      </c>
      <c r="AC92" s="198" t="s">
        <v>4803</v>
      </c>
      <c r="AD92" s="198" t="s">
        <v>3009</v>
      </c>
      <c r="AE92" s="198" t="s">
        <v>4476</v>
      </c>
      <c r="AF92" s="198" t="s">
        <v>1382</v>
      </c>
      <c r="AG92" s="198" t="s">
        <v>4373</v>
      </c>
      <c r="AH92" s="198" t="s">
        <v>1339</v>
      </c>
      <c r="AI92" s="198"/>
      <c r="AJ92" s="116" t="s">
        <v>4804</v>
      </c>
      <c r="AK92" s="198" t="s">
        <v>4805</v>
      </c>
      <c r="AL92" s="97"/>
      <c r="AM92" s="168" t="s">
        <v>3732</v>
      </c>
      <c r="AN92" s="168" t="s">
        <v>390</v>
      </c>
      <c r="AO92" s="168" t="s">
        <v>4806</v>
      </c>
      <c r="AP92" s="168" t="s">
        <v>4807</v>
      </c>
      <c r="AQ92" s="168" t="s">
        <v>1572</v>
      </c>
      <c r="AR92" s="168"/>
      <c r="AS92" s="168" t="s">
        <v>1530</v>
      </c>
      <c r="AT92" s="168" t="s">
        <v>1885</v>
      </c>
      <c r="AU92" s="168" t="s">
        <v>2482</v>
      </c>
      <c r="AV92" s="121" t="s">
        <v>4808</v>
      </c>
      <c r="AW92" s="168" t="s">
        <v>1711</v>
      </c>
      <c r="AX92" s="247"/>
      <c r="AY92" s="168" t="s">
        <v>842</v>
      </c>
      <c r="AZ92" s="168" t="s">
        <v>4809</v>
      </c>
      <c r="BA92" s="168"/>
      <c r="BB92" s="173"/>
      <c r="BC92" s="174" t="s">
        <v>837</v>
      </c>
      <c r="BD92" s="174" t="s">
        <v>1040</v>
      </c>
      <c r="BE92" s="174" t="s">
        <v>1320</v>
      </c>
      <c r="BF92" s="174" t="s">
        <v>4810</v>
      </c>
      <c r="BG92" s="174" t="s">
        <v>4811</v>
      </c>
      <c r="BH92" s="173"/>
      <c r="BI92" s="174" t="s">
        <v>406</v>
      </c>
      <c r="BJ92" s="174" t="s">
        <v>4812</v>
      </c>
      <c r="BK92" s="174" t="s">
        <v>4813</v>
      </c>
      <c r="BL92" s="174" t="s">
        <v>4814</v>
      </c>
      <c r="BM92" s="173"/>
      <c r="BN92" s="174" t="s">
        <v>3353</v>
      </c>
      <c r="BO92" s="174" t="s">
        <v>2302</v>
      </c>
      <c r="BP92" s="174" t="s">
        <v>4815</v>
      </c>
      <c r="BQ92" s="174"/>
      <c r="BR92" s="253"/>
      <c r="BS92" s="253"/>
      <c r="BT92" s="175" t="s">
        <v>4816</v>
      </c>
      <c r="BU92" s="175" t="s">
        <v>2166</v>
      </c>
      <c r="BV92" s="175" t="s">
        <v>4817</v>
      </c>
      <c r="BW92" s="175" t="s">
        <v>2991</v>
      </c>
      <c r="BX92" s="253"/>
      <c r="BY92" s="175" t="s">
        <v>4818</v>
      </c>
      <c r="BZ92" s="253"/>
      <c r="CA92" s="175" t="s">
        <v>1111</v>
      </c>
      <c r="CB92" s="175" t="s">
        <v>4819</v>
      </c>
      <c r="CC92" s="175" t="s">
        <v>668</v>
      </c>
      <c r="CD92" s="175" t="s">
        <v>4142</v>
      </c>
      <c r="CE92" s="129" t="s">
        <v>4820</v>
      </c>
      <c r="CF92" s="298"/>
      <c r="CG92" s="177" t="s">
        <v>4821</v>
      </c>
      <c r="CH92" s="177" t="s">
        <v>1963</v>
      </c>
      <c r="CI92" s="256"/>
      <c r="CJ92" s="256"/>
      <c r="CK92" s="256"/>
      <c r="CL92" s="256" t="s">
        <v>3238</v>
      </c>
      <c r="CM92" s="256"/>
      <c r="CN92" s="177" t="s">
        <v>4822</v>
      </c>
      <c r="CO92" s="177" t="s">
        <v>3417</v>
      </c>
      <c r="CP92" s="256"/>
      <c r="CQ92" s="177" t="s">
        <v>4075</v>
      </c>
      <c r="CR92" s="256"/>
      <c r="CS92" s="256"/>
      <c r="CT92" s="135" t="s">
        <v>4823</v>
      </c>
      <c r="CU92" s="92"/>
      <c r="CV92" s="204" t="s">
        <v>2630</v>
      </c>
      <c r="CW92" s="140" t="s">
        <v>2248</v>
      </c>
      <c r="CX92" s="204" t="s">
        <v>4824</v>
      </c>
      <c r="CY92" s="204" t="s">
        <v>1232</v>
      </c>
      <c r="CZ92" s="204" t="s">
        <v>4825</v>
      </c>
      <c r="DA92" s="257"/>
      <c r="DB92" s="257"/>
      <c r="DC92" s="204" t="s">
        <v>4826</v>
      </c>
      <c r="DD92" s="140" t="s">
        <v>4827</v>
      </c>
      <c r="DE92" s="204" t="s">
        <v>1265</v>
      </c>
      <c r="DF92" s="257"/>
      <c r="DG92" s="204" t="s">
        <v>4828</v>
      </c>
      <c r="DH92" s="204"/>
      <c r="DI92" s="259"/>
      <c r="DJ92" s="205" t="s">
        <v>4336</v>
      </c>
      <c r="DK92" s="259"/>
      <c r="DL92" s="205"/>
      <c r="DM92" s="205" t="s">
        <v>4654</v>
      </c>
      <c r="DN92" s="205" t="s">
        <v>4829</v>
      </c>
      <c r="DO92" s="145" t="s">
        <v>3958</v>
      </c>
      <c r="DP92" s="205" t="s">
        <v>3184</v>
      </c>
      <c r="DQ92" s="205" t="s">
        <v>2293</v>
      </c>
      <c r="DR92" s="205" t="s">
        <v>1033</v>
      </c>
      <c r="DS92" s="259"/>
      <c r="DT92" s="205" t="s">
        <v>4830</v>
      </c>
      <c r="DU92" s="205" t="s">
        <v>4831</v>
      </c>
      <c r="DV92" s="205" t="s">
        <v>4832</v>
      </c>
      <c r="DW92" s="205" t="s">
        <v>4833</v>
      </c>
      <c r="DX92" s="205" t="s">
        <v>1847</v>
      </c>
      <c r="DY92" s="205" t="s">
        <v>1311</v>
      </c>
      <c r="DZ92" s="205" t="s">
        <v>3573</v>
      </c>
      <c r="EA92" s="205" t="s">
        <v>3705</v>
      </c>
      <c r="EB92" s="205" t="s">
        <v>4834</v>
      </c>
      <c r="EC92" s="205" t="s">
        <v>1586</v>
      </c>
      <c r="ED92" s="287" t="s">
        <v>4835</v>
      </c>
    </row>
    <row r="93">
      <c r="A93" s="561" t="s">
        <v>4836</v>
      </c>
      <c r="B93" s="82" t="s">
        <v>4837</v>
      </c>
      <c r="C93" s="83" t="s">
        <v>1256</v>
      </c>
      <c r="D93" s="84" t="s">
        <v>1256</v>
      </c>
      <c r="E93" s="85" t="s">
        <v>1256</v>
      </c>
      <c r="F93" s="86" t="s">
        <v>2773</v>
      </c>
      <c r="G93" s="82" t="s">
        <v>2344</v>
      </c>
      <c r="H93" s="99"/>
      <c r="I93" s="99"/>
      <c r="J93" s="94" t="s">
        <v>4838</v>
      </c>
      <c r="K93" s="94" t="s">
        <v>995</v>
      </c>
      <c r="L93" s="94" t="s">
        <v>4839</v>
      </c>
      <c r="M93" s="94" t="s">
        <v>4840</v>
      </c>
      <c r="N93" s="94" t="s">
        <v>4841</v>
      </c>
      <c r="O93" s="94" t="s">
        <v>2798</v>
      </c>
      <c r="P93" s="88" t="s">
        <v>3104</v>
      </c>
      <c r="Q93" s="99"/>
      <c r="R93" s="99"/>
      <c r="S93" s="99"/>
      <c r="T93" s="99"/>
      <c r="U93" s="99"/>
      <c r="V93" s="94" t="s">
        <v>4842</v>
      </c>
      <c r="W93" s="92"/>
      <c r="X93" s="267" t="s">
        <v>4843</v>
      </c>
      <c r="Y93" s="94"/>
      <c r="Z93" s="94" t="s">
        <v>1004</v>
      </c>
      <c r="AA93" s="88" t="s">
        <v>1652</v>
      </c>
      <c r="AB93" s="88" t="s">
        <v>4844</v>
      </c>
      <c r="AC93" s="88" t="s">
        <v>2336</v>
      </c>
      <c r="AD93" s="267" t="s">
        <v>4333</v>
      </c>
      <c r="AE93" s="94"/>
      <c r="AF93" s="162" t="s">
        <v>3543</v>
      </c>
      <c r="AG93" s="88" t="s">
        <v>1827</v>
      </c>
      <c r="AH93" s="99"/>
      <c r="AI93" s="99"/>
      <c r="AJ93" s="94" t="s">
        <v>1893</v>
      </c>
      <c r="AK93" s="94" t="s">
        <v>4845</v>
      </c>
      <c r="AL93" s="97"/>
      <c r="AM93" s="99"/>
      <c r="AN93" s="99"/>
      <c r="AO93" s="99"/>
      <c r="AP93" s="99"/>
      <c r="AQ93" s="94" t="s">
        <v>236</v>
      </c>
      <c r="AR93" s="94"/>
      <c r="AS93" s="99"/>
      <c r="AT93" s="99"/>
      <c r="AU93" s="94" t="s">
        <v>976</v>
      </c>
      <c r="AV93" s="267" t="s">
        <v>4846</v>
      </c>
      <c r="AW93" s="99"/>
      <c r="AX93" s="99"/>
      <c r="AY93" s="88" t="s">
        <v>342</v>
      </c>
      <c r="AZ93" s="94" t="s">
        <v>4847</v>
      </c>
      <c r="BA93" s="94"/>
      <c r="BB93" s="94" t="s">
        <v>4471</v>
      </c>
      <c r="BC93" s="94" t="s">
        <v>2014</v>
      </c>
      <c r="BD93" s="94" t="s">
        <v>2217</v>
      </c>
      <c r="BE93" s="88" t="s">
        <v>379</v>
      </c>
      <c r="BF93" s="94" t="s">
        <v>1227</v>
      </c>
      <c r="BG93" s="99"/>
      <c r="BH93" s="99"/>
      <c r="BI93" s="267" t="s">
        <v>2695</v>
      </c>
      <c r="BJ93" s="99"/>
      <c r="BK93" s="94" t="s">
        <v>4848</v>
      </c>
      <c r="BL93" s="99"/>
      <c r="BM93" s="94"/>
      <c r="BN93" s="94" t="s">
        <v>3275</v>
      </c>
      <c r="BO93" s="94" t="s">
        <v>4484</v>
      </c>
      <c r="BP93" s="99"/>
      <c r="BQ93" s="236"/>
      <c r="BR93" s="99"/>
      <c r="BS93" s="94" t="s">
        <v>2237</v>
      </c>
      <c r="BT93" s="98" t="s">
        <v>3687</v>
      </c>
      <c r="BU93" s="94" t="s">
        <v>2085</v>
      </c>
      <c r="BV93" s="94" t="s">
        <v>4849</v>
      </c>
      <c r="BW93" s="94" t="s">
        <v>2991</v>
      </c>
      <c r="BX93" s="99"/>
      <c r="BY93" s="99"/>
      <c r="BZ93" s="99"/>
      <c r="CA93" s="88" t="s">
        <v>4755</v>
      </c>
      <c r="CB93" s="88" t="s">
        <v>4850</v>
      </c>
      <c r="CC93" s="99"/>
      <c r="CD93" s="88" t="s">
        <v>3171</v>
      </c>
      <c r="CE93" s="94" t="s">
        <v>4851</v>
      </c>
      <c r="CF93" s="94"/>
      <c r="CG93" s="94" t="s">
        <v>4852</v>
      </c>
      <c r="CH93" s="88" t="s">
        <v>296</v>
      </c>
      <c r="CI93" s="94" t="s">
        <v>4853</v>
      </c>
      <c r="CJ93" s="94" t="s">
        <v>4854</v>
      </c>
      <c r="CK93" s="94"/>
      <c r="CL93" s="94"/>
      <c r="CM93" s="99"/>
      <c r="CN93" s="94" t="s">
        <v>4675</v>
      </c>
      <c r="CO93" s="88" t="s">
        <v>2673</v>
      </c>
      <c r="CP93" s="99"/>
      <c r="CQ93" s="94"/>
      <c r="CR93" s="99"/>
      <c r="CS93" s="99"/>
      <c r="CT93" s="94" t="s">
        <v>4855</v>
      </c>
      <c r="CU93" s="92"/>
      <c r="CV93" s="94" t="s">
        <v>4734</v>
      </c>
      <c r="CW93" s="99"/>
      <c r="CX93" s="267" t="s">
        <v>1603</v>
      </c>
      <c r="CY93" s="94" t="s">
        <v>4425</v>
      </c>
      <c r="CZ93" s="94" t="s">
        <v>4856</v>
      </c>
      <c r="DA93" s="94" t="s">
        <v>4857</v>
      </c>
      <c r="DB93" s="267" t="s">
        <v>4667</v>
      </c>
      <c r="DC93" s="94" t="s">
        <v>4099</v>
      </c>
      <c r="DD93" s="267"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389</v>
      </c>
      <c r="EB93" s="99"/>
      <c r="EC93" s="99"/>
      <c r="ED93" s="261" t="s">
        <v>4863</v>
      </c>
    </row>
    <row r="94">
      <c r="A94" s="443" t="s">
        <v>4864</v>
      </c>
      <c r="B94" s="104" t="s">
        <v>4865</v>
      </c>
      <c r="C94" s="105" t="s">
        <v>1256</v>
      </c>
      <c r="D94" s="106" t="s">
        <v>1256</v>
      </c>
      <c r="E94" s="107" t="s">
        <v>1256</v>
      </c>
      <c r="F94" s="108" t="s">
        <v>1196</v>
      </c>
      <c r="G94" s="104" t="s">
        <v>4674</v>
      </c>
      <c r="H94" s="419" t="s">
        <v>4126</v>
      </c>
      <c r="I94" s="427" t="s">
        <v>4866</v>
      </c>
      <c r="J94" s="112" t="s">
        <v>4867</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4868</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4869</v>
      </c>
      <c r="BV94" s="131" t="s">
        <v>4870</v>
      </c>
      <c r="BW94" s="129" t="s">
        <v>313</v>
      </c>
      <c r="BX94" s="129" t="s">
        <v>1466</v>
      </c>
      <c r="BY94" s="131" t="s">
        <v>4871</v>
      </c>
      <c r="BZ94" s="562" t="s">
        <v>4872</v>
      </c>
      <c r="CA94" s="129" t="s">
        <v>1686</v>
      </c>
      <c r="CB94" s="129" t="s">
        <v>4873</v>
      </c>
      <c r="CC94" s="129" t="s">
        <v>4874</v>
      </c>
      <c r="CD94" s="306" t="s">
        <v>4875</v>
      </c>
      <c r="CE94" s="253"/>
      <c r="CF94" s="254"/>
      <c r="CG94" s="136" t="s">
        <v>4876</v>
      </c>
      <c r="CH94" s="136"/>
      <c r="CI94" s="136"/>
      <c r="CJ94" s="136"/>
      <c r="CK94" s="136" t="s">
        <v>197</v>
      </c>
      <c r="CL94" s="136"/>
      <c r="CM94" s="136"/>
      <c r="CN94" s="136"/>
      <c r="CO94" s="136" t="s">
        <v>4877</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4878</v>
      </c>
      <c r="B95" s="82" t="s">
        <v>4879</v>
      </c>
      <c r="C95" s="83" t="s">
        <v>1256</v>
      </c>
      <c r="D95" s="84" t="s">
        <v>546</v>
      </c>
      <c r="E95" s="85" t="s">
        <v>1256</v>
      </c>
      <c r="F95" s="86" t="s">
        <v>4880</v>
      </c>
      <c r="G95" s="82" t="s">
        <v>2090</v>
      </c>
      <c r="H95" s="94" t="s">
        <v>791</v>
      </c>
      <c r="I95" s="88" t="s">
        <v>4881</v>
      </c>
      <c r="J95" s="88" t="s">
        <v>4882</v>
      </c>
      <c r="K95" s="88" t="s">
        <v>3904</v>
      </c>
      <c r="L95" s="88" t="s">
        <v>2950</v>
      </c>
      <c r="M95" s="88" t="s">
        <v>3444</v>
      </c>
      <c r="N95" s="88" t="s">
        <v>4883</v>
      </c>
      <c r="O95" s="88" t="s">
        <v>4260</v>
      </c>
      <c r="P95" s="88" t="s">
        <v>4884</v>
      </c>
      <c r="Q95" s="88" t="s">
        <v>4885</v>
      </c>
      <c r="R95" s="99"/>
      <c r="S95" s="88" t="s">
        <v>3074</v>
      </c>
      <c r="T95" s="88" t="s">
        <v>4886</v>
      </c>
      <c r="U95" s="99"/>
      <c r="V95" s="94" t="s">
        <v>4887</v>
      </c>
      <c r="W95" s="92"/>
      <c r="X95" s="88" t="s">
        <v>1660</v>
      </c>
      <c r="Y95" s="99"/>
      <c r="Z95" s="99"/>
      <c r="AA95" s="88" t="s">
        <v>1068</v>
      </c>
      <c r="AB95" s="162" t="s">
        <v>4888</v>
      </c>
      <c r="AC95" s="88" t="s">
        <v>1481</v>
      </c>
      <c r="AD95" s="94" t="s">
        <v>2882</v>
      </c>
      <c r="AE95" s="99"/>
      <c r="AF95" s="88" t="s">
        <v>3543</v>
      </c>
      <c r="AG95" s="88" t="s">
        <v>118</v>
      </c>
      <c r="AH95" s="99"/>
      <c r="AI95" s="94" t="s">
        <v>2929</v>
      </c>
      <c r="AJ95" s="94" t="s">
        <v>756</v>
      </c>
      <c r="AK95" s="99"/>
      <c r="AL95" s="97"/>
      <c r="AM95" s="94" t="s">
        <v>4889</v>
      </c>
      <c r="AN95" s="94" t="s">
        <v>4890</v>
      </c>
      <c r="AO95" s="99"/>
      <c r="AP95" s="94" t="s">
        <v>4891</v>
      </c>
      <c r="AQ95" s="99"/>
      <c r="AR95" s="99"/>
      <c r="AS95" s="99"/>
      <c r="AT95" s="94" t="s">
        <v>3224</v>
      </c>
      <c r="AU95" s="88" t="s">
        <v>3480</v>
      </c>
      <c r="AV95" s="88" t="s">
        <v>3179</v>
      </c>
      <c r="AW95" s="88" t="s">
        <v>4892</v>
      </c>
      <c r="AX95" s="99"/>
      <c r="AY95" s="88" t="s">
        <v>4288</v>
      </c>
      <c r="AZ95" s="99"/>
      <c r="BA95" s="99"/>
      <c r="BB95" s="94" t="s">
        <v>2091</v>
      </c>
      <c r="BC95" s="94" t="s">
        <v>2828</v>
      </c>
      <c r="BD95" s="94" t="s">
        <v>1905</v>
      </c>
      <c r="BE95" s="88" t="s">
        <v>2422</v>
      </c>
      <c r="BF95" s="88" t="s">
        <v>4633</v>
      </c>
      <c r="BG95" s="99"/>
      <c r="BH95" s="99"/>
      <c r="BI95" s="88" t="s">
        <v>2931</v>
      </c>
      <c r="BJ95" s="99"/>
      <c r="BK95" s="88" t="s">
        <v>4893</v>
      </c>
      <c r="BL95" s="88" t="s">
        <v>2769</v>
      </c>
      <c r="BM95" s="99"/>
      <c r="BN95" s="88" t="s">
        <v>2490</v>
      </c>
      <c r="BO95" s="99"/>
      <c r="BP95" s="99"/>
      <c r="BQ95" s="236"/>
      <c r="BR95" s="88" t="s">
        <v>4894</v>
      </c>
      <c r="BS95" s="99"/>
      <c r="BT95" s="94" t="s">
        <v>4895</v>
      </c>
      <c r="BU95" s="88" t="s">
        <v>4527</v>
      </c>
      <c r="BV95" s="99"/>
      <c r="BW95" s="99"/>
      <c r="BX95" s="99"/>
      <c r="BY95" s="94" t="s">
        <v>4896</v>
      </c>
      <c r="BZ95" s="162" t="s">
        <v>802</v>
      </c>
      <c r="CA95" s="88" t="s">
        <v>4897</v>
      </c>
      <c r="CB95" s="88" t="s">
        <v>4898</v>
      </c>
      <c r="CC95" s="94" t="s">
        <v>4695</v>
      </c>
      <c r="CD95" s="88" t="s">
        <v>4069</v>
      </c>
      <c r="CE95" s="99"/>
      <c r="CF95" s="236"/>
      <c r="CG95" s="88" t="s">
        <v>4899</v>
      </c>
      <c r="CH95" s="88" t="s">
        <v>1394</v>
      </c>
      <c r="CI95" s="94" t="s">
        <v>4900</v>
      </c>
      <c r="CJ95" s="88" t="s">
        <v>4901</v>
      </c>
      <c r="CK95" s="102"/>
      <c r="CL95" s="88" t="s">
        <v>4902</v>
      </c>
      <c r="CM95" s="88" t="s">
        <v>4503</v>
      </c>
      <c r="CN95" s="94" t="s">
        <v>4903</v>
      </c>
      <c r="CO95" s="88" t="s">
        <v>233</v>
      </c>
      <c r="CP95" s="99"/>
      <c r="CQ95" s="99"/>
      <c r="CR95" s="102"/>
      <c r="CS95" s="88" t="s">
        <v>1265</v>
      </c>
      <c r="CT95" s="99"/>
      <c r="CU95" s="92"/>
      <c r="CV95" s="162" t="s">
        <v>1862</v>
      </c>
      <c r="CW95" s="99"/>
      <c r="CX95" s="94" t="s">
        <v>1603</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1188</v>
      </c>
      <c r="DP95" s="94" t="s">
        <v>3376</v>
      </c>
      <c r="DQ95" s="94" t="s">
        <v>4877</v>
      </c>
      <c r="DR95" s="99"/>
      <c r="DS95" s="99"/>
      <c r="DT95" s="94" t="s">
        <v>2926</v>
      </c>
      <c r="DU95" s="94" t="s">
        <v>4909</v>
      </c>
      <c r="DV95" s="99"/>
      <c r="DW95" s="94" t="s">
        <v>4833</v>
      </c>
      <c r="DX95" s="99"/>
      <c r="DY95" s="99"/>
      <c r="DZ95" s="99"/>
      <c r="EA95" s="90" t="s">
        <v>4910</v>
      </c>
      <c r="EB95" s="99"/>
      <c r="EC95" s="99"/>
      <c r="ED95" s="261"/>
    </row>
    <row r="96">
      <c r="A96" s="166" t="s">
        <v>4911</v>
      </c>
      <c r="B96" s="104" t="s">
        <v>4879</v>
      </c>
      <c r="C96" s="105" t="s">
        <v>1256</v>
      </c>
      <c r="D96" s="106" t="s">
        <v>1256</v>
      </c>
      <c r="E96" s="107" t="s">
        <v>1256</v>
      </c>
      <c r="F96" s="108" t="s">
        <v>1197</v>
      </c>
      <c r="G96" s="104" t="s">
        <v>1811</v>
      </c>
      <c r="H96" s="243"/>
      <c r="I96" s="243"/>
      <c r="J96" s="243"/>
      <c r="K96" s="112" t="s">
        <v>2877</v>
      </c>
      <c r="L96" s="167" t="s">
        <v>4638</v>
      </c>
      <c r="M96" s="112" t="s">
        <v>4912</v>
      </c>
      <c r="N96" s="243"/>
      <c r="O96" s="167" t="s">
        <v>926</v>
      </c>
      <c r="P96" s="167" t="s">
        <v>2551</v>
      </c>
      <c r="Q96" s="243"/>
      <c r="R96" s="243"/>
      <c r="S96" s="243"/>
      <c r="T96" s="243"/>
      <c r="U96" s="243"/>
      <c r="V96" s="243"/>
      <c r="W96" s="92"/>
      <c r="X96" s="198" t="s">
        <v>4913</v>
      </c>
      <c r="Y96" s="198"/>
      <c r="Z96" s="198" t="s">
        <v>2815</v>
      </c>
      <c r="AA96" s="246"/>
      <c r="AB96" s="198" t="s">
        <v>3088</v>
      </c>
      <c r="AC96" s="198" t="s">
        <v>4770</v>
      </c>
      <c r="AD96" s="246"/>
      <c r="AE96" s="246"/>
      <c r="AF96" s="246"/>
      <c r="AG96" s="116" t="s">
        <v>125</v>
      </c>
      <c r="AH96" s="246"/>
      <c r="AI96" s="246"/>
      <c r="AJ96" s="246"/>
      <c r="AK96" s="246"/>
      <c r="AL96" s="97"/>
      <c r="AM96" s="247"/>
      <c r="AN96" s="247"/>
      <c r="AO96" s="247"/>
      <c r="AP96" s="247"/>
      <c r="AQ96" s="247"/>
      <c r="AR96" s="247"/>
      <c r="AS96" s="247"/>
      <c r="AT96" s="247"/>
      <c r="AU96" s="280" t="s">
        <v>4914</v>
      </c>
      <c r="AV96" s="168" t="s">
        <v>1376</v>
      </c>
      <c r="AW96" s="247"/>
      <c r="AX96" s="247"/>
      <c r="AY96" s="247"/>
      <c r="AZ96" s="247"/>
      <c r="BA96" s="247"/>
      <c r="BB96" s="174" t="s">
        <v>4915</v>
      </c>
      <c r="BC96" s="174" t="s">
        <v>657</v>
      </c>
      <c r="BD96" s="174" t="s">
        <v>188</v>
      </c>
      <c r="BE96" s="174" t="s">
        <v>4173</v>
      </c>
      <c r="BF96" s="173"/>
      <c r="BG96" s="173"/>
      <c r="BH96" s="173"/>
      <c r="BI96" s="173"/>
      <c r="BJ96" s="173"/>
      <c r="BK96" s="174" t="s">
        <v>4916</v>
      </c>
      <c r="BL96" s="174" t="s">
        <v>187</v>
      </c>
      <c r="BM96" s="173"/>
      <c r="BN96" s="173"/>
      <c r="BO96" s="173"/>
      <c r="BP96" s="173"/>
      <c r="BQ96" s="249"/>
      <c r="BR96" s="129" t="s">
        <v>4917</v>
      </c>
      <c r="BS96" s="253"/>
      <c r="BT96" s="253"/>
      <c r="BU96" s="253"/>
      <c r="BV96" s="253"/>
      <c r="BW96" s="175" t="s">
        <v>1340</v>
      </c>
      <c r="BX96" s="253"/>
      <c r="BY96" s="175" t="s">
        <v>3329</v>
      </c>
      <c r="BZ96" s="175" t="s">
        <v>4918</v>
      </c>
      <c r="CA96" s="175" t="s">
        <v>4919</v>
      </c>
      <c r="CB96" s="253"/>
      <c r="CC96" s="253"/>
      <c r="CD96" s="253"/>
      <c r="CE96" s="253"/>
      <c r="CF96" s="254"/>
      <c r="CG96" s="135" t="s">
        <v>171</v>
      </c>
      <c r="CH96" s="177" t="s">
        <v>889</v>
      </c>
      <c r="CI96" s="256"/>
      <c r="CJ96" s="135" t="s">
        <v>4920</v>
      </c>
      <c r="CK96" s="264"/>
      <c r="CL96" s="264"/>
      <c r="CM96" s="177" t="s">
        <v>3708</v>
      </c>
      <c r="CN96" s="177" t="s">
        <v>1053</v>
      </c>
      <c r="CO96" s="256"/>
      <c r="CP96" s="135" t="s">
        <v>4921</v>
      </c>
      <c r="CQ96" s="256"/>
      <c r="CR96" s="256"/>
      <c r="CS96" s="256"/>
      <c r="CT96" s="256"/>
      <c r="CU96" s="92"/>
      <c r="CV96" s="204" t="s">
        <v>1787</v>
      </c>
      <c r="CW96" s="257"/>
      <c r="CX96" s="204" t="s">
        <v>2172</v>
      </c>
      <c r="CY96" s="257"/>
      <c r="CZ96" s="204" t="s">
        <v>4922</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4923</v>
      </c>
      <c r="DS96" s="259"/>
      <c r="DT96" s="259"/>
      <c r="DU96" s="259"/>
      <c r="DV96" s="259"/>
      <c r="DW96" s="259"/>
      <c r="DX96" s="259"/>
      <c r="DY96" s="259"/>
      <c r="DZ96" s="259"/>
      <c r="EA96" s="259"/>
      <c r="EB96" s="259"/>
      <c r="EC96" s="259"/>
      <c r="ED96" s="565"/>
    </row>
    <row r="97">
      <c r="A97" s="566" t="s">
        <v>4924</v>
      </c>
      <c r="B97" s="82" t="s">
        <v>4925</v>
      </c>
      <c r="C97" s="83" t="s">
        <v>1256</v>
      </c>
      <c r="D97" s="84" t="s">
        <v>546</v>
      </c>
      <c r="E97" s="85" t="s">
        <v>546</v>
      </c>
      <c r="F97" s="86" t="s">
        <v>2994</v>
      </c>
      <c r="G97" s="82" t="s">
        <v>4775</v>
      </c>
      <c r="H97" s="94" t="s">
        <v>3276</v>
      </c>
      <c r="I97" s="94" t="s">
        <v>4926</v>
      </c>
      <c r="J97" s="94" t="s">
        <v>4927</v>
      </c>
      <c r="K97" s="267" t="s">
        <v>2877</v>
      </c>
      <c r="L97" s="88" t="s">
        <v>4928</v>
      </c>
      <c r="M97" s="99"/>
      <c r="N97" s="99"/>
      <c r="O97" s="99"/>
      <c r="P97" s="88" t="s">
        <v>2551</v>
      </c>
      <c r="Q97" s="99"/>
      <c r="R97" s="99"/>
      <c r="S97" s="88" t="s">
        <v>4929</v>
      </c>
      <c r="T97" s="99"/>
      <c r="U97" s="99"/>
      <c r="V97" s="88" t="s">
        <v>4930</v>
      </c>
      <c r="W97" s="92"/>
      <c r="X97" s="88" t="s">
        <v>4631</v>
      </c>
      <c r="Y97" s="102"/>
      <c r="Z97" s="88" t="s">
        <v>2202</v>
      </c>
      <c r="AA97" s="88" t="s">
        <v>4375</v>
      </c>
      <c r="AB97" s="88" t="s">
        <v>4931</v>
      </c>
      <c r="AC97" s="88" t="s">
        <v>2172</v>
      </c>
      <c r="AD97" s="99"/>
      <c r="AE97" s="99"/>
      <c r="AF97" s="99"/>
      <c r="AG97" s="88" t="s">
        <v>3850</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4939</v>
      </c>
      <c r="CU97" s="92"/>
      <c r="CV97" s="94" t="s">
        <v>378</v>
      </c>
      <c r="CW97" s="94" t="s">
        <v>4940</v>
      </c>
      <c r="CX97" s="94" t="s">
        <v>4941</v>
      </c>
      <c r="CY97" s="99"/>
      <c r="CZ97" s="94" t="s">
        <v>4942</v>
      </c>
      <c r="DA97" s="99"/>
      <c r="DB97" s="88" t="s">
        <v>4623</v>
      </c>
      <c r="DC97" s="99"/>
      <c r="DD97" s="99"/>
      <c r="DE97" s="99"/>
      <c r="DF97" s="94" t="s">
        <v>372</v>
      </c>
      <c r="DG97" s="99"/>
      <c r="DH97" s="236"/>
      <c r="DI97" s="99"/>
      <c r="DJ97" s="99"/>
      <c r="DK97" s="99"/>
      <c r="DL97" s="88" t="s">
        <v>4554</v>
      </c>
      <c r="DM97" s="101" t="s">
        <v>179</v>
      </c>
      <c r="DN97" s="99"/>
      <c r="DO97" s="88" t="s">
        <v>421</v>
      </c>
      <c r="DP97" s="89" t="s">
        <v>4943</v>
      </c>
      <c r="DQ97" s="88" t="s">
        <v>4944</v>
      </c>
      <c r="DR97" s="99"/>
      <c r="DS97" s="99"/>
      <c r="DT97" s="99"/>
      <c r="DU97" s="94" t="s">
        <v>4462</v>
      </c>
      <c r="DV97" s="99"/>
      <c r="DW97" s="94" t="s">
        <v>1873</v>
      </c>
      <c r="DX97" s="99"/>
      <c r="DY97" s="99"/>
      <c r="DZ97" s="99"/>
      <c r="EA97" s="99"/>
      <c r="EB97" s="99"/>
      <c r="EC97" s="99"/>
      <c r="ED97" s="261"/>
    </row>
    <row r="98">
      <c r="A98" s="567" t="s">
        <v>4945</v>
      </c>
      <c r="B98" s="104" t="s">
        <v>4946</v>
      </c>
      <c r="C98" s="105" t="s">
        <v>1256</v>
      </c>
      <c r="D98" s="106" t="s">
        <v>546</v>
      </c>
      <c r="E98" s="107" t="s">
        <v>1256</v>
      </c>
      <c r="F98" s="108" t="s">
        <v>4947</v>
      </c>
      <c r="G98" s="104" t="s">
        <v>899</v>
      </c>
      <c r="H98" s="112" t="s">
        <v>3713</v>
      </c>
      <c r="I98" s="293" t="s">
        <v>3650</v>
      </c>
      <c r="J98" s="293" t="s">
        <v>2114</v>
      </c>
      <c r="K98" s="112" t="s">
        <v>1952</v>
      </c>
      <c r="L98" s="293" t="s">
        <v>1090</v>
      </c>
      <c r="M98" s="112" t="s">
        <v>4948</v>
      </c>
      <c r="N98" s="293" t="s">
        <v>4949</v>
      </c>
      <c r="O98" s="293" t="s">
        <v>2422</v>
      </c>
      <c r="P98" s="293" t="s">
        <v>3104</v>
      </c>
      <c r="Q98" s="293" t="s">
        <v>4950</v>
      </c>
      <c r="R98" s="112" t="s">
        <v>3252</v>
      </c>
      <c r="S98" s="112" t="s">
        <v>4808</v>
      </c>
      <c r="T98" s="243"/>
      <c r="U98" s="112" t="s">
        <v>678</v>
      </c>
      <c r="V98" s="112" t="s">
        <v>4951</v>
      </c>
      <c r="W98" s="92"/>
      <c r="X98" s="295" t="s">
        <v>3024</v>
      </c>
      <c r="Y98" s="295"/>
      <c r="Z98" s="295" t="s">
        <v>4952</v>
      </c>
      <c r="AA98" s="295" t="s">
        <v>404</v>
      </c>
      <c r="AB98" s="295" t="s">
        <v>4953</v>
      </c>
      <c r="AC98" s="295" t="s">
        <v>4954</v>
      </c>
      <c r="AD98" s="295" t="s">
        <v>4955</v>
      </c>
      <c r="AE98" s="198"/>
      <c r="AF98" s="116" t="s">
        <v>955</v>
      </c>
      <c r="AG98" s="116" t="s">
        <v>4956</v>
      </c>
      <c r="AH98" s="116" t="s">
        <v>4957</v>
      </c>
      <c r="AI98" s="198"/>
      <c r="AJ98" s="116" t="s">
        <v>4658</v>
      </c>
      <c r="AK98" s="116" t="s">
        <v>4958</v>
      </c>
      <c r="AL98" s="97"/>
      <c r="AM98" s="121" t="s">
        <v>4959</v>
      </c>
      <c r="AN98" s="121" t="s">
        <v>4960</v>
      </c>
      <c r="AO98" s="247"/>
      <c r="AP98" s="247"/>
      <c r="AQ98" s="247"/>
      <c r="AR98" s="247"/>
      <c r="AS98" s="247"/>
      <c r="AT98" s="247"/>
      <c r="AU98" s="280" t="s">
        <v>3111</v>
      </c>
      <c r="AV98" s="121" t="s">
        <v>4961</v>
      </c>
      <c r="AW98" s="121" t="s">
        <v>4962</v>
      </c>
      <c r="AX98" s="121" t="s">
        <v>4963</v>
      </c>
      <c r="AY98" s="121" t="s">
        <v>1501</v>
      </c>
      <c r="AZ98" s="247"/>
      <c r="BA98" s="247"/>
      <c r="BB98" s="304" t="s">
        <v>365</v>
      </c>
      <c r="BC98" s="126" t="s">
        <v>4964</v>
      </c>
      <c r="BD98" s="304" t="s">
        <v>2793</v>
      </c>
      <c r="BE98" s="304" t="s">
        <v>4965</v>
      </c>
      <c r="BF98" s="126" t="s">
        <v>3307</v>
      </c>
      <c r="BG98" s="126" t="s">
        <v>4966</v>
      </c>
      <c r="BH98" s="126" t="s">
        <v>2474</v>
      </c>
      <c r="BI98" s="304" t="s">
        <v>301</v>
      </c>
      <c r="BJ98" s="174" t="s">
        <v>4967</v>
      </c>
      <c r="BK98" s="173"/>
      <c r="BL98" s="304" t="s">
        <v>4968</v>
      </c>
      <c r="BM98" s="173"/>
      <c r="BN98" s="126" t="s">
        <v>126</v>
      </c>
      <c r="BO98" s="173"/>
      <c r="BP98" s="174" t="s">
        <v>4969</v>
      </c>
      <c r="BQ98" s="249"/>
      <c r="BR98" s="129" t="s">
        <v>4970</v>
      </c>
      <c r="BS98" s="306" t="s">
        <v>4971</v>
      </c>
      <c r="BT98" s="306" t="s">
        <v>4972</v>
      </c>
      <c r="BU98" s="129" t="s">
        <v>4973</v>
      </c>
      <c r="BV98" s="306" t="s">
        <v>4974</v>
      </c>
      <c r="BW98" s="306" t="s">
        <v>4975</v>
      </c>
      <c r="BX98" s="129" t="s">
        <v>4402</v>
      </c>
      <c r="BY98" s="306" t="s">
        <v>4976</v>
      </c>
      <c r="BZ98" s="253"/>
      <c r="CA98" s="306" t="s">
        <v>4977</v>
      </c>
      <c r="CB98" s="129" t="s">
        <v>4978</v>
      </c>
      <c r="CC98" s="253"/>
      <c r="CD98" s="253"/>
      <c r="CE98" s="253"/>
      <c r="CF98" s="254"/>
      <c r="CG98" s="135" t="s">
        <v>4979</v>
      </c>
      <c r="CH98" s="135" t="s">
        <v>320</v>
      </c>
      <c r="CI98" s="135" t="s">
        <v>3821</v>
      </c>
      <c r="CJ98" s="177" t="s">
        <v>4980</v>
      </c>
      <c r="CK98" s="177"/>
      <c r="CL98" s="568" t="s">
        <v>4981</v>
      </c>
      <c r="CM98" s="177" t="s">
        <v>4982</v>
      </c>
      <c r="CN98" s="135" t="s">
        <v>1435</v>
      </c>
      <c r="CO98" s="135" t="s">
        <v>3608</v>
      </c>
      <c r="CP98" s="256"/>
      <c r="CQ98" s="256"/>
      <c r="CR98" s="256"/>
      <c r="CS98" s="256"/>
      <c r="CT98" s="135" t="s">
        <v>4983</v>
      </c>
      <c r="CU98" s="92"/>
      <c r="CV98" s="140" t="s">
        <v>1889</v>
      </c>
      <c r="CW98" s="300" t="s">
        <v>4014</v>
      </c>
      <c r="CX98" s="300" t="s">
        <v>4354</v>
      </c>
      <c r="CY98" s="300" t="s">
        <v>2944</v>
      </c>
      <c r="CZ98" s="140" t="s">
        <v>4984</v>
      </c>
      <c r="DA98" s="300" t="s">
        <v>2161</v>
      </c>
      <c r="DB98" s="300" t="s">
        <v>4985</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4986</v>
      </c>
      <c r="B99" s="447" t="s">
        <v>4987</v>
      </c>
      <c r="C99" s="448" t="s">
        <v>1256</v>
      </c>
      <c r="D99" s="449" t="s">
        <v>1256</v>
      </c>
      <c r="E99" s="450" t="s">
        <v>1256</v>
      </c>
      <c r="F99" s="451" t="s">
        <v>1197</v>
      </c>
      <c r="G99" s="447" t="s">
        <v>3380</v>
      </c>
      <c r="H99" s="317"/>
      <c r="I99" s="317"/>
      <c r="J99" s="317"/>
      <c r="K99" s="452" t="s">
        <v>1638</v>
      </c>
      <c r="L99" s="319"/>
      <c r="M99" s="317"/>
      <c r="N99" s="570" t="s">
        <v>4988</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4989</v>
      </c>
      <c r="AB99" s="319" t="s">
        <v>4990</v>
      </c>
      <c r="AC99" s="571" t="s">
        <v>4991</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4992</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4993</v>
      </c>
      <c r="B100" s="104" t="s">
        <v>4994</v>
      </c>
      <c r="C100" s="105" t="s">
        <v>1256</v>
      </c>
      <c r="D100" s="106" t="s">
        <v>1256</v>
      </c>
      <c r="E100" s="107" t="s">
        <v>1256</v>
      </c>
      <c r="F100" s="108" t="s">
        <v>334</v>
      </c>
      <c r="G100" s="104" t="s">
        <v>1058</v>
      </c>
      <c r="H100" s="243"/>
      <c r="I100" s="167" t="s">
        <v>2938</v>
      </c>
      <c r="J100" s="167" t="s">
        <v>3406</v>
      </c>
      <c r="K100" s="167" t="s">
        <v>1557</v>
      </c>
      <c r="L100" s="342" t="s">
        <v>4995</v>
      </c>
      <c r="M100" s="243"/>
      <c r="N100" s="167" t="s">
        <v>4996</v>
      </c>
      <c r="O100" s="167" t="s">
        <v>4997</v>
      </c>
      <c r="P100" s="167" t="s">
        <v>3104</v>
      </c>
      <c r="Q100" s="243"/>
      <c r="R100" s="243"/>
      <c r="S100" s="243"/>
      <c r="T100" s="243"/>
      <c r="U100" s="243"/>
      <c r="V100" s="243"/>
      <c r="W100" s="92"/>
      <c r="X100" s="198" t="s">
        <v>4998</v>
      </c>
      <c r="Y100" s="198"/>
      <c r="Z100" s="198" t="s">
        <v>1427</v>
      </c>
      <c r="AA100" s="198" t="s">
        <v>1891</v>
      </c>
      <c r="AB100" s="198" t="s">
        <v>1272</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5000</v>
      </c>
      <c r="BU100" s="175" t="s">
        <v>3474</v>
      </c>
      <c r="BV100" s="175" t="s">
        <v>5001</v>
      </c>
      <c r="BW100" s="175" t="s">
        <v>3428</v>
      </c>
      <c r="BX100" s="253"/>
      <c r="BY100" s="253"/>
      <c r="BZ100" s="175" t="s">
        <v>5002</v>
      </c>
      <c r="CA100" s="253"/>
      <c r="CB100" s="253"/>
      <c r="CC100" s="253"/>
      <c r="CD100" s="253"/>
      <c r="CE100" s="253"/>
      <c r="CF100" s="254"/>
      <c r="CG100" s="177" t="s">
        <v>5003</v>
      </c>
      <c r="CH100" s="135" t="s">
        <v>5004</v>
      </c>
      <c r="CI100" s="256"/>
      <c r="CJ100" s="256"/>
      <c r="CK100" s="256"/>
      <c r="CL100" s="256"/>
      <c r="CM100" s="256"/>
      <c r="CN100" s="412" t="s">
        <v>2858</v>
      </c>
      <c r="CO100" s="256"/>
      <c r="CP100" s="256"/>
      <c r="CQ100" s="256"/>
      <c r="CR100" s="256"/>
      <c r="CS100" s="256"/>
      <c r="CT100" s="256"/>
      <c r="CU100" s="92"/>
      <c r="CV100" s="204" t="s">
        <v>5005</v>
      </c>
      <c r="CW100" s="257"/>
      <c r="CX100" s="257"/>
      <c r="CY100" s="257"/>
      <c r="CZ100" s="204" t="s">
        <v>5006</v>
      </c>
      <c r="DA100" s="257"/>
      <c r="DB100" s="140" t="s">
        <v>5007</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5008</v>
      </c>
      <c r="B101" s="82" t="s">
        <v>5009</v>
      </c>
      <c r="C101" s="83" t="s">
        <v>1256</v>
      </c>
      <c r="D101" s="84" t="s">
        <v>1256</v>
      </c>
      <c r="E101" s="85" t="s">
        <v>1256</v>
      </c>
      <c r="F101" s="86" t="s">
        <v>546</v>
      </c>
      <c r="G101" s="82" t="s">
        <v>4775</v>
      </c>
      <c r="H101" s="261"/>
      <c r="I101" s="261" t="s">
        <v>1296</v>
      </c>
      <c r="J101" s="261" t="s">
        <v>2218</v>
      </c>
      <c r="K101" s="261" t="s">
        <v>3492</v>
      </c>
      <c r="L101" s="261" t="s">
        <v>5010</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5011</v>
      </c>
      <c r="AE101" s="573"/>
      <c r="AF101" s="261" t="s">
        <v>5012</v>
      </c>
      <c r="AG101" s="261" t="s">
        <v>5013</v>
      </c>
      <c r="AH101" s="573"/>
      <c r="AI101" s="573"/>
      <c r="AJ101" s="261"/>
      <c r="AK101" s="573"/>
      <c r="AL101" s="574"/>
      <c r="AM101" s="261"/>
      <c r="AN101" s="261"/>
      <c r="AO101" s="573"/>
      <c r="AP101" s="573"/>
      <c r="AQ101" s="575"/>
      <c r="AR101" s="575"/>
      <c r="AS101" s="573"/>
      <c r="AT101" s="573"/>
      <c r="AU101" s="261" t="s">
        <v>3359</v>
      </c>
      <c r="AV101" s="261" t="s">
        <v>5014</v>
      </c>
      <c r="AW101" s="261"/>
      <c r="AX101" s="573"/>
      <c r="AY101" s="573"/>
      <c r="AZ101" s="573"/>
      <c r="BA101" s="573"/>
      <c r="BB101" s="261" t="s">
        <v>4052</v>
      </c>
      <c r="BC101" s="261" t="s">
        <v>2577</v>
      </c>
      <c r="BD101" s="261" t="s">
        <v>616</v>
      </c>
      <c r="BE101" s="261" t="s">
        <v>4964</v>
      </c>
      <c r="BF101" s="261"/>
      <c r="BG101" s="261"/>
      <c r="BH101" s="573"/>
      <c r="BI101" s="576" t="s">
        <v>845</v>
      </c>
      <c r="BJ101" s="575" t="s">
        <v>1794</v>
      </c>
      <c r="BK101" s="261"/>
      <c r="BL101" s="261"/>
      <c r="BM101" s="573"/>
      <c r="BN101" s="573"/>
      <c r="BO101" s="261"/>
      <c r="BP101" s="573"/>
      <c r="BQ101" s="577"/>
      <c r="BR101" s="261" t="s">
        <v>5015</v>
      </c>
      <c r="BS101" s="261" t="s">
        <v>5016</v>
      </c>
      <c r="BT101" s="261" t="s">
        <v>5000</v>
      </c>
      <c r="BU101" s="261" t="s">
        <v>4860</v>
      </c>
      <c r="BV101" s="261" t="s">
        <v>3424</v>
      </c>
      <c r="BW101" s="261" t="s">
        <v>5017</v>
      </c>
      <c r="BX101" s="573"/>
      <c r="BY101" s="261" t="s">
        <v>5018</v>
      </c>
      <c r="BZ101" s="261"/>
      <c r="CA101" s="261" t="s">
        <v>5019</v>
      </c>
      <c r="CB101" s="573"/>
      <c r="CC101" s="573"/>
      <c r="CD101" s="573"/>
      <c r="CE101" s="573"/>
      <c r="CF101" s="577"/>
      <c r="CG101" s="261" t="s">
        <v>5020</v>
      </c>
      <c r="CH101" s="261" t="s">
        <v>5021</v>
      </c>
      <c r="CI101" s="261"/>
      <c r="CJ101" s="98" t="s">
        <v>5022</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5023</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5024</v>
      </c>
      <c r="B102" s="104" t="s">
        <v>5025</v>
      </c>
      <c r="C102" s="105" t="s">
        <v>1256</v>
      </c>
      <c r="D102" s="106" t="s">
        <v>1256</v>
      </c>
      <c r="E102" s="107" t="s">
        <v>1256</v>
      </c>
      <c r="F102" s="108" t="s">
        <v>546</v>
      </c>
      <c r="G102" s="104" t="s">
        <v>2344</v>
      </c>
      <c r="H102" s="167" t="s">
        <v>682</v>
      </c>
      <c r="I102" s="167" t="s">
        <v>5026</v>
      </c>
      <c r="J102" s="167" t="s">
        <v>5027</v>
      </c>
      <c r="K102" s="167" t="s">
        <v>5028</v>
      </c>
      <c r="L102" s="167" t="s">
        <v>2950</v>
      </c>
      <c r="M102" s="167" t="s">
        <v>5029</v>
      </c>
      <c r="N102" s="167" t="s">
        <v>5030</v>
      </c>
      <c r="O102" s="167" t="s">
        <v>1966</v>
      </c>
      <c r="P102" s="167" t="s">
        <v>5031</v>
      </c>
      <c r="Q102" s="243"/>
      <c r="R102" s="243"/>
      <c r="S102" s="167" t="s">
        <v>3200</v>
      </c>
      <c r="T102" s="243"/>
      <c r="U102" s="167" t="s">
        <v>636</v>
      </c>
      <c r="V102" s="243"/>
      <c r="W102" s="92"/>
      <c r="X102" s="198" t="s">
        <v>2072</v>
      </c>
      <c r="Y102" s="198"/>
      <c r="Z102" s="198" t="s">
        <v>1967</v>
      </c>
      <c r="AA102" s="198" t="s">
        <v>5032</v>
      </c>
      <c r="AB102" s="198" t="s">
        <v>3689</v>
      </c>
      <c r="AC102" s="582" t="s">
        <v>2578</v>
      </c>
      <c r="AD102" s="198" t="s">
        <v>4468</v>
      </c>
      <c r="AE102" s="246"/>
      <c r="AF102" s="246"/>
      <c r="AG102" s="198" t="s">
        <v>5033</v>
      </c>
      <c r="AH102" s="246"/>
      <c r="AI102" s="246"/>
      <c r="AJ102" s="246"/>
      <c r="AK102" s="246"/>
      <c r="AL102" s="97"/>
      <c r="AM102" s="168" t="s">
        <v>2399</v>
      </c>
      <c r="AN102" s="168" t="s">
        <v>5034</v>
      </c>
      <c r="AO102" s="247"/>
      <c r="AP102" s="247"/>
      <c r="AQ102" s="247"/>
      <c r="AR102" s="247"/>
      <c r="AS102" s="168" t="s">
        <v>1138</v>
      </c>
      <c r="AT102" s="247"/>
      <c r="AU102" s="168" t="s">
        <v>2600</v>
      </c>
      <c r="AV102" s="168" t="s">
        <v>146</v>
      </c>
      <c r="AW102" s="168" t="s">
        <v>4207</v>
      </c>
      <c r="AX102" s="247"/>
      <c r="AY102" s="168" t="s">
        <v>5035</v>
      </c>
      <c r="AZ102" s="168" t="s">
        <v>5036</v>
      </c>
      <c r="BA102" s="168"/>
      <c r="BB102" s="174" t="s">
        <v>5037</v>
      </c>
      <c r="BC102" s="174" t="s">
        <v>5038</v>
      </c>
      <c r="BD102" s="174" t="s">
        <v>1040</v>
      </c>
      <c r="BE102" s="174" t="s">
        <v>1019</v>
      </c>
      <c r="BF102" s="174" t="s">
        <v>3042</v>
      </c>
      <c r="BG102" s="174" t="s">
        <v>2841</v>
      </c>
      <c r="BH102" s="174" t="s">
        <v>5039</v>
      </c>
      <c r="BI102" s="174" t="s">
        <v>5040</v>
      </c>
      <c r="BJ102" s="173"/>
      <c r="BK102" s="174" t="s">
        <v>5041</v>
      </c>
      <c r="BL102" s="174" t="s">
        <v>2857</v>
      </c>
      <c r="BM102" s="173"/>
      <c r="BN102" s="173"/>
      <c r="BO102" s="174"/>
      <c r="BP102" s="173"/>
      <c r="BQ102" s="249"/>
      <c r="BR102" s="253"/>
      <c r="BS102" s="253"/>
      <c r="BT102" s="175" t="s">
        <v>5042</v>
      </c>
      <c r="BU102" s="175" t="s">
        <v>2238</v>
      </c>
      <c r="BV102" s="253"/>
      <c r="BW102" s="175" t="s">
        <v>3555</v>
      </c>
      <c r="BX102" s="253"/>
      <c r="BY102" s="253"/>
      <c r="BZ102" s="253"/>
      <c r="CA102" s="175" t="s">
        <v>2645</v>
      </c>
      <c r="CB102" s="253"/>
      <c r="CC102" s="175" t="s">
        <v>5043</v>
      </c>
      <c r="CD102" s="253"/>
      <c r="CE102" s="253"/>
      <c r="CF102" s="254"/>
      <c r="CG102" s="177" t="s">
        <v>5044</v>
      </c>
      <c r="CH102" s="177" t="s">
        <v>5045</v>
      </c>
      <c r="CI102" s="177" t="s">
        <v>4929</v>
      </c>
      <c r="CJ102" s="177"/>
      <c r="CK102" s="177"/>
      <c r="CL102" s="177" t="s">
        <v>5046</v>
      </c>
      <c r="CM102" s="177" t="s">
        <v>4622</v>
      </c>
      <c r="CN102" s="583" t="s">
        <v>1405</v>
      </c>
      <c r="CO102" s="177" t="s">
        <v>3150</v>
      </c>
      <c r="CP102" s="256"/>
      <c r="CQ102" s="256"/>
      <c r="CR102" s="177"/>
      <c r="CS102" s="177" t="s">
        <v>5047</v>
      </c>
      <c r="CT102" s="256"/>
      <c r="CU102" s="92"/>
      <c r="CV102" s="204" t="s">
        <v>5048</v>
      </c>
      <c r="CW102" s="204" t="s">
        <v>2584</v>
      </c>
      <c r="CX102" s="204" t="s">
        <v>5049</v>
      </c>
      <c r="CY102" s="204" t="s">
        <v>4409</v>
      </c>
      <c r="CZ102" s="257"/>
      <c r="DA102" s="204" t="s">
        <v>389</v>
      </c>
      <c r="DB102" s="204" t="s">
        <v>5050</v>
      </c>
      <c r="DC102" s="204" t="s">
        <v>4266</v>
      </c>
      <c r="DD102" s="257"/>
      <c r="DE102" s="257"/>
      <c r="DF102" s="204" t="s">
        <v>3529</v>
      </c>
      <c r="DG102" s="204" t="s">
        <v>1539</v>
      </c>
      <c r="DH102" s="309"/>
      <c r="DI102" s="259"/>
      <c r="DJ102" s="259"/>
      <c r="DK102" s="259"/>
      <c r="DL102" s="205"/>
      <c r="DM102" s="205" t="s">
        <v>5051</v>
      </c>
      <c r="DN102" s="205" t="s">
        <v>5052</v>
      </c>
      <c r="DO102" s="259"/>
      <c r="DP102" s="259"/>
      <c r="DQ102" s="259"/>
      <c r="DR102" s="259"/>
      <c r="DS102" s="259"/>
      <c r="DT102" s="205" t="s">
        <v>4478</v>
      </c>
      <c r="DU102" s="205" t="s">
        <v>5053</v>
      </c>
      <c r="DV102" s="259"/>
      <c r="DW102" s="259"/>
      <c r="DX102" s="259"/>
      <c r="DY102" s="259"/>
      <c r="DZ102" s="259"/>
      <c r="EA102" s="259"/>
      <c r="EB102" s="259"/>
      <c r="EC102" s="259"/>
      <c r="ED102" s="287"/>
    </row>
    <row r="103">
      <c r="A103" s="584" t="s">
        <v>5054</v>
      </c>
      <c r="B103" s="82" t="s">
        <v>5055</v>
      </c>
      <c r="C103" s="83" t="s">
        <v>1256</v>
      </c>
      <c r="D103" s="84" t="s">
        <v>1256</v>
      </c>
      <c r="E103" s="85" t="s">
        <v>1256</v>
      </c>
      <c r="F103" s="86" t="s">
        <v>333</v>
      </c>
      <c r="G103" s="82" t="s">
        <v>5056</v>
      </c>
      <c r="H103" s="88" t="s">
        <v>5057</v>
      </c>
      <c r="I103" s="88" t="s">
        <v>3021</v>
      </c>
      <c r="J103" s="88" t="s">
        <v>4005</v>
      </c>
      <c r="K103" s="94" t="s">
        <v>1271</v>
      </c>
      <c r="L103" s="94" t="s">
        <v>5058</v>
      </c>
      <c r="M103" s="94" t="s">
        <v>5059</v>
      </c>
      <c r="N103" s="94" t="s">
        <v>5060</v>
      </c>
      <c r="O103" s="94" t="s">
        <v>5061</v>
      </c>
      <c r="P103" s="88" t="s">
        <v>4061</v>
      </c>
      <c r="Q103" s="94" t="s">
        <v>5062</v>
      </c>
      <c r="R103" s="99"/>
      <c r="S103" s="94" t="s">
        <v>1383</v>
      </c>
      <c r="T103" s="99"/>
      <c r="U103" s="94" t="s">
        <v>235</v>
      </c>
      <c r="V103" s="261" t="s">
        <v>5063</v>
      </c>
      <c r="W103" s="227"/>
      <c r="X103" s="94" t="s">
        <v>1601</v>
      </c>
      <c r="Y103" s="93"/>
      <c r="Z103" s="93" t="s">
        <v>3722</v>
      </c>
      <c r="AA103" s="94" t="s">
        <v>5064</v>
      </c>
      <c r="AB103" s="94" t="s">
        <v>5065</v>
      </c>
      <c r="AC103" s="94" t="s">
        <v>2258</v>
      </c>
      <c r="AD103" s="94" t="s">
        <v>5066</v>
      </c>
      <c r="AE103" s="99"/>
      <c r="AF103" s="94" t="s">
        <v>5067</v>
      </c>
      <c r="AG103" s="94" t="s">
        <v>1113</v>
      </c>
      <c r="AH103" s="94" t="s">
        <v>2760</v>
      </c>
      <c r="AI103" s="94"/>
      <c r="AJ103" s="94" t="s">
        <v>5068</v>
      </c>
      <c r="AK103" s="261" t="s">
        <v>5069</v>
      </c>
      <c r="AL103" s="97"/>
      <c r="AM103" s="94" t="s">
        <v>1861</v>
      </c>
      <c r="AN103" s="94" t="s">
        <v>5070</v>
      </c>
      <c r="AO103" s="94" t="s">
        <v>5071</v>
      </c>
      <c r="AP103" s="94" t="s">
        <v>1500</v>
      </c>
      <c r="AQ103" s="94" t="s">
        <v>3765</v>
      </c>
      <c r="AR103" s="94" t="s">
        <v>1354</v>
      </c>
      <c r="AS103" s="99"/>
      <c r="AT103" s="94" t="s">
        <v>5072</v>
      </c>
      <c r="AU103" s="88" t="s">
        <v>5073</v>
      </c>
      <c r="AV103" s="94" t="s">
        <v>3271</v>
      </c>
      <c r="AW103" s="94" t="s">
        <v>4156</v>
      </c>
      <c r="AX103" s="99"/>
      <c r="AY103" s="98" t="str">
        <f>HYPERLINK("https://clips.twitch.tv/PeppyAbstruseSmoothieCurseLit","39.09")</f>
        <v>39.09</v>
      </c>
      <c r="AZ103" s="94" t="s">
        <v>5074</v>
      </c>
      <c r="BA103" s="94"/>
      <c r="BB103" s="94" t="s">
        <v>5075</v>
      </c>
      <c r="BC103" s="94" t="s">
        <v>5076</v>
      </c>
      <c r="BD103" s="94" t="s">
        <v>474</v>
      </c>
      <c r="BE103" s="94" t="s">
        <v>2643</v>
      </c>
      <c r="BF103" s="94" t="s">
        <v>5066</v>
      </c>
      <c r="BG103" s="94" t="s">
        <v>3709</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4462</v>
      </c>
      <c r="BU103" s="94" t="s">
        <v>1907</v>
      </c>
      <c r="BV103" s="99"/>
      <c r="BW103" s="93" t="s">
        <v>430</v>
      </c>
      <c r="BX103" s="99"/>
      <c r="BY103" s="99"/>
      <c r="BZ103" s="94" t="s">
        <v>3818</v>
      </c>
      <c r="CA103" s="94" t="s">
        <v>639</v>
      </c>
      <c r="CB103" s="88" t="s">
        <v>5080</v>
      </c>
      <c r="CC103" s="94" t="s">
        <v>5081</v>
      </c>
      <c r="CD103" s="94" t="s">
        <v>3661</v>
      </c>
      <c r="CE103" s="94" t="s">
        <v>5082</v>
      </c>
      <c r="CF103" s="100"/>
      <c r="CG103" s="94" t="s">
        <v>1328</v>
      </c>
      <c r="CH103" s="94" t="s">
        <v>2570</v>
      </c>
      <c r="CI103" s="94" t="s">
        <v>3157</v>
      </c>
      <c r="CJ103" s="94" t="s">
        <v>5083</v>
      </c>
      <c r="CK103" s="94"/>
      <c r="CL103" s="94" t="s">
        <v>5084</v>
      </c>
      <c r="CM103" s="99"/>
      <c r="CN103" s="94" t="s">
        <v>2989</v>
      </c>
      <c r="CO103" s="94" t="s">
        <v>1543</v>
      </c>
      <c r="CP103" s="94" t="s">
        <v>5085</v>
      </c>
      <c r="CQ103" s="94" t="s">
        <v>5086</v>
      </c>
      <c r="CR103" s="94"/>
      <c r="CS103" s="94" t="s">
        <v>5087</v>
      </c>
      <c r="CT103" s="94" t="s">
        <v>5088</v>
      </c>
      <c r="CU103" s="92"/>
      <c r="CV103" s="94" t="s">
        <v>5089</v>
      </c>
      <c r="CW103" s="94" t="s">
        <v>3912</v>
      </c>
      <c r="CX103" s="88" t="s">
        <v>5090</v>
      </c>
      <c r="CY103" s="94" t="s">
        <v>1916</v>
      </c>
      <c r="CZ103" s="99"/>
      <c r="DA103" s="94" t="s">
        <v>4322</v>
      </c>
      <c r="DB103" s="94" t="s">
        <v>5091</v>
      </c>
      <c r="DC103" s="94" t="s">
        <v>3608</v>
      </c>
      <c r="DD103" s="94" t="s">
        <v>5092</v>
      </c>
      <c r="DE103" s="94" t="s">
        <v>3434</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4668</v>
      </c>
      <c r="DU103" s="94" t="s">
        <v>5097</v>
      </c>
      <c r="DV103" s="94" t="s">
        <v>5098</v>
      </c>
      <c r="DW103" s="94" t="s">
        <v>5099</v>
      </c>
      <c r="DX103" s="94" t="s">
        <v>5100</v>
      </c>
      <c r="DY103" s="94" t="s">
        <v>1317</v>
      </c>
      <c r="DZ103" s="94" t="s">
        <v>5101</v>
      </c>
      <c r="EA103" s="94" t="s">
        <v>4992</v>
      </c>
      <c r="EB103" s="94" t="s">
        <v>639</v>
      </c>
      <c r="EC103" s="94" t="s">
        <v>2558</v>
      </c>
      <c r="ED103" s="261" t="s">
        <v>5102</v>
      </c>
    </row>
    <row r="104">
      <c r="A104" s="166" t="s">
        <v>5103</v>
      </c>
      <c r="B104" s="104" t="s">
        <v>5104</v>
      </c>
      <c r="C104" s="105" t="s">
        <v>1256</v>
      </c>
      <c r="D104" s="106" t="s">
        <v>1256</v>
      </c>
      <c r="E104" s="107" t="s">
        <v>1256</v>
      </c>
      <c r="F104" s="108" t="s">
        <v>437</v>
      </c>
      <c r="G104" s="104" t="s">
        <v>3098</v>
      </c>
      <c r="H104" s="167" t="s">
        <v>991</v>
      </c>
      <c r="I104" s="243"/>
      <c r="J104" s="167" t="s">
        <v>5105</v>
      </c>
      <c r="K104" s="167" t="s">
        <v>5028</v>
      </c>
      <c r="L104" s="167" t="s">
        <v>1614</v>
      </c>
      <c r="M104" s="167" t="s">
        <v>5106</v>
      </c>
      <c r="N104" s="167" t="s">
        <v>1577</v>
      </c>
      <c r="O104" s="167" t="s">
        <v>5107</v>
      </c>
      <c r="P104" s="167" t="s">
        <v>1075</v>
      </c>
      <c r="Q104" s="243"/>
      <c r="R104" s="243"/>
      <c r="S104" s="243"/>
      <c r="T104" s="243"/>
      <c r="U104" s="243"/>
      <c r="V104" s="243"/>
      <c r="W104" s="92"/>
      <c r="X104" s="246"/>
      <c r="Y104" s="198"/>
      <c r="Z104" s="198" t="s">
        <v>3106</v>
      </c>
      <c r="AA104" s="198" t="s">
        <v>1692</v>
      </c>
      <c r="AB104" s="271" t="s">
        <v>2071</v>
      </c>
      <c r="AC104" s="198" t="s">
        <v>3435</v>
      </c>
      <c r="AD104" s="198" t="s">
        <v>5108</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5109</v>
      </c>
      <c r="BH104" s="173"/>
      <c r="BI104" s="125" t="str">
        <f>HYPERLINK("https://www.youtube.com/watch?v=D3qit_yrtB8&amp;feature=youtu.be","27.76")</f>
        <v>27.76</v>
      </c>
      <c r="BJ104" s="174" t="s">
        <v>4435</v>
      </c>
      <c r="BK104" s="174"/>
      <c r="BL104" s="174" t="s">
        <v>5110</v>
      </c>
      <c r="BM104" s="173"/>
      <c r="BN104" s="174" t="s">
        <v>1593</v>
      </c>
      <c r="BO104" s="173"/>
      <c r="BP104" s="173"/>
      <c r="BQ104" s="249"/>
      <c r="BR104" s="253"/>
      <c r="BS104" s="175" t="s">
        <v>5111</v>
      </c>
      <c r="BT104" s="175" t="s">
        <v>5112</v>
      </c>
      <c r="BU104" s="175" t="s">
        <v>4384</v>
      </c>
      <c r="BV104" s="253"/>
      <c r="BW104" s="175" t="s">
        <v>3080</v>
      </c>
      <c r="BX104" s="253"/>
      <c r="BY104" s="175" t="s">
        <v>5113</v>
      </c>
      <c r="BZ104" s="253"/>
      <c r="CA104" s="175" t="s">
        <v>2747</v>
      </c>
      <c r="CB104" s="175" t="s">
        <v>5114</v>
      </c>
      <c r="CC104" s="253"/>
      <c r="CD104" s="253"/>
      <c r="CE104" s="253"/>
      <c r="CF104" s="254"/>
      <c r="CG104" s="177" t="s">
        <v>5115</v>
      </c>
      <c r="CH104" s="264" t="s">
        <v>5116</v>
      </c>
      <c r="CI104" s="177"/>
      <c r="CJ104" s="256"/>
      <c r="CK104" s="256"/>
      <c r="CL104" s="256" t="s">
        <v>551</v>
      </c>
      <c r="CM104" s="256"/>
      <c r="CN104" s="264" t="s">
        <v>4089</v>
      </c>
      <c r="CO104" s="177" t="s">
        <v>5117</v>
      </c>
      <c r="CP104" s="256"/>
      <c r="CQ104" s="256"/>
      <c r="CR104" s="256"/>
      <c r="CS104" s="256"/>
      <c r="CT104" s="256"/>
      <c r="CU104" s="92"/>
      <c r="CV104" s="204" t="s">
        <v>5118</v>
      </c>
      <c r="CW104" s="204"/>
      <c r="CX104" s="204" t="s">
        <v>2559</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4674</v>
      </c>
      <c r="H105" s="94" t="s">
        <v>2748</v>
      </c>
      <c r="I105" s="94" t="s">
        <v>4021</v>
      </c>
      <c r="J105" s="94" t="s">
        <v>5122</v>
      </c>
      <c r="K105" s="94" t="s">
        <v>3971</v>
      </c>
      <c r="L105" s="94" t="s">
        <v>5123</v>
      </c>
      <c r="M105" s="94" t="s">
        <v>5124</v>
      </c>
      <c r="N105" s="94" t="s">
        <v>5125</v>
      </c>
      <c r="O105" s="94" t="s">
        <v>5126</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4732</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1940</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5133</v>
      </c>
      <c r="CW105" s="99"/>
      <c r="CX105" s="94" t="s">
        <v>2794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2915</v>
      </c>
      <c r="I106" s="167" t="s">
        <v>5140</v>
      </c>
      <c r="J106" s="167" t="s">
        <v>5141</v>
      </c>
      <c r="K106" s="167" t="s">
        <v>4283</v>
      </c>
      <c r="L106" s="167" t="s">
        <v>2324</v>
      </c>
      <c r="M106" s="243"/>
      <c r="N106" s="167" t="s">
        <v>4346</v>
      </c>
      <c r="O106" s="167" t="s">
        <v>5142</v>
      </c>
      <c r="P106" s="167" t="s">
        <v>4061</v>
      </c>
      <c r="Q106" s="243"/>
      <c r="R106" s="243"/>
      <c r="S106" s="243"/>
      <c r="T106" s="243"/>
      <c r="U106" s="243"/>
      <c r="V106" s="243"/>
      <c r="W106" s="92"/>
      <c r="X106" s="198" t="s">
        <v>4804</v>
      </c>
      <c r="Y106" s="198"/>
      <c r="Z106" s="198" t="s">
        <v>3359</v>
      </c>
      <c r="AA106" s="198" t="s">
        <v>5143</v>
      </c>
      <c r="AB106" s="198" t="s">
        <v>4888</v>
      </c>
      <c r="AC106" s="246"/>
      <c r="AD106" s="198" t="s">
        <v>4181</v>
      </c>
      <c r="AE106" s="246"/>
      <c r="AF106" s="198" t="s">
        <v>3305</v>
      </c>
      <c r="AG106" s="198" t="s">
        <v>5144</v>
      </c>
      <c r="AH106" s="246"/>
      <c r="AI106" s="246"/>
      <c r="AJ106" s="246"/>
      <c r="AK106" s="246"/>
      <c r="AL106" s="97"/>
      <c r="AM106" s="168" t="s">
        <v>4103</v>
      </c>
      <c r="AN106" s="247"/>
      <c r="AO106" s="247"/>
      <c r="AP106" s="247"/>
      <c r="AQ106" s="247"/>
      <c r="AR106" s="247"/>
      <c r="AS106" s="247"/>
      <c r="AT106" s="247"/>
      <c r="AU106" s="247"/>
      <c r="AV106" s="168" t="s">
        <v>5145</v>
      </c>
      <c r="AW106" s="168" t="s">
        <v>4808</v>
      </c>
      <c r="AX106" s="247"/>
      <c r="AY106" s="247"/>
      <c r="AZ106" s="247"/>
      <c r="BA106" s="247"/>
      <c r="BB106" s="174" t="s">
        <v>2067</v>
      </c>
      <c r="BC106" s="173"/>
      <c r="BD106" s="174" t="s">
        <v>5146</v>
      </c>
      <c r="BE106" s="174" t="s">
        <v>5000</v>
      </c>
      <c r="BF106" s="126" t="s">
        <v>4143</v>
      </c>
      <c r="BG106" s="174" t="s">
        <v>1339</v>
      </c>
      <c r="BH106" s="173"/>
      <c r="BI106" s="174" t="s">
        <v>2705</v>
      </c>
      <c r="BJ106" s="174" t="s">
        <v>5147</v>
      </c>
      <c r="BK106" s="174"/>
      <c r="BL106" s="173"/>
      <c r="BM106" s="173"/>
      <c r="BN106" s="173"/>
      <c r="BO106" s="173"/>
      <c r="BP106" s="173"/>
      <c r="BQ106" s="249"/>
      <c r="BR106" s="175" t="s">
        <v>3790</v>
      </c>
      <c r="BS106" s="253"/>
      <c r="BT106" s="175" t="s">
        <v>2644</v>
      </c>
      <c r="BU106" s="175" t="s">
        <v>5148</v>
      </c>
      <c r="BV106" s="253"/>
      <c r="BW106" s="175" t="s">
        <v>5149</v>
      </c>
      <c r="BX106" s="253"/>
      <c r="BY106" s="253"/>
      <c r="BZ106" s="175" t="s">
        <v>3818</v>
      </c>
      <c r="CA106" s="253"/>
      <c r="CB106" s="253"/>
      <c r="CC106" s="253"/>
      <c r="CD106" s="253"/>
      <c r="CE106" s="253"/>
      <c r="CF106" s="254"/>
      <c r="CG106" s="177" t="s">
        <v>4409</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4780</v>
      </c>
      <c r="CX106" s="204" t="s">
        <v>3568</v>
      </c>
      <c r="CY106" s="204" t="s">
        <v>2950</v>
      </c>
      <c r="CZ106" s="257"/>
      <c r="DA106" s="140" t="s">
        <v>3333</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4913</v>
      </c>
      <c r="I107" s="94" t="s">
        <v>4206</v>
      </c>
      <c r="J107" s="94" t="s">
        <v>5157</v>
      </c>
      <c r="K107" s="93" t="s">
        <v>4389</v>
      </c>
      <c r="L107" s="94" t="s">
        <v>5158</v>
      </c>
      <c r="M107" s="99"/>
      <c r="N107" s="94" t="s">
        <v>673</v>
      </c>
      <c r="O107" s="94" t="s">
        <v>3845</v>
      </c>
      <c r="P107" s="94" t="s">
        <v>4348</v>
      </c>
      <c r="Q107" s="94" t="s">
        <v>5159</v>
      </c>
      <c r="R107" s="94"/>
      <c r="S107" s="94" t="s">
        <v>232</v>
      </c>
      <c r="T107" s="99"/>
      <c r="U107" s="94" t="s">
        <v>2408</v>
      </c>
      <c r="V107" s="94" t="s">
        <v>5160</v>
      </c>
      <c r="W107" s="92"/>
      <c r="X107" s="94" t="s">
        <v>5161</v>
      </c>
      <c r="Y107" s="93"/>
      <c r="Z107" s="93" t="s">
        <v>2783</v>
      </c>
      <c r="AA107" s="94" t="s">
        <v>2949</v>
      </c>
      <c r="AB107" s="94" t="s">
        <v>5162</v>
      </c>
      <c r="AC107" s="94" t="s">
        <v>889</v>
      </c>
      <c r="AD107" s="94" t="s">
        <v>4353</v>
      </c>
      <c r="AE107" s="94" t="s">
        <v>5163</v>
      </c>
      <c r="AF107" s="94" t="s">
        <v>1382</v>
      </c>
      <c r="AG107" s="93" t="s">
        <v>5164</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5165</v>
      </c>
      <c r="BF107" s="99"/>
      <c r="BG107" s="99"/>
      <c r="BH107" s="99"/>
      <c r="BI107" s="94" t="s">
        <v>5166</v>
      </c>
      <c r="BJ107" s="99"/>
      <c r="BK107" s="99"/>
      <c r="BL107" s="99"/>
      <c r="BM107" s="99"/>
      <c r="BN107" s="94" t="s">
        <v>5167</v>
      </c>
      <c r="BO107" s="94" t="s">
        <v>2965</v>
      </c>
      <c r="BP107" s="99"/>
      <c r="BQ107" s="236"/>
      <c r="BR107" s="99"/>
      <c r="BS107" s="94"/>
      <c r="BT107" s="94" t="s">
        <v>5168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907</v>
      </c>
      <c r="DC107" s="99"/>
      <c r="DD107" s="99"/>
      <c r="DE107" s="99"/>
      <c r="DF107" s="99"/>
      <c r="DG107" s="99"/>
      <c r="DH107" s="236"/>
      <c r="DI107" s="99"/>
      <c r="DJ107" s="99"/>
      <c r="DK107" s="99"/>
      <c r="DL107" s="99"/>
      <c r="DM107" s="99"/>
      <c r="DN107" s="99"/>
      <c r="DO107" s="94" t="s">
        <v>3958</v>
      </c>
      <c r="DP107" s="94" t="s">
        <v>5170</v>
      </c>
      <c r="DQ107" s="93"/>
      <c r="DR107" s="99"/>
      <c r="DS107" s="99"/>
      <c r="DT107" s="99"/>
      <c r="DU107" s="99"/>
      <c r="DV107" s="99"/>
      <c r="DW107" s="99"/>
      <c r="DX107" s="99"/>
      <c r="DY107" s="99"/>
      <c r="DZ107" s="99"/>
      <c r="EA107" s="99"/>
      <c r="EB107" s="99"/>
      <c r="EC107" s="99"/>
      <c r="ED107" s="261"/>
    </row>
    <row r="108">
      <c r="A108" s="166" t="s">
        <v>5171</v>
      </c>
      <c r="B108" s="104" t="s">
        <v>5172</v>
      </c>
      <c r="C108" s="105" t="s">
        <v>1256</v>
      </c>
      <c r="D108" s="106" t="s">
        <v>1256</v>
      </c>
      <c r="E108" s="107" t="s">
        <v>1256</v>
      </c>
      <c r="F108" s="108" t="s">
        <v>1256</v>
      </c>
      <c r="G108" s="104" t="s">
        <v>1634</v>
      </c>
      <c r="H108" s="243"/>
      <c r="I108" s="167" t="s">
        <v>2500</v>
      </c>
      <c r="J108" s="167" t="s">
        <v>5173</v>
      </c>
      <c r="K108" s="167" t="s">
        <v>995</v>
      </c>
      <c r="L108" s="167" t="s">
        <v>5174</v>
      </c>
      <c r="M108" s="243"/>
      <c r="N108" s="167" t="s">
        <v>4982</v>
      </c>
      <c r="O108" s="167" t="s">
        <v>2422</v>
      </c>
      <c r="P108" s="167" t="s">
        <v>455</v>
      </c>
      <c r="Q108" s="243"/>
      <c r="R108" s="243"/>
      <c r="S108" s="243"/>
      <c r="T108" s="243"/>
      <c r="U108" s="243"/>
      <c r="V108" s="243"/>
      <c r="W108" s="92"/>
      <c r="X108" s="198" t="s">
        <v>3317</v>
      </c>
      <c r="Y108" s="198"/>
      <c r="Z108" s="198" t="s">
        <v>4407</v>
      </c>
      <c r="AA108" s="198" t="s">
        <v>4094</v>
      </c>
      <c r="AB108" s="198" t="s">
        <v>4928</v>
      </c>
      <c r="AC108" s="198" t="s">
        <v>4321</v>
      </c>
      <c r="AD108" s="198" t="s">
        <v>5175</v>
      </c>
      <c r="AE108" s="246"/>
      <c r="AF108" s="198" t="s">
        <v>2890</v>
      </c>
      <c r="AG108" s="198" t="s">
        <v>5176</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5177</v>
      </c>
      <c r="BG108" s="173"/>
      <c r="BH108" s="173"/>
      <c r="BI108" s="174" t="s">
        <v>3356</v>
      </c>
      <c r="BJ108" s="174" t="s">
        <v>5178</v>
      </c>
      <c r="BK108" s="173"/>
      <c r="BL108" s="174" t="s">
        <v>1490</v>
      </c>
      <c r="BM108" s="173"/>
      <c r="BN108" s="173"/>
      <c r="BO108" s="173"/>
      <c r="BP108" s="173"/>
      <c r="BQ108" s="249"/>
      <c r="BR108" s="175" t="s">
        <v>5179</v>
      </c>
      <c r="BS108" s="175" t="s">
        <v>4292</v>
      </c>
      <c r="BT108" s="175" t="s">
        <v>1203</v>
      </c>
      <c r="BU108" s="175" t="s">
        <v>5180</v>
      </c>
      <c r="BV108" s="175" t="s">
        <v>5181</v>
      </c>
      <c r="BW108" s="175" t="s">
        <v>5182</v>
      </c>
      <c r="BX108" s="253"/>
      <c r="BY108" s="175" t="s">
        <v>5183</v>
      </c>
      <c r="BZ108" s="253"/>
      <c r="CA108" s="253"/>
      <c r="CB108" s="253"/>
      <c r="CC108" s="253"/>
      <c r="CD108" s="253"/>
      <c r="CE108" s="253"/>
      <c r="CF108" s="254"/>
      <c r="CG108" s="177" t="s">
        <v>5184</v>
      </c>
      <c r="CH108" s="177" t="s">
        <v>716</v>
      </c>
      <c r="CI108" s="177" t="s">
        <v>1292</v>
      </c>
      <c r="CJ108" s="177" t="s">
        <v>5185</v>
      </c>
      <c r="CK108" s="177"/>
      <c r="CL108" s="177"/>
      <c r="CM108" s="177" t="s">
        <v>3544</v>
      </c>
      <c r="CN108" s="177" t="s">
        <v>3880</v>
      </c>
      <c r="CO108" s="177" t="s">
        <v>5186</v>
      </c>
      <c r="CP108" s="256"/>
      <c r="CQ108" s="256"/>
      <c r="CR108" s="256"/>
      <c r="CS108" s="256"/>
      <c r="CT108" s="256"/>
      <c r="CU108" s="92"/>
      <c r="CV108" s="204" t="s">
        <v>5187</v>
      </c>
      <c r="CW108" s="257"/>
      <c r="CX108" s="204" t="s">
        <v>5188</v>
      </c>
      <c r="CY108" s="204" t="s">
        <v>5189</v>
      </c>
      <c r="CZ108" s="204" t="s">
        <v>5190</v>
      </c>
      <c r="DA108" s="257"/>
      <c r="DB108" s="204" t="s">
        <v>5191</v>
      </c>
      <c r="DC108" s="204" t="s">
        <v>5192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5193</v>
      </c>
      <c r="B109" s="82" t="s">
        <v>5194</v>
      </c>
      <c r="C109" s="83" t="s">
        <v>1256</v>
      </c>
      <c r="D109" s="84" t="s">
        <v>1256</v>
      </c>
      <c r="E109" s="85" t="s">
        <v>1256</v>
      </c>
      <c r="F109" s="86" t="s">
        <v>1811</v>
      </c>
      <c r="G109" s="82" t="s">
        <v>1634</v>
      </c>
      <c r="H109" s="99"/>
      <c r="I109" s="585" t="s">
        <v>3442</v>
      </c>
      <c r="J109" s="585" t="s">
        <v>5195</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5197</v>
      </c>
      <c r="B110" s="104" t="s">
        <v>5198</v>
      </c>
      <c r="C110" s="105" t="s">
        <v>1256</v>
      </c>
      <c r="D110" s="106" t="s">
        <v>1256</v>
      </c>
      <c r="E110" s="107" t="s">
        <v>1256</v>
      </c>
      <c r="F110" s="108" t="s">
        <v>546</v>
      </c>
      <c r="G110" s="104" t="s">
        <v>3345</v>
      </c>
      <c r="H110" s="243"/>
      <c r="I110" s="167" t="s">
        <v>5199</v>
      </c>
      <c r="J110" s="112" t="s">
        <v>5200</v>
      </c>
      <c r="K110" s="167" t="s">
        <v>4497</v>
      </c>
      <c r="L110" s="293" t="s">
        <v>565</v>
      </c>
      <c r="M110" s="243"/>
      <c r="N110" s="167" t="s">
        <v>5201</v>
      </c>
      <c r="O110" s="167" t="s">
        <v>1019</v>
      </c>
      <c r="P110" s="167" t="s">
        <v>3631</v>
      </c>
      <c r="Q110" s="243"/>
      <c r="R110" s="243"/>
      <c r="S110" s="243"/>
      <c r="T110" s="243"/>
      <c r="U110" s="243"/>
      <c r="V110" s="243"/>
      <c r="W110" s="92"/>
      <c r="X110" s="198" t="s">
        <v>2638</v>
      </c>
      <c r="Y110" s="198"/>
      <c r="Z110" s="198" t="s">
        <v>1004</v>
      </c>
      <c r="AA110" s="198" t="s">
        <v>3263</v>
      </c>
      <c r="AB110" s="198" t="s">
        <v>5202</v>
      </c>
      <c r="AC110" s="198" t="s">
        <v>425</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1103</v>
      </c>
      <c r="BC110" s="174" t="s">
        <v>372</v>
      </c>
      <c r="BD110" s="174" t="s">
        <v>4671</v>
      </c>
      <c r="BE110" s="174" t="s">
        <v>2422</v>
      </c>
      <c r="BF110" s="174" t="s">
        <v>1654</v>
      </c>
      <c r="BG110" s="173"/>
      <c r="BH110" s="173"/>
      <c r="BI110" s="174" t="s">
        <v>2050</v>
      </c>
      <c r="BJ110" s="174" t="s">
        <v>5205</v>
      </c>
      <c r="BK110" s="174" t="s">
        <v>690</v>
      </c>
      <c r="BL110" s="174" t="s">
        <v>4567</v>
      </c>
      <c r="BM110" s="173"/>
      <c r="BN110" s="173"/>
      <c r="BO110" s="173"/>
      <c r="BP110" s="173"/>
      <c r="BQ110" s="249"/>
      <c r="BR110" s="253"/>
      <c r="BS110" s="253"/>
      <c r="BT110" s="175" t="s">
        <v>5206</v>
      </c>
      <c r="BU110" s="175" t="s">
        <v>5207</v>
      </c>
      <c r="BV110" s="253"/>
      <c r="BW110" s="175" t="s">
        <v>5208</v>
      </c>
      <c r="BX110" s="253"/>
      <c r="BY110" s="253"/>
      <c r="BZ110" s="253"/>
      <c r="CA110" s="253"/>
      <c r="CB110" s="253"/>
      <c r="CC110" s="253"/>
      <c r="CD110" s="253"/>
      <c r="CE110" s="253"/>
      <c r="CF110" s="254"/>
      <c r="CG110" s="177" t="s">
        <v>5209</v>
      </c>
      <c r="CH110" s="177" t="s">
        <v>2912</v>
      </c>
      <c r="CI110" s="256"/>
      <c r="CJ110" s="256"/>
      <c r="CK110" s="256"/>
      <c r="CL110" s="256"/>
      <c r="CM110" s="177" t="s">
        <v>5210</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5211</v>
      </c>
      <c r="B111" s="82" t="s">
        <v>5212</v>
      </c>
      <c r="C111" s="83" t="s">
        <v>1256</v>
      </c>
      <c r="D111" s="84" t="s">
        <v>1256</v>
      </c>
      <c r="E111" s="85" t="s">
        <v>1256</v>
      </c>
      <c r="F111" s="86" t="s">
        <v>546</v>
      </c>
      <c r="G111" s="82" t="s">
        <v>4947</v>
      </c>
      <c r="H111" s="94"/>
      <c r="I111" s="94" t="s">
        <v>5213</v>
      </c>
      <c r="J111" s="94" t="s">
        <v>5214</v>
      </c>
      <c r="K111" s="94" t="s">
        <v>3560</v>
      </c>
      <c r="L111" s="94" t="s">
        <v>5215</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5216</v>
      </c>
      <c r="AA111" s="94" t="s">
        <v>510</v>
      </c>
      <c r="AB111" s="94" t="s">
        <v>5162</v>
      </c>
      <c r="AC111" s="94" t="s">
        <v>4321</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4886</v>
      </c>
      <c r="BC111" s="94" t="s">
        <v>3320</v>
      </c>
      <c r="BD111" s="94" t="s">
        <v>2181</v>
      </c>
      <c r="BE111" s="94" t="s">
        <v>4499</v>
      </c>
      <c r="BF111" s="94" t="s">
        <v>4413</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5223</v>
      </c>
      <c r="CW111" s="94" t="s">
        <v>3001</v>
      </c>
      <c r="CX111" s="94" t="s">
        <v>5014</v>
      </c>
      <c r="CY111" s="94" t="s">
        <v>1143</v>
      </c>
      <c r="CZ111" s="94" t="s">
        <v>5224</v>
      </c>
      <c r="DA111" s="94"/>
      <c r="DB111" s="94" t="s">
        <v>5225</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5226</v>
      </c>
      <c r="B112" s="104" t="s">
        <v>5227</v>
      </c>
      <c r="C112" s="105" t="s">
        <v>1256</v>
      </c>
      <c r="D112" s="106" t="s">
        <v>1256</v>
      </c>
      <c r="E112" s="107" t="s">
        <v>1256</v>
      </c>
      <c r="F112" s="108" t="s">
        <v>3969</v>
      </c>
      <c r="G112" s="104" t="s">
        <v>1059</v>
      </c>
      <c r="H112" s="112" t="s">
        <v>5228</v>
      </c>
      <c r="I112" s="112" t="s">
        <v>5229</v>
      </c>
      <c r="J112" s="112" t="s">
        <v>4927</v>
      </c>
      <c r="K112" s="112" t="s">
        <v>4053</v>
      </c>
      <c r="L112" s="112" t="s">
        <v>4112</v>
      </c>
      <c r="M112" s="167" t="s">
        <v>864</v>
      </c>
      <c r="N112" s="167" t="s">
        <v>5230</v>
      </c>
      <c r="O112" s="293" t="s">
        <v>155</v>
      </c>
      <c r="P112" s="112" t="s">
        <v>2781</v>
      </c>
      <c r="Q112" s="243"/>
      <c r="R112" s="243"/>
      <c r="S112" s="167" t="s">
        <v>3287</v>
      </c>
      <c r="T112" s="243"/>
      <c r="U112" s="112" t="s">
        <v>5231</v>
      </c>
      <c r="V112" s="243"/>
      <c r="W112" s="92"/>
      <c r="X112" s="295" t="s">
        <v>4804</v>
      </c>
      <c r="Y112" s="295"/>
      <c r="Z112" s="295" t="s">
        <v>3822</v>
      </c>
      <c r="AA112" s="116" t="s">
        <v>5232</v>
      </c>
      <c r="AB112" s="198" t="s">
        <v>5233</v>
      </c>
      <c r="AC112" s="116" t="s">
        <v>2626</v>
      </c>
      <c r="AD112" s="295" t="s">
        <v>5234</v>
      </c>
      <c r="AE112" s="246"/>
      <c r="AF112" s="198" t="s">
        <v>5235</v>
      </c>
      <c r="AG112" s="295" t="s">
        <v>5164</v>
      </c>
      <c r="AH112" s="198" t="s">
        <v>5236</v>
      </c>
      <c r="AI112" s="246"/>
      <c r="AJ112" s="116" t="s">
        <v>3719</v>
      </c>
      <c r="AK112" s="246"/>
      <c r="AL112" s="97"/>
      <c r="AM112" s="168" t="s">
        <v>4453</v>
      </c>
      <c r="AN112" s="168" t="s">
        <v>1049</v>
      </c>
      <c r="AO112" s="247"/>
      <c r="AP112" s="168" t="s">
        <v>5237</v>
      </c>
      <c r="AQ112" s="168" t="s">
        <v>5238</v>
      </c>
      <c r="AR112" s="168" t="s">
        <v>2547</v>
      </c>
      <c r="AS112" s="121" t="s">
        <v>1748</v>
      </c>
      <c r="AT112" s="247"/>
      <c r="AU112" s="588" t="s">
        <v>3704</v>
      </c>
      <c r="AV112" s="280" t="s">
        <v>4703</v>
      </c>
      <c r="AW112" s="121" t="s">
        <v>4058</v>
      </c>
      <c r="AX112" s="247"/>
      <c r="AY112" s="168" t="s">
        <v>5239</v>
      </c>
      <c r="AZ112" s="247"/>
      <c r="BA112" s="247"/>
      <c r="BB112" s="174" t="s">
        <v>4362</v>
      </c>
      <c r="BC112" s="174" t="s">
        <v>1185</v>
      </c>
      <c r="BD112" s="126" t="s">
        <v>4671</v>
      </c>
      <c r="BE112" s="174" t="s">
        <v>3113</v>
      </c>
      <c r="BF112" s="174" t="s">
        <v>4350</v>
      </c>
      <c r="BG112" s="174" t="s">
        <v>2537</v>
      </c>
      <c r="BH112" s="174" t="s">
        <v>5240</v>
      </c>
      <c r="BI112" s="174" t="s">
        <v>3520</v>
      </c>
      <c r="BJ112" s="174" t="s">
        <v>5241</v>
      </c>
      <c r="BK112" s="173"/>
      <c r="BL112" s="174" t="s">
        <v>3349</v>
      </c>
      <c r="BM112" s="173"/>
      <c r="BN112" s="126" t="s">
        <v>3553</v>
      </c>
      <c r="BO112" s="126" t="s">
        <v>5242</v>
      </c>
      <c r="BP112" s="174" t="s">
        <v>5243</v>
      </c>
      <c r="BQ112" s="249"/>
      <c r="BR112" s="253"/>
      <c r="BS112" s="253"/>
      <c r="BT112" s="175" t="s">
        <v>5141</v>
      </c>
      <c r="BU112" s="175" t="s">
        <v>5244</v>
      </c>
      <c r="BV112" s="175" t="s">
        <v>5245</v>
      </c>
      <c r="BW112" s="175" t="s">
        <v>5246</v>
      </c>
      <c r="BX112" s="253"/>
      <c r="BY112" s="175" t="s">
        <v>5007</v>
      </c>
      <c r="BZ112" s="253"/>
      <c r="CA112" s="175" t="s">
        <v>5247</v>
      </c>
      <c r="CB112" s="175" t="s">
        <v>5248</v>
      </c>
      <c r="CC112" s="129" t="s">
        <v>5249</v>
      </c>
      <c r="CD112" s="129" t="s">
        <v>5250</v>
      </c>
      <c r="CE112" s="253"/>
      <c r="CF112" s="254"/>
      <c r="CG112" s="177" t="s">
        <v>5251</v>
      </c>
      <c r="CH112" s="177" t="s">
        <v>5252</v>
      </c>
      <c r="CI112" s="177" t="s">
        <v>5253</v>
      </c>
      <c r="CJ112" s="177" t="s">
        <v>5254</v>
      </c>
      <c r="CK112" s="177"/>
      <c r="CL112" s="177"/>
      <c r="CM112" s="256"/>
      <c r="CN112" s="177" t="s">
        <v>1454</v>
      </c>
      <c r="CO112" s="177" t="s">
        <v>3417</v>
      </c>
      <c r="CP112" s="256"/>
      <c r="CQ112" s="256"/>
      <c r="CR112" s="256"/>
      <c r="CS112" s="135" t="s">
        <v>669</v>
      </c>
      <c r="CT112" s="256"/>
      <c r="CU112" s="92"/>
      <c r="CV112" s="300" t="s">
        <v>1408</v>
      </c>
      <c r="CW112" s="140" t="s">
        <v>5255</v>
      </c>
      <c r="CX112" s="204" t="s">
        <v>5256</v>
      </c>
      <c r="CY112" s="257"/>
      <c r="CZ112" s="257"/>
      <c r="DA112" s="257"/>
      <c r="DB112" s="300" t="s">
        <v>5257</v>
      </c>
      <c r="DC112" s="204" t="s">
        <v>5258</v>
      </c>
      <c r="DD112" s="257"/>
      <c r="DE112" s="140" t="s">
        <v>4811</v>
      </c>
      <c r="DF112" s="257"/>
      <c r="DG112" s="257"/>
      <c r="DH112" s="258"/>
      <c r="DI112" s="205" t="s">
        <v>5259</v>
      </c>
      <c r="DJ112" s="259"/>
      <c r="DK112" s="259"/>
      <c r="DL112" s="259"/>
      <c r="DM112" s="205" t="s">
        <v>3942</v>
      </c>
      <c r="DN112" s="259"/>
      <c r="DO112" s="259"/>
      <c r="DP112" s="145" t="s">
        <v>5260</v>
      </c>
      <c r="DQ112" s="259"/>
      <c r="DR112" s="205" t="s">
        <v>5261</v>
      </c>
      <c r="DS112" s="205" t="s">
        <v>5252</v>
      </c>
      <c r="DT112" s="205" t="s">
        <v>5262</v>
      </c>
      <c r="DU112" s="259"/>
      <c r="DV112" s="205" t="s">
        <v>3267</v>
      </c>
      <c r="DW112" s="145" t="s">
        <v>3368</v>
      </c>
      <c r="DX112" s="259"/>
      <c r="DY112" s="259"/>
      <c r="DZ112" s="259"/>
      <c r="EA112" s="259"/>
      <c r="EB112" s="259"/>
      <c r="EC112" s="259"/>
      <c r="ED112" s="287"/>
    </row>
    <row r="113">
      <c r="A113" s="148" t="s">
        <v>5263</v>
      </c>
      <c r="B113" s="82" t="s">
        <v>5264</v>
      </c>
      <c r="C113" s="83" t="s">
        <v>1256</v>
      </c>
      <c r="D113" s="84" t="s">
        <v>1256</v>
      </c>
      <c r="E113" s="85" t="s">
        <v>1256</v>
      </c>
      <c r="F113" s="86" t="s">
        <v>332</v>
      </c>
      <c r="G113" s="82" t="s">
        <v>3571</v>
      </c>
      <c r="H113" s="94" t="s">
        <v>777</v>
      </c>
      <c r="I113" s="585" t="s">
        <v>3605</v>
      </c>
      <c r="J113" s="94" t="s">
        <v>5265</v>
      </c>
      <c r="K113" s="88" t="s">
        <v>2877</v>
      </c>
      <c r="L113" s="94" t="s">
        <v>4875</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1666</v>
      </c>
      <c r="BE113" s="94" t="s">
        <v>759</v>
      </c>
      <c r="BF113" s="94" t="s">
        <v>5210</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5271</v>
      </c>
      <c r="CD113" s="94"/>
      <c r="CE113" s="99"/>
      <c r="CF113" s="236"/>
      <c r="CG113" s="94" t="s">
        <v>5272</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5273</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5274</v>
      </c>
      <c r="B114" s="104" t="s">
        <v>5275</v>
      </c>
      <c r="C114" s="590" t="s">
        <v>1256</v>
      </c>
      <c r="D114" s="591" t="s">
        <v>1256</v>
      </c>
      <c r="E114" s="592" t="s">
        <v>1256</v>
      </c>
      <c r="F114" s="108" t="s">
        <v>981</v>
      </c>
      <c r="G114" s="593" t="s">
        <v>5276</v>
      </c>
      <c r="H114" s="243"/>
      <c r="I114" s="594" t="s">
        <v>5277</v>
      </c>
      <c r="J114" s="167" t="s">
        <v>5278</v>
      </c>
      <c r="K114" s="595" t="s">
        <v>5279</v>
      </c>
      <c r="L114" s="594" t="s">
        <v>5280</v>
      </c>
      <c r="M114" s="167" t="s">
        <v>1922</v>
      </c>
      <c r="N114" s="167" t="s">
        <v>4686</v>
      </c>
      <c r="O114" s="596" t="s">
        <v>3114</v>
      </c>
      <c r="P114" s="596" t="s">
        <v>4877</v>
      </c>
      <c r="Q114" s="243"/>
      <c r="R114" s="243"/>
      <c r="S114" s="596" t="s">
        <v>5281</v>
      </c>
      <c r="T114" s="243"/>
      <c r="U114" s="243"/>
      <c r="V114" s="243"/>
      <c r="W114" s="92"/>
      <c r="X114" s="597" t="s">
        <v>1978</v>
      </c>
      <c r="Y114" s="271"/>
      <c r="Z114" s="598" t="s">
        <v>2747</v>
      </c>
      <c r="AA114" s="198" t="s">
        <v>455</v>
      </c>
      <c r="AB114" s="599" t="s">
        <v>3313</v>
      </c>
      <c r="AC114" s="597" t="s">
        <v>5282</v>
      </c>
      <c r="AD114" s="198" t="s">
        <v>5283</v>
      </c>
      <c r="AE114" s="246"/>
      <c r="AF114" s="246"/>
      <c r="AG114" s="599" t="s">
        <v>5284</v>
      </c>
      <c r="AH114" s="246"/>
      <c r="AI114" s="246"/>
      <c r="AJ114" s="198" t="s">
        <v>4658</v>
      </c>
      <c r="AK114" s="599" t="s">
        <v>5285</v>
      </c>
      <c r="AL114" s="97"/>
      <c r="AM114" s="247"/>
      <c r="AN114" s="600" t="s">
        <v>530</v>
      </c>
      <c r="AO114" s="600" t="s">
        <v>5286</v>
      </c>
      <c r="AP114" s="247"/>
      <c r="AQ114" s="600" t="s">
        <v>2253</v>
      </c>
      <c r="AR114" s="168"/>
      <c r="AS114" s="247"/>
      <c r="AT114" s="247"/>
      <c r="AU114" s="600" t="s">
        <v>5186</v>
      </c>
      <c r="AV114" s="600" t="s">
        <v>5287</v>
      </c>
      <c r="AW114" s="247"/>
      <c r="AX114" s="247"/>
      <c r="AY114" s="600" t="s">
        <v>5288</v>
      </c>
      <c r="AZ114" s="247"/>
      <c r="BA114" s="247"/>
      <c r="BB114" s="296" t="s">
        <v>5289</v>
      </c>
      <c r="BC114" s="296" t="s">
        <v>2126</v>
      </c>
      <c r="BD114" s="296" t="s">
        <v>4671</v>
      </c>
      <c r="BE114" s="601" t="s">
        <v>2144</v>
      </c>
      <c r="BF114" s="174" t="s">
        <v>4290</v>
      </c>
      <c r="BG114" s="173"/>
      <c r="BH114" s="173"/>
      <c r="BI114" s="296" t="s">
        <v>1963</v>
      </c>
      <c r="BJ114" s="602"/>
      <c r="BK114" s="296" t="s">
        <v>5290</v>
      </c>
      <c r="BL114" s="296" t="s">
        <v>5291</v>
      </c>
      <c r="BM114" s="174"/>
      <c r="BN114" s="126" t="s">
        <v>3275</v>
      </c>
      <c r="BO114" s="173"/>
      <c r="BP114" s="173"/>
      <c r="BQ114" s="249"/>
      <c r="BR114" s="298" t="s">
        <v>5292</v>
      </c>
      <c r="BS114" s="175" t="s">
        <v>5293</v>
      </c>
      <c r="BT114" s="298" t="s">
        <v>990</v>
      </c>
      <c r="BU114" s="253"/>
      <c r="BV114" s="175" t="s">
        <v>4563</v>
      </c>
      <c r="BW114" s="603" t="s">
        <v>5294</v>
      </c>
      <c r="BX114" s="298" t="s">
        <v>5295</v>
      </c>
      <c r="BY114" s="604" t="s">
        <v>445</v>
      </c>
      <c r="BZ114" s="604" t="s">
        <v>5296</v>
      </c>
      <c r="CA114" s="129" t="s">
        <v>3368</v>
      </c>
      <c r="CB114" s="253"/>
      <c r="CC114" s="253"/>
      <c r="CD114" s="298" t="s">
        <v>2687</v>
      </c>
      <c r="CE114" s="253"/>
      <c r="CF114" s="254"/>
      <c r="CG114" s="605" t="s">
        <v>5297</v>
      </c>
      <c r="CH114" s="605" t="s">
        <v>5298</v>
      </c>
      <c r="CI114" s="256"/>
      <c r="CJ114" s="256"/>
      <c r="CK114" s="256"/>
      <c r="CL114" s="256"/>
      <c r="CM114" s="256"/>
      <c r="CN114" s="605" t="s">
        <v>416</v>
      </c>
      <c r="CO114" s="605" t="s">
        <v>4338</v>
      </c>
      <c r="CP114" s="256"/>
      <c r="CQ114" s="256"/>
      <c r="CR114" s="256"/>
      <c r="CS114" s="256"/>
      <c r="CT114" s="256"/>
      <c r="CU114" s="92"/>
      <c r="CV114" s="606" t="s">
        <v>636</v>
      </c>
      <c r="CW114" s="257"/>
      <c r="CX114" s="137" t="s">
        <v>5299</v>
      </c>
      <c r="CY114" s="204"/>
      <c r="CZ114" s="309" t="s">
        <v>5300</v>
      </c>
      <c r="DA114" s="257"/>
      <c r="DB114" s="607" t="s">
        <v>5301</v>
      </c>
      <c r="DC114" s="309" t="s">
        <v>5302</v>
      </c>
      <c r="DD114" s="257"/>
      <c r="DE114" s="257"/>
      <c r="DF114" s="204"/>
      <c r="DG114" s="257"/>
      <c r="DH114" s="258"/>
      <c r="DI114" s="259"/>
      <c r="DJ114" s="259"/>
      <c r="DK114" s="259"/>
      <c r="DL114" s="205"/>
      <c r="DM114" s="145" t="s">
        <v>529</v>
      </c>
      <c r="DN114" s="608" t="s">
        <v>5303</v>
      </c>
      <c r="DO114" s="608" t="s">
        <v>1188</v>
      </c>
      <c r="DP114" s="608" t="s">
        <v>5304</v>
      </c>
      <c r="DQ114" s="259"/>
      <c r="DR114" s="259"/>
      <c r="DS114" s="259"/>
      <c r="DT114" s="259"/>
      <c r="DU114" s="259"/>
      <c r="DV114" s="259"/>
      <c r="DW114" s="259"/>
      <c r="DX114" s="259"/>
      <c r="DY114" s="259"/>
      <c r="DZ114" s="609" t="s">
        <v>3510</v>
      </c>
      <c r="EA114" s="608" t="s">
        <v>3115</v>
      </c>
      <c r="EB114" s="259"/>
      <c r="EC114" s="259"/>
      <c r="ED114" s="287"/>
    </row>
    <row r="115">
      <c r="A115" s="610" t="s">
        <v>5305</v>
      </c>
      <c r="B115" s="82" t="s">
        <v>5306</v>
      </c>
      <c r="C115" s="83" t="s">
        <v>1256</v>
      </c>
      <c r="D115" s="84" t="s">
        <v>1256</v>
      </c>
      <c r="E115" s="85" t="s">
        <v>1256</v>
      </c>
      <c r="F115" s="86" t="s">
        <v>2680</v>
      </c>
      <c r="G115" s="82" t="s">
        <v>5056</v>
      </c>
      <c r="H115" s="94" t="s">
        <v>3357</v>
      </c>
      <c r="I115" s="94" t="s">
        <v>5307</v>
      </c>
      <c r="J115" s="94" t="s">
        <v>5308</v>
      </c>
      <c r="K115" s="94" t="s">
        <v>753</v>
      </c>
      <c r="L115" s="94" t="s">
        <v>828</v>
      </c>
      <c r="M115" s="99"/>
      <c r="N115" s="94" t="s">
        <v>5309</v>
      </c>
      <c r="O115" s="94" t="s">
        <v>4516</v>
      </c>
      <c r="P115" s="88" t="s">
        <v>556</v>
      </c>
      <c r="Q115" s="94" t="s">
        <v>2441</v>
      </c>
      <c r="R115" s="99"/>
      <c r="S115" s="88" t="s">
        <v>2700</v>
      </c>
      <c r="T115" s="99"/>
      <c r="U115" s="94" t="s">
        <v>5310</v>
      </c>
      <c r="V115" s="88" t="s">
        <v>5311</v>
      </c>
      <c r="W115" s="92"/>
      <c r="X115" s="94" t="s">
        <v>5312</v>
      </c>
      <c r="Y115" s="94"/>
      <c r="Z115" s="94" t="s">
        <v>1575</v>
      </c>
      <c r="AA115" s="94" t="s">
        <v>1512</v>
      </c>
      <c r="AB115" s="94" t="s">
        <v>609</v>
      </c>
      <c r="AC115" s="94" t="s">
        <v>3825</v>
      </c>
      <c r="AD115" s="94" t="s">
        <v>5313</v>
      </c>
      <c r="AE115" s="94"/>
      <c r="AF115" s="94" t="s">
        <v>3996</v>
      </c>
      <c r="AG115" s="88" t="s">
        <v>2068</v>
      </c>
      <c r="AH115" s="94" t="s">
        <v>2805</v>
      </c>
      <c r="AI115" s="102"/>
      <c r="AJ115" s="88" t="s">
        <v>3068</v>
      </c>
      <c r="AK115" s="94" t="s">
        <v>5314</v>
      </c>
      <c r="AL115" s="97"/>
      <c r="AM115" s="94" t="s">
        <v>3576</v>
      </c>
      <c r="AN115" s="94" t="s">
        <v>1304</v>
      </c>
      <c r="AO115" s="99"/>
      <c r="AP115" s="88" t="s">
        <v>5315</v>
      </c>
      <c r="AQ115" s="94" t="s">
        <v>967</v>
      </c>
      <c r="AR115" s="94"/>
      <c r="AS115" s="94" t="s">
        <v>5316</v>
      </c>
      <c r="AT115" s="94" t="s">
        <v>5317</v>
      </c>
      <c r="AU115" s="88" t="s">
        <v>3342</v>
      </c>
      <c r="AV115" s="94" t="s">
        <v>5318</v>
      </c>
      <c r="AW115" s="94" t="s">
        <v>5319</v>
      </c>
      <c r="AX115" s="99"/>
      <c r="AY115" s="88" t="s">
        <v>1751</v>
      </c>
      <c r="AZ115" s="94" t="s">
        <v>5320</v>
      </c>
      <c r="BA115" s="94"/>
      <c r="BB115" s="99"/>
      <c r="BC115" s="94" t="s">
        <v>2163</v>
      </c>
      <c r="BD115" s="94" t="s">
        <v>3541</v>
      </c>
      <c r="BE115" s="94" t="s">
        <v>836</v>
      </c>
      <c r="BF115" s="94" t="s">
        <v>2607</v>
      </c>
      <c r="BG115" s="94" t="s">
        <v>3272</v>
      </c>
      <c r="BH115" s="99"/>
      <c r="BI115" s="94" t="s">
        <v>5321</v>
      </c>
      <c r="BJ115" s="94" t="s">
        <v>1142</v>
      </c>
      <c r="BK115" s="99"/>
      <c r="BL115" s="162" t="s">
        <v>5291</v>
      </c>
      <c r="BM115" s="94" t="s">
        <v>5322</v>
      </c>
      <c r="BN115" s="94" t="s">
        <v>4075</v>
      </c>
      <c r="BO115" s="99"/>
      <c r="BP115" s="94" t="s">
        <v>5323</v>
      </c>
      <c r="BQ115" s="94"/>
      <c r="BR115" s="99"/>
      <c r="BS115" s="94" t="s">
        <v>5324</v>
      </c>
      <c r="BT115" s="94" t="s">
        <v>232</v>
      </c>
      <c r="BU115" s="94" t="s">
        <v>579</v>
      </c>
      <c r="BV115" s="94" t="s">
        <v>5325</v>
      </c>
      <c r="BW115" s="94" t="s">
        <v>5326</v>
      </c>
      <c r="BX115" s="99"/>
      <c r="BY115" s="88" t="s">
        <v>3122</v>
      </c>
      <c r="BZ115" s="99"/>
      <c r="CA115" s="88" t="s">
        <v>3829</v>
      </c>
      <c r="CB115" s="88" t="s">
        <v>5327</v>
      </c>
      <c r="CC115" s="88" t="s">
        <v>5328</v>
      </c>
      <c r="CD115" s="94" t="s">
        <v>2905</v>
      </c>
      <c r="CE115" s="94" t="s">
        <v>5329</v>
      </c>
      <c r="CF115" s="94"/>
      <c r="CG115" s="94" t="s">
        <v>2752</v>
      </c>
      <c r="CH115" s="94" t="s">
        <v>3457</v>
      </c>
      <c r="CI115" s="94" t="s">
        <v>481</v>
      </c>
      <c r="CJ115" s="94" t="s">
        <v>5330</v>
      </c>
      <c r="CK115" s="94"/>
      <c r="CL115" s="94"/>
      <c r="CM115" s="94" t="s">
        <v>5331</v>
      </c>
      <c r="CN115" s="267" t="s">
        <v>5332</v>
      </c>
      <c r="CO115" s="88" t="s">
        <v>3631</v>
      </c>
      <c r="CP115" s="99"/>
      <c r="CQ115" s="94" t="s">
        <v>5333</v>
      </c>
      <c r="CR115" s="99"/>
      <c r="CS115" s="99"/>
      <c r="CT115" s="94" t="s">
        <v>3514</v>
      </c>
      <c r="CU115" s="92"/>
      <c r="CV115" s="94" t="s">
        <v>2617</v>
      </c>
      <c r="CW115" s="94" t="s">
        <v>4719</v>
      </c>
      <c r="CX115" s="94" t="s">
        <v>3325</v>
      </c>
      <c r="CY115" s="94" t="s">
        <v>659</v>
      </c>
      <c r="CZ115" s="99"/>
      <c r="DA115" s="99"/>
      <c r="DB115" s="88" t="s">
        <v>5334</v>
      </c>
      <c r="DC115" s="88" t="s">
        <v>2419</v>
      </c>
      <c r="DD115" s="94" t="s">
        <v>5335</v>
      </c>
      <c r="DE115" s="94" t="s">
        <v>5215</v>
      </c>
      <c r="DF115" s="94" t="s">
        <v>5336</v>
      </c>
      <c r="DG115" s="94" t="s">
        <v>5337</v>
      </c>
      <c r="DH115" s="94"/>
      <c r="DI115" s="94" t="s">
        <v>4135</v>
      </c>
      <c r="DJ115" s="94"/>
      <c r="DK115" s="94" t="s">
        <v>5338</v>
      </c>
      <c r="DL115" s="94"/>
      <c r="DM115" s="94" t="s">
        <v>5339</v>
      </c>
      <c r="DN115" s="94" t="s">
        <v>2558</v>
      </c>
      <c r="DO115" s="162" t="s">
        <v>5340</v>
      </c>
      <c r="DP115" s="94" t="s">
        <v>4117</v>
      </c>
      <c r="DQ115" s="99"/>
      <c r="DR115" s="94" t="s">
        <v>5341</v>
      </c>
      <c r="DS115" s="94" t="s">
        <v>5342</v>
      </c>
      <c r="DT115" s="94" t="s">
        <v>3767</v>
      </c>
      <c r="DU115" s="94" t="s">
        <v>3540</v>
      </c>
      <c r="DV115" s="94" t="s">
        <v>1076</v>
      </c>
      <c r="DW115" s="94" t="s">
        <v>1341</v>
      </c>
      <c r="DX115" s="94" t="s">
        <v>4164</v>
      </c>
      <c r="DY115" s="94" t="s">
        <v>1013</v>
      </c>
      <c r="DZ115" s="94" t="s">
        <v>2862</v>
      </c>
      <c r="EA115" s="94" t="s">
        <v>3977</v>
      </c>
      <c r="EB115" s="94" t="s">
        <v>1666</v>
      </c>
      <c r="EC115" s="94" t="s">
        <v>1082</v>
      </c>
      <c r="ED115" s="261" t="s">
        <v>5343</v>
      </c>
    </row>
    <row r="116">
      <c r="A116" s="166" t="s">
        <v>5344</v>
      </c>
      <c r="B116" s="104" t="s">
        <v>5345</v>
      </c>
      <c r="C116" s="105" t="s">
        <v>1256</v>
      </c>
      <c r="D116" s="106" t="s">
        <v>1256</v>
      </c>
      <c r="E116" s="107" t="s">
        <v>1256</v>
      </c>
      <c r="F116" s="108" t="s">
        <v>1256</v>
      </c>
      <c r="G116" s="104" t="s">
        <v>2191</v>
      </c>
      <c r="H116" s="167" t="s">
        <v>4750</v>
      </c>
      <c r="I116" s="167" t="s">
        <v>2320</v>
      </c>
      <c r="J116" s="167" t="s">
        <v>1954</v>
      </c>
      <c r="K116" s="167" t="s">
        <v>1138</v>
      </c>
      <c r="L116" s="167" t="s">
        <v>2617</v>
      </c>
      <c r="M116" s="167" t="s">
        <v>5346</v>
      </c>
      <c r="N116" s="167" t="s">
        <v>5347</v>
      </c>
      <c r="O116" s="167" t="s">
        <v>339</v>
      </c>
      <c r="P116" s="167" t="s">
        <v>1830</v>
      </c>
      <c r="Q116" s="243"/>
      <c r="R116" s="243"/>
      <c r="S116" s="167" t="s">
        <v>5348</v>
      </c>
      <c r="T116" s="243"/>
      <c r="U116" s="167" t="s">
        <v>1217</v>
      </c>
      <c r="V116" s="243"/>
      <c r="W116" s="92"/>
      <c r="X116" s="198" t="s">
        <v>5349</v>
      </c>
      <c r="Y116" s="198"/>
      <c r="Z116" s="198" t="s">
        <v>5350</v>
      </c>
      <c r="AA116" s="198" t="s">
        <v>5351</v>
      </c>
      <c r="AB116" s="198" t="s">
        <v>5352</v>
      </c>
      <c r="AC116" s="198" t="s">
        <v>5353</v>
      </c>
      <c r="AD116" s="198" t="s">
        <v>5354</v>
      </c>
      <c r="AE116" s="198" t="s">
        <v>5355</v>
      </c>
      <c r="AF116" s="198" t="s">
        <v>1620</v>
      </c>
      <c r="AG116" s="198" t="s">
        <v>4373</v>
      </c>
      <c r="AH116" s="198" t="s">
        <v>1833</v>
      </c>
      <c r="AI116" s="198"/>
      <c r="AJ116" s="198" t="s">
        <v>1359</v>
      </c>
      <c r="AK116" s="198" t="s">
        <v>5356</v>
      </c>
      <c r="AL116" s="97"/>
      <c r="AM116" s="168" t="s">
        <v>1888</v>
      </c>
      <c r="AN116" s="168" t="s">
        <v>4275</v>
      </c>
      <c r="AO116" s="247"/>
      <c r="AP116" s="247"/>
      <c r="AQ116" s="247"/>
      <c r="AR116" s="247"/>
      <c r="AS116" s="168" t="s">
        <v>4036</v>
      </c>
      <c r="AT116" s="247"/>
      <c r="AU116" s="168" t="s">
        <v>5357</v>
      </c>
      <c r="AV116" s="168" t="s">
        <v>5358</v>
      </c>
      <c r="AW116" s="247"/>
      <c r="AX116" s="247"/>
      <c r="AY116" s="247"/>
      <c r="AZ116" s="247"/>
      <c r="BA116" s="247"/>
      <c r="BB116" s="174" t="s">
        <v>5359</v>
      </c>
      <c r="BC116" s="174" t="s">
        <v>5360</v>
      </c>
      <c r="BD116" s="174" t="s">
        <v>1040</v>
      </c>
      <c r="BE116" s="174" t="s">
        <v>2477</v>
      </c>
      <c r="BF116" s="174" t="s">
        <v>5361</v>
      </c>
      <c r="BG116" s="174" t="s">
        <v>4249</v>
      </c>
      <c r="BH116" s="174" t="s">
        <v>4563</v>
      </c>
      <c r="BI116" s="174" t="s">
        <v>5362</v>
      </c>
      <c r="BJ116" s="174" t="s">
        <v>963</v>
      </c>
      <c r="BK116" s="174"/>
      <c r="BL116" s="174" t="s">
        <v>5363</v>
      </c>
      <c r="BM116" s="173"/>
      <c r="BN116" s="174" t="s">
        <v>1847</v>
      </c>
      <c r="BO116" s="174" t="s">
        <v>2986</v>
      </c>
      <c r="BP116" s="173"/>
      <c r="BQ116" s="249"/>
      <c r="BR116" s="175"/>
      <c r="BS116" s="175" t="s">
        <v>5364</v>
      </c>
      <c r="BT116" s="175" t="s">
        <v>2932</v>
      </c>
      <c r="BU116" s="175" t="s">
        <v>2456</v>
      </c>
      <c r="BV116" s="175" t="s">
        <v>5365</v>
      </c>
      <c r="BW116" s="175" t="s">
        <v>212</v>
      </c>
      <c r="BX116" s="175" t="s">
        <v>5366</v>
      </c>
      <c r="BY116" s="253"/>
      <c r="BZ116" s="175" t="s">
        <v>5367</v>
      </c>
      <c r="CA116" s="175" t="s">
        <v>5368</v>
      </c>
      <c r="CB116" s="253"/>
      <c r="CC116" s="175" t="s">
        <v>5369</v>
      </c>
      <c r="CD116" s="175" t="s">
        <v>1501</v>
      </c>
      <c r="CE116" s="253"/>
      <c r="CF116" s="254"/>
      <c r="CG116" s="177" t="s">
        <v>4852</v>
      </c>
      <c r="CH116" s="177" t="s">
        <v>1963</v>
      </c>
      <c r="CI116" s="177" t="s">
        <v>5370</v>
      </c>
      <c r="CJ116" s="177" t="s">
        <v>5371</v>
      </c>
      <c r="CK116" s="177"/>
      <c r="CL116" s="177" t="s">
        <v>5372</v>
      </c>
      <c r="CM116" s="177" t="s">
        <v>5373</v>
      </c>
      <c r="CN116" s="177" t="s">
        <v>1443</v>
      </c>
      <c r="CO116" s="177" t="s">
        <v>3111</v>
      </c>
      <c r="CP116" s="177" t="s">
        <v>5374</v>
      </c>
      <c r="CQ116" s="177" t="s">
        <v>550</v>
      </c>
      <c r="CR116" s="177"/>
      <c r="CS116" s="177" t="s">
        <v>5251</v>
      </c>
      <c r="CT116" s="256"/>
      <c r="CU116" s="92"/>
      <c r="CV116" s="204" t="s">
        <v>5375</v>
      </c>
      <c r="CW116" s="204" t="s">
        <v>5376</v>
      </c>
      <c r="CX116" s="204" t="s">
        <v>3397</v>
      </c>
      <c r="CY116" s="204" t="s">
        <v>1923</v>
      </c>
      <c r="CZ116" s="204" t="s">
        <v>5377</v>
      </c>
      <c r="DA116" s="204" t="s">
        <v>4026</v>
      </c>
      <c r="DB116" s="204" t="s">
        <v>5378</v>
      </c>
      <c r="DC116" s="204" t="s">
        <v>2600</v>
      </c>
      <c r="DD116" s="204" t="s">
        <v>5379</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5380</v>
      </c>
      <c r="B117" s="82" t="s">
        <v>5381</v>
      </c>
      <c r="C117" s="83" t="s">
        <v>1256</v>
      </c>
      <c r="D117" s="84" t="s">
        <v>1256</v>
      </c>
      <c r="E117" s="85" t="s">
        <v>1256</v>
      </c>
      <c r="F117" s="86" t="s">
        <v>647</v>
      </c>
      <c r="G117" s="82" t="s">
        <v>4776</v>
      </c>
      <c r="H117" s="94" t="s">
        <v>664</v>
      </c>
      <c r="I117" s="94" t="s">
        <v>2501</v>
      </c>
      <c r="J117" s="94" t="s">
        <v>1752</v>
      </c>
      <c r="K117" s="94" t="s">
        <v>4053</v>
      </c>
      <c r="L117" s="94" t="s">
        <v>4620</v>
      </c>
      <c r="M117" s="94" t="s">
        <v>5382</v>
      </c>
      <c r="N117" s="94" t="s">
        <v>5383</v>
      </c>
      <c r="O117" s="94" t="s">
        <v>155</v>
      </c>
      <c r="P117" s="94" t="s">
        <v>251</v>
      </c>
      <c r="Q117" s="99"/>
      <c r="R117" s="99"/>
      <c r="S117" s="99"/>
      <c r="T117" s="99"/>
      <c r="U117" s="99"/>
      <c r="V117" s="99"/>
      <c r="W117" s="92"/>
      <c r="X117" s="94" t="s">
        <v>5384</v>
      </c>
      <c r="Y117" s="95"/>
      <c r="Z117" s="98" t="str">
        <f>HYPERLINK("https://clips.twitch.tv/RudeLuckyBananaSMOrc","17.25")</f>
        <v>17.25</v>
      </c>
      <c r="AA117" s="94" t="s">
        <v>3106</v>
      </c>
      <c r="AB117" s="94" t="s">
        <v>5385</v>
      </c>
      <c r="AC117" s="98" t="str">
        <f>HYPERLINK("https://www.youtube.com/watch?v=2hvItIHk4rM&amp;feature=youtu.be","30.45")</f>
        <v>30.45</v>
      </c>
      <c r="AD117" s="94" t="s">
        <v>5386</v>
      </c>
      <c r="AE117" s="94" t="s">
        <v>5387</v>
      </c>
      <c r="AF117" s="94" t="s">
        <v>5388</v>
      </c>
      <c r="AG117" s="94" t="s">
        <v>5389</v>
      </c>
      <c r="AH117" s="99"/>
      <c r="AI117" s="99"/>
      <c r="AJ117" s="99"/>
      <c r="AK117" s="99"/>
      <c r="AL117" s="97"/>
      <c r="AM117" s="99"/>
      <c r="AN117" s="99"/>
      <c r="AO117" s="99"/>
      <c r="AP117" s="99"/>
      <c r="AQ117" s="99"/>
      <c r="AR117" s="99"/>
      <c r="AS117" s="99"/>
      <c r="AT117" s="99"/>
      <c r="AU117" s="94" t="s">
        <v>4960</v>
      </c>
      <c r="AV117" s="94" t="s">
        <v>5390</v>
      </c>
      <c r="AW117" s="99"/>
      <c r="AX117" s="99"/>
      <c r="AY117" s="99"/>
      <c r="AZ117" s="99"/>
      <c r="BA117" s="99"/>
      <c r="BB117" s="94" t="s">
        <v>5391</v>
      </c>
      <c r="BC117" s="94" t="s">
        <v>3320</v>
      </c>
      <c r="BD117" s="94" t="s">
        <v>5392</v>
      </c>
      <c r="BE117" s="99"/>
      <c r="BF117" s="99"/>
      <c r="BG117" s="99"/>
      <c r="BH117" s="99"/>
      <c r="BI117" s="99"/>
      <c r="BJ117" s="99"/>
      <c r="BK117" s="94" t="s">
        <v>5393</v>
      </c>
      <c r="BL117" s="99"/>
      <c r="BM117" s="99"/>
      <c r="BN117" s="99"/>
      <c r="BO117" s="99"/>
      <c r="BP117" s="99"/>
      <c r="BQ117" s="236"/>
      <c r="BR117" s="94" t="s">
        <v>5394</v>
      </c>
      <c r="BS117" s="94" t="s">
        <v>5395</v>
      </c>
      <c r="BT117" s="94" t="s">
        <v>5396</v>
      </c>
      <c r="BU117" s="94" t="s">
        <v>5397</v>
      </c>
      <c r="BV117" s="94" t="s">
        <v>4577</v>
      </c>
      <c r="BW117" s="98" t="str">
        <f>HYPERLINK("https://www.youtube.com/watch?v=9KMv5u5AP-g&amp;feature=youtu.be","24.60")</f>
        <v>24.60</v>
      </c>
      <c r="BX117" s="94" t="s">
        <v>5398</v>
      </c>
      <c r="BY117" s="99"/>
      <c r="BZ117" s="94" t="s">
        <v>5399</v>
      </c>
      <c r="CA117" s="94" t="s">
        <v>324</v>
      </c>
      <c r="CB117" s="99"/>
      <c r="CC117" s="99"/>
      <c r="CD117" s="99"/>
      <c r="CE117" s="99"/>
      <c r="CF117" s="236"/>
      <c r="CG117" s="94" t="s">
        <v>5400</v>
      </c>
      <c r="CH117" s="94" t="s">
        <v>5401</v>
      </c>
      <c r="CI117" s="94" t="s">
        <v>5402</v>
      </c>
      <c r="CJ117" s="94" t="s">
        <v>5403</v>
      </c>
      <c r="CK117" s="94"/>
      <c r="CL117" s="94" t="s">
        <v>2203</v>
      </c>
      <c r="CM117" s="94" t="s">
        <v>5404</v>
      </c>
      <c r="CN117" s="94" t="s">
        <v>2443</v>
      </c>
      <c r="CO117" s="94" t="s">
        <v>5270</v>
      </c>
      <c r="CP117" s="99"/>
      <c r="CQ117" s="99"/>
      <c r="CR117" s="99"/>
      <c r="CS117" s="99"/>
      <c r="CT117" s="99"/>
      <c r="CU117" s="92"/>
      <c r="CV117" s="94" t="s">
        <v>5089</v>
      </c>
      <c r="CW117" s="94" t="s">
        <v>3034</v>
      </c>
      <c r="CX117" s="94" t="s">
        <v>4221</v>
      </c>
      <c r="CY117" s="94" t="s">
        <v>5215</v>
      </c>
      <c r="CZ117" s="94" t="s">
        <v>4715</v>
      </c>
      <c r="DA117" s="94" t="s">
        <v>5405</v>
      </c>
      <c r="DB117" s="94" t="s">
        <v>5406</v>
      </c>
      <c r="DC117" s="94" t="s">
        <v>5407</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5408</v>
      </c>
      <c r="B118" s="104" t="s">
        <v>5409</v>
      </c>
      <c r="C118" s="105" t="s">
        <v>1256</v>
      </c>
      <c r="D118" s="106" t="s">
        <v>1256</v>
      </c>
      <c r="E118" s="107" t="s">
        <v>1256</v>
      </c>
      <c r="F118" s="108" t="s">
        <v>1256</v>
      </c>
      <c r="G118" s="104" t="s">
        <v>5410</v>
      </c>
      <c r="H118" s="167" t="s">
        <v>2516</v>
      </c>
      <c r="I118" s="167" t="s">
        <v>5411</v>
      </c>
      <c r="J118" s="167" t="s">
        <v>5412</v>
      </c>
      <c r="K118" s="167" t="s">
        <v>5413</v>
      </c>
      <c r="L118" s="167" t="s">
        <v>782</v>
      </c>
      <c r="M118" s="243"/>
      <c r="N118" s="167" t="s">
        <v>5414</v>
      </c>
      <c r="O118" s="167" t="s">
        <v>479</v>
      </c>
      <c r="P118" s="167" t="s">
        <v>5284</v>
      </c>
      <c r="Q118" s="243"/>
      <c r="R118" s="243"/>
      <c r="S118" s="167" t="s">
        <v>3038</v>
      </c>
      <c r="T118" s="243"/>
      <c r="U118" s="243"/>
      <c r="V118" s="243"/>
      <c r="W118" s="92"/>
      <c r="X118" s="198" t="s">
        <v>5415</v>
      </c>
      <c r="Y118" s="198"/>
      <c r="Z118" s="198" t="s">
        <v>285</v>
      </c>
      <c r="AA118" s="198" t="s">
        <v>5416</v>
      </c>
      <c r="AB118" s="198" t="s">
        <v>1458</v>
      </c>
      <c r="AC118" s="198" t="s">
        <v>5417</v>
      </c>
      <c r="AD118" s="198" t="s">
        <v>5418</v>
      </c>
      <c r="AE118" s="246"/>
      <c r="AF118" s="198" t="s">
        <v>291</v>
      </c>
      <c r="AG118" s="198" t="s">
        <v>5419</v>
      </c>
      <c r="AH118" s="246"/>
      <c r="AI118" s="246"/>
      <c r="AJ118" s="198" t="s">
        <v>5420</v>
      </c>
      <c r="AK118" s="246"/>
      <c r="AL118" s="97"/>
      <c r="AM118" s="168" t="s">
        <v>4437</v>
      </c>
      <c r="AN118" s="168" t="s">
        <v>3744</v>
      </c>
      <c r="AO118" s="247"/>
      <c r="AP118" s="247"/>
      <c r="AQ118" s="247"/>
      <c r="AR118" s="247"/>
      <c r="AS118" s="168" t="s">
        <v>5421</v>
      </c>
      <c r="AT118" s="247"/>
      <c r="AU118" s="168" t="s">
        <v>1709</v>
      </c>
      <c r="AV118" s="168" t="s">
        <v>2114</v>
      </c>
      <c r="AW118" s="168" t="s">
        <v>5422</v>
      </c>
      <c r="AX118" s="247"/>
      <c r="AY118" s="168" t="s">
        <v>5417</v>
      </c>
      <c r="AZ118" s="247"/>
      <c r="BA118" s="247"/>
      <c r="BB118" s="174" t="s">
        <v>5423</v>
      </c>
      <c r="BC118" s="174" t="s">
        <v>2708</v>
      </c>
      <c r="BD118" s="174" t="s">
        <v>5424</v>
      </c>
      <c r="BE118" s="174" t="s">
        <v>4533</v>
      </c>
      <c r="BF118" s="174" t="s">
        <v>5425</v>
      </c>
      <c r="BG118" s="174" t="s">
        <v>5426</v>
      </c>
      <c r="BH118" s="174" t="s">
        <v>4678</v>
      </c>
      <c r="BI118" s="174" t="s">
        <v>2326</v>
      </c>
      <c r="BJ118" s="174" t="s">
        <v>5427</v>
      </c>
      <c r="BK118" s="174" t="s">
        <v>5428</v>
      </c>
      <c r="BL118" s="174" t="s">
        <v>5429</v>
      </c>
      <c r="BM118" s="173"/>
      <c r="BN118" s="174" t="s">
        <v>2326</v>
      </c>
      <c r="BO118" s="174" t="s">
        <v>3574</v>
      </c>
      <c r="BP118" s="173"/>
      <c r="BQ118" s="249"/>
      <c r="BR118" s="175" t="s">
        <v>5430</v>
      </c>
      <c r="BS118" s="253"/>
      <c r="BT118" s="175" t="s">
        <v>4462</v>
      </c>
      <c r="BU118" s="175" t="s">
        <v>5431</v>
      </c>
      <c r="BV118" s="175" t="s">
        <v>5432</v>
      </c>
      <c r="BW118" s="175" t="s">
        <v>5433</v>
      </c>
      <c r="BX118" s="253"/>
      <c r="BY118" s="175" t="s">
        <v>3865</v>
      </c>
      <c r="BZ118" s="175" t="s">
        <v>5434</v>
      </c>
      <c r="CA118" s="175" t="s">
        <v>5435</v>
      </c>
      <c r="CB118" s="253"/>
      <c r="CC118" s="253"/>
      <c r="CD118" s="253"/>
      <c r="CE118" s="253"/>
      <c r="CF118" s="254"/>
      <c r="CG118" s="177" t="s">
        <v>5436</v>
      </c>
      <c r="CH118" s="177" t="s">
        <v>5100</v>
      </c>
      <c r="CI118" s="177" t="s">
        <v>986</v>
      </c>
      <c r="CJ118" s="177" t="s">
        <v>5437</v>
      </c>
      <c r="CK118" s="177"/>
      <c r="CL118" s="177" t="s">
        <v>4174</v>
      </c>
      <c r="CM118" s="177" t="s">
        <v>5438</v>
      </c>
      <c r="CN118" s="177" t="s">
        <v>5439</v>
      </c>
      <c r="CO118" s="177" t="s">
        <v>4155</v>
      </c>
      <c r="CP118" s="256"/>
      <c r="CQ118" s="177" t="s">
        <v>5440</v>
      </c>
      <c r="CR118" s="256"/>
      <c r="CS118" s="256"/>
      <c r="CT118" s="256"/>
      <c r="CU118" s="92"/>
      <c r="CV118" s="204" t="s">
        <v>1647</v>
      </c>
      <c r="CW118" s="204" t="s">
        <v>5441</v>
      </c>
      <c r="CX118" s="204" t="s">
        <v>5442</v>
      </c>
      <c r="CY118" s="204" t="s">
        <v>3542</v>
      </c>
      <c r="CZ118" s="204" t="s">
        <v>5443</v>
      </c>
      <c r="DA118" s="204" t="s">
        <v>1979</v>
      </c>
      <c r="DB118" s="204" t="s">
        <v>5444</v>
      </c>
      <c r="DC118" s="204" t="s">
        <v>5445</v>
      </c>
      <c r="DD118" s="257"/>
      <c r="DE118" s="257"/>
      <c r="DF118" s="204" t="s">
        <v>355</v>
      </c>
      <c r="DG118" s="257"/>
      <c r="DH118" s="258"/>
      <c r="DI118" s="205" t="s">
        <v>2494</v>
      </c>
      <c r="DJ118" s="259"/>
      <c r="DK118" s="205" t="s">
        <v>4861</v>
      </c>
      <c r="DL118" s="205"/>
      <c r="DM118" s="205" t="s">
        <v>510</v>
      </c>
      <c r="DN118" s="205" t="s">
        <v>5446</v>
      </c>
      <c r="DO118" s="205" t="s">
        <v>5447</v>
      </c>
      <c r="DP118" s="205" t="s">
        <v>5448</v>
      </c>
      <c r="DQ118" s="205" t="s">
        <v>5449</v>
      </c>
      <c r="DR118" s="205" t="s">
        <v>5450</v>
      </c>
      <c r="DS118" s="205" t="s">
        <v>1063</v>
      </c>
      <c r="DT118" s="205" t="s">
        <v>5270</v>
      </c>
      <c r="DU118" s="259"/>
      <c r="DV118" s="259"/>
      <c r="DW118" s="205" t="s">
        <v>269</v>
      </c>
      <c r="DX118" s="259"/>
      <c r="DY118" s="205" t="s">
        <v>5451</v>
      </c>
      <c r="DZ118" s="205" t="s">
        <v>689</v>
      </c>
      <c r="EA118" s="205" t="s">
        <v>5452</v>
      </c>
      <c r="EB118" s="259"/>
      <c r="EC118" s="205" t="s">
        <v>5453</v>
      </c>
      <c r="ED118" s="612" t="s">
        <v>5454</v>
      </c>
    </row>
    <row r="119">
      <c r="A119" s="266" t="s">
        <v>5455</v>
      </c>
      <c r="B119" s="82" t="s">
        <v>5456</v>
      </c>
      <c r="C119" s="83" t="s">
        <v>1256</v>
      </c>
      <c r="D119" s="84" t="s">
        <v>546</v>
      </c>
      <c r="E119" s="85" t="s">
        <v>1256</v>
      </c>
      <c r="F119" s="86" t="s">
        <v>332</v>
      </c>
      <c r="G119" s="82" t="s">
        <v>1634</v>
      </c>
      <c r="H119" s="102" t="s">
        <v>171</v>
      </c>
      <c r="I119" s="95" t="s">
        <v>5457</v>
      </c>
      <c r="J119" s="88" t="s">
        <v>5173</v>
      </c>
      <c r="K119" s="93" t="s">
        <v>5458</v>
      </c>
      <c r="L119" s="267" t="s">
        <v>5459</v>
      </c>
      <c r="M119" s="102"/>
      <c r="N119" s="102" t="s">
        <v>4403</v>
      </c>
      <c r="O119" s="102" t="s">
        <v>417</v>
      </c>
      <c r="P119" s="88" t="s">
        <v>5460</v>
      </c>
      <c r="Q119" s="99"/>
      <c r="R119" s="99"/>
      <c r="S119" s="99"/>
      <c r="T119" s="99"/>
      <c r="U119" s="99"/>
      <c r="V119" s="99"/>
      <c r="W119" s="92"/>
      <c r="X119" s="102" t="s">
        <v>3831</v>
      </c>
      <c r="Y119" s="102"/>
      <c r="Z119" s="102" t="s">
        <v>3142</v>
      </c>
      <c r="AA119" s="102" t="s">
        <v>5094</v>
      </c>
      <c r="AB119" s="267" t="s">
        <v>3088</v>
      </c>
      <c r="AC119" s="102" t="s">
        <v>2371</v>
      </c>
      <c r="AD119" s="102" t="s">
        <v>1362</v>
      </c>
      <c r="AE119" s="99"/>
      <c r="AF119" s="102" t="s">
        <v>5461</v>
      </c>
      <c r="AG119" s="102" t="s">
        <v>5462</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5463</v>
      </c>
      <c r="BD119" s="102" t="s">
        <v>2705</v>
      </c>
      <c r="BE119" s="102" t="s">
        <v>5464</v>
      </c>
      <c r="BF119" s="102"/>
      <c r="BG119" s="102" t="s">
        <v>2350</v>
      </c>
      <c r="BH119" s="99"/>
      <c r="BI119" s="102" t="s">
        <v>610</v>
      </c>
      <c r="BJ119" s="99"/>
      <c r="BK119" s="102"/>
      <c r="BL119" s="102" t="s">
        <v>5465</v>
      </c>
      <c r="BM119" s="99"/>
      <c r="BN119" s="99"/>
      <c r="BO119" s="102"/>
      <c r="BP119" s="99"/>
      <c r="BQ119" s="236"/>
      <c r="BR119" s="102" t="s">
        <v>5466</v>
      </c>
      <c r="BS119" s="102" t="s">
        <v>3721</v>
      </c>
      <c r="BT119" s="102" t="s">
        <v>3771</v>
      </c>
      <c r="BU119" s="102"/>
      <c r="BV119" s="102"/>
      <c r="BW119" s="102" t="s">
        <v>4975</v>
      </c>
      <c r="BX119" s="99"/>
      <c r="BY119" s="102" t="s">
        <v>5467</v>
      </c>
      <c r="BZ119" s="102"/>
      <c r="CA119" s="102"/>
      <c r="CB119" s="99"/>
      <c r="CC119" s="99"/>
      <c r="CD119" s="94" t="s">
        <v>5195</v>
      </c>
      <c r="CE119" s="99"/>
      <c r="CF119" s="236"/>
      <c r="CG119" s="102" t="s">
        <v>5468</v>
      </c>
      <c r="CH119" s="102" t="s">
        <v>5469</v>
      </c>
      <c r="CI119" s="102" t="s">
        <v>5470</v>
      </c>
      <c r="CJ119" s="102"/>
      <c r="CK119" s="102"/>
      <c r="CL119" s="102" t="s">
        <v>5471</v>
      </c>
      <c r="CM119" s="102"/>
      <c r="CN119" s="88" t="s">
        <v>2172</v>
      </c>
      <c r="CO119" s="102" t="s">
        <v>5073</v>
      </c>
      <c r="CP119" s="613" t="s">
        <v>5472</v>
      </c>
      <c r="CQ119" s="99"/>
      <c r="CR119" s="99"/>
      <c r="CS119" s="99"/>
      <c r="CT119" s="99"/>
      <c r="CU119" s="92"/>
      <c r="CV119" s="102" t="s">
        <v>5473</v>
      </c>
      <c r="CW119" s="102" t="s">
        <v>4209</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3404</v>
      </c>
      <c r="H120" s="293" t="s">
        <v>1314</v>
      </c>
      <c r="I120" s="293" t="s">
        <v>5479</v>
      </c>
      <c r="J120" s="293" t="s">
        <v>5480</v>
      </c>
      <c r="K120" s="293" t="s">
        <v>4436</v>
      </c>
      <c r="L120" s="293" t="s">
        <v>4455</v>
      </c>
      <c r="M120" s="293" t="s">
        <v>5481</v>
      </c>
      <c r="N120" s="293" t="s">
        <v>1969</v>
      </c>
      <c r="O120" s="293" t="s">
        <v>1454</v>
      </c>
      <c r="P120" s="112" t="s">
        <v>1004</v>
      </c>
      <c r="Q120" s="112" t="s">
        <v>5482</v>
      </c>
      <c r="R120" s="243"/>
      <c r="S120" s="243"/>
      <c r="T120" s="243"/>
      <c r="U120" s="243"/>
      <c r="V120" s="243"/>
      <c r="W120" s="92"/>
      <c r="X120" s="295" t="s">
        <v>5483</v>
      </c>
      <c r="Y120" s="295"/>
      <c r="Z120" s="295" t="s">
        <v>3959</v>
      </c>
      <c r="AA120" s="295" t="s">
        <v>5484</v>
      </c>
      <c r="AB120" s="295" t="s">
        <v>3504</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5188</v>
      </c>
      <c r="AW120" s="247"/>
      <c r="AX120" s="247"/>
      <c r="AY120" s="247"/>
      <c r="AZ120" s="247"/>
      <c r="BA120" s="247"/>
      <c r="BB120" s="174" t="s">
        <v>5493</v>
      </c>
      <c r="BC120" s="304" t="s">
        <v>922</v>
      </c>
      <c r="BD120" s="304" t="s">
        <v>616</v>
      </c>
      <c r="BE120" s="174" t="s">
        <v>659</v>
      </c>
      <c r="BF120" s="174" t="s">
        <v>3009</v>
      </c>
      <c r="BG120" s="174" t="s">
        <v>5494</v>
      </c>
      <c r="BH120" s="174" t="s">
        <v>5495</v>
      </c>
      <c r="BI120" s="174" t="s">
        <v>5496</v>
      </c>
      <c r="BJ120" s="173"/>
      <c r="BK120" s="174" t="s">
        <v>5497</v>
      </c>
      <c r="BL120" s="174" t="s">
        <v>3942</v>
      </c>
      <c r="BM120" s="173"/>
      <c r="BN120" s="174" t="s">
        <v>5442</v>
      </c>
      <c r="BO120" s="174" t="s">
        <v>4439</v>
      </c>
      <c r="BP120" s="174" t="s">
        <v>5498</v>
      </c>
      <c r="BQ120" s="174"/>
      <c r="BR120" s="175"/>
      <c r="BS120" s="175" t="s">
        <v>3898</v>
      </c>
      <c r="BT120" s="175" t="s">
        <v>3808</v>
      </c>
      <c r="BU120" s="175" t="s">
        <v>5499</v>
      </c>
      <c r="BV120" s="175" t="s">
        <v>4856</v>
      </c>
      <c r="BW120" s="175" t="s">
        <v>4418</v>
      </c>
      <c r="BX120" s="253"/>
      <c r="BY120" s="175" t="s">
        <v>5500</v>
      </c>
      <c r="BZ120" s="175" t="s">
        <v>5501</v>
      </c>
      <c r="CA120" s="175" t="s">
        <v>5502</v>
      </c>
      <c r="CB120" s="253"/>
      <c r="CC120" s="253"/>
      <c r="CD120" s="253"/>
      <c r="CE120" s="253"/>
      <c r="CF120" s="254"/>
      <c r="CG120" s="177" t="s">
        <v>5503</v>
      </c>
      <c r="CH120" s="177" t="s">
        <v>5504</v>
      </c>
      <c r="CI120" s="177" t="s">
        <v>3586</v>
      </c>
      <c r="CJ120" s="177" t="s">
        <v>5505</v>
      </c>
      <c r="CK120" s="177"/>
      <c r="CL120" s="177" t="s">
        <v>4174</v>
      </c>
      <c r="CM120" s="177" t="s">
        <v>5506</v>
      </c>
      <c r="CN120" s="177" t="s">
        <v>5507</v>
      </c>
      <c r="CO120" s="177" t="s">
        <v>5508</v>
      </c>
      <c r="CP120" s="256"/>
      <c r="CQ120" s="256"/>
      <c r="CR120" s="256"/>
      <c r="CS120" s="256"/>
      <c r="CT120" s="256"/>
      <c r="CU120" s="92"/>
      <c r="CV120" s="204" t="s">
        <v>5509</v>
      </c>
      <c r="CW120" s="204" t="s">
        <v>3178</v>
      </c>
      <c r="CX120" s="204" t="s">
        <v>5510</v>
      </c>
      <c r="CY120" s="204" t="s">
        <v>5511</v>
      </c>
      <c r="CZ120" s="204" t="s">
        <v>5512</v>
      </c>
      <c r="DA120" s="204" t="s">
        <v>1963</v>
      </c>
      <c r="DB120" s="204" t="s">
        <v>5513</v>
      </c>
      <c r="DC120" s="204" t="s">
        <v>3207</v>
      </c>
      <c r="DD120" s="257"/>
      <c r="DE120" s="257"/>
      <c r="DF120" s="257"/>
      <c r="DG120" s="204" t="s">
        <v>5514</v>
      </c>
      <c r="DH120" s="309"/>
      <c r="DI120" s="205" t="s">
        <v>2416</v>
      </c>
      <c r="DJ120" s="259"/>
      <c r="DK120" s="259"/>
      <c r="DL120" s="205"/>
      <c r="DM120" s="259"/>
      <c r="DN120" s="205" t="s">
        <v>5515</v>
      </c>
      <c r="DO120" s="205" t="s">
        <v>3802</v>
      </c>
      <c r="DP120" s="205" t="s">
        <v>1182</v>
      </c>
      <c r="DQ120" s="259"/>
      <c r="DR120" s="205" t="s">
        <v>5516</v>
      </c>
      <c r="DS120" s="205"/>
      <c r="DT120" s="259"/>
      <c r="DU120" s="259"/>
      <c r="DV120" s="205" t="s">
        <v>3087</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2089</v>
      </c>
      <c r="H121" s="261" t="s">
        <v>949</v>
      </c>
      <c r="I121" s="261" t="s">
        <v>5520</v>
      </c>
      <c r="J121" s="261" t="s">
        <v>2653</v>
      </c>
      <c r="K121" s="261" t="s">
        <v>4940</v>
      </c>
      <c r="L121" s="261" t="s">
        <v>5521</v>
      </c>
      <c r="M121" s="261" t="s">
        <v>5522</v>
      </c>
      <c r="N121" s="261" t="s">
        <v>5523</v>
      </c>
      <c r="O121" s="261" t="s">
        <v>5524</v>
      </c>
      <c r="P121" s="261" t="s">
        <v>5525</v>
      </c>
      <c r="Q121" s="573"/>
      <c r="R121" s="573"/>
      <c r="S121" s="575" t="s">
        <v>4808</v>
      </c>
      <c r="T121" s="573"/>
      <c r="U121" s="575" t="s">
        <v>5526</v>
      </c>
      <c r="V121" s="573"/>
      <c r="W121" s="580"/>
      <c r="X121" s="261" t="s">
        <v>5527</v>
      </c>
      <c r="Y121" s="261"/>
      <c r="Z121" s="261"/>
      <c r="AA121" s="261" t="s">
        <v>5117</v>
      </c>
      <c r="AB121" s="261"/>
      <c r="AC121" s="261" t="s">
        <v>5528</v>
      </c>
      <c r="AD121" s="261" t="s">
        <v>5529</v>
      </c>
      <c r="AE121" s="573"/>
      <c r="AF121" s="261"/>
      <c r="AG121" s="261"/>
      <c r="AH121" s="573"/>
      <c r="AI121" s="573"/>
      <c r="AJ121" s="261"/>
      <c r="AK121" s="573"/>
      <c r="AL121" s="574"/>
      <c r="AM121" s="261"/>
      <c r="AN121" s="261"/>
      <c r="AO121" s="575" t="s">
        <v>5530</v>
      </c>
      <c r="AP121" s="575"/>
      <c r="AQ121" s="575"/>
      <c r="AR121" s="575"/>
      <c r="AS121" s="573"/>
      <c r="AT121" s="573"/>
      <c r="AU121" s="261"/>
      <c r="AV121" s="261" t="s">
        <v>5531</v>
      </c>
      <c r="AW121" s="261"/>
      <c r="AX121" s="573"/>
      <c r="AY121" s="575" t="s">
        <v>834</v>
      </c>
      <c r="AZ121" s="573"/>
      <c r="BA121" s="573"/>
      <c r="BB121" s="261"/>
      <c r="BC121" s="261" t="s">
        <v>3866</v>
      </c>
      <c r="BD121" s="261"/>
      <c r="BE121" s="261" t="s">
        <v>5532</v>
      </c>
      <c r="BF121" s="261" t="s">
        <v>5533</v>
      </c>
      <c r="BG121" s="261"/>
      <c r="BH121" s="573"/>
      <c r="BI121" s="261" t="s">
        <v>5534</v>
      </c>
      <c r="BJ121" s="573"/>
      <c r="BK121" s="261" t="s">
        <v>5535</v>
      </c>
      <c r="BL121" s="261"/>
      <c r="BM121" s="573"/>
      <c r="BN121" s="573"/>
      <c r="BO121" s="261" t="s">
        <v>2965</v>
      </c>
      <c r="BP121" s="573"/>
      <c r="BQ121" s="577"/>
      <c r="BR121" s="261"/>
      <c r="BS121" s="261" t="s">
        <v>5536</v>
      </c>
      <c r="BT121" s="261" t="s">
        <v>3944</v>
      </c>
      <c r="BU121" s="261" t="s">
        <v>1494</v>
      </c>
      <c r="BV121" s="261" t="s">
        <v>5537</v>
      </c>
      <c r="BW121" s="261" t="s">
        <v>5538</v>
      </c>
      <c r="BX121" s="573"/>
      <c r="BY121" s="261"/>
      <c r="BZ121" s="261"/>
      <c r="CA121" s="261"/>
      <c r="CB121" s="575" t="s">
        <v>5539</v>
      </c>
      <c r="CC121" s="575" t="s">
        <v>5540</v>
      </c>
      <c r="CD121" s="575" t="s">
        <v>2316</v>
      </c>
      <c r="CE121" s="573"/>
      <c r="CF121" s="577"/>
      <c r="CG121" s="261" t="s">
        <v>5541</v>
      </c>
      <c r="CH121" s="261" t="s">
        <v>5542</v>
      </c>
      <c r="CI121" s="261" t="s">
        <v>5543</v>
      </c>
      <c r="CJ121" s="98" t="s">
        <v>5544</v>
      </c>
      <c r="CK121" s="261" t="s">
        <v>5545</v>
      </c>
      <c r="CL121" s="261"/>
      <c r="CM121" s="261"/>
      <c r="CN121" s="261" t="s">
        <v>5546</v>
      </c>
      <c r="CO121" s="620">
        <v>19.7</v>
      </c>
      <c r="CP121" s="579"/>
      <c r="CQ121" s="573"/>
      <c r="CR121" s="573"/>
      <c r="CS121" s="573"/>
      <c r="CT121" s="573"/>
      <c r="CU121" s="580"/>
      <c r="CV121" s="261" t="s">
        <v>5547</v>
      </c>
      <c r="CW121" s="261" t="s">
        <v>4543</v>
      </c>
      <c r="CX121" s="261" t="s">
        <v>5548</v>
      </c>
      <c r="CY121" s="261" t="s">
        <v>5549</v>
      </c>
      <c r="CZ121" s="261"/>
      <c r="DA121" s="261"/>
      <c r="DB121" s="261"/>
      <c r="DC121" s="261"/>
      <c r="DD121" s="573"/>
      <c r="DE121" s="575" t="s">
        <v>4143</v>
      </c>
      <c r="DF121" s="575" t="s">
        <v>1130</v>
      </c>
      <c r="DG121" s="573"/>
      <c r="DH121" s="577"/>
      <c r="DI121" s="261" t="s">
        <v>5550</v>
      </c>
      <c r="DJ121" s="573"/>
      <c r="DK121" s="573"/>
      <c r="DL121" s="261"/>
      <c r="DM121" s="261"/>
      <c r="DN121" s="261"/>
      <c r="DO121" s="573"/>
      <c r="DP121" s="573"/>
      <c r="DQ121" s="573"/>
      <c r="DR121" s="261" t="s">
        <v>5551</v>
      </c>
      <c r="DS121" s="261" t="s">
        <v>5552</v>
      </c>
      <c r="DT121" s="573"/>
      <c r="DU121" s="261"/>
      <c r="DV121" s="575" t="s">
        <v>5553</v>
      </c>
      <c r="DW121" s="573"/>
      <c r="DX121" s="573"/>
      <c r="DY121" s="573"/>
      <c r="DZ121" s="573"/>
      <c r="EA121" s="261" t="s">
        <v>3287</v>
      </c>
      <c r="EB121" s="573"/>
      <c r="EC121" s="575" t="s">
        <v>5554</v>
      </c>
      <c r="ED121" s="261"/>
    </row>
    <row r="122">
      <c r="A122" s="443" t="s">
        <v>5555</v>
      </c>
      <c r="B122" s="104" t="s">
        <v>5556</v>
      </c>
      <c r="C122" s="105" t="s">
        <v>1256</v>
      </c>
      <c r="D122" s="106" t="s">
        <v>1256</v>
      </c>
      <c r="E122" s="107" t="s">
        <v>1256</v>
      </c>
      <c r="F122" s="108" t="s">
        <v>2154</v>
      </c>
      <c r="G122" s="104" t="s">
        <v>5276</v>
      </c>
      <c r="H122" s="419"/>
      <c r="I122" s="110" t="s">
        <v>5557</v>
      </c>
      <c r="J122" s="112" t="s">
        <v>2588</v>
      </c>
      <c r="K122" s="112" t="s">
        <v>753</v>
      </c>
      <c r="L122" s="112" t="s">
        <v>5558</v>
      </c>
      <c r="M122" s="112" t="s">
        <v>5559</v>
      </c>
      <c r="N122" s="112" t="s">
        <v>5560</v>
      </c>
      <c r="O122" s="112" t="s">
        <v>626</v>
      </c>
      <c r="P122" s="112" t="s">
        <v>5561</v>
      </c>
      <c r="Q122" s="243"/>
      <c r="R122" s="243"/>
      <c r="S122" s="243"/>
      <c r="T122" s="243"/>
      <c r="U122" s="243"/>
      <c r="V122" s="243"/>
      <c r="W122" s="92"/>
      <c r="X122" s="116" t="s">
        <v>5562</v>
      </c>
      <c r="Y122" s="116" t="s">
        <v>5563</v>
      </c>
      <c r="Z122" s="116" t="s">
        <v>3091</v>
      </c>
      <c r="AA122" s="116" t="s">
        <v>5564</v>
      </c>
      <c r="AB122" s="116" t="s">
        <v>5565</v>
      </c>
      <c r="AC122" s="116" t="s">
        <v>1517</v>
      </c>
      <c r="AD122" s="116" t="s">
        <v>3758</v>
      </c>
      <c r="AE122" s="116" t="s">
        <v>3110</v>
      </c>
      <c r="AF122" s="116" t="s">
        <v>2725</v>
      </c>
      <c r="AG122" s="116" t="s">
        <v>4732</v>
      </c>
      <c r="AH122" s="246"/>
      <c r="AI122" s="246"/>
      <c r="AJ122" s="117"/>
      <c r="AK122" s="246"/>
      <c r="AL122" s="97"/>
      <c r="AM122" s="124"/>
      <c r="AN122" s="124"/>
      <c r="AO122" s="247"/>
      <c r="AP122" s="247"/>
      <c r="AQ122" s="168"/>
      <c r="AR122" s="168"/>
      <c r="AS122" s="247"/>
      <c r="AT122" s="247"/>
      <c r="AU122" s="121" t="s">
        <v>5566</v>
      </c>
      <c r="AV122" s="121" t="s">
        <v>5567</v>
      </c>
      <c r="AW122" s="124"/>
      <c r="AX122" s="247"/>
      <c r="AY122" s="247"/>
      <c r="AZ122" s="247"/>
      <c r="BA122" s="247"/>
      <c r="BB122" s="126" t="s">
        <v>2178</v>
      </c>
      <c r="BC122" s="126" t="s">
        <v>353</v>
      </c>
      <c r="BD122" s="126" t="s">
        <v>3254</v>
      </c>
      <c r="BE122" s="126" t="s">
        <v>1136</v>
      </c>
      <c r="BF122" s="126" t="s">
        <v>5568</v>
      </c>
      <c r="BG122" s="353"/>
      <c r="BH122" s="173"/>
      <c r="BI122" s="126" t="s">
        <v>1547</v>
      </c>
      <c r="BJ122" s="173"/>
      <c r="BK122" s="126" t="s">
        <v>5569</v>
      </c>
      <c r="BL122" s="126" t="s">
        <v>1776</v>
      </c>
      <c r="BM122" s="173"/>
      <c r="BN122" s="173"/>
      <c r="BO122" s="353"/>
      <c r="BP122" s="173"/>
      <c r="BQ122" s="249"/>
      <c r="BR122" s="129" t="s">
        <v>5570</v>
      </c>
      <c r="BS122" s="129" t="s">
        <v>5571</v>
      </c>
      <c r="BT122" s="129" t="s">
        <v>5572</v>
      </c>
      <c r="BU122" s="129" t="s">
        <v>5573</v>
      </c>
      <c r="BV122" s="129" t="s">
        <v>5039</v>
      </c>
      <c r="BW122" s="129" t="s">
        <v>326</v>
      </c>
      <c r="BX122" s="129" t="s">
        <v>5574</v>
      </c>
      <c r="BY122" s="131"/>
      <c r="BZ122" s="129" t="s">
        <v>5575</v>
      </c>
      <c r="CA122" s="129" t="s">
        <v>4418</v>
      </c>
      <c r="CB122" s="253"/>
      <c r="CC122" s="253"/>
      <c r="CD122" s="175"/>
      <c r="CE122" s="253"/>
      <c r="CF122" s="254"/>
      <c r="CG122" s="135" t="s">
        <v>4553</v>
      </c>
      <c r="CH122" s="135" t="s">
        <v>2307</v>
      </c>
      <c r="CI122" s="135" t="s">
        <v>880</v>
      </c>
      <c r="CJ122" s="135" t="s">
        <v>5071</v>
      </c>
      <c r="CK122" s="135" t="s">
        <v>4785</v>
      </c>
      <c r="CL122" s="135" t="s">
        <v>5576</v>
      </c>
      <c r="CM122" s="135" t="s">
        <v>5359</v>
      </c>
      <c r="CN122" s="135" t="s">
        <v>2268</v>
      </c>
      <c r="CO122" s="135" t="s">
        <v>3608</v>
      </c>
      <c r="CP122" s="429"/>
      <c r="CQ122" s="256"/>
      <c r="CR122" s="256"/>
      <c r="CS122" s="256"/>
      <c r="CT122" s="256"/>
      <c r="CU122" s="92"/>
      <c r="CV122" s="140" t="s">
        <v>759</v>
      </c>
      <c r="CW122" s="140" t="s">
        <v>5577</v>
      </c>
      <c r="CX122" s="140" t="s">
        <v>126</v>
      </c>
      <c r="CY122" s="140" t="s">
        <v>5578</v>
      </c>
      <c r="CZ122" s="140" t="s">
        <v>5579</v>
      </c>
      <c r="DA122" s="140" t="s">
        <v>5580</v>
      </c>
      <c r="DB122" s="140" t="s">
        <v>349</v>
      </c>
      <c r="DC122" s="140" t="s">
        <v>5302</v>
      </c>
      <c r="DD122" s="257"/>
      <c r="DE122" s="257"/>
      <c r="DF122" s="257"/>
      <c r="DG122" s="257"/>
      <c r="DH122" s="258"/>
      <c r="DI122" s="206"/>
      <c r="DJ122" s="259"/>
      <c r="DK122" s="259"/>
      <c r="DL122" s="206"/>
      <c r="DM122" s="206" t="s">
        <v>5581</v>
      </c>
      <c r="DN122" s="206"/>
      <c r="DO122" s="259"/>
      <c r="DP122" s="259"/>
      <c r="DQ122" s="259"/>
      <c r="DR122" s="145" t="s">
        <v>5582</v>
      </c>
      <c r="DS122" s="145" t="s">
        <v>5583</v>
      </c>
      <c r="DT122" s="259"/>
      <c r="DU122" s="206"/>
      <c r="DV122" s="259"/>
      <c r="DW122" s="259"/>
      <c r="DX122" s="259"/>
      <c r="DY122" s="259"/>
      <c r="DZ122" s="259"/>
      <c r="EA122" s="206"/>
      <c r="EB122" s="259"/>
      <c r="EC122" s="259"/>
      <c r="ED122" s="287" t="s">
        <v>5584</v>
      </c>
    </row>
    <row r="123">
      <c r="A123" s="81" t="s">
        <v>5585</v>
      </c>
      <c r="B123" s="82" t="s">
        <v>5586</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5587</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5588</v>
      </c>
      <c r="B124" s="104" t="s">
        <v>5589</v>
      </c>
      <c r="C124" s="105" t="s">
        <v>1256</v>
      </c>
      <c r="D124" s="106" t="s">
        <v>1256</v>
      </c>
      <c r="E124" s="107" t="s">
        <v>1256</v>
      </c>
      <c r="F124" s="108" t="s">
        <v>647</v>
      </c>
      <c r="G124" s="104" t="s">
        <v>1881</v>
      </c>
      <c r="H124" s="167"/>
      <c r="I124" s="167" t="s">
        <v>5590</v>
      </c>
      <c r="J124" s="112" t="s">
        <v>653</v>
      </c>
      <c r="K124" s="112" t="s">
        <v>5372</v>
      </c>
      <c r="L124" s="167" t="s">
        <v>5473</v>
      </c>
      <c r="M124" s="243"/>
      <c r="N124" s="167" t="s">
        <v>5591</v>
      </c>
      <c r="O124" s="167" t="s">
        <v>1204</v>
      </c>
      <c r="P124" s="112" t="s">
        <v>4174</v>
      </c>
      <c r="Q124" s="243"/>
      <c r="R124" s="243"/>
      <c r="S124" s="243"/>
      <c r="T124" s="243"/>
      <c r="U124" s="243"/>
      <c r="V124" s="243"/>
      <c r="W124" s="92"/>
      <c r="X124" s="198" t="s">
        <v>3006</v>
      </c>
      <c r="Y124" s="198"/>
      <c r="Z124" s="198" t="s">
        <v>5592</v>
      </c>
      <c r="AA124" s="198" t="s">
        <v>4736</v>
      </c>
      <c r="AB124" s="198" t="s">
        <v>993</v>
      </c>
      <c r="AC124" s="198" t="s">
        <v>4136</v>
      </c>
      <c r="AD124" s="198" t="s">
        <v>5593</v>
      </c>
      <c r="AE124" s="198"/>
      <c r="AF124" s="622" t="s">
        <v>5594</v>
      </c>
      <c r="AG124" s="198" t="s">
        <v>5595</v>
      </c>
      <c r="AH124" s="246"/>
      <c r="AI124" s="246"/>
      <c r="AJ124" s="246"/>
      <c r="AK124" s="246"/>
      <c r="AL124" s="97"/>
      <c r="AM124" s="247"/>
      <c r="AN124" s="247"/>
      <c r="AO124" s="247"/>
      <c r="AP124" s="247"/>
      <c r="AQ124" s="247"/>
      <c r="AR124" s="247"/>
      <c r="AS124" s="247"/>
      <c r="AT124" s="247"/>
      <c r="AU124" s="168" t="s">
        <v>5596</v>
      </c>
      <c r="AV124" s="168" t="s">
        <v>1013</v>
      </c>
      <c r="AW124" s="247"/>
      <c r="AX124" s="247"/>
      <c r="AY124" s="247"/>
      <c r="AZ124" s="247"/>
      <c r="BA124" s="247"/>
      <c r="BB124" s="174" t="s">
        <v>5537</v>
      </c>
      <c r="BC124" s="174" t="s">
        <v>5597</v>
      </c>
      <c r="BD124" s="174" t="s">
        <v>1905</v>
      </c>
      <c r="BE124" s="174" t="s">
        <v>5598</v>
      </c>
      <c r="BF124" s="174" t="s">
        <v>4680</v>
      </c>
      <c r="BG124" s="174" t="s">
        <v>4144</v>
      </c>
      <c r="BH124" s="173"/>
      <c r="BI124" s="304" t="s">
        <v>610</v>
      </c>
      <c r="BJ124" s="174" t="s">
        <v>5599</v>
      </c>
      <c r="BK124" s="174" t="s">
        <v>5600</v>
      </c>
      <c r="BL124" s="174" t="s">
        <v>5601</v>
      </c>
      <c r="BM124" s="173"/>
      <c r="BN124" s="173"/>
      <c r="BO124" s="173"/>
      <c r="BP124" s="173"/>
      <c r="BQ124" s="249"/>
      <c r="BR124" s="175" t="s">
        <v>5602</v>
      </c>
      <c r="BS124" s="175" t="s">
        <v>3109</v>
      </c>
      <c r="BT124" s="175" t="s">
        <v>4895</v>
      </c>
      <c r="BU124" s="175" t="s">
        <v>5244</v>
      </c>
      <c r="BV124" s="175" t="s">
        <v>5603</v>
      </c>
      <c r="BW124" s="175" t="s">
        <v>4661</v>
      </c>
      <c r="BX124" s="253"/>
      <c r="BY124" s="175" t="s">
        <v>719</v>
      </c>
      <c r="BZ124" s="175" t="s">
        <v>5604</v>
      </c>
      <c r="CA124" s="253"/>
      <c r="CB124" s="253"/>
      <c r="CC124" s="253"/>
      <c r="CD124" s="253"/>
      <c r="CE124" s="253"/>
      <c r="CF124" s="254"/>
      <c r="CG124" s="177" t="s">
        <v>5605</v>
      </c>
      <c r="CH124" s="177" t="s">
        <v>5606</v>
      </c>
      <c r="CI124" s="177" t="s">
        <v>4120</v>
      </c>
      <c r="CJ124" s="177" t="s">
        <v>5607</v>
      </c>
      <c r="CK124" s="177"/>
      <c r="CL124" s="177"/>
      <c r="CM124" s="177" t="s">
        <v>5608</v>
      </c>
      <c r="CN124" s="177" t="s">
        <v>1627</v>
      </c>
      <c r="CO124" s="177" t="s">
        <v>5019</v>
      </c>
      <c r="CP124" s="256"/>
      <c r="CQ124" s="256"/>
      <c r="CR124" s="256"/>
      <c r="CS124" s="256"/>
      <c r="CT124" s="256"/>
      <c r="CU124" s="92"/>
      <c r="CV124" s="204" t="s">
        <v>5609</v>
      </c>
      <c r="CW124" s="204" t="s">
        <v>4094</v>
      </c>
      <c r="CX124" s="204" t="s">
        <v>3275</v>
      </c>
      <c r="CY124" s="204" t="s">
        <v>5610</v>
      </c>
      <c r="CZ124" s="204" t="s">
        <v>5611</v>
      </c>
      <c r="DA124" s="204" t="s">
        <v>5612</v>
      </c>
      <c r="DB124" s="204" t="s">
        <v>4763</v>
      </c>
      <c r="DC124" s="204" t="s">
        <v>5613</v>
      </c>
      <c r="DD124" s="257"/>
      <c r="DE124" s="257"/>
      <c r="DF124" s="257"/>
      <c r="DG124" s="257"/>
      <c r="DH124" s="258"/>
      <c r="DI124" s="259"/>
      <c r="DJ124" s="259"/>
      <c r="DK124" s="259"/>
      <c r="DL124" s="259"/>
      <c r="DM124" s="259"/>
      <c r="DN124" s="259"/>
      <c r="DO124" s="259"/>
      <c r="DP124" s="259"/>
      <c r="DQ124" s="259"/>
      <c r="DR124" s="205" t="s">
        <v>5614</v>
      </c>
      <c r="DS124" s="259"/>
      <c r="DT124" s="259"/>
      <c r="DU124" s="259"/>
      <c r="DV124" s="259"/>
      <c r="DW124" s="259"/>
      <c r="DX124" s="259"/>
      <c r="DY124" s="259"/>
      <c r="DZ124" s="259"/>
      <c r="EA124" s="259"/>
      <c r="EB124" s="259"/>
      <c r="EC124" s="259"/>
      <c r="ED124" s="287"/>
    </row>
    <row r="125">
      <c r="A125" s="623" t="s">
        <v>5615</v>
      </c>
      <c r="B125" s="82" t="s">
        <v>5616</v>
      </c>
      <c r="C125" s="83" t="s">
        <v>1256</v>
      </c>
      <c r="D125" s="84" t="s">
        <v>1256</v>
      </c>
      <c r="E125" s="85" t="s">
        <v>1256</v>
      </c>
      <c r="F125" s="86" t="s">
        <v>1256</v>
      </c>
      <c r="G125" s="82" t="s">
        <v>4596</v>
      </c>
      <c r="H125" s="94" t="s">
        <v>4727</v>
      </c>
      <c r="I125" s="94" t="s">
        <v>5617</v>
      </c>
      <c r="J125" s="94" t="s">
        <v>5265</v>
      </c>
      <c r="K125" s="94" t="s">
        <v>352</v>
      </c>
      <c r="L125" s="94" t="s">
        <v>4953</v>
      </c>
      <c r="M125" s="94" t="s">
        <v>5618</v>
      </c>
      <c r="N125" s="94" t="s">
        <v>5619</v>
      </c>
      <c r="O125" s="94" t="s">
        <v>3077</v>
      </c>
      <c r="P125" s="94" t="s">
        <v>5620</v>
      </c>
      <c r="Q125" s="99"/>
      <c r="R125" s="99"/>
      <c r="S125" s="99"/>
      <c r="T125" s="99"/>
      <c r="U125" s="99"/>
      <c r="V125" s="99"/>
      <c r="W125" s="92"/>
      <c r="X125" s="94" t="s">
        <v>3422</v>
      </c>
      <c r="Y125" s="94"/>
      <c r="Z125" s="94" t="s">
        <v>573</v>
      </c>
      <c r="AA125" s="94" t="s">
        <v>4739</v>
      </c>
      <c r="AB125" s="94" t="s">
        <v>618</v>
      </c>
      <c r="AC125" s="94" t="s">
        <v>4770</v>
      </c>
      <c r="AD125" s="94" t="s">
        <v>2197</v>
      </c>
      <c r="AE125" s="94"/>
      <c r="AF125" s="94" t="s">
        <v>5621</v>
      </c>
      <c r="AG125" s="94" t="s">
        <v>5622</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5623</v>
      </c>
      <c r="BC125" s="94" t="s">
        <v>5597</v>
      </c>
      <c r="BD125" s="94" t="s">
        <v>1040</v>
      </c>
      <c r="BE125" s="94" t="s">
        <v>5624</v>
      </c>
      <c r="BF125" s="94" t="s">
        <v>5625</v>
      </c>
      <c r="BG125" s="94" t="s">
        <v>5626</v>
      </c>
      <c r="BH125" s="94" t="s">
        <v>5627</v>
      </c>
      <c r="BI125" s="94" t="s">
        <v>3135</v>
      </c>
      <c r="BJ125" s="99"/>
      <c r="BK125" s="94" t="s">
        <v>5628</v>
      </c>
      <c r="BL125" s="94" t="s">
        <v>5629</v>
      </c>
      <c r="BM125" s="99"/>
      <c r="BN125" s="99"/>
      <c r="BO125" s="99"/>
      <c r="BP125" s="99"/>
      <c r="BQ125" s="236"/>
      <c r="BR125" s="94" t="s">
        <v>5630</v>
      </c>
      <c r="BS125" s="94" t="s">
        <v>5128</v>
      </c>
      <c r="BT125" s="94" t="s">
        <v>2379</v>
      </c>
      <c r="BU125" s="94" t="s">
        <v>5631</v>
      </c>
      <c r="BV125" s="94" t="s">
        <v>5632</v>
      </c>
      <c r="BW125" s="94" t="s">
        <v>1286</v>
      </c>
      <c r="BX125" s="94" t="s">
        <v>5633</v>
      </c>
      <c r="BY125" s="99"/>
      <c r="BZ125" s="94" t="s">
        <v>5634</v>
      </c>
      <c r="CA125" s="94" t="s">
        <v>5635</v>
      </c>
      <c r="CB125" s="99"/>
      <c r="CC125" s="99"/>
      <c r="CD125" s="99"/>
      <c r="CE125" s="99"/>
      <c r="CF125" s="236"/>
      <c r="CG125" s="94" t="s">
        <v>5636</v>
      </c>
      <c r="CH125" s="94" t="s">
        <v>5319</v>
      </c>
      <c r="CI125" s="94" t="s">
        <v>2186</v>
      </c>
      <c r="CJ125" s="94" t="s">
        <v>5637</v>
      </c>
      <c r="CK125" s="94"/>
      <c r="CL125" s="94" t="s">
        <v>5638</v>
      </c>
      <c r="CM125" s="94" t="s">
        <v>5639</v>
      </c>
      <c r="CN125" s="94" t="s">
        <v>4895</v>
      </c>
      <c r="CO125" s="94" t="s">
        <v>5622</v>
      </c>
      <c r="CP125" s="99"/>
      <c r="CQ125" s="99"/>
      <c r="CR125" s="99"/>
      <c r="CS125" s="99"/>
      <c r="CT125" s="99"/>
      <c r="CU125" s="92"/>
      <c r="CV125" s="94" t="s">
        <v>1007</v>
      </c>
      <c r="CW125" s="94" t="s">
        <v>5032</v>
      </c>
      <c r="CX125" s="94" t="s">
        <v>3253</v>
      </c>
      <c r="CY125" s="94" t="s">
        <v>4548</v>
      </c>
      <c r="CZ125" s="94" t="s">
        <v>5205</v>
      </c>
      <c r="DA125" s="94" t="s">
        <v>4779</v>
      </c>
      <c r="DB125" s="94" t="s">
        <v>5640</v>
      </c>
      <c r="DC125" s="94" t="s">
        <v>3879</v>
      </c>
      <c r="DD125" s="99"/>
      <c r="DE125" s="99"/>
      <c r="DF125" s="99"/>
      <c r="DG125" s="99"/>
      <c r="DH125" s="236"/>
      <c r="DI125" s="94" t="s">
        <v>5641</v>
      </c>
      <c r="DJ125" s="99"/>
      <c r="DK125" s="99"/>
      <c r="DL125" s="99"/>
      <c r="DM125" s="99"/>
      <c r="DN125" s="99"/>
      <c r="DO125" s="99"/>
      <c r="DP125" s="99"/>
      <c r="DQ125" s="99"/>
      <c r="DR125" s="94" t="s">
        <v>5268</v>
      </c>
      <c r="DS125" s="94" t="s">
        <v>667</v>
      </c>
      <c r="DT125" s="99"/>
      <c r="DU125" s="99"/>
      <c r="DV125" s="99"/>
      <c r="DW125" s="99"/>
      <c r="DX125" s="99"/>
      <c r="DY125" s="99"/>
      <c r="DZ125" s="99"/>
      <c r="EA125" s="99"/>
      <c r="EB125" s="99"/>
      <c r="EC125" s="99"/>
      <c r="ED125" s="340"/>
    </row>
    <row r="126">
      <c r="A126" s="624" t="s">
        <v>5642</v>
      </c>
      <c r="B126" s="104" t="s">
        <v>5643</v>
      </c>
      <c r="C126" s="105" t="s">
        <v>1256</v>
      </c>
      <c r="D126" s="106" t="s">
        <v>1256</v>
      </c>
      <c r="E126" s="107" t="s">
        <v>1256</v>
      </c>
      <c r="F126" s="108" t="s">
        <v>332</v>
      </c>
      <c r="G126" s="104" t="s">
        <v>2376</v>
      </c>
      <c r="H126" s="167"/>
      <c r="I126" s="167" t="s">
        <v>5644</v>
      </c>
      <c r="J126" s="167" t="s">
        <v>5206</v>
      </c>
      <c r="K126" s="167" t="s">
        <v>5645</v>
      </c>
      <c r="L126" s="112" t="s">
        <v>5646</v>
      </c>
      <c r="M126" s="243"/>
      <c r="N126" s="243"/>
      <c r="O126" s="243"/>
      <c r="P126" s="167" t="s">
        <v>5647</v>
      </c>
      <c r="Q126" s="243"/>
      <c r="R126" s="243"/>
      <c r="S126" s="167" t="s">
        <v>4179</v>
      </c>
      <c r="T126" s="243"/>
      <c r="U126" s="167" t="s">
        <v>3213</v>
      </c>
      <c r="V126" s="243"/>
      <c r="W126" s="92"/>
      <c r="X126" s="198" t="s">
        <v>5075</v>
      </c>
      <c r="Y126" s="198"/>
      <c r="Z126" s="198" t="s">
        <v>5648</v>
      </c>
      <c r="AA126" s="198" t="s">
        <v>5561</v>
      </c>
      <c r="AB126" s="246"/>
      <c r="AC126" s="198" t="s">
        <v>126</v>
      </c>
      <c r="AD126" s="246"/>
      <c r="AE126" s="246"/>
      <c r="AF126" s="246"/>
      <c r="AG126" s="198" t="s">
        <v>5649</v>
      </c>
      <c r="AH126" s="198" t="s">
        <v>5650</v>
      </c>
      <c r="AI126" s="246"/>
      <c r="AJ126" s="198" t="s">
        <v>4393</v>
      </c>
      <c r="AK126" s="198" t="s">
        <v>5651</v>
      </c>
      <c r="AL126" s="97"/>
      <c r="AM126" s="168" t="s">
        <v>3559</v>
      </c>
      <c r="AN126" s="168" t="s">
        <v>5652</v>
      </c>
      <c r="AO126" s="247"/>
      <c r="AP126" s="247"/>
      <c r="AQ126" s="247"/>
      <c r="AR126" s="247"/>
      <c r="AS126" s="247"/>
      <c r="AT126" s="247"/>
      <c r="AU126" s="168" t="s">
        <v>5357</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5653</v>
      </c>
      <c r="BM126" s="173"/>
      <c r="BN126" s="173"/>
      <c r="BO126" s="173"/>
      <c r="BP126" s="173"/>
      <c r="BQ126" s="249"/>
      <c r="BR126" s="253"/>
      <c r="BS126" s="253"/>
      <c r="BT126" s="175" t="s">
        <v>5654</v>
      </c>
      <c r="BU126" s="175" t="s">
        <v>4786</v>
      </c>
      <c r="BV126" s="253"/>
      <c r="BW126" s="175" t="s">
        <v>5655</v>
      </c>
      <c r="BX126" s="253"/>
      <c r="BY126" s="253"/>
      <c r="BZ126" s="253"/>
      <c r="CA126" s="175" t="s">
        <v>2933</v>
      </c>
      <c r="CB126" s="253"/>
      <c r="CC126" s="253"/>
      <c r="CD126" s="253"/>
      <c r="CE126" s="253"/>
      <c r="CF126" s="254"/>
      <c r="CG126" s="177" t="s">
        <v>2274</v>
      </c>
      <c r="CH126" s="135" t="s">
        <v>875</v>
      </c>
      <c r="CI126" s="177" t="s">
        <v>5656</v>
      </c>
      <c r="CJ126" s="177" t="s">
        <v>5657</v>
      </c>
      <c r="CK126" s="177"/>
      <c r="CL126" s="177" t="s">
        <v>104</v>
      </c>
      <c r="CM126" s="177" t="s">
        <v>5658</v>
      </c>
      <c r="CN126" s="177" t="s">
        <v>2379</v>
      </c>
      <c r="CO126" s="177" t="s">
        <v>5659</v>
      </c>
      <c r="CP126" s="256"/>
      <c r="CQ126" s="256"/>
      <c r="CR126" s="256"/>
      <c r="CS126" s="256"/>
      <c r="CT126" s="256"/>
      <c r="CU126" s="92"/>
      <c r="CV126" s="204" t="s">
        <v>5660</v>
      </c>
      <c r="CW126" s="257"/>
      <c r="CX126" s="204" t="s">
        <v>5661</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5662</v>
      </c>
      <c r="DV126" s="205" t="s">
        <v>5663</v>
      </c>
      <c r="DW126" s="259"/>
      <c r="DX126" s="205" t="s">
        <v>5664</v>
      </c>
      <c r="DY126" s="259"/>
      <c r="DZ126" s="205" t="s">
        <v>5665</v>
      </c>
      <c r="EA126" s="145" t="s">
        <v>921</v>
      </c>
      <c r="EB126" s="259"/>
      <c r="EC126" s="259"/>
      <c r="ED126" s="287" t="s">
        <v>5666</v>
      </c>
    </row>
    <row r="127">
      <c r="A127" s="625" t="s">
        <v>5667</v>
      </c>
      <c r="B127" s="82" t="s">
        <v>5668</v>
      </c>
      <c r="C127" s="83" t="s">
        <v>1256</v>
      </c>
      <c r="D127" s="84" t="s">
        <v>1256</v>
      </c>
      <c r="E127" s="85" t="s">
        <v>1256</v>
      </c>
      <c r="F127" s="86" t="s">
        <v>1256</v>
      </c>
      <c r="G127" s="82" t="s">
        <v>4776</v>
      </c>
      <c r="H127" s="94" t="s">
        <v>5669</v>
      </c>
      <c r="I127" s="94" t="s">
        <v>5670</v>
      </c>
      <c r="J127" s="94" t="s">
        <v>5671</v>
      </c>
      <c r="K127" s="94" t="s">
        <v>5413</v>
      </c>
      <c r="L127" s="94" t="s">
        <v>2688</v>
      </c>
      <c r="M127" s="99"/>
      <c r="N127" s="94" t="s">
        <v>5672</v>
      </c>
      <c r="O127" s="94" t="s">
        <v>689</v>
      </c>
      <c r="P127" s="94" t="s">
        <v>1270</v>
      </c>
      <c r="Q127" s="99"/>
      <c r="R127" s="99"/>
      <c r="S127" s="99"/>
      <c r="T127" s="99"/>
      <c r="U127" s="99"/>
      <c r="V127" s="99"/>
      <c r="W127" s="92"/>
      <c r="X127" s="94" t="s">
        <v>2484</v>
      </c>
      <c r="Y127" s="94"/>
      <c r="Z127" s="94" t="s">
        <v>3833</v>
      </c>
      <c r="AA127" s="94" t="s">
        <v>5649</v>
      </c>
      <c r="AB127" s="94" t="s">
        <v>5673</v>
      </c>
      <c r="AC127" s="94" t="s">
        <v>4222</v>
      </c>
      <c r="AD127" s="94" t="s">
        <v>1328</v>
      </c>
      <c r="AE127" s="99"/>
      <c r="AF127" s="94" t="s">
        <v>5674</v>
      </c>
      <c r="AG127" s="94" t="s">
        <v>5675</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5676</v>
      </c>
      <c r="BF127" s="94" t="s">
        <v>5677</v>
      </c>
      <c r="BG127" s="99"/>
      <c r="BH127" s="626"/>
      <c r="BI127" s="94" t="s">
        <v>755</v>
      </c>
      <c r="BJ127" s="94" t="s">
        <v>5678</v>
      </c>
      <c r="BK127" s="99"/>
      <c r="BL127" s="94" t="s">
        <v>4530</v>
      </c>
      <c r="BM127" s="99"/>
      <c r="BN127" s="99"/>
      <c r="BO127" s="99"/>
      <c r="BP127" s="99"/>
      <c r="BQ127" s="236"/>
      <c r="BR127" s="94" t="s">
        <v>5427</v>
      </c>
      <c r="BS127" s="94" t="s">
        <v>4440</v>
      </c>
      <c r="BT127" s="94" t="s">
        <v>4882</v>
      </c>
      <c r="BU127" s="94" t="s">
        <v>1853</v>
      </c>
      <c r="BV127" s="94" t="s">
        <v>1001</v>
      </c>
      <c r="BW127" s="94" t="s">
        <v>5679</v>
      </c>
      <c r="BX127" s="94"/>
      <c r="BY127" s="94" t="s">
        <v>5680</v>
      </c>
      <c r="BZ127" s="99"/>
      <c r="CA127" s="94" t="s">
        <v>2262</v>
      </c>
      <c r="CB127" s="99"/>
      <c r="CC127" s="99"/>
      <c r="CD127" s="99"/>
      <c r="CE127" s="99"/>
      <c r="CF127" s="236"/>
      <c r="CG127" s="94" t="s">
        <v>5681</v>
      </c>
      <c r="CH127" s="94" t="s">
        <v>2338</v>
      </c>
      <c r="CI127" s="99"/>
      <c r="CJ127" s="99"/>
      <c r="CK127" s="99"/>
      <c r="CL127" s="99"/>
      <c r="CM127" s="94" t="s">
        <v>5682</v>
      </c>
      <c r="CN127" s="94" t="s">
        <v>842</v>
      </c>
      <c r="CO127" s="94" t="s">
        <v>3111</v>
      </c>
      <c r="CP127" s="99"/>
      <c r="CQ127" s="99"/>
      <c r="CR127" s="99"/>
      <c r="CS127" s="99"/>
      <c r="CT127" s="99"/>
      <c r="CU127" s="92"/>
      <c r="CV127" s="94" t="s">
        <v>3649</v>
      </c>
      <c r="CW127" s="94" t="s">
        <v>2836</v>
      </c>
      <c r="CX127" s="94" t="s">
        <v>5100</v>
      </c>
      <c r="CY127" s="94" t="s">
        <v>908</v>
      </c>
      <c r="CZ127" s="94" t="s">
        <v>1676</v>
      </c>
      <c r="DA127" s="99"/>
      <c r="DB127" s="94" t="s">
        <v>5023</v>
      </c>
      <c r="DC127" s="94" t="s">
        <v>4266</v>
      </c>
      <c r="DD127" s="99"/>
      <c r="DE127" s="99"/>
      <c r="DF127" s="99"/>
      <c r="DG127" s="99"/>
      <c r="DH127" s="236"/>
      <c r="DI127" s="99"/>
      <c r="DJ127" s="99"/>
      <c r="DK127" s="99"/>
      <c r="DL127" s="99"/>
      <c r="DM127" s="99"/>
      <c r="DN127" s="99"/>
      <c r="DO127" s="99"/>
      <c r="DP127" s="99"/>
      <c r="DQ127" s="99"/>
      <c r="DR127" s="94" t="s">
        <v>5683</v>
      </c>
      <c r="DS127" s="94" t="s">
        <v>2435</v>
      </c>
      <c r="DT127" s="99"/>
      <c r="DU127" s="99"/>
      <c r="DV127" s="99"/>
      <c r="DW127" s="99"/>
      <c r="DX127" s="99"/>
      <c r="DY127" s="99"/>
      <c r="DZ127" s="99"/>
      <c r="EA127" s="99"/>
      <c r="EB127" s="99"/>
      <c r="EC127" s="99"/>
      <c r="ED127" s="261"/>
    </row>
    <row r="128">
      <c r="A128" s="627" t="s">
        <v>5684</v>
      </c>
      <c r="B128" s="104" t="s">
        <v>5685</v>
      </c>
      <c r="C128" s="105" t="s">
        <v>1256</v>
      </c>
      <c r="D128" s="106" t="s">
        <v>546</v>
      </c>
      <c r="E128" s="107" t="s">
        <v>1256</v>
      </c>
      <c r="F128" s="108" t="s">
        <v>5686</v>
      </c>
      <c r="G128" s="104" t="s">
        <v>2153</v>
      </c>
      <c r="H128" s="243"/>
      <c r="I128" s="112" t="s">
        <v>5687</v>
      </c>
      <c r="J128" s="112" t="s">
        <v>5688</v>
      </c>
      <c r="K128" s="112" t="s">
        <v>5689</v>
      </c>
      <c r="L128" s="112" t="s">
        <v>2470</v>
      </c>
      <c r="M128" s="112" t="s">
        <v>1462</v>
      </c>
      <c r="N128" s="112" t="s">
        <v>5690</v>
      </c>
      <c r="O128" s="112" t="s">
        <v>1298</v>
      </c>
      <c r="P128" s="167" t="s">
        <v>5389</v>
      </c>
      <c r="Q128" s="243"/>
      <c r="R128" s="243"/>
      <c r="S128" s="243"/>
      <c r="T128" s="243"/>
      <c r="U128" s="243"/>
      <c r="V128" s="243"/>
      <c r="W128" s="92"/>
      <c r="X128" s="116" t="s">
        <v>3187</v>
      </c>
      <c r="Y128" s="117"/>
      <c r="Z128" s="116" t="s">
        <v>2482</v>
      </c>
      <c r="AA128" s="295" t="s">
        <v>5691</v>
      </c>
      <c r="AB128" s="198" t="s">
        <v>5692</v>
      </c>
      <c r="AC128" s="116" t="s">
        <v>3884</v>
      </c>
      <c r="AD128" s="295" t="s">
        <v>3483</v>
      </c>
      <c r="AE128" s="246"/>
      <c r="AF128" s="295" t="s">
        <v>5693</v>
      </c>
      <c r="AG128" s="116" t="s">
        <v>4739</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5694</v>
      </c>
      <c r="BC128" s="304" t="s">
        <v>4231</v>
      </c>
      <c r="BD128" s="304" t="s">
        <v>5606</v>
      </c>
      <c r="BE128" s="126" t="s">
        <v>3354</v>
      </c>
      <c r="BF128" s="126" t="s">
        <v>5695</v>
      </c>
      <c r="BG128" s="173"/>
      <c r="BH128" s="173"/>
      <c r="BI128" s="126" t="s">
        <v>4013</v>
      </c>
      <c r="BJ128" s="173"/>
      <c r="BK128" s="174" t="s">
        <v>5696</v>
      </c>
      <c r="BL128" s="304" t="s">
        <v>5697</v>
      </c>
      <c r="BM128" s="173"/>
      <c r="BN128" s="173"/>
      <c r="BO128" s="173"/>
      <c r="BP128" s="173"/>
      <c r="BQ128" s="249"/>
      <c r="BR128" s="129" t="s">
        <v>5698</v>
      </c>
      <c r="BS128" s="175" t="s">
        <v>5699</v>
      </c>
      <c r="BT128" s="175" t="s">
        <v>5700</v>
      </c>
      <c r="BU128" s="175" t="s">
        <v>1716</v>
      </c>
      <c r="BV128" s="175" t="s">
        <v>4821</v>
      </c>
      <c r="BW128" s="175" t="s">
        <v>191</v>
      </c>
      <c r="BX128" s="175" t="s">
        <v>5701</v>
      </c>
      <c r="BY128" s="253"/>
      <c r="BZ128" s="129" t="s">
        <v>5702</v>
      </c>
      <c r="CA128" s="175" t="s">
        <v>5703</v>
      </c>
      <c r="CB128" s="253"/>
      <c r="CC128" s="253"/>
      <c r="CD128" s="253"/>
      <c r="CE128" s="253"/>
      <c r="CF128" s="254"/>
      <c r="CG128" s="177" t="s">
        <v>5704</v>
      </c>
      <c r="CH128" s="135" t="s">
        <v>3432</v>
      </c>
      <c r="CI128" s="135" t="s">
        <v>5705</v>
      </c>
      <c r="CJ128" s="135" t="s">
        <v>5706</v>
      </c>
      <c r="CK128" s="136"/>
      <c r="CL128" s="135" t="s">
        <v>3578</v>
      </c>
      <c r="CM128" s="177" t="s">
        <v>5707</v>
      </c>
      <c r="CN128" s="135" t="s">
        <v>2045</v>
      </c>
      <c r="CO128" s="177" t="s">
        <v>1989</v>
      </c>
      <c r="CP128" s="256"/>
      <c r="CQ128" s="256"/>
      <c r="CR128" s="256"/>
      <c r="CS128" s="256"/>
      <c r="CT128" s="256"/>
      <c r="CU128" s="92"/>
      <c r="CV128" s="140" t="s">
        <v>5708</v>
      </c>
      <c r="CW128" s="140" t="s">
        <v>5709</v>
      </c>
      <c r="CX128" s="140" t="s">
        <v>5710</v>
      </c>
      <c r="CY128" s="140" t="s">
        <v>5711</v>
      </c>
      <c r="CZ128" s="140" t="s">
        <v>5712</v>
      </c>
      <c r="DA128" s="140" t="s">
        <v>5713</v>
      </c>
      <c r="DB128" s="140" t="s">
        <v>5714</v>
      </c>
      <c r="DC128" s="140" t="s">
        <v>5031</v>
      </c>
      <c r="DD128" s="257"/>
      <c r="DE128" s="257"/>
      <c r="DF128" s="257"/>
      <c r="DG128" s="257"/>
      <c r="DH128" s="258"/>
      <c r="DI128" s="145" t="s">
        <v>5715</v>
      </c>
      <c r="DJ128" s="259"/>
      <c r="DK128" s="259"/>
      <c r="DL128" s="259"/>
      <c r="DM128" s="179" t="s">
        <v>179</v>
      </c>
      <c r="DN128" s="259"/>
      <c r="DO128" s="259"/>
      <c r="DP128" s="259"/>
      <c r="DQ128" s="259"/>
      <c r="DR128" s="205" t="s">
        <v>5716</v>
      </c>
      <c r="DS128" s="205" t="s">
        <v>5717</v>
      </c>
      <c r="DT128" s="259"/>
      <c r="DU128" s="259"/>
      <c r="DV128" s="259"/>
      <c r="DW128" s="259"/>
      <c r="DX128" s="259"/>
      <c r="DY128" s="259"/>
      <c r="DZ128" s="259"/>
      <c r="EA128" s="259"/>
      <c r="EB128" s="259"/>
      <c r="EC128" s="259"/>
      <c r="ED128" s="565"/>
    </row>
    <row r="129">
      <c r="A129" s="628" t="s">
        <v>5718</v>
      </c>
      <c r="B129" s="82" t="s">
        <v>5719</v>
      </c>
      <c r="C129" s="83" t="s">
        <v>1256</v>
      </c>
      <c r="D129" s="84" t="s">
        <v>1256</v>
      </c>
      <c r="E129" s="85" t="s">
        <v>1256</v>
      </c>
      <c r="F129" s="86" t="s">
        <v>2773</v>
      </c>
      <c r="G129" s="82" t="s">
        <v>2153</v>
      </c>
      <c r="H129" s="102"/>
      <c r="I129" s="98" t="s">
        <v>5720</v>
      </c>
      <c r="J129" s="93" t="s">
        <v>4729</v>
      </c>
      <c r="K129" s="88" t="s">
        <v>2278</v>
      </c>
      <c r="L129" s="93" t="s">
        <v>925</v>
      </c>
      <c r="M129" s="88" t="s">
        <v>5721</v>
      </c>
      <c r="N129" s="88" t="s">
        <v>4366</v>
      </c>
      <c r="O129" s="88" t="s">
        <v>5722</v>
      </c>
      <c r="P129" s="88" t="s">
        <v>4407</v>
      </c>
      <c r="Q129" s="99"/>
      <c r="R129" s="99"/>
      <c r="S129" s="99"/>
      <c r="T129" s="99"/>
      <c r="U129" s="99"/>
      <c r="V129" s="99"/>
      <c r="W129" s="92"/>
      <c r="X129" s="93" t="s">
        <v>1408</v>
      </c>
      <c r="Y129" s="93"/>
      <c r="Z129" s="88" t="s">
        <v>5723</v>
      </c>
      <c r="AA129" s="93" t="s">
        <v>959</v>
      </c>
      <c r="AB129" s="88" t="s">
        <v>1988</v>
      </c>
      <c r="AC129" s="88" t="s">
        <v>2989</v>
      </c>
      <c r="AD129" s="88" t="s">
        <v>5724</v>
      </c>
      <c r="AE129" s="94"/>
      <c r="AF129" s="88" t="s">
        <v>5725</v>
      </c>
      <c r="AG129" s="88" t="s">
        <v>5269</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5726</v>
      </c>
      <c r="BC129" s="102" t="s">
        <v>880</v>
      </c>
      <c r="BD129" s="102" t="s">
        <v>736</v>
      </c>
      <c r="BE129" s="102" t="s">
        <v>5526</v>
      </c>
      <c r="BF129" s="102" t="s">
        <v>5727</v>
      </c>
      <c r="BG129" s="102" t="s">
        <v>706</v>
      </c>
      <c r="BH129" s="94"/>
      <c r="BI129" s="102" t="s">
        <v>3067</v>
      </c>
      <c r="BJ129" s="94" t="s">
        <v>5728</v>
      </c>
      <c r="BK129" s="102"/>
      <c r="BL129" s="102" t="s">
        <v>5729</v>
      </c>
      <c r="BM129" s="99"/>
      <c r="BN129" s="99"/>
      <c r="BO129" s="102"/>
      <c r="BP129" s="99"/>
      <c r="BQ129" s="236"/>
      <c r="BR129" s="102" t="s">
        <v>5730</v>
      </c>
      <c r="BS129" s="102" t="s">
        <v>4320</v>
      </c>
      <c r="BT129" s="102" t="s">
        <v>5731</v>
      </c>
      <c r="BU129" s="102" t="s">
        <v>1518</v>
      </c>
      <c r="BV129" s="102" t="s">
        <v>5732</v>
      </c>
      <c r="BW129" s="102" t="s">
        <v>5733</v>
      </c>
      <c r="BX129" s="94" t="s">
        <v>5734</v>
      </c>
      <c r="BY129" s="102" t="s">
        <v>5735</v>
      </c>
      <c r="BZ129" s="102"/>
      <c r="CA129" s="102" t="s">
        <v>5736</v>
      </c>
      <c r="CB129" s="99"/>
      <c r="CC129" s="99"/>
      <c r="CD129" s="99"/>
      <c r="CE129" s="99"/>
      <c r="CF129" s="236"/>
      <c r="CG129" s="102" t="s">
        <v>5737</v>
      </c>
      <c r="CH129" s="102" t="s">
        <v>4354</v>
      </c>
      <c r="CI129" s="102" t="s">
        <v>5738</v>
      </c>
      <c r="CJ129" s="102" t="s">
        <v>5739</v>
      </c>
      <c r="CK129" s="102" t="s">
        <v>2817</v>
      </c>
      <c r="CL129" s="102" t="s">
        <v>5576</v>
      </c>
      <c r="CM129" s="102" t="s">
        <v>3312</v>
      </c>
      <c r="CN129" s="102" t="s">
        <v>1582</v>
      </c>
      <c r="CO129" s="102" t="s">
        <v>3359</v>
      </c>
      <c r="CP129" s="222"/>
      <c r="CQ129" s="99"/>
      <c r="CR129" s="99"/>
      <c r="CS129" s="99"/>
      <c r="CT129" s="99"/>
      <c r="CU129" s="92"/>
      <c r="CV129" s="102" t="s">
        <v>4295</v>
      </c>
      <c r="CW129" s="102" t="s">
        <v>5740</v>
      </c>
      <c r="CX129" s="102" t="s">
        <v>2635</v>
      </c>
      <c r="CY129" s="102" t="s">
        <v>5741</v>
      </c>
      <c r="CZ129" s="102" t="s">
        <v>1086</v>
      </c>
      <c r="DA129" s="102" t="s">
        <v>3781</v>
      </c>
      <c r="DB129" s="102" t="s">
        <v>5742</v>
      </c>
      <c r="DC129" s="102" t="s">
        <v>5031</v>
      </c>
      <c r="DD129" s="99"/>
      <c r="DE129" s="99"/>
      <c r="DF129" s="99"/>
      <c r="DG129" s="99"/>
      <c r="DH129" s="236"/>
      <c r="DI129" s="102"/>
      <c r="DJ129" s="99"/>
      <c r="DK129" s="99"/>
      <c r="DL129" s="102"/>
      <c r="DM129" s="102"/>
      <c r="DN129" s="102"/>
      <c r="DO129" s="99"/>
      <c r="DP129" s="99"/>
      <c r="DQ129" s="99"/>
      <c r="DR129" s="102" t="s">
        <v>5743</v>
      </c>
      <c r="DS129" s="102" t="s">
        <v>5744</v>
      </c>
      <c r="DT129" s="99"/>
      <c r="DU129" s="102"/>
      <c r="DV129" s="99"/>
      <c r="DW129" s="99"/>
      <c r="DX129" s="99"/>
      <c r="DY129" s="99"/>
      <c r="DZ129" s="99"/>
      <c r="EA129" s="102"/>
      <c r="EB129" s="99"/>
      <c r="EC129" s="99"/>
      <c r="ED129" s="261"/>
    </row>
    <row r="130">
      <c r="A130" s="629" t="s">
        <v>5745</v>
      </c>
      <c r="B130" s="104" t="s">
        <v>5746</v>
      </c>
      <c r="C130" s="105" t="s">
        <v>1256</v>
      </c>
      <c r="D130" s="106" t="s">
        <v>1256</v>
      </c>
      <c r="E130" s="107" t="s">
        <v>1256</v>
      </c>
      <c r="F130" s="108" t="s">
        <v>546</v>
      </c>
      <c r="G130" s="104" t="s">
        <v>1948</v>
      </c>
      <c r="H130" s="243"/>
      <c r="I130" s="243"/>
      <c r="J130" s="167" t="s">
        <v>5747</v>
      </c>
      <c r="K130" s="167" t="s">
        <v>4599</v>
      </c>
      <c r="L130" s="167" t="s">
        <v>836</v>
      </c>
      <c r="M130" s="243"/>
      <c r="N130" s="167" t="s">
        <v>4949</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2912</v>
      </c>
      <c r="AW130" s="247"/>
      <c r="AX130" s="247"/>
      <c r="AY130" s="247"/>
      <c r="AZ130" s="247"/>
      <c r="BA130" s="247"/>
      <c r="BB130" s="173"/>
      <c r="BC130" s="173"/>
      <c r="BD130" s="173"/>
      <c r="BE130" s="173"/>
      <c r="BF130" s="174" t="s">
        <v>5748</v>
      </c>
      <c r="BG130" s="173"/>
      <c r="BH130" s="173"/>
      <c r="BI130" s="174" t="s">
        <v>3386</v>
      </c>
      <c r="BJ130" s="173"/>
      <c r="BK130" s="174" t="s">
        <v>5749</v>
      </c>
      <c r="BL130" s="173"/>
      <c r="BM130" s="173"/>
      <c r="BN130" s="173"/>
      <c r="BO130" s="173"/>
      <c r="BP130" s="173"/>
      <c r="BQ130" s="249"/>
      <c r="BR130" s="175" t="s">
        <v>5750</v>
      </c>
      <c r="BS130" s="253"/>
      <c r="BT130" s="253"/>
      <c r="BU130" s="175" t="s">
        <v>4786</v>
      </c>
      <c r="BV130" s="253"/>
      <c r="BW130" s="253"/>
      <c r="BX130" s="253"/>
      <c r="BY130" s="253"/>
      <c r="BZ130" s="253"/>
      <c r="CA130" s="253"/>
      <c r="CB130" s="253"/>
      <c r="CC130" s="253"/>
      <c r="CD130" s="253"/>
      <c r="CE130" s="253"/>
      <c r="CF130" s="254"/>
      <c r="CG130" s="177" t="s">
        <v>5751</v>
      </c>
      <c r="CH130" s="177" t="s">
        <v>1443</v>
      </c>
      <c r="CI130" s="256"/>
      <c r="CJ130" s="177" t="s">
        <v>5752</v>
      </c>
      <c r="CK130" s="177"/>
      <c r="CL130" s="177"/>
      <c r="CM130" s="256"/>
      <c r="CN130" s="256"/>
      <c r="CO130" s="135" t="s">
        <v>1245</v>
      </c>
      <c r="CP130" s="256"/>
      <c r="CQ130" s="256"/>
      <c r="CR130" s="256"/>
      <c r="CS130" s="256"/>
      <c r="CT130" s="256"/>
      <c r="CU130" s="92"/>
      <c r="CV130" s="204" t="s">
        <v>5624</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5753</v>
      </c>
      <c r="B131" s="82" t="s">
        <v>5754</v>
      </c>
      <c r="C131" s="83" t="s">
        <v>1256</v>
      </c>
      <c r="D131" s="84" t="s">
        <v>1256</v>
      </c>
      <c r="E131" s="85" t="s">
        <v>1256</v>
      </c>
      <c r="F131" s="86" t="s">
        <v>3291</v>
      </c>
      <c r="G131" s="82" t="s">
        <v>2872</v>
      </c>
      <c r="H131" s="102"/>
      <c r="I131" s="95"/>
      <c r="J131" s="102"/>
      <c r="K131" s="88" t="s">
        <v>2162</v>
      </c>
      <c r="L131" s="102" t="s">
        <v>561</v>
      </c>
      <c r="M131" s="102"/>
      <c r="N131" s="102"/>
      <c r="O131" s="88" t="s">
        <v>5755</v>
      </c>
      <c r="P131" s="88" t="s">
        <v>109</v>
      </c>
      <c r="Q131" s="99"/>
      <c r="R131" s="99"/>
      <c r="S131" s="99"/>
      <c r="T131" s="99"/>
      <c r="U131" s="99"/>
      <c r="V131" s="99"/>
      <c r="W131" s="92"/>
      <c r="X131" s="102" t="s">
        <v>5756</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5757</v>
      </c>
      <c r="BX131" s="99"/>
      <c r="BY131" s="102"/>
      <c r="BZ131" s="102"/>
      <c r="CA131" s="102"/>
      <c r="CB131" s="99"/>
      <c r="CC131" s="99"/>
      <c r="CD131" s="99"/>
      <c r="CE131" s="99"/>
      <c r="CF131" s="236"/>
      <c r="CG131" s="102"/>
      <c r="CH131" s="102" t="s">
        <v>5758</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5760</v>
      </c>
      <c r="B132" s="104" t="s">
        <v>5761</v>
      </c>
      <c r="C132" s="105" t="s">
        <v>1256</v>
      </c>
      <c r="D132" s="106" t="s">
        <v>1256</v>
      </c>
      <c r="E132" s="107" t="s">
        <v>1256</v>
      </c>
      <c r="F132" s="108" t="s">
        <v>1256</v>
      </c>
      <c r="G132" s="104" t="s">
        <v>4050</v>
      </c>
      <c r="H132" s="243"/>
      <c r="I132" s="167" t="s">
        <v>5762</v>
      </c>
      <c r="J132" s="243"/>
      <c r="K132" s="243"/>
      <c r="L132" s="167" t="s">
        <v>3524</v>
      </c>
      <c r="M132" s="243"/>
      <c r="N132" s="167" t="s">
        <v>5383</v>
      </c>
      <c r="O132" s="167" t="s">
        <v>851</v>
      </c>
      <c r="P132" s="167" t="s">
        <v>3263</v>
      </c>
      <c r="Q132" s="243"/>
      <c r="R132" s="243"/>
      <c r="S132" s="243"/>
      <c r="T132" s="243"/>
      <c r="U132" s="167" t="s">
        <v>3213</v>
      </c>
      <c r="V132" s="243"/>
      <c r="W132" s="92"/>
      <c r="X132" s="246"/>
      <c r="Y132" s="198"/>
      <c r="Z132" s="198" t="s">
        <v>578</v>
      </c>
      <c r="AA132" s="198" t="s">
        <v>1532</v>
      </c>
      <c r="AB132" s="246"/>
      <c r="AC132" s="198" t="s">
        <v>4892</v>
      </c>
      <c r="AD132" s="246"/>
      <c r="AE132" s="246"/>
      <c r="AF132" s="198" t="s">
        <v>2130</v>
      </c>
      <c r="AG132" s="246"/>
      <c r="AH132" s="246"/>
      <c r="AI132" s="246"/>
      <c r="AJ132" s="246"/>
      <c r="AK132" s="246"/>
      <c r="AL132" s="97"/>
      <c r="AM132" s="168"/>
      <c r="AN132" s="168" t="s">
        <v>5763</v>
      </c>
      <c r="AO132" s="247"/>
      <c r="AP132" s="247"/>
      <c r="AQ132" s="247"/>
      <c r="AR132" s="247"/>
      <c r="AS132" s="247"/>
      <c r="AT132" s="247"/>
      <c r="AU132" s="168" t="s">
        <v>3185</v>
      </c>
      <c r="AV132" s="247"/>
      <c r="AW132" s="247"/>
      <c r="AX132" s="247"/>
      <c r="AY132" s="168" t="s">
        <v>5390</v>
      </c>
      <c r="AZ132" s="247"/>
      <c r="BA132" s="247"/>
      <c r="BB132" s="173"/>
      <c r="BC132" s="173"/>
      <c r="BD132" s="173"/>
      <c r="BE132" s="174" t="s">
        <v>5061</v>
      </c>
      <c r="BF132" s="174" t="s">
        <v>5764</v>
      </c>
      <c r="BG132" s="173"/>
      <c r="BH132" s="173"/>
      <c r="BI132" s="174" t="s">
        <v>5424</v>
      </c>
      <c r="BJ132" s="173"/>
      <c r="BK132" s="173"/>
      <c r="BL132" s="173"/>
      <c r="BM132" s="173"/>
      <c r="BN132" s="173"/>
      <c r="BO132" s="173"/>
      <c r="BP132" s="173"/>
      <c r="BQ132" s="249"/>
      <c r="BR132" s="253"/>
      <c r="BS132" s="175" t="s">
        <v>5765</v>
      </c>
      <c r="BT132" s="175" t="s">
        <v>1727</v>
      </c>
      <c r="BU132" s="253"/>
      <c r="BV132" s="253"/>
      <c r="BW132" s="175" t="s">
        <v>1808</v>
      </c>
      <c r="BX132" s="253"/>
      <c r="BY132" s="175" t="s">
        <v>5766</v>
      </c>
      <c r="BZ132" s="253"/>
      <c r="CA132" s="253"/>
      <c r="CB132" s="253"/>
      <c r="CC132" s="253"/>
      <c r="CD132" s="253"/>
      <c r="CE132" s="253"/>
      <c r="CF132" s="254"/>
      <c r="CG132" s="256"/>
      <c r="CH132" s="256"/>
      <c r="CI132" s="256"/>
      <c r="CJ132" s="177" t="s">
        <v>5767</v>
      </c>
      <c r="CK132" s="177"/>
      <c r="CL132" s="177"/>
      <c r="CM132" s="256"/>
      <c r="CN132" s="256"/>
      <c r="CO132" s="256"/>
      <c r="CP132" s="256"/>
      <c r="CQ132" s="256"/>
      <c r="CR132" s="256"/>
      <c r="CS132" s="256"/>
      <c r="CT132" s="256"/>
      <c r="CU132" s="92"/>
      <c r="CV132" s="204" t="s">
        <v>4791</v>
      </c>
      <c r="CW132" s="257"/>
      <c r="CX132" s="204" t="s">
        <v>2559</v>
      </c>
      <c r="CY132" s="257"/>
      <c r="CZ132" s="257"/>
      <c r="DA132" s="257"/>
      <c r="DB132" s="204" t="s">
        <v>5768</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5769</v>
      </c>
      <c r="B133" s="82" t="s">
        <v>5770</v>
      </c>
      <c r="C133" s="83" t="s">
        <v>1256</v>
      </c>
      <c r="D133" s="84" t="s">
        <v>1256</v>
      </c>
      <c r="E133" s="85" t="s">
        <v>1256</v>
      </c>
      <c r="F133" s="86" t="s">
        <v>3969</v>
      </c>
      <c r="G133" s="82" t="s">
        <v>3969</v>
      </c>
      <c r="H133" s="88" t="s">
        <v>5771</v>
      </c>
      <c r="I133" s="88" t="s">
        <v>5772</v>
      </c>
      <c r="J133" s="88" t="s">
        <v>4657</v>
      </c>
      <c r="K133" s="99"/>
      <c r="L133" s="88" t="s">
        <v>5773</v>
      </c>
      <c r="M133" s="88" t="s">
        <v>5774</v>
      </c>
      <c r="N133" s="99"/>
      <c r="O133" s="99"/>
      <c r="P133" s="88" t="s">
        <v>3631</v>
      </c>
      <c r="Q133" s="99"/>
      <c r="R133" s="99"/>
      <c r="S133" s="99"/>
      <c r="T133" s="99"/>
      <c r="U133" s="99"/>
      <c r="V133" s="99"/>
      <c r="W133" s="92"/>
      <c r="X133" s="88" t="s">
        <v>2301</v>
      </c>
      <c r="Y133" s="93"/>
      <c r="Z133" s="88" t="s">
        <v>5775</v>
      </c>
      <c r="AA133" s="88" t="s">
        <v>661</v>
      </c>
      <c r="AB133" s="99"/>
      <c r="AC133" s="99"/>
      <c r="AD133" s="99"/>
      <c r="AE133" s="99"/>
      <c r="AF133" s="88" t="s">
        <v>5776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5777</v>
      </c>
      <c r="BS133" s="99"/>
      <c r="BT133" s="88" t="s">
        <v>4058</v>
      </c>
      <c r="BU133" s="99"/>
      <c r="BV133" s="99"/>
      <c r="BW133" s="99"/>
      <c r="BX133" s="99"/>
      <c r="BY133" s="99"/>
      <c r="BZ133" s="99"/>
      <c r="CA133" s="88" t="s">
        <v>5778</v>
      </c>
      <c r="CB133" s="99"/>
      <c r="CC133" s="99"/>
      <c r="CD133" s="99"/>
      <c r="CE133" s="99"/>
      <c r="CF133" s="236"/>
      <c r="CG133" s="88" t="s">
        <v>5779</v>
      </c>
      <c r="CH133" s="88" t="s">
        <v>2371</v>
      </c>
      <c r="CI133" s="99"/>
      <c r="CJ133" s="88" t="s">
        <v>4663</v>
      </c>
      <c r="CK133" s="93"/>
      <c r="CL133" s="93"/>
      <c r="CM133" s="88" t="s">
        <v>5529</v>
      </c>
      <c r="CN133" s="88" t="s">
        <v>1624</v>
      </c>
      <c r="CO133" s="99"/>
      <c r="CP133" s="99"/>
      <c r="CQ133" s="99"/>
      <c r="CR133" s="99"/>
      <c r="CS133" s="99"/>
      <c r="CT133" s="99"/>
      <c r="CU133" s="92"/>
      <c r="CV133" s="99"/>
      <c r="CW133" s="99"/>
      <c r="CX133" s="99"/>
      <c r="CY133" s="99"/>
      <c r="CZ133" s="99"/>
      <c r="DA133" s="99"/>
      <c r="DB133" s="88" t="s">
        <v>5780</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5781</v>
      </c>
      <c r="B134" s="104" t="s">
        <v>5782</v>
      </c>
      <c r="C134" s="105" t="s">
        <v>1256</v>
      </c>
      <c r="D134" s="106" t="s">
        <v>1256</v>
      </c>
      <c r="E134" s="107" t="s">
        <v>1256</v>
      </c>
      <c r="F134" s="108" t="s">
        <v>1256</v>
      </c>
      <c r="G134" s="104" t="s">
        <v>2994</v>
      </c>
      <c r="H134" s="167" t="s">
        <v>5783</v>
      </c>
      <c r="I134" s="167" t="s">
        <v>5784</v>
      </c>
      <c r="J134" s="167" t="s">
        <v>916</v>
      </c>
      <c r="K134" s="167" t="s">
        <v>3904</v>
      </c>
      <c r="L134" s="167" t="s">
        <v>5785</v>
      </c>
      <c r="M134" s="167" t="s">
        <v>5786</v>
      </c>
      <c r="N134" s="167" t="s">
        <v>5787</v>
      </c>
      <c r="O134" s="167" t="s">
        <v>5788</v>
      </c>
      <c r="P134" s="243"/>
      <c r="Q134" s="243"/>
      <c r="R134" s="243"/>
      <c r="S134" s="243"/>
      <c r="T134" s="243"/>
      <c r="U134" s="243"/>
      <c r="V134" s="243"/>
      <c r="W134" s="92"/>
      <c r="X134" s="198" t="s">
        <v>5789</v>
      </c>
      <c r="Y134" s="198"/>
      <c r="Z134" s="198" t="s">
        <v>5790</v>
      </c>
      <c r="AA134" s="198" t="s">
        <v>5595</v>
      </c>
      <c r="AB134" s="198" t="s">
        <v>2384</v>
      </c>
      <c r="AC134" s="198" t="s">
        <v>5045</v>
      </c>
      <c r="AD134" s="198" t="s">
        <v>5175</v>
      </c>
      <c r="AE134" s="246"/>
      <c r="AF134" s="198" t="s">
        <v>5235</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3160</v>
      </c>
      <c r="BC134" s="174" t="s">
        <v>5791</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4816</v>
      </c>
      <c r="BU134" s="175" t="s">
        <v>1911</v>
      </c>
      <c r="BV134" s="175" t="s">
        <v>5663</v>
      </c>
      <c r="BW134" s="175" t="s">
        <v>5655</v>
      </c>
      <c r="BX134" s="253"/>
      <c r="BY134" s="253"/>
      <c r="BZ134" s="253"/>
      <c r="CA134" s="253"/>
      <c r="CB134" s="253"/>
      <c r="CC134" s="253"/>
      <c r="CD134" s="253"/>
      <c r="CE134" s="253"/>
      <c r="CF134" s="254"/>
      <c r="CG134" s="177" t="s">
        <v>5792</v>
      </c>
      <c r="CH134" s="177" t="s">
        <v>3914</v>
      </c>
      <c r="CI134" s="256"/>
      <c r="CJ134" s="256"/>
      <c r="CK134" s="256"/>
      <c r="CL134" s="256"/>
      <c r="CM134" s="256"/>
      <c r="CN134" s="256"/>
      <c r="CO134" s="256"/>
      <c r="CP134" s="256"/>
      <c r="CQ134" s="256"/>
      <c r="CR134" s="256"/>
      <c r="CS134" s="256"/>
      <c r="CT134" s="256"/>
      <c r="CU134" s="92"/>
      <c r="CV134" s="204" t="s">
        <v>4664</v>
      </c>
      <c r="CW134" s="204" t="s">
        <v>5793</v>
      </c>
      <c r="CX134" s="204" t="s">
        <v>2644</v>
      </c>
      <c r="CY134" s="257"/>
      <c r="CZ134" s="257"/>
      <c r="DA134" s="257"/>
      <c r="DB134" s="204" t="s">
        <v>5794</v>
      </c>
      <c r="DC134" s="257"/>
      <c r="DD134" s="257"/>
      <c r="DE134" s="257"/>
      <c r="DF134" s="257"/>
      <c r="DG134" s="257"/>
      <c r="DH134" s="258"/>
      <c r="DI134" s="259"/>
      <c r="DJ134" s="259"/>
      <c r="DK134" s="259"/>
      <c r="DL134" s="259"/>
      <c r="DM134" s="259"/>
      <c r="DN134" s="259"/>
      <c r="DO134" s="259"/>
      <c r="DP134" s="259"/>
      <c r="DQ134" s="259"/>
      <c r="DR134" s="205" t="s">
        <v>5795</v>
      </c>
      <c r="DS134" s="205"/>
      <c r="DT134" s="259"/>
      <c r="DU134" s="259"/>
      <c r="DV134" s="259"/>
      <c r="DW134" s="259"/>
      <c r="DX134" s="259"/>
      <c r="DY134" s="259"/>
      <c r="DZ134" s="259"/>
      <c r="EA134" s="259"/>
      <c r="EB134" s="259"/>
      <c r="EC134" s="259"/>
      <c r="ED134" s="287"/>
    </row>
    <row r="135">
      <c r="A135" s="632" t="s">
        <v>5796</v>
      </c>
      <c r="B135" s="82" t="s">
        <v>5797</v>
      </c>
      <c r="C135" s="83" t="s">
        <v>1256</v>
      </c>
      <c r="D135" s="84" t="s">
        <v>1256</v>
      </c>
      <c r="E135" s="85" t="s">
        <v>1256</v>
      </c>
      <c r="F135" s="86" t="s">
        <v>1256</v>
      </c>
      <c r="G135" s="82" t="s">
        <v>983</v>
      </c>
      <c r="H135" s="633" t="s">
        <v>4571</v>
      </c>
      <c r="I135" s="261" t="s">
        <v>5798</v>
      </c>
      <c r="J135" s="261" t="s">
        <v>5799</v>
      </c>
      <c r="K135" s="261" t="s">
        <v>2656</v>
      </c>
      <c r="L135" s="261" t="s">
        <v>2099</v>
      </c>
      <c r="M135" s="261" t="s">
        <v>5800</v>
      </c>
      <c r="N135" s="261" t="s">
        <v>5801</v>
      </c>
      <c r="O135" s="261" t="s">
        <v>3954</v>
      </c>
      <c r="P135" s="261" t="s">
        <v>4956</v>
      </c>
      <c r="Q135" s="94" t="s">
        <v>5802</v>
      </c>
      <c r="R135" s="99"/>
      <c r="S135" s="94" t="s">
        <v>3807</v>
      </c>
      <c r="T135" s="99"/>
      <c r="U135" s="94" t="s">
        <v>1264</v>
      </c>
      <c r="V135" s="94" t="s">
        <v>5803</v>
      </c>
      <c r="W135" s="92"/>
      <c r="X135" s="261" t="s">
        <v>5006</v>
      </c>
      <c r="Y135" s="261"/>
      <c r="Z135" s="261" t="s">
        <v>3595</v>
      </c>
      <c r="AA135" s="261" t="s">
        <v>1441</v>
      </c>
      <c r="AB135" s="267" t="s">
        <v>5804</v>
      </c>
      <c r="AC135" s="261" t="s">
        <v>4831</v>
      </c>
      <c r="AD135" s="261" t="s">
        <v>4979</v>
      </c>
      <c r="AE135" s="99"/>
      <c r="AF135" s="261" t="s">
        <v>2423</v>
      </c>
      <c r="AG135" s="261" t="s">
        <v>5389</v>
      </c>
      <c r="AH135" s="94" t="s">
        <v>1746</v>
      </c>
      <c r="AI135" s="99"/>
      <c r="AJ135" s="261" t="s">
        <v>2438</v>
      </c>
      <c r="AK135" s="94" t="s">
        <v>5805</v>
      </c>
      <c r="AL135" s="97"/>
      <c r="AM135" s="261" t="s">
        <v>1371</v>
      </c>
      <c r="AN135" s="261" t="s">
        <v>1009</v>
      </c>
      <c r="AO135" s="99"/>
      <c r="AP135" s="99"/>
      <c r="AQ135" s="94" t="s">
        <v>5806</v>
      </c>
      <c r="AR135" s="94" t="s">
        <v>1025</v>
      </c>
      <c r="AS135" s="94" t="s">
        <v>1138</v>
      </c>
      <c r="AT135" s="99"/>
      <c r="AU135" s="261" t="s">
        <v>5566</v>
      </c>
      <c r="AV135" s="261" t="s">
        <v>4723</v>
      </c>
      <c r="AW135" s="102"/>
      <c r="AX135" s="99"/>
      <c r="AY135" s="94" t="s">
        <v>950</v>
      </c>
      <c r="AZ135" s="94" t="s">
        <v>5807</v>
      </c>
      <c r="BA135" s="99"/>
      <c r="BB135" s="261" t="s">
        <v>5808</v>
      </c>
      <c r="BC135" s="261" t="s">
        <v>5809</v>
      </c>
      <c r="BD135" s="261" t="s">
        <v>5810</v>
      </c>
      <c r="BE135" s="261" t="s">
        <v>3109</v>
      </c>
      <c r="BF135" s="261" t="s">
        <v>5811</v>
      </c>
      <c r="BG135" s="261" t="s">
        <v>4333</v>
      </c>
      <c r="BH135" s="94" t="s">
        <v>5812</v>
      </c>
      <c r="BI135" s="261" t="s">
        <v>4430</v>
      </c>
      <c r="BJ135" s="99"/>
      <c r="BK135" s="261" t="s">
        <v>5813</v>
      </c>
      <c r="BL135" s="261" t="s">
        <v>2857</v>
      </c>
      <c r="BM135" s="99"/>
      <c r="BN135" s="99"/>
      <c r="BO135" s="102"/>
      <c r="BP135" s="99"/>
      <c r="BQ135" s="236"/>
      <c r="BR135" s="261" t="s">
        <v>5814</v>
      </c>
      <c r="BS135" s="261" t="s">
        <v>5815</v>
      </c>
      <c r="BT135" s="261" t="s">
        <v>5816</v>
      </c>
      <c r="BU135" s="261" t="s">
        <v>5817</v>
      </c>
      <c r="BV135" s="261" t="s">
        <v>5391</v>
      </c>
      <c r="BW135" s="261" t="s">
        <v>328</v>
      </c>
      <c r="BX135" s="94" t="s">
        <v>5818</v>
      </c>
      <c r="BY135" s="102"/>
      <c r="BZ135" s="261" t="s">
        <v>5819</v>
      </c>
      <c r="CA135" s="261" t="s">
        <v>5820</v>
      </c>
      <c r="CB135" s="94" t="s">
        <v>5821</v>
      </c>
      <c r="CC135" s="99"/>
      <c r="CD135" s="99"/>
      <c r="CE135" s="94" t="s">
        <v>5822</v>
      </c>
      <c r="CF135" s="236"/>
      <c r="CG135" s="261" t="s">
        <v>3445</v>
      </c>
      <c r="CH135" s="261" t="s">
        <v>5552</v>
      </c>
      <c r="CI135" s="261" t="s">
        <v>1048</v>
      </c>
      <c r="CJ135" s="261" t="s">
        <v>5823</v>
      </c>
      <c r="CK135" s="261" t="s">
        <v>5824</v>
      </c>
      <c r="CL135" s="261" t="s">
        <v>5825</v>
      </c>
      <c r="CM135" s="261" t="s">
        <v>5826</v>
      </c>
      <c r="CN135" s="261" t="s">
        <v>1012</v>
      </c>
      <c r="CO135" s="261" t="s">
        <v>1411</v>
      </c>
      <c r="CP135" s="222"/>
      <c r="CQ135" s="99"/>
      <c r="CR135" s="99"/>
      <c r="CS135" s="99"/>
      <c r="CT135" s="94" t="s">
        <v>5827</v>
      </c>
      <c r="CU135" s="92"/>
      <c r="CV135" s="261" t="s">
        <v>2617</v>
      </c>
      <c r="CW135" s="261" t="s">
        <v>5828</v>
      </c>
      <c r="CX135" s="576" t="s">
        <v>5829</v>
      </c>
      <c r="CY135" s="261" t="s">
        <v>3327</v>
      </c>
      <c r="CZ135" s="261" t="s">
        <v>5830</v>
      </c>
      <c r="DA135" s="261" t="s">
        <v>4052</v>
      </c>
      <c r="DB135" s="261" t="s">
        <v>5831</v>
      </c>
      <c r="DC135" s="261" t="s">
        <v>5832</v>
      </c>
      <c r="DD135" s="94" t="s">
        <v>5833</v>
      </c>
      <c r="DE135" s="99"/>
      <c r="DF135" s="99"/>
      <c r="DG135" s="94" t="s">
        <v>5834</v>
      </c>
      <c r="DH135" s="236"/>
      <c r="DI135" s="261" t="s">
        <v>569</v>
      </c>
      <c r="DJ135" s="99"/>
      <c r="DK135" s="94" t="s">
        <v>4021</v>
      </c>
      <c r="DL135" s="261" t="s">
        <v>5835</v>
      </c>
      <c r="DM135" s="261" t="s">
        <v>3980</v>
      </c>
      <c r="DN135" s="261" t="s">
        <v>3159</v>
      </c>
      <c r="DO135" s="94" t="s">
        <v>5836</v>
      </c>
      <c r="DP135" s="94" t="s">
        <v>5837</v>
      </c>
      <c r="DQ135" s="94" t="s">
        <v>5838</v>
      </c>
      <c r="DR135" s="261" t="s">
        <v>5839</v>
      </c>
      <c r="DS135" s="102"/>
      <c r="DT135" s="99"/>
      <c r="DU135" s="261" t="s">
        <v>5840</v>
      </c>
      <c r="DV135" s="99"/>
      <c r="DW135" s="99"/>
      <c r="DX135" s="99"/>
      <c r="DY135" s="99"/>
      <c r="DZ135" s="94" t="s">
        <v>5841</v>
      </c>
      <c r="EA135" s="261" t="s">
        <v>5842</v>
      </c>
      <c r="EB135" s="99"/>
      <c r="EC135" s="94" t="s">
        <v>3948</v>
      </c>
      <c r="ED135" s="261" t="s">
        <v>5843</v>
      </c>
    </row>
    <row r="136">
      <c r="A136" s="166" t="s">
        <v>5844</v>
      </c>
      <c r="B136" s="104" t="s">
        <v>5845</v>
      </c>
      <c r="C136" s="105" t="s">
        <v>1256</v>
      </c>
      <c r="D136" s="106" t="s">
        <v>1256</v>
      </c>
      <c r="E136" s="107" t="s">
        <v>1256</v>
      </c>
      <c r="F136" s="108" t="s">
        <v>546</v>
      </c>
      <c r="G136" s="104" t="s">
        <v>3098</v>
      </c>
      <c r="H136" s="167" t="s">
        <v>4202</v>
      </c>
      <c r="I136" s="167" t="s">
        <v>5846</v>
      </c>
      <c r="J136" s="167" t="s">
        <v>3360</v>
      </c>
      <c r="K136" s="167" t="s">
        <v>2278</v>
      </c>
      <c r="L136" s="167" t="s">
        <v>5526</v>
      </c>
      <c r="M136" s="167" t="s">
        <v>5847</v>
      </c>
      <c r="N136" s="167" t="s">
        <v>5848</v>
      </c>
      <c r="O136" s="167" t="s">
        <v>5849</v>
      </c>
      <c r="P136" s="167" t="s">
        <v>1207</v>
      </c>
      <c r="Q136" s="167"/>
      <c r="R136" s="243"/>
      <c r="S136" s="243"/>
      <c r="T136" s="243"/>
      <c r="U136" s="243"/>
      <c r="V136" s="243"/>
      <c r="W136" s="92"/>
      <c r="X136" s="198" t="s">
        <v>5850</v>
      </c>
      <c r="Y136" s="198"/>
      <c r="Z136" s="198" t="s">
        <v>5851</v>
      </c>
      <c r="AA136" s="198" t="s">
        <v>2068</v>
      </c>
      <c r="AB136" s="198" t="s">
        <v>5852</v>
      </c>
      <c r="AC136" s="198" t="s">
        <v>3884</v>
      </c>
      <c r="AD136" s="198" t="s">
        <v>5853</v>
      </c>
      <c r="AE136" s="246"/>
      <c r="AF136" s="198" t="s">
        <v>5801</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4814</v>
      </c>
      <c r="BM136" s="173"/>
      <c r="BN136" s="173"/>
      <c r="BO136" s="173"/>
      <c r="BP136" s="173"/>
      <c r="BQ136" s="249"/>
      <c r="BR136" s="175"/>
      <c r="BS136" s="253"/>
      <c r="BT136" s="253"/>
      <c r="BU136" s="175" t="s">
        <v>2489</v>
      </c>
      <c r="BV136" s="253"/>
      <c r="BW136" s="175" t="s">
        <v>5854</v>
      </c>
      <c r="BX136" s="253"/>
      <c r="BY136" s="253"/>
      <c r="BZ136" s="253"/>
      <c r="CA136" s="175" t="s">
        <v>822</v>
      </c>
      <c r="CB136" s="253"/>
      <c r="CC136" s="253"/>
      <c r="CD136" s="253"/>
      <c r="CE136" s="253"/>
      <c r="CF136" s="254"/>
      <c r="CG136" s="177" t="s">
        <v>5855</v>
      </c>
      <c r="CH136" s="177" t="s">
        <v>4274</v>
      </c>
      <c r="CI136" s="177" t="s">
        <v>2606</v>
      </c>
      <c r="CJ136" s="256"/>
      <c r="CK136" s="256"/>
      <c r="CL136" s="256"/>
      <c r="CM136" s="256"/>
      <c r="CN136" s="256"/>
      <c r="CO136" s="177" t="s">
        <v>5856</v>
      </c>
      <c r="CP136" s="256"/>
      <c r="CQ136" s="256"/>
      <c r="CR136" s="256"/>
      <c r="CS136" s="256"/>
      <c r="CT136" s="256"/>
      <c r="CU136" s="92"/>
      <c r="CV136" s="204" t="s">
        <v>5857</v>
      </c>
      <c r="CW136" s="204" t="s">
        <v>5858</v>
      </c>
      <c r="CX136" s="204" t="s">
        <v>1839</v>
      </c>
      <c r="CY136" s="204" t="s">
        <v>5048</v>
      </c>
      <c r="CZ136" s="257"/>
      <c r="DA136" s="257"/>
      <c r="DB136" s="257"/>
      <c r="DC136" s="204"/>
      <c r="DD136" s="257"/>
      <c r="DE136" s="257"/>
      <c r="DF136" s="257"/>
      <c r="DG136" s="257"/>
      <c r="DH136" s="258"/>
      <c r="DI136" s="205" t="s">
        <v>5859</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4617</v>
      </c>
      <c r="EC136" s="205" t="s">
        <v>2700</v>
      </c>
      <c r="ED136" s="287" t="s">
        <v>5860</v>
      </c>
    </row>
    <row r="137">
      <c r="A137" s="634" t="s">
        <v>5861</v>
      </c>
      <c r="B137" s="209" t="s">
        <v>5862</v>
      </c>
      <c r="C137" s="210" t="s">
        <v>1256</v>
      </c>
      <c r="D137" s="211" t="s">
        <v>1256</v>
      </c>
      <c r="E137" s="212" t="s">
        <v>1256</v>
      </c>
      <c r="F137" s="213" t="s">
        <v>981</v>
      </c>
      <c r="G137" s="209" t="s">
        <v>5863</v>
      </c>
      <c r="H137" s="635"/>
      <c r="I137" s="635" t="s">
        <v>5864</v>
      </c>
      <c r="J137" s="635"/>
      <c r="K137" s="635" t="s">
        <v>3107</v>
      </c>
      <c r="L137" s="214" t="s">
        <v>5187</v>
      </c>
      <c r="M137" s="635"/>
      <c r="N137" s="636" t="s">
        <v>5865</v>
      </c>
      <c r="O137" s="636" t="s">
        <v>5755</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5405</v>
      </c>
      <c r="AX137" s="635"/>
      <c r="AY137" s="635" t="s">
        <v>4492</v>
      </c>
      <c r="AZ137" s="635"/>
      <c r="BA137" s="635"/>
      <c r="BB137" s="635" t="s">
        <v>5866</v>
      </c>
      <c r="BC137" s="635"/>
      <c r="BD137" s="635"/>
      <c r="BE137" s="635" t="s">
        <v>5867</v>
      </c>
      <c r="BF137" s="635" t="s">
        <v>5868</v>
      </c>
      <c r="BG137" s="635"/>
      <c r="BH137" s="635"/>
      <c r="BI137" s="88" t="s">
        <v>5869</v>
      </c>
      <c r="BJ137" s="635"/>
      <c r="BK137" s="214" t="s">
        <v>5870</v>
      </c>
      <c r="BL137" s="635"/>
      <c r="BM137" s="635"/>
      <c r="BN137" s="635"/>
      <c r="BO137" s="635"/>
      <c r="BP137" s="635"/>
      <c r="BQ137" s="638"/>
      <c r="BR137" s="635"/>
      <c r="BS137" s="635"/>
      <c r="BT137" s="635" t="s">
        <v>5871</v>
      </c>
      <c r="BU137" s="635"/>
      <c r="BV137" s="88" t="s">
        <v>2598</v>
      </c>
      <c r="BW137" s="88" t="s">
        <v>5433</v>
      </c>
      <c r="BX137" s="635"/>
      <c r="BY137" s="635"/>
      <c r="BZ137" s="635"/>
      <c r="CA137" s="88" t="s">
        <v>3736</v>
      </c>
      <c r="CB137" s="635" t="s">
        <v>5872</v>
      </c>
      <c r="CC137" s="635"/>
      <c r="CD137" s="635"/>
      <c r="CE137" s="635"/>
      <c r="CF137" s="638"/>
      <c r="CG137" s="635" t="s">
        <v>767</v>
      </c>
      <c r="CH137" s="635"/>
      <c r="CI137" s="635"/>
      <c r="CJ137" s="635" t="s">
        <v>5873</v>
      </c>
      <c r="CK137" s="635"/>
      <c r="CL137" s="635"/>
      <c r="CM137" s="636" t="s">
        <v>5874</v>
      </c>
      <c r="CN137" s="94" t="s">
        <v>5250</v>
      </c>
      <c r="CO137" s="635"/>
      <c r="CP137" s="635"/>
      <c r="CQ137" s="635"/>
      <c r="CR137" s="635"/>
      <c r="CS137" s="635"/>
      <c r="CT137" s="635" t="s">
        <v>5875</v>
      </c>
      <c r="CU137" s="460"/>
      <c r="CV137" s="635"/>
      <c r="CW137" s="635"/>
      <c r="CX137" s="636" t="s">
        <v>3419</v>
      </c>
      <c r="CY137" s="635" t="s">
        <v>5876</v>
      </c>
      <c r="CZ137" s="636" t="s">
        <v>5877</v>
      </c>
      <c r="DA137" s="214" t="s">
        <v>1924</v>
      </c>
      <c r="DB137" s="214" t="s">
        <v>5878</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5879</v>
      </c>
      <c r="EB137" s="635"/>
      <c r="EC137" s="635"/>
      <c r="ED137" s="635"/>
    </row>
    <row r="138">
      <c r="A138" s="166" t="s">
        <v>5880</v>
      </c>
      <c r="B138" s="104" t="s">
        <v>5881</v>
      </c>
      <c r="C138" s="105" t="s">
        <v>1256</v>
      </c>
      <c r="D138" s="106" t="s">
        <v>1256</v>
      </c>
      <c r="E138" s="107" t="s">
        <v>1256</v>
      </c>
      <c r="F138" s="108" t="s">
        <v>437</v>
      </c>
      <c r="G138" s="104" t="s">
        <v>3380</v>
      </c>
      <c r="H138" s="167" t="s">
        <v>3832</v>
      </c>
      <c r="I138" s="167" t="s">
        <v>2128</v>
      </c>
      <c r="J138" s="167" t="s">
        <v>5543</v>
      </c>
      <c r="K138" s="167" t="s">
        <v>3971</v>
      </c>
      <c r="L138" s="226" t="s">
        <v>5882</v>
      </c>
      <c r="M138" s="243"/>
      <c r="N138" s="243"/>
      <c r="O138" s="226" t="s">
        <v>1370</v>
      </c>
      <c r="P138" s="243"/>
      <c r="Q138" s="243"/>
      <c r="R138" s="167"/>
      <c r="S138" s="167"/>
      <c r="T138" s="243"/>
      <c r="U138" s="243"/>
      <c r="V138" s="243"/>
      <c r="W138" s="92"/>
      <c r="X138" s="198" t="s">
        <v>3160</v>
      </c>
      <c r="Y138" s="246"/>
      <c r="Z138" s="246"/>
      <c r="AA138" s="198" t="s">
        <v>5883</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5884</v>
      </c>
      <c r="BK138" s="174"/>
      <c r="BL138" s="173"/>
      <c r="BM138" s="173"/>
      <c r="BN138" s="173"/>
      <c r="BO138" s="173"/>
      <c r="BP138" s="173"/>
      <c r="BQ138" s="249"/>
      <c r="BR138" s="253"/>
      <c r="BS138" s="176" t="s">
        <v>3915</v>
      </c>
      <c r="BT138" s="175" t="s">
        <v>5281</v>
      </c>
      <c r="BU138" s="253"/>
      <c r="BV138" s="253"/>
      <c r="BW138" s="175" t="s">
        <v>5885</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5886</v>
      </c>
      <c r="B139" s="82" t="s">
        <v>5887</v>
      </c>
      <c r="C139" s="83" t="s">
        <v>1256</v>
      </c>
      <c r="D139" s="84" t="s">
        <v>1256</v>
      </c>
      <c r="E139" s="85" t="s">
        <v>1256</v>
      </c>
      <c r="F139" s="86" t="s">
        <v>647</v>
      </c>
      <c r="G139" s="82" t="s">
        <v>5888</v>
      </c>
      <c r="H139" s="261" t="s">
        <v>3781</v>
      </c>
      <c r="I139" s="267" t="s">
        <v>5889</v>
      </c>
      <c r="J139" s="267" t="s">
        <v>1731</v>
      </c>
      <c r="K139" s="261" t="s">
        <v>352</v>
      </c>
      <c r="L139" s="261" t="s">
        <v>609</v>
      </c>
      <c r="M139" s="261" t="s">
        <v>5890</v>
      </c>
      <c r="N139" s="261" t="s">
        <v>5891</v>
      </c>
      <c r="O139" s="93" t="s">
        <v>242</v>
      </c>
      <c r="P139" s="261" t="s">
        <v>4877</v>
      </c>
      <c r="Q139" s="94" t="s">
        <v>5892</v>
      </c>
      <c r="R139" s="99"/>
      <c r="S139" s="94" t="s">
        <v>4097</v>
      </c>
      <c r="T139" s="99"/>
      <c r="U139" s="94" t="s">
        <v>2097</v>
      </c>
      <c r="V139" s="94" t="s">
        <v>5893</v>
      </c>
      <c r="W139" s="92"/>
      <c r="X139" s="434" t="s">
        <v>5003</v>
      </c>
      <c r="Y139" s="162"/>
      <c r="Z139" s="162" t="s">
        <v>5445</v>
      </c>
      <c r="AA139" s="88" t="s">
        <v>414</v>
      </c>
      <c r="AB139" s="267" t="s">
        <v>2731</v>
      </c>
      <c r="AC139" s="267" t="s">
        <v>3880</v>
      </c>
      <c r="AD139" s="261" t="s">
        <v>1572</v>
      </c>
      <c r="AE139" s="99"/>
      <c r="AF139" s="93" t="s">
        <v>5894</v>
      </c>
      <c r="AG139" s="261" t="s">
        <v>5895</v>
      </c>
      <c r="AH139" s="99"/>
      <c r="AI139" s="99"/>
      <c r="AJ139" s="102"/>
      <c r="AK139" s="99"/>
      <c r="AL139" s="97"/>
      <c r="AM139" s="261" t="s">
        <v>3525</v>
      </c>
      <c r="AN139" s="261" t="s">
        <v>5896</v>
      </c>
      <c r="AO139" s="94" t="s">
        <v>5897</v>
      </c>
      <c r="AP139" s="94" t="s">
        <v>102</v>
      </c>
      <c r="AQ139" s="94" t="s">
        <v>5898</v>
      </c>
      <c r="AR139" s="94" t="s">
        <v>5105</v>
      </c>
      <c r="AS139" s="94" t="s">
        <v>5899</v>
      </c>
      <c r="AT139" s="94" t="s">
        <v>5900</v>
      </c>
      <c r="AU139" s="261" t="s">
        <v>4298</v>
      </c>
      <c r="AV139" s="261" t="s">
        <v>3540</v>
      </c>
      <c r="AW139" s="261" t="s">
        <v>4185</v>
      </c>
      <c r="AX139" s="99"/>
      <c r="AY139" s="99"/>
      <c r="AZ139" s="99"/>
      <c r="BA139" s="99"/>
      <c r="BB139" s="261" t="s">
        <v>5901</v>
      </c>
      <c r="BC139" s="261" t="s">
        <v>2062</v>
      </c>
      <c r="BD139" s="261" t="s">
        <v>1073</v>
      </c>
      <c r="BE139" s="261" t="s">
        <v>5902</v>
      </c>
      <c r="BF139" s="102"/>
      <c r="BG139" s="261" t="s">
        <v>5903</v>
      </c>
      <c r="BH139" s="99"/>
      <c r="BI139" s="261" t="s">
        <v>1082</v>
      </c>
      <c r="BJ139" s="99"/>
      <c r="BK139" s="102"/>
      <c r="BL139" s="261" t="s">
        <v>5904</v>
      </c>
      <c r="BM139" s="99"/>
      <c r="BN139" s="99"/>
      <c r="BO139" s="102"/>
      <c r="BP139" s="99"/>
      <c r="BQ139" s="236"/>
      <c r="BR139" s="261" t="s">
        <v>5905</v>
      </c>
      <c r="BS139" s="261" t="s">
        <v>5906</v>
      </c>
      <c r="BT139" s="261" t="s">
        <v>3866</v>
      </c>
      <c r="BU139" s="261" t="s">
        <v>5810</v>
      </c>
      <c r="BV139" s="261" t="s">
        <v>5907</v>
      </c>
      <c r="BW139" s="261" t="s">
        <v>4589</v>
      </c>
      <c r="BX139" s="99"/>
      <c r="BY139" s="261" t="s">
        <v>5908</v>
      </c>
      <c r="BZ139" s="102"/>
      <c r="CA139" s="261" t="s">
        <v>974</v>
      </c>
      <c r="CB139" s="99"/>
      <c r="CC139" s="99"/>
      <c r="CD139" s="99"/>
      <c r="CE139" s="99"/>
      <c r="CF139" s="236"/>
      <c r="CG139" s="261" t="s">
        <v>5909</v>
      </c>
      <c r="CH139" s="261" t="s">
        <v>5910</v>
      </c>
      <c r="CI139" s="261" t="s">
        <v>4412</v>
      </c>
      <c r="CJ139" s="102"/>
      <c r="CK139" s="102"/>
      <c r="CL139" s="261" t="s">
        <v>2142</v>
      </c>
      <c r="CM139" s="102"/>
      <c r="CN139" s="102"/>
      <c r="CO139" s="102"/>
      <c r="CP139" s="222"/>
      <c r="CQ139" s="99"/>
      <c r="CR139" s="99"/>
      <c r="CS139" s="99"/>
      <c r="CT139" s="99"/>
      <c r="CU139" s="92"/>
      <c r="CV139" s="261" t="s">
        <v>5911</v>
      </c>
      <c r="CW139" s="261" t="s">
        <v>5912</v>
      </c>
      <c r="CX139" s="434" t="s">
        <v>5913</v>
      </c>
      <c r="CY139" s="88" t="s">
        <v>4503</v>
      </c>
      <c r="CZ139" s="261" t="s">
        <v>3401</v>
      </c>
      <c r="DA139" s="261" t="s">
        <v>4028</v>
      </c>
      <c r="DB139" s="261" t="s">
        <v>5914</v>
      </c>
      <c r="DC139" s="88" t="s">
        <v>5915</v>
      </c>
      <c r="DD139" s="99"/>
      <c r="DE139" s="99"/>
      <c r="DF139" s="99"/>
      <c r="DG139" s="99"/>
      <c r="DH139" s="236"/>
      <c r="DI139" s="261" t="s">
        <v>5916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5917</v>
      </c>
      <c r="B140" s="104" t="s">
        <v>5918</v>
      </c>
      <c r="C140" s="105" t="s">
        <v>1256</v>
      </c>
      <c r="D140" s="106" t="s">
        <v>1256</v>
      </c>
      <c r="E140" s="107" t="s">
        <v>1256</v>
      </c>
      <c r="F140" s="108" t="s">
        <v>1256</v>
      </c>
      <c r="G140" s="104" t="s">
        <v>221</v>
      </c>
      <c r="H140" s="226" t="s">
        <v>5919</v>
      </c>
      <c r="I140" s="342" t="s">
        <v>5920</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5017</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5921</v>
      </c>
      <c r="B141" s="82" t="s">
        <v>5922</v>
      </c>
      <c r="C141" s="83" t="s">
        <v>1256</v>
      </c>
      <c r="D141" s="84" t="s">
        <v>1256</v>
      </c>
      <c r="E141" s="85" t="s">
        <v>1256</v>
      </c>
      <c r="F141" s="86" t="s">
        <v>437</v>
      </c>
      <c r="G141" s="82" t="s">
        <v>2681</v>
      </c>
      <c r="H141" s="94" t="s">
        <v>5923</v>
      </c>
      <c r="I141" s="267" t="s">
        <v>1590</v>
      </c>
      <c r="J141" s="94" t="s">
        <v>5924</v>
      </c>
      <c r="K141" s="94" t="s">
        <v>5925</v>
      </c>
      <c r="L141" s="94" t="s">
        <v>5926</v>
      </c>
      <c r="M141" s="99"/>
      <c r="N141" s="94" t="s">
        <v>5927</v>
      </c>
      <c r="O141" s="94" t="s">
        <v>3586</v>
      </c>
      <c r="P141" s="94" t="s">
        <v>1075</v>
      </c>
      <c r="Q141" s="99"/>
      <c r="R141" s="94" t="s">
        <v>324</v>
      </c>
      <c r="S141" s="94" t="s">
        <v>2217</v>
      </c>
      <c r="T141" s="99"/>
      <c r="U141" s="94" t="s">
        <v>3225</v>
      </c>
      <c r="V141" s="99"/>
      <c r="W141" s="92"/>
      <c r="X141" s="94" t="s">
        <v>5928</v>
      </c>
      <c r="Y141" s="102"/>
      <c r="Z141" s="88" t="s">
        <v>2394</v>
      </c>
      <c r="AA141" s="94" t="s">
        <v>4515</v>
      </c>
      <c r="AB141" s="94" t="s">
        <v>1679</v>
      </c>
      <c r="AC141" s="94" t="s">
        <v>3882</v>
      </c>
      <c r="AD141" s="94" t="s">
        <v>2392</v>
      </c>
      <c r="AE141" s="99"/>
      <c r="AF141" s="94" t="s">
        <v>5929</v>
      </c>
      <c r="AG141" s="94" t="s">
        <v>193</v>
      </c>
      <c r="AH141" s="99"/>
      <c r="AI141" s="99"/>
      <c r="AJ141" s="99"/>
      <c r="AK141" s="99"/>
      <c r="AL141" s="97"/>
      <c r="AM141" s="99"/>
      <c r="AN141" s="94" t="s">
        <v>322</v>
      </c>
      <c r="AO141" s="99"/>
      <c r="AP141" s="99"/>
      <c r="AQ141" s="94" t="s">
        <v>5930</v>
      </c>
      <c r="AR141" s="94"/>
      <c r="AS141" s="99"/>
      <c r="AT141" s="99"/>
      <c r="AU141" s="94" t="s">
        <v>701</v>
      </c>
      <c r="AV141" s="99"/>
      <c r="AW141" s="99"/>
      <c r="AX141" s="99"/>
      <c r="AY141" s="99"/>
      <c r="AZ141" s="99"/>
      <c r="BA141" s="99"/>
      <c r="BB141" s="99"/>
      <c r="BC141" s="94" t="s">
        <v>1959</v>
      </c>
      <c r="BD141" s="94" t="s">
        <v>5931</v>
      </c>
      <c r="BE141" s="94" t="s">
        <v>3576</v>
      </c>
      <c r="BF141" s="94" t="s">
        <v>5765</v>
      </c>
      <c r="BG141" s="99"/>
      <c r="BH141" s="99"/>
      <c r="BI141" s="94" t="s">
        <v>4017</v>
      </c>
      <c r="BJ141" s="94" t="s">
        <v>5932</v>
      </c>
      <c r="BK141" s="94"/>
      <c r="BL141" s="94" t="s">
        <v>2625</v>
      </c>
      <c r="BM141" s="99"/>
      <c r="BN141" s="94" t="s">
        <v>4223</v>
      </c>
      <c r="BO141" s="99"/>
      <c r="BP141" s="99"/>
      <c r="BQ141" s="236"/>
      <c r="BR141" s="94" t="s">
        <v>5933</v>
      </c>
      <c r="BS141" s="94" t="s">
        <v>4241</v>
      </c>
      <c r="BT141" s="94" t="s">
        <v>3406</v>
      </c>
      <c r="BU141" s="94" t="s">
        <v>5934</v>
      </c>
      <c r="BV141" s="94" t="s">
        <v>5935</v>
      </c>
      <c r="BW141" s="94" t="s">
        <v>5180</v>
      </c>
      <c r="BX141" s="99"/>
      <c r="BY141" s="94" t="s">
        <v>2879</v>
      </c>
      <c r="BZ141" s="99"/>
      <c r="CA141" s="94" t="s">
        <v>5936</v>
      </c>
      <c r="CB141" s="99"/>
      <c r="CC141" s="99"/>
      <c r="CD141" s="99"/>
      <c r="CE141" s="99"/>
      <c r="CF141" s="236"/>
      <c r="CG141" s="94" t="s">
        <v>5937</v>
      </c>
      <c r="CH141" s="94" t="s">
        <v>4475</v>
      </c>
      <c r="CI141" s="94" t="s">
        <v>2219</v>
      </c>
      <c r="CJ141" s="94" t="s">
        <v>5938</v>
      </c>
      <c r="CK141" s="94"/>
      <c r="CL141" s="94" t="s">
        <v>5939</v>
      </c>
      <c r="CM141" s="94" t="s">
        <v>5940</v>
      </c>
      <c r="CN141" s="94" t="s">
        <v>1731</v>
      </c>
      <c r="CO141" s="94" t="s">
        <v>4298</v>
      </c>
      <c r="CP141" s="99"/>
      <c r="CQ141" s="99"/>
      <c r="CR141" s="99"/>
      <c r="CS141" s="99"/>
      <c r="CT141" s="99"/>
      <c r="CU141" s="92"/>
      <c r="CV141" s="94" t="s">
        <v>5941</v>
      </c>
      <c r="CW141" s="94" t="s">
        <v>2836</v>
      </c>
      <c r="CX141" s="94" t="s">
        <v>3752</v>
      </c>
      <c r="CY141" s="94" t="s">
        <v>5942</v>
      </c>
      <c r="CZ141" s="99"/>
      <c r="DA141" s="94" t="s">
        <v>5943</v>
      </c>
      <c r="DB141" s="88" t="s">
        <v>5944</v>
      </c>
      <c r="DC141" s="94" t="s">
        <v>4473</v>
      </c>
      <c r="DD141" s="99"/>
      <c r="DE141" s="99"/>
      <c r="DF141" s="99"/>
      <c r="DG141" s="99"/>
      <c r="DH141" s="236"/>
      <c r="DI141" s="94" t="s">
        <v>5945</v>
      </c>
      <c r="DJ141" s="99"/>
      <c r="DK141" s="99"/>
      <c r="DL141" s="99"/>
      <c r="DM141" s="99"/>
      <c r="DN141" s="99"/>
      <c r="DO141" s="99"/>
      <c r="DP141" s="99"/>
      <c r="DQ141" s="99"/>
      <c r="DR141" s="99"/>
      <c r="DS141" s="99"/>
      <c r="DT141" s="99"/>
      <c r="DU141" s="99"/>
      <c r="DV141" s="94" t="s">
        <v>5946</v>
      </c>
      <c r="DW141" s="94" t="s">
        <v>4097</v>
      </c>
      <c r="DX141" s="94" t="s">
        <v>5947</v>
      </c>
      <c r="DY141" s="94" t="s">
        <v>2188</v>
      </c>
      <c r="DZ141" s="94" t="s">
        <v>5948</v>
      </c>
      <c r="EA141" s="94" t="s">
        <v>3443</v>
      </c>
      <c r="EB141" s="99"/>
      <c r="EC141" s="99"/>
      <c r="ED141" s="261" t="s">
        <v>5949</v>
      </c>
    </row>
    <row r="142">
      <c r="A142" s="641" t="s">
        <v>5950</v>
      </c>
      <c r="B142" s="104" t="s">
        <v>5951</v>
      </c>
      <c r="C142" s="105" t="s">
        <v>1256</v>
      </c>
      <c r="D142" s="106" t="s">
        <v>1256</v>
      </c>
      <c r="E142" s="107" t="s">
        <v>1256</v>
      </c>
      <c r="F142" s="108" t="s">
        <v>437</v>
      </c>
      <c r="G142" s="104" t="s">
        <v>4776</v>
      </c>
      <c r="H142" s="167"/>
      <c r="I142" s="167" t="s">
        <v>5952</v>
      </c>
      <c r="J142" s="167" t="s">
        <v>4142</v>
      </c>
      <c r="K142" s="112" t="s">
        <v>2278</v>
      </c>
      <c r="L142" s="167" t="s">
        <v>2477</v>
      </c>
      <c r="M142" s="167" t="s">
        <v>5953</v>
      </c>
      <c r="N142" s="167" t="s">
        <v>5954</v>
      </c>
      <c r="O142" s="167" t="s">
        <v>5128</v>
      </c>
      <c r="P142" s="167" t="s">
        <v>563</v>
      </c>
      <c r="Q142" s="243"/>
      <c r="R142" s="243"/>
      <c r="S142" s="243"/>
      <c r="T142" s="243"/>
      <c r="U142" s="243"/>
      <c r="V142" s="243"/>
      <c r="W142" s="92"/>
      <c r="X142" s="198" t="s">
        <v>4615</v>
      </c>
      <c r="Y142" s="198"/>
      <c r="Z142" s="198" t="s">
        <v>5790</v>
      </c>
      <c r="AA142" s="198" t="s">
        <v>2242</v>
      </c>
      <c r="AB142" s="198" t="s">
        <v>5955</v>
      </c>
      <c r="AC142" s="198" t="s">
        <v>4961</v>
      </c>
      <c r="AD142" s="198" t="s">
        <v>5956</v>
      </c>
      <c r="AE142" s="246"/>
      <c r="AF142" s="198" t="s">
        <v>5957</v>
      </c>
      <c r="AG142" s="295" t="s">
        <v>5013</v>
      </c>
      <c r="AH142" s="246"/>
      <c r="AI142" s="246"/>
      <c r="AJ142" s="246"/>
      <c r="AK142" s="246"/>
      <c r="AL142" s="97"/>
      <c r="AM142" s="247"/>
      <c r="AN142" s="247"/>
      <c r="AO142" s="247"/>
      <c r="AP142" s="247"/>
      <c r="AQ142" s="247"/>
      <c r="AR142" s="247"/>
      <c r="AS142" s="247"/>
      <c r="AT142" s="247"/>
      <c r="AU142" s="168" t="s">
        <v>4607</v>
      </c>
      <c r="AV142" s="168" t="s">
        <v>4751</v>
      </c>
      <c r="AW142" s="247"/>
      <c r="AX142" s="247"/>
      <c r="AY142" s="247"/>
      <c r="AZ142" s="247"/>
      <c r="BA142" s="247"/>
      <c r="BB142" s="174"/>
      <c r="BC142" s="174" t="s">
        <v>1527</v>
      </c>
      <c r="BD142" s="174" t="s">
        <v>403</v>
      </c>
      <c r="BE142" s="174" t="s">
        <v>5958</v>
      </c>
      <c r="BF142" s="173"/>
      <c r="BG142" s="174" t="s">
        <v>2920</v>
      </c>
      <c r="BH142" s="173"/>
      <c r="BI142" s="174" t="s">
        <v>900</v>
      </c>
      <c r="BJ142" s="173"/>
      <c r="BK142" s="173"/>
      <c r="BL142" s="173"/>
      <c r="BM142" s="173"/>
      <c r="BN142" s="173"/>
      <c r="BO142" s="173"/>
      <c r="BP142" s="173"/>
      <c r="BQ142" s="249"/>
      <c r="BR142" s="175" t="s">
        <v>5959</v>
      </c>
      <c r="BS142" s="175" t="s">
        <v>5960</v>
      </c>
      <c r="BT142" s="175" t="s">
        <v>495</v>
      </c>
      <c r="BU142" s="306" t="s">
        <v>3093</v>
      </c>
      <c r="BV142" s="175" t="s">
        <v>4010</v>
      </c>
      <c r="BW142" s="175" t="s">
        <v>5961</v>
      </c>
      <c r="BX142" s="175" t="s">
        <v>5962</v>
      </c>
      <c r="BY142" s="253"/>
      <c r="BZ142" s="175" t="s">
        <v>5963</v>
      </c>
      <c r="CA142" s="175" t="s">
        <v>5964</v>
      </c>
      <c r="CB142" s="253"/>
      <c r="CC142" s="253"/>
      <c r="CD142" s="253"/>
      <c r="CE142" s="253"/>
      <c r="CF142" s="254"/>
      <c r="CG142" s="135" t="s">
        <v>5965</v>
      </c>
      <c r="CH142" s="177" t="s">
        <v>5966</v>
      </c>
      <c r="CI142" s="177" t="s">
        <v>5967</v>
      </c>
      <c r="CJ142" s="177" t="s">
        <v>5968</v>
      </c>
      <c r="CK142" s="177"/>
      <c r="CL142" s="412" t="s">
        <v>2386</v>
      </c>
      <c r="CM142" s="177" t="s">
        <v>5969</v>
      </c>
      <c r="CN142" s="177" t="s">
        <v>2529</v>
      </c>
      <c r="CO142" s="177" t="s">
        <v>3704</v>
      </c>
      <c r="CP142" s="256"/>
      <c r="CQ142" s="256"/>
      <c r="CR142" s="256"/>
      <c r="CS142" s="256"/>
      <c r="CT142" s="256"/>
      <c r="CU142" s="92"/>
      <c r="CV142" s="204" t="s">
        <v>2915</v>
      </c>
      <c r="CW142" s="204" t="s">
        <v>3668</v>
      </c>
      <c r="CX142" s="204" t="s">
        <v>2807</v>
      </c>
      <c r="CY142" s="204" t="s">
        <v>5970</v>
      </c>
      <c r="CZ142" s="204" t="s">
        <v>3724</v>
      </c>
      <c r="DA142" s="204" t="s">
        <v>1815</v>
      </c>
      <c r="DB142" s="204" t="s">
        <v>5971</v>
      </c>
      <c r="DC142" s="204" t="s">
        <v>3839</v>
      </c>
      <c r="DD142" s="257"/>
      <c r="DE142" s="257"/>
      <c r="DF142" s="257"/>
      <c r="DG142" s="257"/>
      <c r="DH142" s="258"/>
      <c r="DI142" s="259"/>
      <c r="DJ142" s="259"/>
      <c r="DK142" s="259"/>
      <c r="DL142" s="259"/>
      <c r="DM142" s="259"/>
      <c r="DN142" s="259"/>
      <c r="DO142" s="259"/>
      <c r="DP142" s="259"/>
      <c r="DQ142" s="259"/>
      <c r="DR142" s="259"/>
      <c r="DS142" s="205" t="s">
        <v>5972</v>
      </c>
      <c r="DT142" s="259"/>
      <c r="DU142" s="259"/>
      <c r="DV142" s="259"/>
      <c r="DW142" s="259"/>
      <c r="DX142" s="259"/>
      <c r="DY142" s="259"/>
      <c r="DZ142" s="259"/>
      <c r="EA142" s="259"/>
      <c r="EB142" s="259"/>
      <c r="EC142" s="259"/>
      <c r="ED142" s="565"/>
    </row>
    <row r="143">
      <c r="A143" s="642" t="s">
        <v>5973</v>
      </c>
      <c r="B143" s="82" t="s">
        <v>5974</v>
      </c>
      <c r="C143" s="83" t="s">
        <v>1256</v>
      </c>
      <c r="D143" s="84" t="s">
        <v>1256</v>
      </c>
      <c r="E143" s="85" t="s">
        <v>1256</v>
      </c>
      <c r="F143" s="86" t="s">
        <v>546</v>
      </c>
      <c r="G143" s="82" t="s">
        <v>222</v>
      </c>
      <c r="H143" s="94"/>
      <c r="I143" s="94" t="s">
        <v>5975</v>
      </c>
      <c r="J143" s="94"/>
      <c r="K143" s="94"/>
      <c r="L143" s="94" t="s">
        <v>1833</v>
      </c>
      <c r="M143" s="94"/>
      <c r="N143" s="94" t="s">
        <v>5976</v>
      </c>
      <c r="O143" s="94" t="s">
        <v>5977</v>
      </c>
      <c r="P143" s="99"/>
      <c r="Q143" s="99"/>
      <c r="R143" s="99"/>
      <c r="S143" s="99"/>
      <c r="T143" s="99"/>
      <c r="U143" s="99"/>
      <c r="V143" s="99"/>
      <c r="W143" s="92"/>
      <c r="X143" s="93"/>
      <c r="Y143" s="94"/>
      <c r="Z143" s="94"/>
      <c r="AA143" s="94" t="s">
        <v>2926</v>
      </c>
      <c r="AB143" s="94"/>
      <c r="AC143" s="94" t="s">
        <v>5978</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5979</v>
      </c>
      <c r="BT143" s="94" t="s">
        <v>5980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5981</v>
      </c>
      <c r="DA143" s="99"/>
      <c r="DB143" s="99"/>
      <c r="DC143" s="99"/>
      <c r="DD143" s="99"/>
      <c r="DE143" s="99"/>
      <c r="DF143" s="99"/>
      <c r="DG143" s="99"/>
      <c r="DH143" s="236"/>
      <c r="DI143" s="99"/>
      <c r="DJ143" s="99"/>
      <c r="DK143" s="99"/>
      <c r="DL143" s="94"/>
      <c r="DM143" s="99"/>
      <c r="DN143" s="94" t="s">
        <v>2121</v>
      </c>
      <c r="DO143" s="99"/>
      <c r="DP143" s="99"/>
      <c r="DQ143" s="99"/>
      <c r="DR143" s="94" t="s">
        <v>5982</v>
      </c>
      <c r="DS143" s="94"/>
      <c r="DT143" s="99"/>
      <c r="DU143" s="99"/>
      <c r="DV143" s="99"/>
      <c r="DW143" s="99"/>
      <c r="DX143" s="99"/>
      <c r="DY143" s="99"/>
      <c r="DZ143" s="99"/>
      <c r="EA143" s="99"/>
      <c r="EB143" s="99"/>
      <c r="EC143" s="99"/>
      <c r="ED143" s="261"/>
    </row>
    <row r="144">
      <c r="A144" s="426" t="s">
        <v>5983</v>
      </c>
      <c r="B144" s="104" t="s">
        <v>5984</v>
      </c>
      <c r="C144" s="105" t="s">
        <v>1256</v>
      </c>
      <c r="D144" s="106" t="s">
        <v>1256</v>
      </c>
      <c r="E144" s="107" t="s">
        <v>1256</v>
      </c>
      <c r="F144" s="108" t="s">
        <v>1256</v>
      </c>
      <c r="G144" s="104" t="s">
        <v>2649</v>
      </c>
      <c r="H144" s="324" t="s">
        <v>5985</v>
      </c>
      <c r="I144" s="324" t="s">
        <v>5986</v>
      </c>
      <c r="J144" s="324" t="s">
        <v>5987</v>
      </c>
      <c r="K144" s="324" t="s">
        <v>1952</v>
      </c>
      <c r="L144" s="521" t="s">
        <v>3682</v>
      </c>
      <c r="M144" s="324" t="s">
        <v>5988</v>
      </c>
      <c r="N144" s="324" t="s">
        <v>5989</v>
      </c>
      <c r="O144" s="324" t="s">
        <v>1657</v>
      </c>
      <c r="P144" s="324" t="s">
        <v>251</v>
      </c>
      <c r="Q144" s="643"/>
      <c r="R144" s="643"/>
      <c r="S144" s="644">
        <v>37.85</v>
      </c>
      <c r="T144" s="643"/>
      <c r="U144" s="167" t="s">
        <v>1839</v>
      </c>
      <c r="V144" s="644" t="s">
        <v>5990</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5790</v>
      </c>
      <c r="AV144" s="588" t="s">
        <v>5972</v>
      </c>
      <c r="AW144" s="588" t="s">
        <v>481</v>
      </c>
      <c r="AX144" s="651"/>
      <c r="AY144" s="651"/>
      <c r="AZ144" s="651"/>
      <c r="BA144" s="651"/>
      <c r="BB144" s="653"/>
      <c r="BC144" s="653"/>
      <c r="BD144" s="353" t="s">
        <v>1650</v>
      </c>
      <c r="BE144" s="201" t="s">
        <v>372</v>
      </c>
      <c r="BF144" s="653"/>
      <c r="BG144" s="653"/>
      <c r="BH144" s="654"/>
      <c r="BI144" s="201" t="s">
        <v>3067</v>
      </c>
      <c r="BJ144" s="654"/>
      <c r="BK144" s="353" t="s">
        <v>5991</v>
      </c>
      <c r="BL144" s="201" t="s">
        <v>3777</v>
      </c>
      <c r="BM144" s="654"/>
      <c r="BN144" s="655">
        <v>35.32</v>
      </c>
      <c r="BO144" s="653"/>
      <c r="BP144" s="654"/>
      <c r="BQ144" s="656"/>
      <c r="BR144" s="657"/>
      <c r="BS144" s="657"/>
      <c r="BT144" s="345" t="s">
        <v>2776</v>
      </c>
      <c r="BU144" s="345" t="s">
        <v>5992</v>
      </c>
      <c r="BV144" s="657"/>
      <c r="BW144" s="345" t="s">
        <v>3116</v>
      </c>
      <c r="BX144" s="658"/>
      <c r="BY144" s="657"/>
      <c r="BZ144" s="657"/>
      <c r="CA144" s="131" t="s">
        <v>5515</v>
      </c>
      <c r="CB144" s="659" t="s">
        <v>5993</v>
      </c>
      <c r="CC144" s="658"/>
      <c r="CD144" s="659">
        <v>37.19</v>
      </c>
      <c r="CE144" s="659" t="s">
        <v>5994</v>
      </c>
      <c r="CF144" s="660"/>
      <c r="CG144" s="661"/>
      <c r="CH144" s="661"/>
      <c r="CI144" s="661"/>
      <c r="CJ144" s="661"/>
      <c r="CK144" s="661"/>
      <c r="CL144" s="661"/>
      <c r="CM144" s="338" t="s">
        <v>5995</v>
      </c>
      <c r="CN144" s="338" t="s">
        <v>912</v>
      </c>
      <c r="CO144" s="661"/>
      <c r="CP144" s="662"/>
      <c r="CQ144" s="663"/>
      <c r="CR144" s="663"/>
      <c r="CS144" s="664">
        <v>52.7</v>
      </c>
      <c r="CT144" s="663"/>
      <c r="CU144" s="645"/>
      <c r="CV144" s="665"/>
      <c r="CW144" s="284" t="s">
        <v>3306</v>
      </c>
      <c r="CX144" s="285" t="s">
        <v>2989</v>
      </c>
      <c r="CY144" s="665"/>
      <c r="CZ144" s="665"/>
      <c r="DA144" s="284" t="s">
        <v>2367</v>
      </c>
      <c r="DB144" s="666" t="s">
        <v>5996</v>
      </c>
      <c r="DC144" s="665"/>
      <c r="DD144" s="667"/>
      <c r="DE144" s="667"/>
      <c r="DF144" s="667"/>
      <c r="DG144" s="667"/>
      <c r="DH144" s="668"/>
      <c r="DI144" s="669"/>
      <c r="DJ144" s="670"/>
      <c r="DK144" s="670"/>
      <c r="DL144" s="669"/>
      <c r="DM144" s="669"/>
      <c r="DN144" s="287" t="s">
        <v>3914</v>
      </c>
      <c r="DO144" s="670"/>
      <c r="DP144" s="670"/>
      <c r="DQ144" s="670"/>
      <c r="DR144" s="287" t="s">
        <v>5997</v>
      </c>
      <c r="DS144" s="287" t="s">
        <v>4536</v>
      </c>
      <c r="DT144" s="670"/>
      <c r="DU144" s="669"/>
      <c r="DV144" s="670"/>
      <c r="DW144" s="670"/>
      <c r="DX144" s="670"/>
      <c r="DY144" s="670"/>
      <c r="DZ144" s="670"/>
      <c r="EA144" s="669"/>
      <c r="EB144" s="670"/>
      <c r="EC144" s="670"/>
      <c r="ED144" s="671"/>
    </row>
    <row r="145">
      <c r="A145" s="610" t="s">
        <v>5998</v>
      </c>
      <c r="B145" s="82" t="s">
        <v>5999</v>
      </c>
      <c r="C145" s="83" t="s">
        <v>1256</v>
      </c>
      <c r="D145" s="84" t="s">
        <v>1256</v>
      </c>
      <c r="E145" s="85" t="s">
        <v>1256</v>
      </c>
      <c r="F145" s="86" t="s">
        <v>1256</v>
      </c>
      <c r="G145" s="82" t="s">
        <v>5863</v>
      </c>
      <c r="H145" s="94" t="s">
        <v>1921</v>
      </c>
      <c r="I145" s="94" t="s">
        <v>3712</v>
      </c>
      <c r="J145" s="94" t="s">
        <v>572</v>
      </c>
      <c r="K145" s="94" t="s">
        <v>2656</v>
      </c>
      <c r="L145" s="94" t="s">
        <v>4112</v>
      </c>
      <c r="M145" s="94" t="s">
        <v>6000</v>
      </c>
      <c r="N145" s="94" t="s">
        <v>6001</v>
      </c>
      <c r="O145" s="94" t="s">
        <v>444</v>
      </c>
      <c r="P145" s="94" t="s">
        <v>3952</v>
      </c>
      <c r="Q145" s="99"/>
      <c r="R145" s="99"/>
      <c r="S145" s="99"/>
      <c r="T145" s="99"/>
      <c r="U145" s="99"/>
      <c r="V145" s="99"/>
      <c r="W145" s="92"/>
      <c r="X145" s="94" t="s">
        <v>5006</v>
      </c>
      <c r="Y145" s="94"/>
      <c r="Z145" s="94" t="s">
        <v>4245</v>
      </c>
      <c r="AA145" s="94" t="s">
        <v>5581</v>
      </c>
      <c r="AB145" s="94" t="s">
        <v>784</v>
      </c>
      <c r="AC145" s="94" t="s">
        <v>4328</v>
      </c>
      <c r="AD145" s="94" t="s">
        <v>1643</v>
      </c>
      <c r="AE145" s="99"/>
      <c r="AF145" s="99"/>
      <c r="AG145" s="94" t="s">
        <v>6002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6003</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5027</v>
      </c>
      <c r="BU145" s="94" t="s">
        <v>213</v>
      </c>
      <c r="BV145" s="99"/>
      <c r="BW145" s="94" t="s">
        <v>6004</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5084</v>
      </c>
      <c r="CX145" s="99"/>
      <c r="CY145" s="99"/>
      <c r="CZ145" s="99"/>
      <c r="DA145" s="99"/>
      <c r="DB145" s="94" t="s">
        <v>6005</v>
      </c>
      <c r="DC145" s="99"/>
      <c r="DD145" s="99"/>
      <c r="DE145" s="99"/>
      <c r="DF145" s="94" t="s">
        <v>2144</v>
      </c>
      <c r="DG145" s="99"/>
      <c r="DH145" s="236"/>
      <c r="DI145" s="99"/>
      <c r="DJ145" s="99"/>
      <c r="DK145" s="99"/>
      <c r="DL145" s="99"/>
      <c r="DM145" s="94" t="s">
        <v>6006</v>
      </c>
      <c r="DN145" s="99"/>
      <c r="DO145" s="99"/>
      <c r="DP145" s="99"/>
      <c r="DQ145" s="99"/>
      <c r="DR145" s="99"/>
      <c r="DS145" s="99"/>
      <c r="DT145" s="99"/>
      <c r="DU145" s="99"/>
      <c r="DV145" s="99"/>
      <c r="DW145" s="99"/>
      <c r="DX145" s="99"/>
      <c r="DY145" s="99"/>
      <c r="DZ145" s="99"/>
      <c r="EA145" s="94" t="s">
        <v>3880</v>
      </c>
      <c r="EB145" s="99"/>
      <c r="EC145" s="99"/>
      <c r="ED145" s="261"/>
    </row>
    <row r="146">
      <c r="A146" s="166" t="s">
        <v>6007</v>
      </c>
      <c r="B146" s="104" t="s">
        <v>6008</v>
      </c>
      <c r="C146" s="105" t="s">
        <v>1256</v>
      </c>
      <c r="D146" s="106" t="s">
        <v>1256</v>
      </c>
      <c r="E146" s="107" t="s">
        <v>1256</v>
      </c>
      <c r="F146" s="108" t="s">
        <v>333</v>
      </c>
      <c r="G146" s="104" t="s">
        <v>221</v>
      </c>
      <c r="H146" s="243"/>
      <c r="I146" s="243"/>
      <c r="J146" s="243"/>
      <c r="K146" s="243"/>
      <c r="L146" s="112" t="s">
        <v>6009</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6010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6011</v>
      </c>
      <c r="CD146" s="129" t="s">
        <v>626</v>
      </c>
      <c r="CE146" s="253"/>
      <c r="CF146" s="254"/>
      <c r="CG146" s="256"/>
      <c r="CH146" s="135" t="s">
        <v>5817</v>
      </c>
      <c r="CI146" s="177" t="s">
        <v>6012</v>
      </c>
      <c r="CJ146" s="256"/>
      <c r="CK146" s="256"/>
      <c r="CL146" s="256"/>
      <c r="CM146" s="256"/>
      <c r="CN146" s="256"/>
      <c r="CO146" s="256"/>
      <c r="CP146" s="256"/>
      <c r="CQ146" s="256"/>
      <c r="CR146" s="256"/>
      <c r="CS146" s="256"/>
      <c r="CT146" s="135" t="s">
        <v>6013</v>
      </c>
      <c r="CU146" s="92"/>
      <c r="CV146" s="257"/>
      <c r="CW146" s="257"/>
      <c r="CX146" s="257"/>
      <c r="CY146" s="257"/>
      <c r="CZ146" s="257"/>
      <c r="DA146" s="257"/>
      <c r="DB146" s="140" t="s">
        <v>6014</v>
      </c>
      <c r="DC146" s="257"/>
      <c r="DD146" s="257"/>
      <c r="DE146" s="257"/>
      <c r="DF146" s="257"/>
      <c r="DG146" s="140" t="s">
        <v>6015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6016</v>
      </c>
      <c r="B147" s="82" t="s">
        <v>6017</v>
      </c>
      <c r="C147" s="83" t="s">
        <v>1256</v>
      </c>
      <c r="D147" s="84" t="s">
        <v>1256</v>
      </c>
      <c r="E147" s="85" t="s">
        <v>1256</v>
      </c>
      <c r="F147" s="86" t="s">
        <v>437</v>
      </c>
      <c r="G147" s="82" t="s">
        <v>220</v>
      </c>
      <c r="H147" s="673"/>
      <c r="I147" s="94" t="s">
        <v>5720</v>
      </c>
      <c r="J147" s="94" t="s">
        <v>6018</v>
      </c>
      <c r="K147" s="94" t="s">
        <v>5912</v>
      </c>
      <c r="L147" s="94" t="s">
        <v>2956</v>
      </c>
      <c r="M147" s="99"/>
      <c r="N147" s="99"/>
      <c r="O147" s="99"/>
      <c r="P147" s="88" t="s">
        <v>6019</v>
      </c>
      <c r="Q147" s="99"/>
      <c r="R147" s="99"/>
      <c r="S147" s="99"/>
      <c r="T147" s="99"/>
      <c r="U147" s="99"/>
      <c r="V147" s="99"/>
      <c r="W147" s="92"/>
      <c r="X147" s="94" t="s">
        <v>6020</v>
      </c>
      <c r="Y147" s="93"/>
      <c r="Z147" s="88" t="s">
        <v>363</v>
      </c>
      <c r="AA147" s="267" t="s">
        <v>6021</v>
      </c>
      <c r="AB147" s="94" t="s">
        <v>6022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5869</v>
      </c>
      <c r="AW147" s="99"/>
      <c r="AX147" s="99"/>
      <c r="AY147" s="99"/>
      <c r="AZ147" s="99"/>
      <c r="BA147" s="99"/>
      <c r="BB147" s="94" t="s">
        <v>6023</v>
      </c>
      <c r="BC147" s="94" t="s">
        <v>1534</v>
      </c>
      <c r="BD147" s="99"/>
      <c r="BE147" s="99"/>
      <c r="BF147" s="99"/>
      <c r="BG147" s="99"/>
      <c r="BH147" s="99"/>
      <c r="BI147" s="99"/>
      <c r="BJ147" s="99"/>
      <c r="BK147" s="99"/>
      <c r="BL147" s="99"/>
      <c r="BM147" s="99"/>
      <c r="BN147" s="99"/>
      <c r="BO147" s="99"/>
      <c r="BP147" s="99"/>
      <c r="BQ147" s="236"/>
      <c r="BR147" s="94" t="s">
        <v>6024</v>
      </c>
      <c r="BS147" s="94" t="s">
        <v>6025</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5942</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6026</v>
      </c>
      <c r="B148" s="104" t="s">
        <v>6027</v>
      </c>
      <c r="C148" s="105" t="s">
        <v>1256</v>
      </c>
      <c r="D148" s="106" t="s">
        <v>1256</v>
      </c>
      <c r="E148" s="107" t="s">
        <v>1256</v>
      </c>
      <c r="F148" s="108" t="s">
        <v>2872</v>
      </c>
      <c r="G148" s="104" t="s">
        <v>2872</v>
      </c>
      <c r="H148" s="243"/>
      <c r="I148" s="243"/>
      <c r="J148" s="243"/>
      <c r="K148" s="243"/>
      <c r="L148" s="243"/>
      <c r="M148" s="243"/>
      <c r="N148" s="243"/>
      <c r="O148" s="112" t="s">
        <v>6028</v>
      </c>
      <c r="P148" s="112" t="s">
        <v>5460</v>
      </c>
      <c r="Q148" s="243"/>
      <c r="R148" s="243"/>
      <c r="S148" s="243"/>
      <c r="T148" s="243"/>
      <c r="U148" s="243"/>
      <c r="V148" s="243"/>
      <c r="W148" s="92"/>
      <c r="X148" s="246"/>
      <c r="Y148" s="246"/>
      <c r="Z148" s="246"/>
      <c r="AA148" s="116" t="s">
        <v>1857</v>
      </c>
      <c r="AB148" s="271"/>
      <c r="AC148" s="116" t="s">
        <v>5353</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6029</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6030</v>
      </c>
      <c r="CB148" s="253"/>
      <c r="CC148" s="253"/>
      <c r="CD148" s="253"/>
      <c r="CE148" s="253"/>
      <c r="CF148" s="254"/>
      <c r="CG148" s="256"/>
      <c r="CH148" s="256"/>
      <c r="CI148" s="256"/>
      <c r="CJ148" s="135" t="s">
        <v>6031</v>
      </c>
      <c r="CK148" s="264"/>
      <c r="CL148" s="135" t="s">
        <v>6032</v>
      </c>
      <c r="CM148" s="256"/>
      <c r="CN148" s="256"/>
      <c r="CO148" s="135" t="s">
        <v>3615</v>
      </c>
      <c r="CP148" s="256"/>
      <c r="CQ148" s="256"/>
      <c r="CR148" s="256"/>
      <c r="CS148" s="256"/>
      <c r="CT148" s="256"/>
      <c r="CU148" s="92"/>
      <c r="CV148" s="140" t="s">
        <v>3237</v>
      </c>
      <c r="CW148" s="140" t="s">
        <v>5709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6033</v>
      </c>
      <c r="B149" s="82" t="s">
        <v>6034</v>
      </c>
      <c r="C149" s="83" t="s">
        <v>1256</v>
      </c>
      <c r="D149" s="84" t="s">
        <v>1256</v>
      </c>
      <c r="E149" s="85" t="s">
        <v>1256</v>
      </c>
      <c r="F149" s="86" t="s">
        <v>1256</v>
      </c>
      <c r="G149" s="82" t="s">
        <v>6035</v>
      </c>
      <c r="H149" s="94" t="s">
        <v>3929</v>
      </c>
      <c r="I149" s="94" t="s">
        <v>4077</v>
      </c>
      <c r="J149" s="94" t="s">
        <v>677</v>
      </c>
      <c r="K149" s="94" t="s">
        <v>6021</v>
      </c>
      <c r="L149" s="94" t="s">
        <v>6036</v>
      </c>
      <c r="M149" s="94" t="s">
        <v>6037</v>
      </c>
      <c r="N149" s="94" t="s">
        <v>6038</v>
      </c>
      <c r="O149" s="94" t="s">
        <v>3134</v>
      </c>
      <c r="P149" s="94" t="s">
        <v>4155</v>
      </c>
      <c r="Q149" s="94" t="s">
        <v>6039</v>
      </c>
      <c r="R149" s="99"/>
      <c r="S149" s="94" t="s">
        <v>972</v>
      </c>
      <c r="T149" s="99"/>
      <c r="U149" s="94" t="s">
        <v>6040</v>
      </c>
      <c r="V149" s="94" t="s">
        <v>6041</v>
      </c>
      <c r="W149" s="92"/>
      <c r="X149" s="94" t="s">
        <v>6042</v>
      </c>
      <c r="Y149" s="94"/>
      <c r="Z149" s="94" t="s">
        <v>2086</v>
      </c>
      <c r="AA149" s="94" t="s">
        <v>3635</v>
      </c>
      <c r="AB149" s="94" t="s">
        <v>3682</v>
      </c>
      <c r="AC149" s="94" t="s">
        <v>5966</v>
      </c>
      <c r="AD149" s="94" t="s">
        <v>6043</v>
      </c>
      <c r="AE149" s="94"/>
      <c r="AF149" s="94" t="s">
        <v>6044</v>
      </c>
      <c r="AG149" s="94" t="s">
        <v>6045</v>
      </c>
      <c r="AH149" s="94" t="s">
        <v>6046</v>
      </c>
      <c r="AI149" s="99"/>
      <c r="AJ149" s="94" t="s">
        <v>4708</v>
      </c>
      <c r="AK149" s="94" t="s">
        <v>6047</v>
      </c>
      <c r="AL149" s="97"/>
      <c r="AM149" s="94" t="s">
        <v>6048</v>
      </c>
      <c r="AN149" s="94" t="s">
        <v>5019</v>
      </c>
      <c r="AO149" s="94" t="s">
        <v>6049</v>
      </c>
      <c r="AP149" s="94" t="s">
        <v>2057</v>
      </c>
      <c r="AQ149" s="94" t="s">
        <v>6050</v>
      </c>
      <c r="AR149" s="94" t="s">
        <v>6051</v>
      </c>
      <c r="AS149" s="94" t="s">
        <v>6052</v>
      </c>
      <c r="AT149" s="94" t="s">
        <v>6053</v>
      </c>
      <c r="AU149" s="94" t="s">
        <v>600</v>
      </c>
      <c r="AV149" s="94" t="s">
        <v>1582</v>
      </c>
      <c r="AW149" s="94" t="s">
        <v>6054</v>
      </c>
      <c r="AX149" s="99"/>
      <c r="AY149" s="94" t="s">
        <v>6055</v>
      </c>
      <c r="AZ149" s="94" t="s">
        <v>6056</v>
      </c>
      <c r="BA149" s="99"/>
      <c r="BB149" s="94" t="s">
        <v>6057</v>
      </c>
      <c r="BC149" s="94" t="s">
        <v>6058</v>
      </c>
      <c r="BD149" s="94" t="s">
        <v>3179</v>
      </c>
      <c r="BE149" s="94" t="s">
        <v>3761</v>
      </c>
      <c r="BF149" s="94" t="s">
        <v>6059</v>
      </c>
      <c r="BG149" s="94" t="s">
        <v>6060</v>
      </c>
      <c r="BH149" s="94" t="s">
        <v>6061</v>
      </c>
      <c r="BI149" s="94" t="s">
        <v>6062</v>
      </c>
      <c r="BJ149" s="99"/>
      <c r="BK149" s="99"/>
      <c r="BL149" s="94" t="s">
        <v>456</v>
      </c>
      <c r="BM149" s="94" t="s">
        <v>6063</v>
      </c>
      <c r="BN149" s="94" t="s">
        <v>4276</v>
      </c>
      <c r="BO149" s="94" t="s">
        <v>560</v>
      </c>
      <c r="BP149" s="94" t="s">
        <v>6064</v>
      </c>
      <c r="BQ149" s="236"/>
      <c r="BR149" s="94" t="s">
        <v>6065</v>
      </c>
      <c r="BS149" s="94" t="s">
        <v>1156</v>
      </c>
      <c r="BT149" s="94" t="s">
        <v>949</v>
      </c>
      <c r="BU149" s="94" t="s">
        <v>2355</v>
      </c>
      <c r="BV149" s="94" t="s">
        <v>6066</v>
      </c>
      <c r="BW149" s="94" t="s">
        <v>6067</v>
      </c>
      <c r="BX149" s="94" t="s">
        <v>1583</v>
      </c>
      <c r="BY149" s="94" t="s">
        <v>1248</v>
      </c>
      <c r="BZ149" s="99"/>
      <c r="CA149" s="94" t="s">
        <v>6068</v>
      </c>
      <c r="CB149" s="94" t="s">
        <v>6069</v>
      </c>
      <c r="CC149" s="94" t="s">
        <v>452</v>
      </c>
      <c r="CD149" s="94" t="s">
        <v>181</v>
      </c>
      <c r="CE149" s="94" t="s">
        <v>6070</v>
      </c>
      <c r="CF149" s="236"/>
      <c r="CG149" s="94" t="s">
        <v>6071</v>
      </c>
      <c r="CH149" s="94" t="s">
        <v>1447</v>
      </c>
      <c r="CI149" s="94" t="s">
        <v>488</v>
      </c>
      <c r="CJ149" s="94" t="s">
        <v>6072</v>
      </c>
      <c r="CK149" s="94"/>
      <c r="CL149" s="94" t="s">
        <v>5032</v>
      </c>
      <c r="CM149" s="94" t="s">
        <v>6073</v>
      </c>
      <c r="CN149" s="94" t="s">
        <v>3808</v>
      </c>
      <c r="CO149" s="94" t="s">
        <v>2121</v>
      </c>
      <c r="CP149" s="94" t="s">
        <v>6074</v>
      </c>
      <c r="CQ149" s="94" t="s">
        <v>6075</v>
      </c>
      <c r="CR149" s="99"/>
      <c r="CS149" s="94" t="s">
        <v>5459</v>
      </c>
      <c r="CT149" s="94" t="s">
        <v>6076</v>
      </c>
      <c r="CU149" s="92"/>
      <c r="CV149" s="94" t="s">
        <v>2899</v>
      </c>
      <c r="CW149" s="94" t="s">
        <v>6077</v>
      </c>
      <c r="CX149" s="94" t="s">
        <v>2442</v>
      </c>
      <c r="CY149" s="94" t="s">
        <v>6078</v>
      </c>
      <c r="CZ149" s="94" t="s">
        <v>1430</v>
      </c>
      <c r="DA149" s="94" t="s">
        <v>4211</v>
      </c>
      <c r="DB149" s="94" t="s">
        <v>6079</v>
      </c>
      <c r="DC149" s="94" t="s">
        <v>6080</v>
      </c>
      <c r="DD149" s="94" t="s">
        <v>6081</v>
      </c>
      <c r="DE149" s="94" t="s">
        <v>4173</v>
      </c>
      <c r="DF149" s="94" t="s">
        <v>1822</v>
      </c>
      <c r="DG149" s="94" t="s">
        <v>6082</v>
      </c>
      <c r="DH149" s="236"/>
      <c r="DI149" s="94" t="s">
        <v>4041</v>
      </c>
      <c r="DJ149" s="99"/>
      <c r="DK149" s="94" t="s">
        <v>2797</v>
      </c>
      <c r="DL149" s="94" t="s">
        <v>2112</v>
      </c>
      <c r="DM149" s="94" t="s">
        <v>3697</v>
      </c>
      <c r="DN149" s="94" t="s">
        <v>2417</v>
      </c>
      <c r="DO149" s="94" t="s">
        <v>4127</v>
      </c>
      <c r="DP149" s="94" t="s">
        <v>6083</v>
      </c>
      <c r="DQ149" s="94" t="s">
        <v>179</v>
      </c>
      <c r="DR149" s="94" t="s">
        <v>6084</v>
      </c>
      <c r="DS149" s="94" t="s">
        <v>3135</v>
      </c>
      <c r="DT149" s="94" t="s">
        <v>4826</v>
      </c>
      <c r="DU149" s="94" t="s">
        <v>6085</v>
      </c>
      <c r="DV149" s="94" t="s">
        <v>6086</v>
      </c>
      <c r="DW149" s="94" t="s">
        <v>1120</v>
      </c>
      <c r="DX149" s="94" t="s">
        <v>3882</v>
      </c>
      <c r="DY149" s="94" t="s">
        <v>6087</v>
      </c>
      <c r="DZ149" s="94" t="s">
        <v>4453</v>
      </c>
      <c r="EA149" s="94" t="s">
        <v>2582</v>
      </c>
      <c r="EB149" s="94" t="s">
        <v>5014</v>
      </c>
      <c r="EC149" s="94" t="s">
        <v>2319</v>
      </c>
      <c r="ED149" s="575" t="s">
        <v>4432</v>
      </c>
    </row>
    <row r="150">
      <c r="A150" s="675" t="s">
        <v>6088</v>
      </c>
      <c r="B150" s="104" t="s">
        <v>6089</v>
      </c>
      <c r="C150" s="105" t="s">
        <v>1256</v>
      </c>
      <c r="D150" s="106" t="s">
        <v>546</v>
      </c>
      <c r="E150" s="107" t="s">
        <v>1256</v>
      </c>
      <c r="F150" s="108" t="s">
        <v>982</v>
      </c>
      <c r="G150" s="104" t="s">
        <v>1058</v>
      </c>
      <c r="H150" s="243"/>
      <c r="I150" s="167" t="s">
        <v>6090</v>
      </c>
      <c r="J150" s="167" t="s">
        <v>4349</v>
      </c>
      <c r="K150" s="112" t="s">
        <v>662</v>
      </c>
      <c r="L150" s="112" t="s">
        <v>6091</v>
      </c>
      <c r="M150" s="243"/>
      <c r="N150" s="243"/>
      <c r="O150" s="112" t="s">
        <v>559</v>
      </c>
      <c r="P150" s="112" t="s">
        <v>240</v>
      </c>
      <c r="Q150" s="243"/>
      <c r="R150" s="243"/>
      <c r="S150" s="243"/>
      <c r="T150" s="243"/>
      <c r="U150" s="243"/>
      <c r="V150" s="243"/>
      <c r="W150" s="92"/>
      <c r="X150" s="246"/>
      <c r="Y150" s="246"/>
      <c r="Z150" s="246"/>
      <c r="AA150" s="116" t="s">
        <v>5270</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4829</v>
      </c>
      <c r="BX150" s="253"/>
      <c r="BY150" s="253"/>
      <c r="BZ150" s="253"/>
      <c r="CA150" s="253"/>
      <c r="CB150" s="253"/>
      <c r="CC150" s="253"/>
      <c r="CD150" s="253"/>
      <c r="CE150" s="253"/>
      <c r="CF150" s="254"/>
      <c r="CG150" s="256"/>
      <c r="CH150" s="135" t="s">
        <v>6092</v>
      </c>
      <c r="CI150" s="256"/>
      <c r="CJ150" s="264" t="s">
        <v>3891</v>
      </c>
      <c r="CK150" s="264"/>
      <c r="CL150" s="264"/>
      <c r="CM150" s="256"/>
      <c r="CN150" s="256"/>
      <c r="CO150" s="177" t="s">
        <v>844</v>
      </c>
      <c r="CP150" s="256"/>
      <c r="CQ150" s="256"/>
      <c r="CR150" s="256"/>
      <c r="CS150" s="256"/>
      <c r="CT150" s="256"/>
      <c r="CU150" s="92"/>
      <c r="CV150" s="204" t="s">
        <v>6093</v>
      </c>
      <c r="CW150" s="257"/>
      <c r="CX150" s="140" t="s">
        <v>6094</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6095</v>
      </c>
      <c r="DT150" s="259"/>
      <c r="DU150" s="259"/>
      <c r="DV150" s="259"/>
      <c r="DW150" s="259"/>
      <c r="DX150" s="259"/>
      <c r="DY150" s="259"/>
      <c r="DZ150" s="259"/>
      <c r="EA150" s="259"/>
      <c r="EB150" s="259"/>
      <c r="EC150" s="259"/>
      <c r="ED150" s="676" t="s">
        <v>6096</v>
      </c>
    </row>
    <row r="151">
      <c r="A151" s="674" t="s">
        <v>6097</v>
      </c>
      <c r="B151" s="82" t="s">
        <v>6098</v>
      </c>
      <c r="C151" s="83" t="s">
        <v>1256</v>
      </c>
      <c r="D151" s="84" t="s">
        <v>1256</v>
      </c>
      <c r="E151" s="85" t="s">
        <v>1256</v>
      </c>
      <c r="F151" s="86" t="s">
        <v>222</v>
      </c>
      <c r="G151" s="82" t="s">
        <v>5863</v>
      </c>
      <c r="H151" s="93"/>
      <c r="I151" s="98" t="s">
        <v>6099</v>
      </c>
      <c r="J151" s="88" t="s">
        <v>4729</v>
      </c>
      <c r="K151" s="88" t="s">
        <v>6100</v>
      </c>
      <c r="L151" s="88" t="s">
        <v>2099</v>
      </c>
      <c r="M151" s="102"/>
      <c r="N151" s="88" t="s">
        <v>712</v>
      </c>
      <c r="O151" s="267" t="s">
        <v>6101</v>
      </c>
      <c r="P151" s="88" t="s">
        <v>1865</v>
      </c>
      <c r="Q151" s="99"/>
      <c r="R151" s="99"/>
      <c r="S151" s="99"/>
      <c r="T151" s="99"/>
      <c r="U151" s="99"/>
      <c r="V151" s="99"/>
      <c r="W151" s="92"/>
      <c r="X151" s="88" t="s">
        <v>5562</v>
      </c>
      <c r="Y151" s="102"/>
      <c r="Z151" s="102" t="s">
        <v>6102</v>
      </c>
      <c r="AA151" s="102" t="s">
        <v>6103</v>
      </c>
      <c r="AB151" s="267" t="s">
        <v>2874</v>
      </c>
      <c r="AC151" s="102"/>
      <c r="AD151" s="102" t="s">
        <v>6104</v>
      </c>
      <c r="AE151" s="99"/>
      <c r="AF151" s="102"/>
      <c r="AG151" s="102"/>
      <c r="AH151" s="99"/>
      <c r="AI151" s="99"/>
      <c r="AJ151" s="102"/>
      <c r="AK151" s="99"/>
      <c r="AL151" s="97"/>
      <c r="AM151" s="102"/>
      <c r="AN151" s="102"/>
      <c r="AO151" s="99"/>
      <c r="AP151" s="99"/>
      <c r="AQ151" s="94"/>
      <c r="AR151" s="94"/>
      <c r="AS151" s="99"/>
      <c r="AT151" s="99"/>
      <c r="AU151" s="88" t="s">
        <v>1188</v>
      </c>
      <c r="AV151" s="88" t="s">
        <v>6105</v>
      </c>
      <c r="AW151" s="102"/>
      <c r="AX151" s="99"/>
      <c r="AY151" s="99"/>
      <c r="AZ151" s="99"/>
      <c r="BA151" s="99"/>
      <c r="BB151" s="88" t="s">
        <v>6106</v>
      </c>
      <c r="BC151" s="267" t="s">
        <v>6107</v>
      </c>
      <c r="BD151" s="102"/>
      <c r="BE151" s="88" t="s">
        <v>1538</v>
      </c>
      <c r="BF151" s="88" t="s">
        <v>4563</v>
      </c>
      <c r="BG151" s="102"/>
      <c r="BH151" s="99"/>
      <c r="BI151" s="88" t="s">
        <v>3056</v>
      </c>
      <c r="BJ151" s="267" t="s">
        <v>6108</v>
      </c>
      <c r="BK151" s="102"/>
      <c r="BL151" s="102"/>
      <c r="BM151" s="99"/>
      <c r="BN151" s="99"/>
      <c r="BO151" s="102"/>
      <c r="BP151" s="99"/>
      <c r="BQ151" s="236"/>
      <c r="BR151" s="102" t="s">
        <v>2507</v>
      </c>
      <c r="BS151" s="102" t="s">
        <v>6109</v>
      </c>
      <c r="BT151" s="102"/>
      <c r="BU151" s="102" t="s">
        <v>3108</v>
      </c>
      <c r="BV151" s="102" t="s">
        <v>6110</v>
      </c>
      <c r="BW151" s="102"/>
      <c r="BX151" s="99"/>
      <c r="BY151" s="102"/>
      <c r="BZ151" s="102"/>
      <c r="CA151" s="102"/>
      <c r="CB151" s="99"/>
      <c r="CC151" s="99"/>
      <c r="CD151" s="99"/>
      <c r="CE151" s="99"/>
      <c r="CF151" s="236"/>
      <c r="CG151" s="102" t="s">
        <v>6111</v>
      </c>
      <c r="CH151" s="102" t="s">
        <v>1934</v>
      </c>
      <c r="CI151" s="102" t="s">
        <v>3501</v>
      </c>
      <c r="CJ151" s="102" t="s">
        <v>6112</v>
      </c>
      <c r="CK151" s="102"/>
      <c r="CL151" s="102"/>
      <c r="CM151" s="102" t="s">
        <v>6113</v>
      </c>
      <c r="CN151" s="88" t="s">
        <v>2653</v>
      </c>
      <c r="CO151" s="102"/>
      <c r="CP151" s="222"/>
      <c r="CQ151" s="99"/>
      <c r="CR151" s="99"/>
      <c r="CS151" s="99"/>
      <c r="CT151" s="99"/>
      <c r="CU151" s="92"/>
      <c r="CV151" s="88" t="s">
        <v>5233</v>
      </c>
      <c r="CW151" s="102"/>
      <c r="CX151" s="267" t="s">
        <v>6114</v>
      </c>
      <c r="CY151" s="102"/>
      <c r="CZ151" s="88" t="s">
        <v>6115</v>
      </c>
      <c r="DA151" s="102"/>
      <c r="DB151" s="88" t="s">
        <v>6116</v>
      </c>
      <c r="DC151" s="102"/>
      <c r="DD151" s="99"/>
      <c r="DE151" s="99"/>
      <c r="DF151" s="99"/>
      <c r="DG151" s="99"/>
      <c r="DH151" s="236"/>
      <c r="DI151" s="102"/>
      <c r="DJ151" s="99"/>
      <c r="DK151" s="99"/>
      <c r="DL151" s="102"/>
      <c r="DM151" s="102"/>
      <c r="DN151" s="102"/>
      <c r="DO151" s="99"/>
      <c r="DP151" s="99"/>
      <c r="DQ151" s="99"/>
      <c r="DR151" s="102" t="s">
        <v>6117</v>
      </c>
      <c r="DS151" s="102"/>
      <c r="DT151" s="99"/>
      <c r="DU151" s="102"/>
      <c r="DV151" s="99"/>
      <c r="DW151" s="99"/>
      <c r="DX151" s="99"/>
      <c r="DY151" s="99"/>
      <c r="DZ151" s="99"/>
      <c r="EA151" s="102"/>
      <c r="EB151" s="99"/>
      <c r="EC151" s="99"/>
      <c r="ED151" s="261"/>
    </row>
    <row r="152">
      <c r="A152" s="166" t="s">
        <v>6118</v>
      </c>
      <c r="B152" s="104" t="s">
        <v>6119</v>
      </c>
      <c r="C152" s="105" t="s">
        <v>1256</v>
      </c>
      <c r="D152" s="106" t="s">
        <v>1256</v>
      </c>
      <c r="E152" s="107" t="s">
        <v>1256</v>
      </c>
      <c r="F152" s="108" t="s">
        <v>546</v>
      </c>
      <c r="G152" s="104" t="s">
        <v>1196</v>
      </c>
      <c r="H152" s="243"/>
      <c r="I152" s="243"/>
      <c r="J152" s="167" t="s">
        <v>6120</v>
      </c>
      <c r="K152" s="167" t="s">
        <v>662</v>
      </c>
      <c r="L152" s="167" t="s">
        <v>6121</v>
      </c>
      <c r="M152" s="243"/>
      <c r="N152" s="167" t="s">
        <v>2599</v>
      </c>
      <c r="O152" s="167" t="s">
        <v>6122</v>
      </c>
      <c r="P152" s="243"/>
      <c r="Q152" s="243"/>
      <c r="R152" s="243"/>
      <c r="S152" s="243"/>
      <c r="T152" s="243"/>
      <c r="U152" s="243"/>
      <c r="V152" s="243"/>
      <c r="W152" s="92"/>
      <c r="X152" s="246"/>
      <c r="Y152" s="246"/>
      <c r="Z152" s="246"/>
      <c r="AA152" s="198" t="s">
        <v>6123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6124</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6125</v>
      </c>
      <c r="B153" s="82" t="s">
        <v>6126</v>
      </c>
      <c r="C153" s="83" t="s">
        <v>1256</v>
      </c>
      <c r="D153" s="84" t="s">
        <v>1256</v>
      </c>
      <c r="E153" s="85" t="s">
        <v>1256</v>
      </c>
      <c r="F153" s="86" t="s">
        <v>332</v>
      </c>
      <c r="G153" s="82" t="s">
        <v>2937</v>
      </c>
      <c r="H153" s="261"/>
      <c r="I153" s="261" t="s">
        <v>2817</v>
      </c>
      <c r="J153" s="98" t="s">
        <v>6127</v>
      </c>
      <c r="K153" s="261" t="s">
        <v>6128</v>
      </c>
      <c r="L153" s="102" t="s">
        <v>4143</v>
      </c>
      <c r="M153" s="102" t="s">
        <v>6129</v>
      </c>
      <c r="N153" s="102" t="s">
        <v>5776</v>
      </c>
      <c r="O153" s="102" t="s">
        <v>6130</v>
      </c>
      <c r="P153" s="102" t="s">
        <v>3104</v>
      </c>
      <c r="Q153" s="99"/>
      <c r="R153" s="99"/>
      <c r="S153" s="99"/>
      <c r="T153" s="99"/>
      <c r="U153" s="99"/>
      <c r="V153" s="99"/>
      <c r="W153" s="92"/>
      <c r="X153" s="102"/>
      <c r="Y153" s="93"/>
      <c r="Z153" s="88" t="s">
        <v>2839</v>
      </c>
      <c r="AA153" s="102" t="s">
        <v>5117</v>
      </c>
      <c r="AB153" s="267"/>
      <c r="AC153" s="102" t="s">
        <v>4354</v>
      </c>
      <c r="AD153" s="102"/>
      <c r="AE153" s="99"/>
      <c r="AF153" s="102" t="s">
        <v>6131</v>
      </c>
      <c r="AG153" s="102" t="s">
        <v>5033</v>
      </c>
      <c r="AH153" s="99"/>
      <c r="AI153" s="99"/>
      <c r="AJ153" s="102"/>
      <c r="AK153" s="99"/>
      <c r="AL153" s="97"/>
      <c r="AM153" s="102"/>
      <c r="AN153" s="102"/>
      <c r="AO153" s="99"/>
      <c r="AP153" s="99"/>
      <c r="AQ153" s="94"/>
      <c r="AR153" s="94"/>
      <c r="AS153" s="99"/>
      <c r="AT153" s="94"/>
      <c r="AU153" s="434" t="s">
        <v>5270</v>
      </c>
      <c r="AV153" s="102"/>
      <c r="AW153" s="102"/>
      <c r="AX153" s="99"/>
      <c r="AY153" s="99"/>
      <c r="AZ153" s="99"/>
      <c r="BA153" s="99"/>
      <c r="BB153" s="102" t="s">
        <v>3451</v>
      </c>
      <c r="BC153" s="102"/>
      <c r="BD153" s="102"/>
      <c r="BE153" s="102" t="s">
        <v>4548</v>
      </c>
      <c r="BF153" s="102" t="s">
        <v>6132</v>
      </c>
      <c r="BG153" s="102"/>
      <c r="BH153" s="99"/>
      <c r="BI153" s="102"/>
      <c r="BJ153" s="99"/>
      <c r="BK153" s="102"/>
      <c r="BL153" s="102"/>
      <c r="BM153" s="99"/>
      <c r="BN153" s="99"/>
      <c r="BO153" s="102"/>
      <c r="BP153" s="99"/>
      <c r="BQ153" s="236"/>
      <c r="BR153" s="102" t="s">
        <v>6133</v>
      </c>
      <c r="BS153" s="102"/>
      <c r="BT153" s="102"/>
      <c r="BU153" s="88" t="s">
        <v>1073</v>
      </c>
      <c r="BV153" s="102"/>
      <c r="BW153" s="102" t="s">
        <v>6004</v>
      </c>
      <c r="BX153" s="99"/>
      <c r="BY153" s="102"/>
      <c r="BZ153" s="102" t="s">
        <v>6134</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5396</v>
      </c>
      <c r="CY153" s="678" t="s">
        <v>6135</v>
      </c>
      <c r="CZ153" s="102"/>
      <c r="DA153" s="102" t="s">
        <v>6136</v>
      </c>
      <c r="DB153" s="102" t="s">
        <v>6137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6138</v>
      </c>
      <c r="B154" s="104" t="s">
        <v>6139</v>
      </c>
      <c r="C154" s="105" t="s">
        <v>1256</v>
      </c>
      <c r="D154" s="106" t="s">
        <v>1256</v>
      </c>
      <c r="E154" s="107" t="s">
        <v>1256</v>
      </c>
      <c r="F154" s="108" t="s">
        <v>1256</v>
      </c>
      <c r="G154" s="104" t="s">
        <v>4674</v>
      </c>
      <c r="H154" s="680"/>
      <c r="I154" s="324"/>
      <c r="J154" s="324" t="s">
        <v>1178</v>
      </c>
      <c r="K154" s="324" t="s">
        <v>352</v>
      </c>
      <c r="L154" s="324" t="s">
        <v>659</v>
      </c>
      <c r="M154" s="324"/>
      <c r="N154" s="324"/>
      <c r="O154" s="324" t="s">
        <v>6140</v>
      </c>
      <c r="P154" s="324" t="s">
        <v>6141</v>
      </c>
      <c r="Q154" s="681"/>
      <c r="R154" s="681"/>
      <c r="S154" s="276" t="s">
        <v>3014</v>
      </c>
      <c r="T154" s="681"/>
      <c r="U154" s="681"/>
      <c r="V154" s="681"/>
      <c r="W154" s="580"/>
      <c r="X154" s="302" t="s">
        <v>6142</v>
      </c>
      <c r="Y154" s="302"/>
      <c r="Z154" s="302" t="s">
        <v>2839</v>
      </c>
      <c r="AA154" s="302" t="s">
        <v>131</v>
      </c>
      <c r="AB154" s="302" t="s">
        <v>6143</v>
      </c>
      <c r="AC154" s="302" t="s">
        <v>3880</v>
      </c>
      <c r="AD154" s="302" t="s">
        <v>6144</v>
      </c>
      <c r="AE154" s="682"/>
      <c r="AF154" s="302" t="s">
        <v>6145</v>
      </c>
      <c r="AG154" s="302" t="s">
        <v>4739</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6146</v>
      </c>
      <c r="BD154" s="201" t="s">
        <v>3337</v>
      </c>
      <c r="BE154" s="201" t="s">
        <v>6147</v>
      </c>
      <c r="BF154" s="201" t="s">
        <v>2424</v>
      </c>
      <c r="BG154" s="201" t="s">
        <v>6148</v>
      </c>
      <c r="BH154" s="686"/>
      <c r="BI154" s="201" t="s">
        <v>2821</v>
      </c>
      <c r="BJ154" s="686"/>
      <c r="BK154" s="201" t="s">
        <v>6149</v>
      </c>
      <c r="BL154" s="201" t="s">
        <v>4209</v>
      </c>
      <c r="BM154" s="686"/>
      <c r="BN154" s="686"/>
      <c r="BO154" s="201"/>
      <c r="BP154" s="686"/>
      <c r="BQ154" s="687"/>
      <c r="BR154" s="345"/>
      <c r="BS154" s="345" t="s">
        <v>6150</v>
      </c>
      <c r="BT154" s="345" t="s">
        <v>4228</v>
      </c>
      <c r="BU154" s="345" t="s">
        <v>6151</v>
      </c>
      <c r="BV154" s="345" t="s">
        <v>6152</v>
      </c>
      <c r="BW154" s="345" t="s">
        <v>1397</v>
      </c>
      <c r="BX154" s="688"/>
      <c r="BY154" s="345"/>
      <c r="BZ154" s="345" t="s">
        <v>6153</v>
      </c>
      <c r="CA154" s="345" t="s">
        <v>6154</v>
      </c>
      <c r="CB154" s="313"/>
      <c r="CC154" s="688"/>
      <c r="CD154" s="688"/>
      <c r="CE154" s="688"/>
      <c r="CF154" s="689"/>
      <c r="CG154" s="338" t="s">
        <v>5946</v>
      </c>
      <c r="CH154" s="338" t="s">
        <v>6155</v>
      </c>
      <c r="CI154" s="338"/>
      <c r="CJ154" s="338"/>
      <c r="CK154" s="338" t="s">
        <v>6156</v>
      </c>
      <c r="CL154" s="338"/>
      <c r="CM154" s="338"/>
      <c r="CN154" s="338" t="s">
        <v>2653</v>
      </c>
      <c r="CO154" s="338" t="s">
        <v>6157</v>
      </c>
      <c r="CP154" s="690"/>
      <c r="CQ154" s="691"/>
      <c r="CR154" s="691"/>
      <c r="CS154" s="691"/>
      <c r="CT154" s="691"/>
      <c r="CU154" s="580"/>
      <c r="CV154" s="284" t="s">
        <v>2076</v>
      </c>
      <c r="CW154" s="284"/>
      <c r="CX154" s="284" t="s">
        <v>3940</v>
      </c>
      <c r="CY154" s="284"/>
      <c r="CZ154" s="284"/>
      <c r="DA154" s="284"/>
      <c r="DB154" s="284" t="s">
        <v>6158</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6159</v>
      </c>
      <c r="B155" s="82" t="s">
        <v>6160</v>
      </c>
      <c r="C155" s="83" t="s">
        <v>1256</v>
      </c>
      <c r="D155" s="84" t="s">
        <v>1256</v>
      </c>
      <c r="E155" s="85" t="s">
        <v>1256</v>
      </c>
      <c r="F155" s="86" t="s">
        <v>1256</v>
      </c>
      <c r="G155" s="82" t="s">
        <v>2545</v>
      </c>
      <c r="H155" s="102"/>
      <c r="I155" s="95" t="s">
        <v>5150</v>
      </c>
      <c r="J155" s="102" t="s">
        <v>6161</v>
      </c>
      <c r="K155" s="102" t="s">
        <v>6162</v>
      </c>
      <c r="L155" s="102" t="s">
        <v>5985</v>
      </c>
      <c r="M155" s="102" t="s">
        <v>6163</v>
      </c>
      <c r="N155" s="102" t="s">
        <v>1020</v>
      </c>
      <c r="O155" s="102" t="s">
        <v>480</v>
      </c>
      <c r="P155" s="102" t="s">
        <v>762</v>
      </c>
      <c r="Q155" s="99"/>
      <c r="R155" s="99"/>
      <c r="S155" s="94"/>
      <c r="T155" s="99"/>
      <c r="U155" s="99"/>
      <c r="V155" s="99"/>
      <c r="W155" s="92"/>
      <c r="X155" s="102" t="s">
        <v>4353</v>
      </c>
      <c r="Y155" s="102"/>
      <c r="Z155" s="102" t="s">
        <v>2086</v>
      </c>
      <c r="AA155" s="102" t="s">
        <v>6164</v>
      </c>
      <c r="AB155" s="267" t="s">
        <v>6165</v>
      </c>
      <c r="AC155" s="102" t="s">
        <v>6166</v>
      </c>
      <c r="AD155" s="102" t="s">
        <v>3686</v>
      </c>
      <c r="AE155" s="99"/>
      <c r="AF155" s="102" t="s">
        <v>6167</v>
      </c>
      <c r="AG155" s="102" t="s">
        <v>6168</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6059</v>
      </c>
      <c r="BC155" s="102" t="s">
        <v>4959</v>
      </c>
      <c r="BD155" s="102" t="s">
        <v>1073</v>
      </c>
      <c r="BE155" s="102" t="s">
        <v>6169</v>
      </c>
      <c r="BF155" s="102" t="s">
        <v>6170</v>
      </c>
      <c r="BG155" s="102"/>
      <c r="BH155" s="99"/>
      <c r="BI155" s="102" t="s">
        <v>6171</v>
      </c>
      <c r="BJ155" s="94" t="s">
        <v>6172</v>
      </c>
      <c r="BK155" s="102"/>
      <c r="BL155" s="102" t="s">
        <v>1952</v>
      </c>
      <c r="BM155" s="99"/>
      <c r="BN155" s="99"/>
      <c r="BO155" s="102"/>
      <c r="BP155" s="99"/>
      <c r="BQ155" s="236"/>
      <c r="BR155" s="695" t="s">
        <v>6173</v>
      </c>
      <c r="BS155" s="102" t="s">
        <v>1353</v>
      </c>
      <c r="BT155" s="102" t="s">
        <v>5626</v>
      </c>
      <c r="BU155" s="102" t="s">
        <v>6174</v>
      </c>
      <c r="BV155" s="102" t="s">
        <v>6175</v>
      </c>
      <c r="BW155" s="102" t="s">
        <v>1518</v>
      </c>
      <c r="BX155" s="94" t="s">
        <v>4200</v>
      </c>
      <c r="BY155" s="102" t="s">
        <v>6176</v>
      </c>
      <c r="BZ155" s="102"/>
      <c r="CA155" s="102" t="s">
        <v>1442</v>
      </c>
      <c r="CB155" s="99"/>
      <c r="CC155" s="99"/>
      <c r="CD155" s="99"/>
      <c r="CE155" s="99"/>
      <c r="CF155" s="236"/>
      <c r="CG155" s="102" t="s">
        <v>6177</v>
      </c>
      <c r="CH155" s="102" t="s">
        <v>2126</v>
      </c>
      <c r="CI155" s="102" t="s">
        <v>2550</v>
      </c>
      <c r="CJ155" s="102"/>
      <c r="CK155" s="102" t="s">
        <v>6178</v>
      </c>
      <c r="CL155" s="102" t="s">
        <v>363</v>
      </c>
      <c r="CM155" s="102" t="s">
        <v>6179</v>
      </c>
      <c r="CN155" s="102" t="s">
        <v>6180</v>
      </c>
      <c r="CO155" s="102" t="s">
        <v>6181</v>
      </c>
      <c r="CP155" s="222"/>
      <c r="CQ155" s="99"/>
      <c r="CR155" s="99"/>
      <c r="CS155" s="99"/>
      <c r="CT155" s="99"/>
      <c r="CU155" s="92"/>
      <c r="CV155" s="102" t="s">
        <v>6182</v>
      </c>
      <c r="CW155" s="102" t="s">
        <v>2655</v>
      </c>
      <c r="CX155" s="102" t="s">
        <v>1792</v>
      </c>
      <c r="CY155" s="102" t="s">
        <v>4220</v>
      </c>
      <c r="CZ155" s="102" t="s">
        <v>6183</v>
      </c>
      <c r="DA155" s="102" t="s">
        <v>5529</v>
      </c>
      <c r="DB155" s="102" t="s">
        <v>6064</v>
      </c>
      <c r="DC155" s="102" t="s">
        <v>6164</v>
      </c>
      <c r="DD155" s="99"/>
      <c r="DE155" s="99"/>
      <c r="DF155" s="99"/>
      <c r="DG155" s="99"/>
      <c r="DH155" s="236"/>
      <c r="DI155" s="102" t="s">
        <v>2849</v>
      </c>
      <c r="DJ155" s="99"/>
      <c r="DK155" s="99"/>
      <c r="DL155" s="102"/>
      <c r="DM155" s="102"/>
      <c r="DN155" s="102"/>
      <c r="DO155" s="99"/>
      <c r="DP155" s="99"/>
      <c r="DQ155" s="99"/>
      <c r="DR155" s="102" t="s">
        <v>6184</v>
      </c>
      <c r="DS155" s="102" t="s">
        <v>4390</v>
      </c>
      <c r="DT155" s="99"/>
      <c r="DU155" s="102"/>
      <c r="DV155" s="99"/>
      <c r="DW155" s="99"/>
      <c r="DX155" s="99"/>
      <c r="DY155" s="99"/>
      <c r="DZ155" s="99"/>
      <c r="EA155" s="102"/>
      <c r="EB155" s="99"/>
      <c r="EC155" s="99"/>
      <c r="ED155" s="261"/>
    </row>
    <row r="156">
      <c r="A156" s="166" t="s">
        <v>6185</v>
      </c>
      <c r="B156" s="104" t="s">
        <v>6186</v>
      </c>
      <c r="C156" s="105" t="s">
        <v>1256</v>
      </c>
      <c r="D156" s="106" t="s">
        <v>1256</v>
      </c>
      <c r="E156" s="107" t="s">
        <v>1256</v>
      </c>
      <c r="F156" s="108" t="s">
        <v>438</v>
      </c>
      <c r="G156" s="104" t="s">
        <v>5863</v>
      </c>
      <c r="H156" s="167"/>
      <c r="I156" s="112" t="s">
        <v>6187</v>
      </c>
      <c r="J156" s="112" t="s">
        <v>1743</v>
      </c>
      <c r="K156" s="112" t="s">
        <v>1827</v>
      </c>
      <c r="L156" s="112" t="s">
        <v>6188</v>
      </c>
      <c r="M156" s="167" t="s">
        <v>6189</v>
      </c>
      <c r="N156" s="167" t="s">
        <v>3739</v>
      </c>
      <c r="O156" s="167" t="s">
        <v>5250</v>
      </c>
      <c r="P156" s="167" t="s">
        <v>3952</v>
      </c>
      <c r="Q156" s="243"/>
      <c r="R156" s="243"/>
      <c r="S156" s="243"/>
      <c r="T156" s="243"/>
      <c r="U156" s="243"/>
      <c r="V156" s="243"/>
      <c r="W156" s="92"/>
      <c r="X156" s="198" t="s">
        <v>6190</v>
      </c>
      <c r="Y156" s="246"/>
      <c r="Z156" s="246"/>
      <c r="AA156" s="198" t="s">
        <v>675</v>
      </c>
      <c r="AB156" s="198" t="s">
        <v>5527</v>
      </c>
      <c r="AC156" s="116" t="s">
        <v>5485</v>
      </c>
      <c r="AD156" s="246"/>
      <c r="AE156" s="246"/>
      <c r="AF156" s="198" t="s">
        <v>6191</v>
      </c>
      <c r="AG156" s="198" t="s">
        <v>305</v>
      </c>
      <c r="AH156" s="246"/>
      <c r="AI156" s="246"/>
      <c r="AJ156" s="246"/>
      <c r="AK156" s="246"/>
      <c r="AL156" s="97"/>
      <c r="AM156" s="168"/>
      <c r="AN156" s="168" t="s">
        <v>5508</v>
      </c>
      <c r="AO156" s="247"/>
      <c r="AP156" s="247"/>
      <c r="AQ156" s="247"/>
      <c r="AR156" s="247"/>
      <c r="AS156" s="247"/>
      <c r="AT156" s="247"/>
      <c r="AU156" s="168" t="s">
        <v>6192</v>
      </c>
      <c r="AV156" s="247"/>
      <c r="AW156" s="168" t="s">
        <v>198</v>
      </c>
      <c r="AX156" s="247"/>
      <c r="AY156" s="247"/>
      <c r="AZ156" s="247"/>
      <c r="BA156" s="247"/>
      <c r="BB156" s="173"/>
      <c r="BC156" s="174" t="s">
        <v>5859</v>
      </c>
      <c r="BD156" s="173"/>
      <c r="BE156" s="174" t="s">
        <v>6193</v>
      </c>
      <c r="BF156" s="174" t="s">
        <v>1456</v>
      </c>
      <c r="BG156" s="174" t="s">
        <v>4759</v>
      </c>
      <c r="BH156" s="173"/>
      <c r="BI156" s="126" t="s">
        <v>6194</v>
      </c>
      <c r="BJ156" s="173"/>
      <c r="BK156" s="173"/>
      <c r="BL156" s="174" t="s">
        <v>104</v>
      </c>
      <c r="BM156" s="173"/>
      <c r="BN156" s="173"/>
      <c r="BO156" s="173"/>
      <c r="BP156" s="173"/>
      <c r="BQ156" s="249"/>
      <c r="BR156" s="175"/>
      <c r="BS156" s="253"/>
      <c r="BT156" s="253"/>
      <c r="BU156" s="175" t="s">
        <v>6195</v>
      </c>
      <c r="BV156" s="253"/>
      <c r="BW156" s="175" t="s">
        <v>1904</v>
      </c>
      <c r="BX156" s="253"/>
      <c r="BY156" s="175" t="s">
        <v>6196</v>
      </c>
      <c r="BZ156" s="253"/>
      <c r="CA156" s="175" t="s">
        <v>6197</v>
      </c>
      <c r="CB156" s="253"/>
      <c r="CC156" s="253"/>
      <c r="CD156" s="253"/>
      <c r="CE156" s="253"/>
      <c r="CF156" s="254"/>
      <c r="CG156" s="256"/>
      <c r="CH156" s="177" t="s">
        <v>6198</v>
      </c>
      <c r="CI156" s="256"/>
      <c r="CJ156" s="264" t="s">
        <v>6199</v>
      </c>
      <c r="CK156" s="264"/>
      <c r="CL156" s="264" t="s">
        <v>5793</v>
      </c>
      <c r="CM156" s="256"/>
      <c r="CN156" s="256"/>
      <c r="CO156" s="256"/>
      <c r="CP156" s="256"/>
      <c r="CQ156" s="256"/>
      <c r="CR156" s="256"/>
      <c r="CS156" s="256"/>
      <c r="CT156" s="256"/>
      <c r="CU156" s="92"/>
      <c r="CV156" s="257"/>
      <c r="CW156" s="204" t="s">
        <v>5709</v>
      </c>
      <c r="CX156" s="204" t="s">
        <v>6200</v>
      </c>
      <c r="CY156" s="257"/>
      <c r="CZ156" s="257"/>
      <c r="DA156" s="204" t="s">
        <v>5431</v>
      </c>
      <c r="DB156" s="233" t="s">
        <v>5634</v>
      </c>
      <c r="DC156" s="204" t="s">
        <v>6201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6202</v>
      </c>
      <c r="B157" s="82" t="s">
        <v>6203</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6204</v>
      </c>
      <c r="B158" s="104" t="s">
        <v>6205</v>
      </c>
      <c r="C158" s="105" t="s">
        <v>1256</v>
      </c>
      <c r="D158" s="106" t="s">
        <v>1256</v>
      </c>
      <c r="E158" s="107" t="s">
        <v>1256</v>
      </c>
      <c r="F158" s="108" t="s">
        <v>437</v>
      </c>
      <c r="G158" s="104" t="s">
        <v>5686</v>
      </c>
      <c r="H158" s="243"/>
      <c r="I158" s="167" t="s">
        <v>1981</v>
      </c>
      <c r="J158" s="167" t="s">
        <v>2595</v>
      </c>
      <c r="K158" s="167" t="s">
        <v>3107</v>
      </c>
      <c r="L158" s="167" t="s">
        <v>2560</v>
      </c>
      <c r="M158" s="167" t="s">
        <v>6206</v>
      </c>
      <c r="N158" s="167" t="s">
        <v>6207</v>
      </c>
      <c r="O158" s="167" t="s">
        <v>6208</v>
      </c>
      <c r="P158" s="167" t="s">
        <v>4155</v>
      </c>
      <c r="Q158" s="243"/>
      <c r="R158" s="243"/>
      <c r="S158" s="243"/>
      <c r="T158" s="243"/>
      <c r="U158" s="243"/>
      <c r="V158" s="243"/>
      <c r="W158" s="92"/>
      <c r="X158" s="198" t="s">
        <v>5349</v>
      </c>
      <c r="Y158" s="198"/>
      <c r="Z158" s="198" t="s">
        <v>2133</v>
      </c>
      <c r="AA158" s="198" t="s">
        <v>2251</v>
      </c>
      <c r="AB158" s="198" t="s">
        <v>1923</v>
      </c>
      <c r="AC158" s="198" t="s">
        <v>6209</v>
      </c>
      <c r="AD158" s="116" t="s">
        <v>6210</v>
      </c>
      <c r="AE158" s="246"/>
      <c r="AF158" s="246"/>
      <c r="AG158" s="246"/>
      <c r="AH158" s="246"/>
      <c r="AI158" s="246"/>
      <c r="AJ158" s="246"/>
      <c r="AK158" s="246"/>
      <c r="AL158" s="97"/>
      <c r="AM158" s="247"/>
      <c r="AN158" s="247"/>
      <c r="AO158" s="247"/>
      <c r="AP158" s="247"/>
      <c r="AQ158" s="247"/>
      <c r="AR158" s="247"/>
      <c r="AS158" s="247"/>
      <c r="AT158" s="247"/>
      <c r="AU158" s="168" t="s">
        <v>6181</v>
      </c>
      <c r="AV158" s="168" t="s">
        <v>3309</v>
      </c>
      <c r="AW158" s="247"/>
      <c r="AX158" s="247"/>
      <c r="AY158" s="247"/>
      <c r="AZ158" s="247"/>
      <c r="BA158" s="247"/>
      <c r="BB158" s="173"/>
      <c r="BC158" s="174" t="s">
        <v>1209</v>
      </c>
      <c r="BD158" s="173"/>
      <c r="BE158" s="174" t="s">
        <v>1777</v>
      </c>
      <c r="BF158" s="173"/>
      <c r="BG158" s="174" t="s">
        <v>6211</v>
      </c>
      <c r="BH158" s="173"/>
      <c r="BI158" s="126" t="s">
        <v>1603</v>
      </c>
      <c r="BJ158" s="173"/>
      <c r="BK158" s="173"/>
      <c r="BL158" s="174" t="s">
        <v>5465</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6212</v>
      </c>
      <c r="CY158" s="204" t="s">
        <v>4253</v>
      </c>
      <c r="CZ158" s="257"/>
      <c r="DA158" s="257"/>
      <c r="DB158" s="257"/>
      <c r="DC158" s="204" t="s">
        <v>1016</v>
      </c>
      <c r="DD158" s="257"/>
      <c r="DE158" s="257"/>
      <c r="DF158" s="257"/>
      <c r="DG158" s="257"/>
      <c r="DH158" s="258"/>
      <c r="DI158" s="205" t="s">
        <v>6213</v>
      </c>
      <c r="DJ158" s="259"/>
      <c r="DK158" s="259"/>
      <c r="DL158" s="205"/>
      <c r="DM158" s="259"/>
      <c r="DN158" s="205" t="s">
        <v>1915</v>
      </c>
      <c r="DO158" s="205" t="s">
        <v>6214</v>
      </c>
      <c r="DP158" s="259"/>
      <c r="DQ158" s="259"/>
      <c r="DR158" s="259"/>
      <c r="DS158" s="259"/>
      <c r="DT158" s="259"/>
      <c r="DU158" s="259"/>
      <c r="DV158" s="259"/>
      <c r="DW158" s="259"/>
      <c r="DX158" s="259"/>
      <c r="DY158" s="259"/>
      <c r="DZ158" s="205" t="s">
        <v>6215</v>
      </c>
      <c r="EA158" s="259"/>
      <c r="EB158" s="259"/>
      <c r="EC158" s="205" t="s">
        <v>4247</v>
      </c>
      <c r="ED158" s="287"/>
    </row>
    <row r="159">
      <c r="A159" s="81" t="s">
        <v>6216</v>
      </c>
      <c r="B159" s="82" t="s">
        <v>6217</v>
      </c>
      <c r="C159" s="83" t="s">
        <v>1256</v>
      </c>
      <c r="D159" s="84" t="s">
        <v>1256</v>
      </c>
      <c r="E159" s="85" t="s">
        <v>1256</v>
      </c>
      <c r="F159" s="86" t="s">
        <v>1256</v>
      </c>
      <c r="G159" s="82" t="s">
        <v>2937</v>
      </c>
      <c r="H159" s="94" t="s">
        <v>2795</v>
      </c>
      <c r="I159" s="94" t="s">
        <v>6218</v>
      </c>
      <c r="J159" s="94" t="s">
        <v>4838</v>
      </c>
      <c r="K159" s="94" t="s">
        <v>551</v>
      </c>
      <c r="L159" s="94" t="s">
        <v>6219</v>
      </c>
      <c r="M159" s="99"/>
      <c r="N159" s="99"/>
      <c r="O159" s="94" t="s">
        <v>1837</v>
      </c>
      <c r="P159" s="94" t="s">
        <v>351</v>
      </c>
      <c r="Q159" s="94"/>
      <c r="R159" s="99"/>
      <c r="S159" s="94" t="s">
        <v>6220</v>
      </c>
      <c r="T159" s="99"/>
      <c r="U159" s="94" t="s">
        <v>2957</v>
      </c>
      <c r="V159" s="99"/>
      <c r="W159" s="92"/>
      <c r="X159" s="94" t="s">
        <v>6221</v>
      </c>
      <c r="Y159" s="99"/>
      <c r="Z159" s="99"/>
      <c r="AA159" s="94" t="s">
        <v>556</v>
      </c>
      <c r="AB159" s="99"/>
      <c r="AC159" s="99"/>
      <c r="AD159" s="99"/>
      <c r="AE159" s="99"/>
      <c r="AF159" s="99"/>
      <c r="AG159" s="94" t="s">
        <v>6222</v>
      </c>
      <c r="AH159" s="94" t="s">
        <v>6223</v>
      </c>
      <c r="AI159" s="94"/>
      <c r="AJ159" s="94" t="s">
        <v>6224</v>
      </c>
      <c r="AK159" s="99"/>
      <c r="AL159" s="97"/>
      <c r="AM159" s="99"/>
      <c r="AN159" s="94" t="s">
        <v>4892</v>
      </c>
      <c r="AO159" s="99"/>
      <c r="AP159" s="99"/>
      <c r="AQ159" s="99"/>
      <c r="AR159" s="99"/>
      <c r="AS159" s="99"/>
      <c r="AT159" s="99"/>
      <c r="AU159" s="99"/>
      <c r="AV159" s="94" t="s">
        <v>1778</v>
      </c>
      <c r="AW159" s="99"/>
      <c r="AX159" s="99"/>
      <c r="AY159" s="94" t="s">
        <v>605</v>
      </c>
      <c r="AZ159" s="99"/>
      <c r="BA159" s="99"/>
      <c r="BB159" s="99"/>
      <c r="BC159" s="99"/>
      <c r="BD159" s="94" t="s">
        <v>6225</v>
      </c>
      <c r="BE159" s="99"/>
      <c r="BF159" s="99"/>
      <c r="BG159" s="94" t="s">
        <v>122</v>
      </c>
      <c r="BH159" s="99"/>
      <c r="BI159" s="94" t="s">
        <v>6226</v>
      </c>
      <c r="BJ159" s="99"/>
      <c r="BK159" s="99"/>
      <c r="BL159" s="99"/>
      <c r="BM159" s="99"/>
      <c r="BN159" s="99"/>
      <c r="BO159" s="99"/>
      <c r="BP159" s="99"/>
      <c r="BQ159" s="236"/>
      <c r="BR159" s="94"/>
      <c r="BS159" s="99"/>
      <c r="BT159" s="99"/>
      <c r="BU159" s="94" t="s">
        <v>6227</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6228</v>
      </c>
      <c r="B160" s="104" t="s">
        <v>6229</v>
      </c>
      <c r="C160" s="105" t="s">
        <v>1256</v>
      </c>
      <c r="D160" s="106" t="s">
        <v>1256</v>
      </c>
      <c r="E160" s="107" t="s">
        <v>1256</v>
      </c>
      <c r="F160" s="108" t="s">
        <v>1197</v>
      </c>
      <c r="G160" s="104" t="s">
        <v>333</v>
      </c>
      <c r="H160" s="243"/>
      <c r="I160" s="243"/>
      <c r="J160" s="167" t="s">
        <v>6230</v>
      </c>
      <c r="K160" s="112" t="s">
        <v>5689</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6231</v>
      </c>
      <c r="BK160" s="173"/>
      <c r="BL160" s="173"/>
      <c r="BM160" s="173"/>
      <c r="BN160" s="173"/>
      <c r="BO160" s="173"/>
      <c r="BP160" s="173"/>
      <c r="BQ160" s="249"/>
      <c r="BR160" s="253"/>
      <c r="BS160" s="253"/>
      <c r="BT160" s="129" t="s">
        <v>1351</v>
      </c>
      <c r="BU160" s="129" t="s">
        <v>4278</v>
      </c>
      <c r="BV160" s="253"/>
      <c r="BW160" s="306" t="s">
        <v>6232</v>
      </c>
      <c r="BX160" s="253"/>
      <c r="BY160" s="253"/>
      <c r="BZ160" s="253"/>
      <c r="CA160" s="253"/>
      <c r="CB160" s="253"/>
      <c r="CC160" s="253"/>
      <c r="CD160" s="253"/>
      <c r="CE160" s="253"/>
      <c r="CF160" s="254"/>
      <c r="CG160" s="177"/>
      <c r="CH160" s="135" t="s">
        <v>6233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6234</v>
      </c>
      <c r="B161" s="82" t="s">
        <v>6235</v>
      </c>
      <c r="C161" s="83" t="s">
        <v>1256</v>
      </c>
      <c r="D161" s="84" t="s">
        <v>1256</v>
      </c>
      <c r="E161" s="85" t="s">
        <v>1256</v>
      </c>
      <c r="F161" s="86" t="s">
        <v>334</v>
      </c>
      <c r="G161" s="82" t="s">
        <v>3969</v>
      </c>
      <c r="H161" s="94" t="s">
        <v>6236</v>
      </c>
      <c r="I161" s="94" t="s">
        <v>4934</v>
      </c>
      <c r="J161" s="94" t="s">
        <v>2393</v>
      </c>
      <c r="K161" s="94" t="s">
        <v>1428</v>
      </c>
      <c r="L161" s="94" t="s">
        <v>3954</v>
      </c>
      <c r="M161" s="94" t="s">
        <v>3935</v>
      </c>
      <c r="N161" s="94" t="s">
        <v>5085</v>
      </c>
      <c r="O161" s="99"/>
      <c r="P161" s="99"/>
      <c r="Q161" s="99"/>
      <c r="R161" s="99"/>
      <c r="S161" s="99"/>
      <c r="T161" s="99"/>
      <c r="U161" s="99"/>
      <c r="V161" s="99"/>
      <c r="W161" s="92"/>
      <c r="X161" s="98" t="str">
        <f>HYPERLINK("https://www.youtube.com/watch?v=F9HuyJ73joE","56.96")</f>
        <v>56.96</v>
      </c>
      <c r="Y161" s="94"/>
      <c r="Z161" s="94" t="s">
        <v>6237</v>
      </c>
      <c r="AA161" s="94" t="s">
        <v>6238</v>
      </c>
      <c r="AB161" s="94" t="s">
        <v>4541</v>
      </c>
      <c r="AC161" s="94" t="s">
        <v>6239</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6240</v>
      </c>
      <c r="BT161" s="94" t="s">
        <v>6241</v>
      </c>
      <c r="BU161" s="99"/>
      <c r="BV161" s="99"/>
      <c r="BW161" s="94" t="s">
        <v>6242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6243</v>
      </c>
      <c r="B162" s="104" t="s">
        <v>6244</v>
      </c>
      <c r="C162" s="105" t="s">
        <v>1256</v>
      </c>
      <c r="D162" s="106" t="s">
        <v>1256</v>
      </c>
      <c r="E162" s="107" t="s">
        <v>1256</v>
      </c>
      <c r="F162" s="108" t="s">
        <v>437</v>
      </c>
      <c r="G162" s="104" t="s">
        <v>6245</v>
      </c>
      <c r="H162" s="419"/>
      <c r="I162" s="324" t="s">
        <v>1592</v>
      </c>
      <c r="J162" s="419"/>
      <c r="K162" s="324" t="s">
        <v>4053</v>
      </c>
      <c r="L162" s="419"/>
      <c r="M162" s="419"/>
      <c r="N162" s="419"/>
      <c r="O162" s="419"/>
      <c r="P162" s="324" t="s">
        <v>4884</v>
      </c>
      <c r="Q162" s="243"/>
      <c r="R162" s="243"/>
      <c r="S162" s="243"/>
      <c r="T162" s="243"/>
      <c r="U162" s="243"/>
      <c r="V162" s="243"/>
      <c r="W162" s="92"/>
      <c r="X162" s="302" t="s">
        <v>6246</v>
      </c>
      <c r="Y162" s="117"/>
      <c r="Z162" s="117"/>
      <c r="AA162" s="302" t="s">
        <v>1512</v>
      </c>
      <c r="AB162" s="295"/>
      <c r="AC162" s="114" t="s">
        <v>1694</v>
      </c>
      <c r="AD162" s="117"/>
      <c r="AE162" s="246"/>
      <c r="AF162" s="117"/>
      <c r="AG162" s="302" t="s">
        <v>5895</v>
      </c>
      <c r="AH162" s="246"/>
      <c r="AI162" s="246"/>
      <c r="AJ162" s="117"/>
      <c r="AK162" s="246"/>
      <c r="AL162" s="97"/>
      <c r="AM162" s="124"/>
      <c r="AN162" s="124"/>
      <c r="AO162" s="247"/>
      <c r="AP162" s="247"/>
      <c r="AQ162" s="168"/>
      <c r="AR162" s="168"/>
      <c r="AS162" s="247"/>
      <c r="AT162" s="247"/>
      <c r="AU162" s="588" t="s">
        <v>6247</v>
      </c>
      <c r="AV162" s="588" t="s">
        <v>5552</v>
      </c>
      <c r="AW162" s="124"/>
      <c r="AX162" s="247"/>
      <c r="AY162" s="247"/>
      <c r="AZ162" s="247"/>
      <c r="BA162" s="168"/>
      <c r="BB162" s="353"/>
      <c r="BC162" s="125" t="s">
        <v>996</v>
      </c>
      <c r="BD162" s="201"/>
      <c r="BE162" s="201" t="s">
        <v>6248</v>
      </c>
      <c r="BF162" s="353"/>
      <c r="BG162" s="353"/>
      <c r="BH162" s="173"/>
      <c r="BI162" s="201" t="s">
        <v>1542</v>
      </c>
      <c r="BJ162" s="173"/>
      <c r="BK162" s="353"/>
      <c r="BL162" s="201" t="s">
        <v>6249</v>
      </c>
      <c r="BM162" s="173"/>
      <c r="BN162" s="173"/>
      <c r="BO162" s="353"/>
      <c r="BP162" s="173"/>
      <c r="BQ162" s="249"/>
      <c r="BR162" s="131"/>
      <c r="BS162" s="131"/>
      <c r="BT162" s="131"/>
      <c r="BU162" s="131"/>
      <c r="BV162" s="131"/>
      <c r="BW162" s="345" t="s">
        <v>6250</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6251</v>
      </c>
      <c r="CX162" s="284" t="s">
        <v>362</v>
      </c>
      <c r="CY162" s="285"/>
      <c r="CZ162" s="285"/>
      <c r="DA162" s="285"/>
      <c r="DB162" s="284" t="s">
        <v>6252</v>
      </c>
      <c r="DC162" s="284" t="s">
        <v>6253</v>
      </c>
      <c r="DD162" s="257"/>
      <c r="DE162" s="257"/>
      <c r="DF162" s="257"/>
      <c r="DG162" s="257"/>
      <c r="DH162" s="258"/>
      <c r="DI162" s="206"/>
      <c r="DJ162" s="259"/>
      <c r="DK162" s="259"/>
      <c r="DL162" s="206"/>
      <c r="DM162" s="206"/>
      <c r="DN162" s="206"/>
      <c r="DO162" s="259"/>
      <c r="DP162" s="259"/>
      <c r="DQ162" s="259"/>
      <c r="DR162" s="206"/>
      <c r="DS162" s="287" t="s">
        <v>6254</v>
      </c>
      <c r="DT162" s="259"/>
      <c r="DU162" s="206"/>
      <c r="DV162" s="259"/>
      <c r="DW162" s="259"/>
      <c r="DX162" s="259"/>
      <c r="DY162" s="259"/>
      <c r="DZ162" s="259"/>
      <c r="EA162" s="206"/>
      <c r="EB162" s="259"/>
      <c r="EC162" s="259"/>
      <c r="ED162" s="287"/>
    </row>
    <row r="163">
      <c r="A163" s="81" t="s">
        <v>6255</v>
      </c>
      <c r="B163" s="82" t="s">
        <v>6256</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5424</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6257</v>
      </c>
      <c r="B164" s="104" t="s">
        <v>6258</v>
      </c>
      <c r="C164" s="105" t="s">
        <v>1256</v>
      </c>
      <c r="D164" s="106" t="s">
        <v>1256</v>
      </c>
      <c r="E164" s="107" t="s">
        <v>1256</v>
      </c>
      <c r="F164" s="108" t="s">
        <v>546</v>
      </c>
      <c r="G164" s="104" t="s">
        <v>3380</v>
      </c>
      <c r="H164" s="167" t="s">
        <v>3721</v>
      </c>
      <c r="I164" s="243"/>
      <c r="J164" s="167" t="s">
        <v>5253</v>
      </c>
      <c r="K164" s="167" t="s">
        <v>4053</v>
      </c>
      <c r="L164" s="167" t="s">
        <v>5075</v>
      </c>
      <c r="M164" s="243"/>
      <c r="N164" s="243"/>
      <c r="O164" s="167" t="s">
        <v>1862</v>
      </c>
      <c r="P164" s="243"/>
      <c r="Q164" s="243"/>
      <c r="R164" s="243"/>
      <c r="S164" s="243"/>
      <c r="T164" s="243"/>
      <c r="U164" s="243"/>
      <c r="V164" s="243"/>
      <c r="W164" s="92"/>
      <c r="X164" s="198" t="s">
        <v>6259</v>
      </c>
      <c r="Y164" s="198"/>
      <c r="Z164" s="198" t="s">
        <v>3822</v>
      </c>
      <c r="AA164" s="198" t="s">
        <v>6260</v>
      </c>
      <c r="AB164" s="246"/>
      <c r="AC164" s="198" t="s">
        <v>1373</v>
      </c>
      <c r="AD164" s="198" t="s">
        <v>5249</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6261</v>
      </c>
      <c r="CH164" s="256"/>
      <c r="CI164" s="256"/>
      <c r="CJ164" s="256"/>
      <c r="CK164" s="256"/>
      <c r="CL164" s="256"/>
      <c r="CM164" s="256"/>
      <c r="CN164" s="256"/>
      <c r="CO164" s="256"/>
      <c r="CP164" s="256"/>
      <c r="CQ164" s="256"/>
      <c r="CR164" s="256"/>
      <c r="CS164" s="256"/>
      <c r="CT164" s="256"/>
      <c r="CU164" s="92"/>
      <c r="CV164" s="204" t="s">
        <v>5663</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6262</v>
      </c>
      <c r="B165" s="82" t="s">
        <v>6263</v>
      </c>
      <c r="C165" s="83" t="s">
        <v>1256</v>
      </c>
      <c r="D165" s="84" t="s">
        <v>1256</v>
      </c>
      <c r="E165" s="85" t="s">
        <v>1256</v>
      </c>
      <c r="F165" s="86" t="s">
        <v>1256</v>
      </c>
      <c r="G165" s="82" t="s">
        <v>646</v>
      </c>
      <c r="H165" s="93" t="s">
        <v>3504</v>
      </c>
      <c r="I165" s="93" t="s">
        <v>6264</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6265</v>
      </c>
      <c r="B166" s="104" t="s">
        <v>6266</v>
      </c>
      <c r="C166" s="105" t="s">
        <v>1256</v>
      </c>
      <c r="D166" s="106" t="s">
        <v>1256</v>
      </c>
      <c r="E166" s="107" t="s">
        <v>1256</v>
      </c>
      <c r="F166" s="108" t="s">
        <v>1256</v>
      </c>
      <c r="G166" s="104" t="s">
        <v>3380</v>
      </c>
      <c r="H166" s="167" t="s">
        <v>1978</v>
      </c>
      <c r="I166" s="167" t="s">
        <v>2176</v>
      </c>
      <c r="J166" s="243"/>
      <c r="K166" s="167" t="s">
        <v>2656</v>
      </c>
      <c r="L166" s="243"/>
      <c r="M166" s="243"/>
      <c r="N166" s="243"/>
      <c r="O166" s="167" t="s">
        <v>6267</v>
      </c>
      <c r="P166" s="167" t="s">
        <v>6268</v>
      </c>
      <c r="Q166" s="243"/>
      <c r="R166" s="243"/>
      <c r="S166" s="243"/>
      <c r="T166" s="243"/>
      <c r="U166" s="243"/>
      <c r="V166" s="243"/>
      <c r="W166" s="92"/>
      <c r="X166" s="198" t="s">
        <v>3542</v>
      </c>
      <c r="Y166" s="246"/>
      <c r="Z166" s="246"/>
      <c r="AA166" s="198" t="s">
        <v>4668</v>
      </c>
      <c r="AB166" s="246"/>
      <c r="AC166" s="198" t="s">
        <v>2485</v>
      </c>
      <c r="AD166" s="246"/>
      <c r="AE166" s="246"/>
      <c r="AF166" s="198" t="s">
        <v>6269</v>
      </c>
      <c r="AG166" s="246"/>
      <c r="AH166" s="246"/>
      <c r="AI166" s="246"/>
      <c r="AJ166" s="246"/>
      <c r="AK166" s="198" t="s">
        <v>6270</v>
      </c>
      <c r="AL166" s="97"/>
      <c r="AM166" s="247"/>
      <c r="AN166" s="168" t="s">
        <v>6271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6272</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5737</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6273</v>
      </c>
      <c r="EB166" s="259"/>
      <c r="EC166" s="205" t="s">
        <v>412</v>
      </c>
      <c r="ED166" s="287"/>
    </row>
    <row r="167">
      <c r="A167" s="699" t="s">
        <v>6274</v>
      </c>
      <c r="B167" s="82" t="s">
        <v>6275</v>
      </c>
      <c r="C167" s="83" t="s">
        <v>1256</v>
      </c>
      <c r="D167" s="84" t="s">
        <v>1256</v>
      </c>
      <c r="E167" s="85" t="s">
        <v>1256</v>
      </c>
      <c r="F167" s="86" t="s">
        <v>6276</v>
      </c>
      <c r="G167" s="82" t="s">
        <v>2649</v>
      </c>
      <c r="H167" s="102"/>
      <c r="I167" s="95"/>
      <c r="J167" s="102"/>
      <c r="K167" s="88" t="s">
        <v>2351</v>
      </c>
      <c r="L167" s="88" t="s">
        <v>6277</v>
      </c>
      <c r="M167" s="102" t="s">
        <v>6278</v>
      </c>
      <c r="N167" s="102"/>
      <c r="O167" s="102"/>
      <c r="P167" s="102" t="s">
        <v>4155</v>
      </c>
      <c r="Q167" s="99"/>
      <c r="R167" s="99"/>
      <c r="S167" s="99"/>
      <c r="T167" s="99"/>
      <c r="U167" s="99"/>
      <c r="V167" s="99"/>
      <c r="W167" s="92"/>
      <c r="X167" s="88" t="s">
        <v>6279</v>
      </c>
      <c r="Y167" s="102"/>
      <c r="Z167" s="102"/>
      <c r="AA167" s="88" t="s">
        <v>2482</v>
      </c>
      <c r="AB167" s="88" t="s">
        <v>6280</v>
      </c>
      <c r="AC167" s="88" t="s">
        <v>6281</v>
      </c>
      <c r="AD167" s="88" t="s">
        <v>2274</v>
      </c>
      <c r="AE167" s="99"/>
      <c r="AF167" s="102"/>
      <c r="AG167" s="88" t="s">
        <v>6282</v>
      </c>
      <c r="AH167" s="99"/>
      <c r="AI167" s="99"/>
      <c r="AJ167" s="102"/>
      <c r="AK167" s="99"/>
      <c r="AL167" s="97"/>
      <c r="AM167" s="102"/>
      <c r="AN167" s="102"/>
      <c r="AO167" s="99"/>
      <c r="AP167" s="99"/>
      <c r="AQ167" s="94"/>
      <c r="AR167" s="94"/>
      <c r="AS167" s="99"/>
      <c r="AT167" s="99"/>
      <c r="AU167" s="88" t="s">
        <v>3839</v>
      </c>
      <c r="AV167" s="88" t="s">
        <v>6283</v>
      </c>
      <c r="AW167" s="102"/>
      <c r="AX167" s="99"/>
      <c r="AY167" s="99"/>
      <c r="AZ167" s="99"/>
      <c r="BA167" s="99"/>
      <c r="BB167" s="102" t="s">
        <v>6284</v>
      </c>
      <c r="BC167" s="88" t="s">
        <v>6285</v>
      </c>
      <c r="BD167" s="102" t="s">
        <v>3254</v>
      </c>
      <c r="BE167" s="88" t="s">
        <v>956</v>
      </c>
      <c r="BF167" s="88" t="s">
        <v>6286</v>
      </c>
      <c r="BG167" s="88" t="s">
        <v>3713</v>
      </c>
      <c r="BH167" s="94" t="s">
        <v>5030</v>
      </c>
      <c r="BI167" s="102" t="s">
        <v>6287</v>
      </c>
      <c r="BJ167" s="99"/>
      <c r="BK167" s="102"/>
      <c r="BL167" s="102"/>
      <c r="BM167" s="99"/>
      <c r="BN167" s="99"/>
      <c r="BO167" s="102"/>
      <c r="BP167" s="99"/>
      <c r="BQ167" s="236"/>
      <c r="BR167" s="88" t="s">
        <v>6288</v>
      </c>
      <c r="BS167" s="102"/>
      <c r="BT167" s="88" t="s">
        <v>6289</v>
      </c>
      <c r="BU167" s="88" t="s">
        <v>5879</v>
      </c>
      <c r="BV167" s="102"/>
      <c r="BW167" s="102"/>
      <c r="BX167" s="99"/>
      <c r="BY167" s="88" t="s">
        <v>6290</v>
      </c>
      <c r="BZ167" s="102"/>
      <c r="CA167" s="88" t="s">
        <v>1325</v>
      </c>
      <c r="CB167" s="99"/>
      <c r="CC167" s="99"/>
      <c r="CD167" s="94"/>
      <c r="CE167" s="99"/>
      <c r="CF167" s="236"/>
      <c r="CG167" s="88" t="s">
        <v>6291</v>
      </c>
      <c r="CH167" s="88" t="s">
        <v>1859</v>
      </c>
      <c r="CI167" s="88" t="s">
        <v>5440</v>
      </c>
      <c r="CJ167" s="102"/>
      <c r="CK167" s="102"/>
      <c r="CL167" s="102"/>
      <c r="CM167" s="88" t="s">
        <v>6292</v>
      </c>
      <c r="CN167" s="88" t="s">
        <v>2300</v>
      </c>
      <c r="CO167" s="88" t="s">
        <v>6293</v>
      </c>
      <c r="CP167" s="222"/>
      <c r="CQ167" s="99"/>
      <c r="CR167" s="99"/>
      <c r="CS167" s="99"/>
      <c r="CT167" s="99"/>
      <c r="CU167" s="92"/>
      <c r="CV167" s="88" t="s">
        <v>5395</v>
      </c>
      <c r="CW167" s="102"/>
      <c r="CX167" s="88" t="s">
        <v>904</v>
      </c>
      <c r="CY167" s="88" t="s">
        <v>5181</v>
      </c>
      <c r="CZ167" s="102"/>
      <c r="DA167" s="102"/>
      <c r="DB167" s="88" t="s">
        <v>6294</v>
      </c>
      <c r="DC167" s="88" t="s">
        <v>6295</v>
      </c>
      <c r="DD167" s="99"/>
      <c r="DE167" s="99"/>
      <c r="DF167" s="99"/>
      <c r="DG167" s="99"/>
      <c r="DH167" s="236"/>
      <c r="DI167" s="102"/>
      <c r="DJ167" s="99"/>
      <c r="DK167" s="99"/>
      <c r="DL167" s="102"/>
      <c r="DM167" s="102"/>
      <c r="DN167" s="102"/>
      <c r="DO167" s="99"/>
      <c r="DP167" s="99"/>
      <c r="DQ167" s="99"/>
      <c r="DR167" s="102" t="s">
        <v>6296</v>
      </c>
      <c r="DS167" s="88" t="s">
        <v>6297</v>
      </c>
      <c r="DT167" s="99"/>
      <c r="DU167" s="102"/>
      <c r="DV167" s="99"/>
      <c r="DW167" s="99"/>
      <c r="DX167" s="99"/>
      <c r="DY167" s="99"/>
      <c r="DZ167" s="99"/>
      <c r="EA167" s="102"/>
      <c r="EB167" s="99"/>
      <c r="EC167" s="99"/>
      <c r="ED167" s="261"/>
    </row>
    <row r="168">
      <c r="A168" s="700" t="s">
        <v>6298</v>
      </c>
      <c r="B168" s="104" t="s">
        <v>6299</v>
      </c>
      <c r="C168" s="105" t="s">
        <v>1256</v>
      </c>
      <c r="D168" s="106" t="s">
        <v>1256</v>
      </c>
      <c r="E168" s="107" t="s">
        <v>1256</v>
      </c>
      <c r="F168" s="108" t="s">
        <v>334</v>
      </c>
      <c r="G168" s="104" t="s">
        <v>6245</v>
      </c>
      <c r="H168" s="680" t="s">
        <v>3579</v>
      </c>
      <c r="I168" s="243" t="s">
        <v>6300</v>
      </c>
      <c r="J168" s="243" t="s">
        <v>450</v>
      </c>
      <c r="K168" s="243" t="s">
        <v>4375</v>
      </c>
      <c r="L168" s="243" t="s">
        <v>2842</v>
      </c>
      <c r="M168" s="243" t="s">
        <v>6301</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5591</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6302</v>
      </c>
      <c r="CP168" s="256"/>
      <c r="CQ168" s="264"/>
      <c r="CR168" s="256"/>
      <c r="CS168" s="256"/>
      <c r="CT168" s="256"/>
      <c r="CU168" s="92"/>
      <c r="CV168" s="257"/>
      <c r="CW168" s="257"/>
      <c r="CX168" s="257" t="s">
        <v>5173</v>
      </c>
      <c r="CY168" s="257" t="s">
        <v>3500</v>
      </c>
      <c r="CZ168" s="257"/>
      <c r="DA168" s="257"/>
      <c r="DB168" s="703" t="s">
        <v>6303</v>
      </c>
      <c r="DC168" s="233" t="s">
        <v>6164</v>
      </c>
      <c r="DD168" s="257"/>
      <c r="DE168" s="285"/>
      <c r="DF168" s="233"/>
      <c r="DG168" s="257"/>
      <c r="DH168" s="258"/>
      <c r="DI168" s="259"/>
      <c r="DJ168" s="259"/>
      <c r="DK168" s="259"/>
      <c r="DL168" s="259"/>
      <c r="DM168" s="259"/>
      <c r="DN168" s="259"/>
      <c r="DO168" s="259"/>
      <c r="DP168" s="259"/>
      <c r="DQ168" s="259"/>
      <c r="DR168" s="259"/>
      <c r="DS168" s="259" t="s">
        <v>6304</v>
      </c>
      <c r="DT168" s="259"/>
      <c r="DU168" s="259"/>
      <c r="DV168" s="259"/>
      <c r="DW168" s="259"/>
      <c r="DX168" s="259"/>
      <c r="DY168" s="259"/>
      <c r="DZ168" s="259"/>
      <c r="EA168" s="259"/>
      <c r="EB168" s="259"/>
      <c r="EC168" s="259"/>
      <c r="ED168" s="287"/>
    </row>
    <row r="169">
      <c r="A169" s="81" t="s">
        <v>6305</v>
      </c>
      <c r="B169" s="82" t="s">
        <v>6306</v>
      </c>
      <c r="C169" s="83" t="s">
        <v>1256</v>
      </c>
      <c r="D169" s="84" t="s">
        <v>1256</v>
      </c>
      <c r="E169" s="85" t="s">
        <v>1256</v>
      </c>
      <c r="F169" s="86" t="s">
        <v>546</v>
      </c>
      <c r="G169" s="82" t="s">
        <v>646</v>
      </c>
      <c r="H169" s="673"/>
      <c r="I169" s="99"/>
      <c r="J169" s="99"/>
      <c r="K169" s="94" t="s">
        <v>6307</v>
      </c>
      <c r="L169" s="94" t="s">
        <v>6308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5151</v>
      </c>
      <c r="CH169" s="99"/>
      <c r="CI169" s="99"/>
      <c r="CJ169" s="94" t="s">
        <v>6309</v>
      </c>
      <c r="CK169" s="94"/>
      <c r="CL169" s="94"/>
      <c r="CM169" s="99"/>
      <c r="CN169" s="99"/>
      <c r="CO169" s="99"/>
      <c r="CP169" s="99"/>
      <c r="CQ169" s="99"/>
      <c r="CR169" s="99"/>
      <c r="CS169" s="99"/>
      <c r="CT169" s="99"/>
      <c r="CU169" s="92"/>
      <c r="CV169" s="94" t="s">
        <v>6310</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6311</v>
      </c>
      <c r="B170" s="104" t="s">
        <v>6312</v>
      </c>
      <c r="C170" s="105" t="s">
        <v>1256</v>
      </c>
      <c r="D170" s="106" t="s">
        <v>1256</v>
      </c>
      <c r="E170" s="107" t="s">
        <v>1256</v>
      </c>
      <c r="F170" s="108" t="s">
        <v>546</v>
      </c>
      <c r="G170" s="104" t="s">
        <v>6313</v>
      </c>
      <c r="H170" s="243"/>
      <c r="I170" s="196" t="s">
        <v>6314</v>
      </c>
      <c r="J170" s="167" t="s">
        <v>6230</v>
      </c>
      <c r="K170" s="167" t="s">
        <v>3107</v>
      </c>
      <c r="L170" s="167" t="s">
        <v>5741</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4892</v>
      </c>
      <c r="AD170" s="198" t="s">
        <v>6144</v>
      </c>
      <c r="AE170" s="246"/>
      <c r="AF170" s="246"/>
      <c r="AG170" s="198" t="s">
        <v>2721</v>
      </c>
      <c r="AH170" s="246"/>
      <c r="AI170" s="246"/>
      <c r="AJ170" s="246"/>
      <c r="AK170" s="246"/>
      <c r="AL170" s="97"/>
      <c r="AM170" s="247"/>
      <c r="AN170" s="247"/>
      <c r="AO170" s="247"/>
      <c r="AP170" s="247"/>
      <c r="AQ170" s="247"/>
      <c r="AR170" s="247"/>
      <c r="AS170" s="247"/>
      <c r="AT170" s="247"/>
      <c r="AU170" s="168" t="s">
        <v>6315</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5471</v>
      </c>
      <c r="CX170" s="204" t="s">
        <v>5396</v>
      </c>
      <c r="CY170" s="257"/>
      <c r="CZ170" s="204"/>
      <c r="DA170" s="257"/>
      <c r="DB170" s="204" t="s">
        <v>6316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6317</v>
      </c>
      <c r="B171" s="82" t="s">
        <v>6318</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6320</v>
      </c>
      <c r="B172" s="104" t="s">
        <v>6321</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6322</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6324</v>
      </c>
      <c r="B173" s="82" t="s">
        <v>6325</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6326</v>
      </c>
      <c r="B174" s="104" t="s">
        <v>6327</v>
      </c>
      <c r="C174" s="105" t="s">
        <v>1256</v>
      </c>
      <c r="D174" s="106" t="s">
        <v>1256</v>
      </c>
      <c r="E174" s="107" t="s">
        <v>1256</v>
      </c>
      <c r="F174" s="108" t="s">
        <v>1256</v>
      </c>
      <c r="G174" s="104" t="s">
        <v>4674</v>
      </c>
      <c r="H174" s="167"/>
      <c r="I174" s="167" t="s">
        <v>6328</v>
      </c>
      <c r="J174" s="167" t="s">
        <v>3020</v>
      </c>
      <c r="K174" s="167" t="s">
        <v>753</v>
      </c>
      <c r="L174" s="167" t="s">
        <v>6329</v>
      </c>
      <c r="M174" s="167" t="s">
        <v>6330</v>
      </c>
      <c r="N174" s="167" t="s">
        <v>6331</v>
      </c>
      <c r="O174" s="167" t="s">
        <v>6332</v>
      </c>
      <c r="P174" s="167" t="s">
        <v>1876</v>
      </c>
      <c r="Q174" s="243"/>
      <c r="R174" s="243"/>
      <c r="S174" s="243"/>
      <c r="T174" s="243"/>
      <c r="U174" s="243"/>
      <c r="V174" s="243"/>
      <c r="W174" s="92"/>
      <c r="X174" s="198" t="s">
        <v>6333</v>
      </c>
      <c r="Y174" s="198"/>
      <c r="Z174" s="198"/>
      <c r="AA174" s="198" t="s">
        <v>6247</v>
      </c>
      <c r="AB174" s="246"/>
      <c r="AC174" s="198" t="s">
        <v>6334</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6335</v>
      </c>
      <c r="BC174" s="174" t="s">
        <v>789</v>
      </c>
      <c r="BD174" s="174" t="s">
        <v>911</v>
      </c>
      <c r="BE174" s="174" t="s">
        <v>3670</v>
      </c>
      <c r="BF174" s="174" t="s">
        <v>6336</v>
      </c>
      <c r="BG174" s="173"/>
      <c r="BH174" s="173"/>
      <c r="BI174" s="174" t="s">
        <v>3269</v>
      </c>
      <c r="BJ174" s="173"/>
      <c r="BK174" s="173"/>
      <c r="BL174" s="174" t="s">
        <v>529</v>
      </c>
      <c r="BM174" s="173"/>
      <c r="BN174" s="173"/>
      <c r="BO174" s="173"/>
      <c r="BP174" s="173"/>
      <c r="BQ174" s="249"/>
      <c r="BR174" s="175" t="s">
        <v>6337</v>
      </c>
      <c r="BS174" s="175" t="s">
        <v>6338</v>
      </c>
      <c r="BT174" s="175" t="s">
        <v>949</v>
      </c>
      <c r="BU174" s="175" t="s">
        <v>535</v>
      </c>
      <c r="BV174" s="175" t="s">
        <v>6339</v>
      </c>
      <c r="BW174" s="175" t="s">
        <v>1286</v>
      </c>
      <c r="BX174" s="253"/>
      <c r="BY174" s="253"/>
      <c r="BZ174" s="253"/>
      <c r="CA174" s="175" t="s">
        <v>889</v>
      </c>
      <c r="CB174" s="253"/>
      <c r="CC174" s="253"/>
      <c r="CD174" s="253"/>
      <c r="CE174" s="253"/>
      <c r="CF174" s="254"/>
      <c r="CG174" s="177" t="s">
        <v>4710</v>
      </c>
      <c r="CH174" s="177" t="s">
        <v>189</v>
      </c>
      <c r="CI174" s="256"/>
      <c r="CJ174" s="256"/>
      <c r="CK174" s="256"/>
      <c r="CL174" s="256"/>
      <c r="CM174" s="256"/>
      <c r="CN174" s="177" t="s">
        <v>4638</v>
      </c>
      <c r="CO174" s="177" t="s">
        <v>1495</v>
      </c>
      <c r="CP174" s="256"/>
      <c r="CQ174" s="256"/>
      <c r="CR174" s="256"/>
      <c r="CS174" s="256"/>
      <c r="CT174" s="256"/>
      <c r="CU174" s="92"/>
      <c r="CV174" s="204" t="s">
        <v>5177</v>
      </c>
      <c r="CW174" s="257"/>
      <c r="CX174" s="204" t="s">
        <v>6340</v>
      </c>
      <c r="CY174" s="204" t="s">
        <v>3109</v>
      </c>
      <c r="CZ174" s="204" t="s">
        <v>6341</v>
      </c>
      <c r="DA174" s="204" t="s">
        <v>6180</v>
      </c>
      <c r="DB174" s="204" t="s">
        <v>6342</v>
      </c>
      <c r="DC174" s="204" t="s">
        <v>6343</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6344</v>
      </c>
      <c r="B175" s="82" t="s">
        <v>6345</v>
      </c>
      <c r="C175" s="83" t="s">
        <v>546</v>
      </c>
      <c r="D175" s="84" t="s">
        <v>1256</v>
      </c>
      <c r="E175" s="85" t="s">
        <v>1256</v>
      </c>
      <c r="F175" s="86" t="s">
        <v>546</v>
      </c>
      <c r="G175" s="82" t="s">
        <v>4050</v>
      </c>
      <c r="H175" s="712" t="s">
        <v>3006</v>
      </c>
      <c r="I175" s="712" t="s">
        <v>6346</v>
      </c>
      <c r="J175" s="712" t="s">
        <v>6347</v>
      </c>
      <c r="K175" s="712" t="s">
        <v>753</v>
      </c>
      <c r="L175" s="712" t="s">
        <v>906</v>
      </c>
      <c r="M175" s="713"/>
      <c r="N175" s="712" t="s">
        <v>6348</v>
      </c>
      <c r="O175" s="712" t="s">
        <v>5842</v>
      </c>
      <c r="P175" s="712" t="s">
        <v>5419</v>
      </c>
      <c r="Q175" s="713"/>
      <c r="R175" s="713"/>
      <c r="S175" s="713"/>
      <c r="T175" s="713"/>
      <c r="U175" s="713"/>
      <c r="V175" s="713"/>
      <c r="W175" s="714"/>
      <c r="X175" s="712" t="s">
        <v>6349</v>
      </c>
      <c r="Y175" s="712"/>
      <c r="Z175" s="715" t="s">
        <v>380</v>
      </c>
      <c r="AA175" s="715" t="s">
        <v>866</v>
      </c>
      <c r="AB175" s="715" t="s">
        <v>3896</v>
      </c>
      <c r="AC175" s="712" t="s">
        <v>6350</v>
      </c>
      <c r="AD175" s="715" t="s">
        <v>6351</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6352</v>
      </c>
      <c r="CI175" s="713"/>
      <c r="CJ175" s="713"/>
      <c r="CK175" s="713"/>
      <c r="CL175" s="713"/>
      <c r="CM175" s="713"/>
      <c r="CN175" s="713"/>
      <c r="CO175" s="713"/>
      <c r="CP175" s="713"/>
      <c r="CQ175" s="713"/>
      <c r="CR175" s="713"/>
      <c r="CS175" s="713"/>
      <c r="CT175" s="713"/>
      <c r="CU175" s="718"/>
      <c r="CV175" s="712" t="s">
        <v>5271</v>
      </c>
      <c r="CW175" s="712" t="s">
        <v>2472</v>
      </c>
      <c r="CX175" s="712" t="s">
        <v>5174</v>
      </c>
      <c r="CY175" s="713"/>
      <c r="CZ175" s="713"/>
      <c r="DA175" s="713"/>
      <c r="DB175" s="712" t="s">
        <v>6353</v>
      </c>
      <c r="DC175" s="715" t="s">
        <v>5832</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6354</v>
      </c>
      <c r="B176" s="104" t="s">
        <v>6355</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6356</v>
      </c>
      <c r="B177" s="82" t="s">
        <v>6357</v>
      </c>
      <c r="C177" s="83" t="s">
        <v>1256</v>
      </c>
      <c r="D177" s="84" t="s">
        <v>1256</v>
      </c>
      <c r="E177" s="85" t="s">
        <v>1256</v>
      </c>
      <c r="F177" s="86" t="s">
        <v>438</v>
      </c>
      <c r="G177" s="82" t="s">
        <v>438</v>
      </c>
      <c r="H177" s="102"/>
      <c r="I177" s="95"/>
      <c r="J177" s="102"/>
      <c r="K177" s="102"/>
      <c r="L177" s="102"/>
      <c r="M177" s="102"/>
      <c r="N177" s="102"/>
      <c r="O177" s="102"/>
      <c r="P177" s="88" t="s">
        <v>5419</v>
      </c>
      <c r="Q177" s="99"/>
      <c r="R177" s="99"/>
      <c r="S177" s="99"/>
      <c r="T177" s="99"/>
      <c r="U177" s="99"/>
      <c r="V177" s="99"/>
      <c r="W177" s="92"/>
      <c r="X177" s="88" t="s">
        <v>6358</v>
      </c>
      <c r="Y177" s="102"/>
      <c r="Z177" s="102"/>
      <c r="AA177" s="88" t="s">
        <v>4862</v>
      </c>
      <c r="AB177" s="267"/>
      <c r="AC177" s="102"/>
      <c r="AD177" s="102"/>
      <c r="AE177" s="99"/>
      <c r="AF177" s="102"/>
      <c r="AG177" s="88" t="s">
        <v>6359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6360</v>
      </c>
      <c r="B178" s="104" t="s">
        <v>6361</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6363</v>
      </c>
      <c r="B179" s="82" t="s">
        <v>6364</v>
      </c>
      <c r="C179" s="83" t="s">
        <v>1256</v>
      </c>
      <c r="D179" s="84" t="s">
        <v>1256</v>
      </c>
      <c r="E179" s="85" t="s">
        <v>1256</v>
      </c>
      <c r="F179" s="86" t="s">
        <v>1256</v>
      </c>
      <c r="G179" s="82" t="s">
        <v>222</v>
      </c>
      <c r="H179" s="99"/>
      <c r="I179" s="99"/>
      <c r="J179" s="162" t="s">
        <v>6127</v>
      </c>
      <c r="K179" s="99"/>
      <c r="L179" s="94" t="s">
        <v>6365</v>
      </c>
      <c r="M179" s="99"/>
      <c r="N179" s="94" t="s">
        <v>5137</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6366</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6367</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6368</v>
      </c>
      <c r="DH179" s="236"/>
      <c r="DI179" s="99"/>
      <c r="DJ179" s="99"/>
      <c r="DK179" s="99"/>
      <c r="DL179" s="99"/>
      <c r="DM179" s="99"/>
      <c r="DN179" s="99"/>
      <c r="DO179" s="99"/>
      <c r="DP179" s="99"/>
      <c r="DQ179" s="99"/>
      <c r="DR179" s="99"/>
      <c r="DS179" s="99"/>
      <c r="DT179" s="99"/>
      <c r="DU179" s="99"/>
      <c r="DV179" s="99"/>
      <c r="DW179" s="99"/>
      <c r="DX179" s="99"/>
      <c r="DY179" s="99"/>
      <c r="DZ179" s="99"/>
      <c r="EA179" s="94" t="s">
        <v>6194</v>
      </c>
      <c r="EB179" s="99"/>
      <c r="EC179" s="99"/>
      <c r="ED179" s="340"/>
    </row>
    <row r="180">
      <c r="A180" s="166" t="s">
        <v>6369</v>
      </c>
      <c r="B180" s="104" t="s">
        <v>6370</v>
      </c>
      <c r="C180" s="105" t="s">
        <v>1256</v>
      </c>
      <c r="D180" s="106" t="s">
        <v>1256</v>
      </c>
      <c r="E180" s="107" t="s">
        <v>1256</v>
      </c>
      <c r="F180" s="108" t="s">
        <v>1256</v>
      </c>
      <c r="G180" s="104" t="s">
        <v>4947</v>
      </c>
      <c r="H180" s="243"/>
      <c r="I180" s="167" t="s">
        <v>6371</v>
      </c>
      <c r="J180" s="167" t="s">
        <v>5107</v>
      </c>
      <c r="K180" s="167" t="s">
        <v>2387</v>
      </c>
      <c r="L180" s="167" t="s">
        <v>4101</v>
      </c>
      <c r="M180" s="167" t="s">
        <v>6372</v>
      </c>
      <c r="N180" s="243"/>
      <c r="O180" s="167" t="s">
        <v>1861</v>
      </c>
      <c r="P180" s="167" t="s">
        <v>6373</v>
      </c>
      <c r="Q180" s="243"/>
      <c r="R180" s="243"/>
      <c r="S180" s="243"/>
      <c r="T180" s="243"/>
      <c r="U180" s="243"/>
      <c r="V180" s="243"/>
      <c r="W180" s="92"/>
      <c r="X180" s="198" t="s">
        <v>4440</v>
      </c>
      <c r="Y180" s="198"/>
      <c r="Z180" s="198" t="s">
        <v>5736</v>
      </c>
      <c r="AA180" s="198" t="s">
        <v>4473</v>
      </c>
      <c r="AB180" s="198" t="s">
        <v>6374</v>
      </c>
      <c r="AC180" s="198" t="s">
        <v>6375</v>
      </c>
      <c r="AD180" s="198" t="s">
        <v>4710</v>
      </c>
      <c r="AE180" s="246"/>
      <c r="AF180" s="198" t="s">
        <v>6376</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6377</v>
      </c>
      <c r="BF180" s="174" t="s">
        <v>6378</v>
      </c>
      <c r="BG180" s="173"/>
      <c r="BH180" s="173"/>
      <c r="BI180" s="174" t="s">
        <v>6379</v>
      </c>
      <c r="BJ180" s="174" t="s">
        <v>6380</v>
      </c>
      <c r="BK180" s="174"/>
      <c r="BL180" s="174" t="s">
        <v>537</v>
      </c>
      <c r="BM180" s="173"/>
      <c r="BN180" s="173"/>
      <c r="BO180" s="173"/>
      <c r="BP180" s="173"/>
      <c r="BQ180" s="249"/>
      <c r="BR180" s="175"/>
      <c r="BS180" s="253"/>
      <c r="BT180" s="175" t="s">
        <v>6381</v>
      </c>
      <c r="BU180" s="175" t="s">
        <v>6382</v>
      </c>
      <c r="BV180" s="253"/>
      <c r="BW180" s="175" t="s">
        <v>409</v>
      </c>
      <c r="BX180" s="175" t="s">
        <v>5962</v>
      </c>
      <c r="BY180" s="175" t="s">
        <v>2838</v>
      </c>
      <c r="BZ180" s="253"/>
      <c r="CA180" s="175" t="s">
        <v>2083</v>
      </c>
      <c r="CB180" s="253"/>
      <c r="CC180" s="253"/>
      <c r="CD180" s="253"/>
      <c r="CE180" s="253"/>
      <c r="CF180" s="254"/>
      <c r="CG180" s="177" t="s">
        <v>4950</v>
      </c>
      <c r="CH180" s="177" t="s">
        <v>2524</v>
      </c>
      <c r="CI180" s="177" t="s">
        <v>2623</v>
      </c>
      <c r="CJ180" s="177" t="s">
        <v>6383</v>
      </c>
      <c r="CK180" s="177"/>
      <c r="CL180" s="177" t="s">
        <v>2763</v>
      </c>
      <c r="CM180" s="256"/>
      <c r="CN180" s="177" t="s">
        <v>3276</v>
      </c>
      <c r="CO180" s="177" t="s">
        <v>3326</v>
      </c>
      <c r="CP180" s="256"/>
      <c r="CQ180" s="256"/>
      <c r="CR180" s="256"/>
      <c r="CS180" s="256"/>
      <c r="CT180" s="256"/>
      <c r="CU180" s="92"/>
      <c r="CV180" s="204" t="s">
        <v>5928</v>
      </c>
      <c r="CW180" s="204" t="s">
        <v>6384</v>
      </c>
      <c r="CX180" s="204" t="s">
        <v>2031</v>
      </c>
      <c r="CY180" s="257"/>
      <c r="CZ180" s="257"/>
      <c r="DA180" s="257"/>
      <c r="DB180" s="204" t="s">
        <v>6385</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6386</v>
      </c>
      <c r="B181" s="82" t="s">
        <v>6387</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6388</v>
      </c>
      <c r="B182" s="104" t="s">
        <v>6389</v>
      </c>
      <c r="C182" s="105" t="s">
        <v>1256</v>
      </c>
      <c r="D182" s="106" t="s">
        <v>1256</v>
      </c>
      <c r="E182" s="107" t="s">
        <v>1256</v>
      </c>
      <c r="F182" s="108" t="s">
        <v>981</v>
      </c>
      <c r="G182" s="104" t="s">
        <v>1058</v>
      </c>
      <c r="H182" s="167" t="s">
        <v>2631</v>
      </c>
      <c r="I182" s="243"/>
      <c r="J182" s="167" t="s">
        <v>6390</v>
      </c>
      <c r="K182" s="112" t="s">
        <v>4989</v>
      </c>
      <c r="L182" s="275" t="s">
        <v>3453</v>
      </c>
      <c r="M182" s="243"/>
      <c r="N182" s="243"/>
      <c r="O182" s="243"/>
      <c r="P182" s="167" t="s">
        <v>6391</v>
      </c>
      <c r="Q182" s="243"/>
      <c r="R182" s="243"/>
      <c r="S182" s="243"/>
      <c r="T182" s="243"/>
      <c r="U182" s="243"/>
      <c r="V182" s="243"/>
      <c r="W182" s="92"/>
      <c r="X182" s="116" t="s">
        <v>6392</v>
      </c>
      <c r="Y182" s="198"/>
      <c r="Z182" s="198" t="s">
        <v>1681</v>
      </c>
      <c r="AA182" s="116" t="s">
        <v>5273</v>
      </c>
      <c r="AB182" s="246"/>
      <c r="AC182" s="198" t="s">
        <v>5000</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6393</v>
      </c>
      <c r="AW182" s="247"/>
      <c r="AX182" s="247"/>
      <c r="AY182" s="247"/>
      <c r="AZ182" s="247"/>
      <c r="BA182" s="247"/>
      <c r="BB182" s="173"/>
      <c r="BC182" s="174" t="s">
        <v>852</v>
      </c>
      <c r="BD182" s="174" t="s">
        <v>533</v>
      </c>
      <c r="BE182" s="174" t="s">
        <v>6394</v>
      </c>
      <c r="BF182" s="173"/>
      <c r="BG182" s="174" t="s">
        <v>4695</v>
      </c>
      <c r="BH182" s="174" t="s">
        <v>6395</v>
      </c>
      <c r="BI182" s="174" t="s">
        <v>6396</v>
      </c>
      <c r="BJ182" s="173"/>
      <c r="BK182" s="173"/>
      <c r="BL182" s="173"/>
      <c r="BM182" s="173"/>
      <c r="BN182" s="173"/>
      <c r="BO182" s="173"/>
      <c r="BP182" s="173"/>
      <c r="BQ182" s="249"/>
      <c r="BR182" s="253"/>
      <c r="BS182" s="253"/>
      <c r="BT182" s="253"/>
      <c r="BU182" s="175" t="s">
        <v>3457</v>
      </c>
      <c r="BV182" s="253"/>
      <c r="BW182" s="129" t="s">
        <v>4992</v>
      </c>
      <c r="BX182" s="253"/>
      <c r="BY182" s="253"/>
      <c r="BZ182" s="253"/>
      <c r="CA182" s="129" t="s">
        <v>4829</v>
      </c>
      <c r="CB182" s="253"/>
      <c r="CC182" s="253"/>
      <c r="CD182" s="253"/>
      <c r="CE182" s="253"/>
      <c r="CF182" s="254"/>
      <c r="CG182" s="135" t="s">
        <v>6397</v>
      </c>
      <c r="CH182" s="177" t="s">
        <v>6398</v>
      </c>
      <c r="CI182" s="256"/>
      <c r="CJ182" s="256"/>
      <c r="CK182" s="256"/>
      <c r="CL182" s="256"/>
      <c r="CM182" s="256"/>
      <c r="CN182" s="135" t="s">
        <v>5122</v>
      </c>
      <c r="CO182" s="135" t="s">
        <v>6399</v>
      </c>
      <c r="CP182" s="256"/>
      <c r="CQ182" s="256"/>
      <c r="CR182" s="256"/>
      <c r="CS182" s="256"/>
      <c r="CT182" s="256"/>
      <c r="CU182" s="92"/>
      <c r="CV182" s="285" t="s">
        <v>6400</v>
      </c>
      <c r="CW182" s="204" t="s">
        <v>240</v>
      </c>
      <c r="CX182" s="257"/>
      <c r="CY182" s="257"/>
      <c r="CZ182" s="257"/>
      <c r="DA182" s="257"/>
      <c r="DB182" s="140" t="s">
        <v>6401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6402</v>
      </c>
      <c r="B183" s="82" t="s">
        <v>6403</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6404</v>
      </c>
      <c r="BY183" s="99"/>
      <c r="BZ183" s="99"/>
      <c r="CA183" s="99"/>
      <c r="CB183" s="99"/>
      <c r="CC183" s="99"/>
      <c r="CD183" s="99"/>
      <c r="CE183" s="99"/>
      <c r="CF183" s="236"/>
      <c r="CG183" s="99"/>
      <c r="CH183" s="99"/>
      <c r="CI183" s="99"/>
      <c r="CJ183" s="89" t="s">
        <v>2664</v>
      </c>
      <c r="CK183" s="87" t="s">
        <v>6405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6406</v>
      </c>
      <c r="B184" s="104" t="s">
        <v>6407</v>
      </c>
      <c r="C184" s="105" t="s">
        <v>1256</v>
      </c>
      <c r="D184" s="106" t="s">
        <v>1256</v>
      </c>
      <c r="E184" s="107" t="s">
        <v>1256</v>
      </c>
      <c r="F184" s="108" t="s">
        <v>1256</v>
      </c>
      <c r="G184" s="104" t="s">
        <v>1811</v>
      </c>
      <c r="H184" s="167" t="s">
        <v>6408</v>
      </c>
      <c r="I184" s="167" t="s">
        <v>6409</v>
      </c>
      <c r="J184" s="167" t="s">
        <v>617</v>
      </c>
      <c r="K184" s="167" t="s">
        <v>2656</v>
      </c>
      <c r="L184" s="167" t="s">
        <v>2948</v>
      </c>
      <c r="M184" s="167" t="s">
        <v>6410</v>
      </c>
      <c r="N184" s="167" t="s">
        <v>6411</v>
      </c>
      <c r="O184" s="167" t="s">
        <v>847</v>
      </c>
      <c r="P184" s="167" t="s">
        <v>494</v>
      </c>
      <c r="Q184" s="167"/>
      <c r="R184" s="167"/>
      <c r="S184" s="167"/>
      <c r="T184" s="167"/>
      <c r="U184" s="167"/>
      <c r="V184" s="167"/>
      <c r="W184" s="92"/>
      <c r="X184" s="198" t="s">
        <v>6412</v>
      </c>
      <c r="Y184" s="198"/>
      <c r="Z184" s="198" t="s">
        <v>5208</v>
      </c>
      <c r="AA184" s="198" t="s">
        <v>138</v>
      </c>
      <c r="AB184" s="198" t="s">
        <v>2692</v>
      </c>
      <c r="AC184" s="198" t="s">
        <v>5987</v>
      </c>
      <c r="AD184" s="198" t="s">
        <v>6413</v>
      </c>
      <c r="AE184" s="198" t="s">
        <v>4124</v>
      </c>
      <c r="AF184" s="198" t="s">
        <v>6414</v>
      </c>
      <c r="AG184" s="198" t="s">
        <v>370</v>
      </c>
      <c r="AH184" s="198"/>
      <c r="AI184" s="198"/>
      <c r="AJ184" s="198"/>
      <c r="AK184" s="198"/>
      <c r="AL184" s="97"/>
      <c r="AM184" s="168"/>
      <c r="AN184" s="168"/>
      <c r="AO184" s="168"/>
      <c r="AP184" s="168"/>
      <c r="AQ184" s="168"/>
      <c r="AR184" s="168"/>
      <c r="AS184" s="168"/>
      <c r="AT184" s="168"/>
      <c r="AU184" s="168" t="s">
        <v>6415</v>
      </c>
      <c r="AV184" s="168" t="s">
        <v>1372</v>
      </c>
      <c r="AW184" s="168"/>
      <c r="AX184" s="168"/>
      <c r="AY184" s="168"/>
      <c r="AZ184" s="168"/>
      <c r="BA184" s="168"/>
      <c r="BB184" s="174" t="s">
        <v>6416</v>
      </c>
      <c r="BC184" s="174" t="s">
        <v>4255</v>
      </c>
      <c r="BD184" s="174" t="s">
        <v>3768</v>
      </c>
      <c r="BE184" s="174" t="s">
        <v>6417</v>
      </c>
      <c r="BF184" s="174" t="s">
        <v>6418</v>
      </c>
      <c r="BG184" s="174" t="s">
        <v>6419</v>
      </c>
      <c r="BH184" s="174" t="s">
        <v>5163</v>
      </c>
      <c r="BI184" s="174" t="s">
        <v>6420</v>
      </c>
      <c r="BJ184" s="173"/>
      <c r="BK184" s="173"/>
      <c r="BL184" s="173"/>
      <c r="BM184" s="174"/>
      <c r="BN184" s="174"/>
      <c r="BO184" s="174"/>
      <c r="BP184" s="174"/>
      <c r="BQ184" s="296"/>
      <c r="BR184" s="175"/>
      <c r="BS184" s="253"/>
      <c r="BT184" s="722" t="s">
        <v>6421</v>
      </c>
      <c r="BU184" s="175" t="s">
        <v>6422</v>
      </c>
      <c r="BV184" s="722"/>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6208</v>
      </c>
      <c r="CY184" s="257"/>
      <c r="CZ184" s="204" t="s">
        <v>6423</v>
      </c>
      <c r="DA184" s="257"/>
      <c r="DB184" s="257"/>
      <c r="DC184" s="257"/>
      <c r="DD184" s="257"/>
      <c r="DE184" s="257"/>
      <c r="DF184" s="257"/>
      <c r="DG184" s="257"/>
      <c r="DH184" s="258"/>
      <c r="DI184" s="205" t="s">
        <v>3285</v>
      </c>
      <c r="DJ184" s="259"/>
      <c r="DK184" s="259"/>
      <c r="DL184" s="259"/>
      <c r="DM184" s="259"/>
      <c r="DN184" s="259"/>
      <c r="DO184" s="259"/>
      <c r="DP184" s="259"/>
      <c r="DQ184" s="259"/>
      <c r="DR184" s="205" t="s">
        <v>6424</v>
      </c>
      <c r="DS184" s="205"/>
      <c r="DT184" s="723"/>
      <c r="DU184" s="259"/>
      <c r="DV184" s="259"/>
      <c r="DW184" s="259"/>
      <c r="DX184" s="259"/>
      <c r="DY184" s="259"/>
      <c r="DZ184" s="259"/>
      <c r="EA184" s="259"/>
      <c r="EB184" s="259"/>
      <c r="EC184" s="259"/>
      <c r="ED184" s="287"/>
    </row>
    <row r="185">
      <c r="A185" s="81" t="s">
        <v>6425</v>
      </c>
      <c r="B185" s="82" t="s">
        <v>6426</v>
      </c>
      <c r="C185" s="83" t="s">
        <v>1256</v>
      </c>
      <c r="D185" s="84" t="s">
        <v>1256</v>
      </c>
      <c r="E185" s="85" t="s">
        <v>1256</v>
      </c>
      <c r="F185" s="86" t="s">
        <v>1256</v>
      </c>
      <c r="G185" s="82" t="s">
        <v>2649</v>
      </c>
      <c r="H185" s="99"/>
      <c r="I185" s="94" t="s">
        <v>6427</v>
      </c>
      <c r="J185" s="94" t="s">
        <v>302</v>
      </c>
      <c r="K185" s="94" t="s">
        <v>125</v>
      </c>
      <c r="L185" s="94" t="s">
        <v>4022</v>
      </c>
      <c r="M185" s="94" t="s">
        <v>6428</v>
      </c>
      <c r="N185" s="99"/>
      <c r="O185" s="94" t="s">
        <v>3596</v>
      </c>
      <c r="P185" s="94" t="s">
        <v>1617</v>
      </c>
      <c r="Q185" s="99"/>
      <c r="R185" s="99"/>
      <c r="S185" s="99"/>
      <c r="T185" s="99"/>
      <c r="U185" s="99"/>
      <c r="V185" s="99"/>
      <c r="W185" s="92"/>
      <c r="X185" s="94" t="s">
        <v>6429</v>
      </c>
      <c r="Y185" s="94"/>
      <c r="Z185" s="94" t="s">
        <v>3620</v>
      </c>
      <c r="AA185" s="94" t="s">
        <v>390</v>
      </c>
      <c r="AB185" s="99"/>
      <c r="AC185" s="94" t="s">
        <v>6430</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5039</v>
      </c>
      <c r="BD185" s="99"/>
      <c r="BE185" s="94" t="s">
        <v>5712</v>
      </c>
      <c r="BF185" s="99"/>
      <c r="BG185" s="99"/>
      <c r="BH185" s="99"/>
      <c r="BI185" s="94" t="s">
        <v>770</v>
      </c>
      <c r="BJ185" s="99"/>
      <c r="BK185" s="94" t="s">
        <v>6431</v>
      </c>
      <c r="BL185" s="94" t="s">
        <v>987</v>
      </c>
      <c r="BM185" s="99"/>
      <c r="BN185" s="99"/>
      <c r="BO185" s="99"/>
      <c r="BP185" s="99"/>
      <c r="BQ185" s="236"/>
      <c r="BR185" s="99"/>
      <c r="BS185" s="99"/>
      <c r="BT185" s="99"/>
      <c r="BU185" s="94" t="s">
        <v>970</v>
      </c>
      <c r="BV185" s="99"/>
      <c r="BW185" s="99"/>
      <c r="BX185" s="99"/>
      <c r="BY185" s="94" t="s">
        <v>6432</v>
      </c>
      <c r="BZ185" s="94" t="s">
        <v>6433</v>
      </c>
      <c r="CA185" s="94" t="s">
        <v>3861</v>
      </c>
      <c r="CB185" s="99"/>
      <c r="CC185" s="99"/>
      <c r="CD185" s="99"/>
      <c r="CE185" s="99"/>
      <c r="CF185" s="236"/>
      <c r="CG185" s="94" t="s">
        <v>6434</v>
      </c>
      <c r="CH185" s="94" t="s">
        <v>3499</v>
      </c>
      <c r="CI185" s="94" t="s">
        <v>754</v>
      </c>
      <c r="CJ185" s="94" t="s">
        <v>6435</v>
      </c>
      <c r="CK185" s="94"/>
      <c r="CL185" s="94"/>
      <c r="CM185" s="99"/>
      <c r="CN185" s="94" t="s">
        <v>3817</v>
      </c>
      <c r="CO185" s="94" t="s">
        <v>6315</v>
      </c>
      <c r="CP185" s="99"/>
      <c r="CQ185" s="99"/>
      <c r="CR185" s="99"/>
      <c r="CS185" s="99"/>
      <c r="CT185" s="99"/>
      <c r="CU185" s="92"/>
      <c r="CV185" s="94" t="s">
        <v>5109</v>
      </c>
      <c r="CW185" s="94" t="s">
        <v>1865</v>
      </c>
      <c r="CX185" s="94" t="s">
        <v>3077</v>
      </c>
      <c r="CY185" s="94" t="s">
        <v>6436</v>
      </c>
      <c r="CZ185" s="94" t="s">
        <v>6437</v>
      </c>
      <c r="DA185" s="99"/>
      <c r="DB185" s="94" t="s">
        <v>6438</v>
      </c>
      <c r="DC185" s="94" t="s">
        <v>6439</v>
      </c>
      <c r="DD185" s="99"/>
      <c r="DE185" s="99"/>
      <c r="DF185" s="99"/>
      <c r="DG185" s="99"/>
      <c r="DH185" s="236"/>
      <c r="DI185" s="99"/>
      <c r="DJ185" s="99"/>
      <c r="DK185" s="99"/>
      <c r="DL185" s="99"/>
      <c r="DM185" s="99"/>
      <c r="DN185" s="99"/>
      <c r="DO185" s="99"/>
      <c r="DP185" s="99"/>
      <c r="DQ185" s="99"/>
      <c r="DR185" s="94" t="s">
        <v>6440</v>
      </c>
      <c r="DS185" s="94"/>
      <c r="DT185" s="99"/>
      <c r="DU185" s="99"/>
      <c r="DV185" s="99"/>
      <c r="DW185" s="99"/>
      <c r="DX185" s="99"/>
      <c r="DY185" s="99"/>
      <c r="DZ185" s="99"/>
      <c r="EA185" s="99"/>
      <c r="EB185" s="99"/>
      <c r="EC185" s="99"/>
      <c r="ED185" s="261"/>
    </row>
    <row r="186">
      <c r="A186" s="724" t="s">
        <v>6441</v>
      </c>
      <c r="B186" s="104" t="s">
        <v>6442</v>
      </c>
      <c r="C186" s="105" t="s">
        <v>1256</v>
      </c>
      <c r="D186" s="106" t="s">
        <v>1256</v>
      </c>
      <c r="E186" s="107" t="s">
        <v>1256</v>
      </c>
      <c r="F186" s="108" t="s">
        <v>1256</v>
      </c>
      <c r="G186" s="104" t="s">
        <v>2773</v>
      </c>
      <c r="H186" s="167" t="s">
        <v>6443</v>
      </c>
      <c r="I186" s="167" t="s">
        <v>6444</v>
      </c>
      <c r="J186" s="167" t="s">
        <v>1884</v>
      </c>
      <c r="K186" s="167" t="s">
        <v>6100</v>
      </c>
      <c r="L186" s="167" t="s">
        <v>6445</v>
      </c>
      <c r="M186" s="243"/>
      <c r="N186" s="243"/>
      <c r="O186" s="243"/>
      <c r="P186" s="167" t="s">
        <v>6446</v>
      </c>
      <c r="Q186" s="243"/>
      <c r="R186" s="243"/>
      <c r="S186" s="243"/>
      <c r="T186" s="243"/>
      <c r="U186" s="243"/>
      <c r="V186" s="243"/>
      <c r="W186" s="92"/>
      <c r="X186" s="246"/>
      <c r="Y186" s="246"/>
      <c r="Z186" s="246"/>
      <c r="AA186" s="198" t="s">
        <v>4230</v>
      </c>
      <c r="AB186" s="246"/>
      <c r="AC186" s="246"/>
      <c r="AD186" s="246"/>
      <c r="AE186" s="246"/>
      <c r="AF186" s="246"/>
      <c r="AG186" s="198" t="s">
        <v>6447</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5820</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5270</v>
      </c>
      <c r="CP186" s="256"/>
      <c r="CQ186" s="256"/>
      <c r="CR186" s="256"/>
      <c r="CS186" s="256"/>
      <c r="CT186" s="256"/>
      <c r="CU186" s="92"/>
      <c r="CV186" s="257"/>
      <c r="CW186" s="204" t="s">
        <v>5032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6448</v>
      </c>
      <c r="B187" s="82" t="s">
        <v>6449</v>
      </c>
      <c r="C187" s="83" t="s">
        <v>1256</v>
      </c>
      <c r="D187" s="84" t="s">
        <v>1256</v>
      </c>
      <c r="E187" s="85" t="s">
        <v>1256</v>
      </c>
      <c r="F187" s="86" t="s">
        <v>1256</v>
      </c>
      <c r="G187" s="82" t="s">
        <v>334</v>
      </c>
      <c r="H187" s="99"/>
      <c r="I187" s="99"/>
      <c r="J187" s="99"/>
      <c r="K187" s="94" t="s">
        <v>6128</v>
      </c>
      <c r="L187" s="99"/>
      <c r="M187" s="99"/>
      <c r="N187" s="99"/>
      <c r="O187" s="94" t="s">
        <v>5402</v>
      </c>
      <c r="P187" s="99"/>
      <c r="Q187" s="99"/>
      <c r="R187" s="99"/>
      <c r="S187" s="99"/>
      <c r="T187" s="99"/>
      <c r="U187" s="99"/>
      <c r="V187" s="99"/>
      <c r="W187" s="92"/>
      <c r="X187" s="94" t="s">
        <v>1285</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6450</v>
      </c>
      <c r="B188" s="104" t="s">
        <v>6451</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5073</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6453</v>
      </c>
      <c r="B189" s="82" t="s">
        <v>6454</v>
      </c>
      <c r="C189" s="83" t="s">
        <v>1256</v>
      </c>
      <c r="D189" s="84" t="s">
        <v>1256</v>
      </c>
      <c r="E189" s="85" t="s">
        <v>1256</v>
      </c>
      <c r="F189" s="86" t="s">
        <v>1256</v>
      </c>
      <c r="G189" s="82" t="s">
        <v>2872</v>
      </c>
      <c r="H189" s="102"/>
      <c r="I189" s="95"/>
      <c r="J189" s="102" t="s">
        <v>552</v>
      </c>
      <c r="K189" s="102" t="s">
        <v>6021</v>
      </c>
      <c r="L189" s="102" t="s">
        <v>6455</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5272</v>
      </c>
      <c r="AE189" s="99"/>
      <c r="AF189" s="102" t="s">
        <v>6456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6457</v>
      </c>
      <c r="BT189" s="102" t="s">
        <v>3928</v>
      </c>
      <c r="BU189" s="102"/>
      <c r="BV189" s="102" t="s">
        <v>6458</v>
      </c>
      <c r="BW189" s="102" t="s">
        <v>5820</v>
      </c>
      <c r="BX189" s="99"/>
      <c r="BY189" s="102"/>
      <c r="BZ189" s="102"/>
      <c r="CA189" s="102"/>
      <c r="CB189" s="99"/>
      <c r="CC189" s="99"/>
      <c r="CD189" s="99"/>
      <c r="CE189" s="99"/>
      <c r="CF189" s="236"/>
      <c r="CG189" s="102"/>
      <c r="CH189" s="102"/>
      <c r="CI189" s="102"/>
      <c r="CJ189" s="102" t="s">
        <v>6459</v>
      </c>
      <c r="CK189" s="102" t="s">
        <v>6460</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6461</v>
      </c>
      <c r="B190" s="104" t="s">
        <v>6462</v>
      </c>
      <c r="C190" s="105" t="s">
        <v>1256</v>
      </c>
      <c r="D190" s="106" t="s">
        <v>1256</v>
      </c>
      <c r="E190" s="107" t="s">
        <v>1256</v>
      </c>
      <c r="F190" s="108" t="s">
        <v>437</v>
      </c>
      <c r="G190" s="104" t="s">
        <v>437</v>
      </c>
      <c r="H190" s="243"/>
      <c r="I190" s="112" t="s">
        <v>6463</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6464</v>
      </c>
      <c r="B191" s="82" t="s">
        <v>6465</v>
      </c>
      <c r="C191" s="83" t="s">
        <v>1256</v>
      </c>
      <c r="D191" s="84" t="s">
        <v>1256</v>
      </c>
      <c r="E191" s="85" t="s">
        <v>1256</v>
      </c>
      <c r="F191" s="86" t="s">
        <v>546</v>
      </c>
      <c r="G191" s="82" t="s">
        <v>222</v>
      </c>
      <c r="H191" s="102"/>
      <c r="I191" s="95" t="s">
        <v>6466</v>
      </c>
      <c r="J191" s="102" t="s">
        <v>144</v>
      </c>
      <c r="K191" s="88" t="s">
        <v>5925</v>
      </c>
      <c r="L191" s="102" t="s">
        <v>4137</v>
      </c>
      <c r="M191" s="102"/>
      <c r="N191" s="102"/>
      <c r="O191" s="102" t="s">
        <v>3158</v>
      </c>
      <c r="P191" s="102" t="s">
        <v>1441</v>
      </c>
      <c r="Q191" s="99"/>
      <c r="R191" s="99"/>
      <c r="S191" s="99"/>
      <c r="T191" s="99"/>
      <c r="U191" s="99"/>
      <c r="V191" s="99"/>
      <c r="W191" s="92"/>
      <c r="X191" s="102" t="s">
        <v>4565</v>
      </c>
      <c r="Y191" s="102"/>
      <c r="Z191" s="102"/>
      <c r="AA191" s="102"/>
      <c r="AB191" s="267" t="s">
        <v>6467</v>
      </c>
      <c r="AC191" s="102" t="s">
        <v>2642</v>
      </c>
      <c r="AD191" s="102"/>
      <c r="AE191" s="99"/>
      <c r="AF191" s="102"/>
      <c r="AG191" s="102" t="s">
        <v>5419</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4729</v>
      </c>
      <c r="CY191" s="102"/>
      <c r="CZ191" s="102"/>
      <c r="DA191" s="102"/>
      <c r="DB191" s="102"/>
      <c r="DC191" s="102" t="s">
        <v>6468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6469</v>
      </c>
      <c r="B192" s="104" t="s">
        <v>6470</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6471</v>
      </c>
      <c r="B193" s="82" t="s">
        <v>6472</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6474</v>
      </c>
      <c r="B194" s="104" t="s">
        <v>6475</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4720</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6476</v>
      </c>
      <c r="CH194" s="177" t="s">
        <v>155</v>
      </c>
      <c r="CI194" s="177" t="s">
        <v>6477</v>
      </c>
      <c r="CJ194" s="256"/>
      <c r="CK194" s="256"/>
      <c r="CL194" s="256" t="s">
        <v>3449</v>
      </c>
      <c r="CM194" s="256"/>
      <c r="CN194" s="177" t="s">
        <v>4810</v>
      </c>
      <c r="CO194" s="256"/>
      <c r="CP194" s="256"/>
      <c r="CQ194" s="256"/>
      <c r="CR194" s="256"/>
      <c r="CS194" s="256"/>
      <c r="CT194" s="256"/>
      <c r="CU194" s="92"/>
      <c r="CV194" s="204" t="s">
        <v>6478</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6479</v>
      </c>
      <c r="B195" s="82" t="s">
        <v>6480</v>
      </c>
      <c r="C195" s="83" t="s">
        <v>1256</v>
      </c>
      <c r="D195" s="84" t="s">
        <v>1256</v>
      </c>
      <c r="E195" s="85" t="s">
        <v>1256</v>
      </c>
      <c r="F195" s="86" t="s">
        <v>1256</v>
      </c>
      <c r="G195" s="82" t="s">
        <v>6245</v>
      </c>
      <c r="H195" s="99"/>
      <c r="I195" s="94" t="s">
        <v>6481</v>
      </c>
      <c r="J195" s="94" t="s">
        <v>4244</v>
      </c>
      <c r="K195" s="94" t="s">
        <v>4375</v>
      </c>
      <c r="L195" s="94" t="s">
        <v>6482</v>
      </c>
      <c r="M195" s="99"/>
      <c r="N195" s="99"/>
      <c r="O195" s="94" t="s">
        <v>1221</v>
      </c>
      <c r="P195" s="99"/>
      <c r="Q195" s="99"/>
      <c r="R195" s="99"/>
      <c r="S195" s="94" t="s">
        <v>2146</v>
      </c>
      <c r="T195" s="99"/>
      <c r="U195" s="99"/>
      <c r="V195" s="99"/>
      <c r="W195" s="92"/>
      <c r="X195" s="99"/>
      <c r="Y195" s="99"/>
      <c r="Z195" s="99"/>
      <c r="AA195" s="94" t="s">
        <v>2148</v>
      </c>
      <c r="AB195" s="99"/>
      <c r="AC195" s="94" t="s">
        <v>6281</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6483</v>
      </c>
      <c r="BD195" s="162" t="s">
        <v>5348</v>
      </c>
      <c r="BE195" s="99"/>
      <c r="BF195" s="99"/>
      <c r="BG195" s="99"/>
      <c r="BH195" s="99"/>
      <c r="BI195" s="99"/>
      <c r="BJ195" s="99"/>
      <c r="BK195" s="94" t="s">
        <v>2452</v>
      </c>
      <c r="BL195" s="99"/>
      <c r="BM195" s="99"/>
      <c r="BN195" s="99"/>
      <c r="BO195" s="99"/>
      <c r="BP195" s="99"/>
      <c r="BQ195" s="236"/>
      <c r="BR195" s="99"/>
      <c r="BS195" s="99"/>
      <c r="BT195" s="99"/>
      <c r="BU195" s="94" t="s">
        <v>5580</v>
      </c>
      <c r="BV195" s="99"/>
      <c r="BW195" s="94" t="s">
        <v>6484</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6485</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6486</v>
      </c>
      <c r="DT195" s="94" t="s">
        <v>4670</v>
      </c>
      <c r="DU195" s="99"/>
      <c r="DV195" s="99"/>
      <c r="DW195" s="99"/>
      <c r="DX195" s="99"/>
      <c r="DY195" s="99"/>
      <c r="DZ195" s="99"/>
      <c r="EA195" s="99"/>
      <c r="EB195" s="99"/>
      <c r="EC195" s="99"/>
      <c r="ED195" s="261" t="s">
        <v>6487</v>
      </c>
    </row>
    <row r="196">
      <c r="A196" s="729" t="s">
        <v>6488</v>
      </c>
      <c r="B196" s="104" t="s">
        <v>6489</v>
      </c>
      <c r="C196" s="105" t="s">
        <v>1256</v>
      </c>
      <c r="D196" s="106" t="s">
        <v>546</v>
      </c>
      <c r="E196" s="107" t="s">
        <v>1256</v>
      </c>
      <c r="F196" s="108" t="s">
        <v>647</v>
      </c>
      <c r="G196" s="104" t="s">
        <v>221</v>
      </c>
      <c r="H196" s="419"/>
      <c r="I196" s="427"/>
      <c r="J196" s="419"/>
      <c r="K196" s="419" t="s">
        <v>1958</v>
      </c>
      <c r="L196" s="419" t="s">
        <v>5751</v>
      </c>
      <c r="M196" s="419"/>
      <c r="N196" s="419"/>
      <c r="O196" s="419" t="s">
        <v>2948</v>
      </c>
      <c r="P196" s="419"/>
      <c r="Q196" s="243"/>
      <c r="R196" s="243"/>
      <c r="S196" s="243"/>
      <c r="T196" s="243"/>
      <c r="U196" s="243"/>
      <c r="V196" s="243"/>
      <c r="W196" s="92"/>
      <c r="X196" s="116" t="s">
        <v>3637</v>
      </c>
      <c r="Y196" s="117"/>
      <c r="Z196" s="117" t="s">
        <v>6490</v>
      </c>
      <c r="AA196" s="117"/>
      <c r="AB196" s="295"/>
      <c r="AC196" s="117"/>
      <c r="AD196" s="117"/>
      <c r="AE196" s="116" t="s">
        <v>2690</v>
      </c>
      <c r="AF196" s="117" t="s">
        <v>311</v>
      </c>
      <c r="AG196" s="117"/>
      <c r="AH196" s="246"/>
      <c r="AI196" s="246"/>
      <c r="AJ196" s="117"/>
      <c r="AK196" s="246"/>
      <c r="AL196" s="97"/>
      <c r="AM196" s="124"/>
      <c r="AN196" s="124" t="s">
        <v>5099</v>
      </c>
      <c r="AO196" s="247"/>
      <c r="AP196" s="247"/>
      <c r="AQ196" s="168"/>
      <c r="AR196" s="168"/>
      <c r="AS196" s="168" t="s">
        <v>6491</v>
      </c>
      <c r="AT196" s="247"/>
      <c r="AU196" s="124"/>
      <c r="AV196" s="124" t="s">
        <v>235</v>
      </c>
      <c r="AW196" s="124"/>
      <c r="AX196" s="247"/>
      <c r="AY196" s="247"/>
      <c r="AZ196" s="247"/>
      <c r="BA196" s="247"/>
      <c r="BB196" s="353"/>
      <c r="BC196" s="353"/>
      <c r="BD196" s="353" t="s">
        <v>6492</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6493</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6494</v>
      </c>
      <c r="B197" s="82" t="s">
        <v>6495</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6496</v>
      </c>
      <c r="B198" s="104" t="s">
        <v>6497</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6498</v>
      </c>
      <c r="B199" s="82" t="s">
        <v>6499</v>
      </c>
      <c r="C199" s="83" t="s">
        <v>1256</v>
      </c>
      <c r="D199" s="84" t="s">
        <v>1256</v>
      </c>
      <c r="E199" s="85" t="s">
        <v>1256</v>
      </c>
      <c r="F199" s="86" t="s">
        <v>647</v>
      </c>
      <c r="G199" s="82" t="s">
        <v>333</v>
      </c>
      <c r="H199" s="88" t="s">
        <v>5003</v>
      </c>
      <c r="I199" s="99"/>
      <c r="J199" s="94" t="s">
        <v>2186</v>
      </c>
      <c r="K199" s="88" t="s">
        <v>2351</v>
      </c>
      <c r="L199" s="99"/>
      <c r="M199" s="99"/>
      <c r="N199" s="99"/>
      <c r="O199" s="99"/>
      <c r="P199" s="94" t="s">
        <v>363</v>
      </c>
      <c r="Q199" s="99"/>
      <c r="R199" s="99"/>
      <c r="S199" s="99"/>
      <c r="T199" s="99"/>
      <c r="U199" s="99"/>
      <c r="V199" s="99"/>
      <c r="W199" s="92"/>
      <c r="X199" s="99"/>
      <c r="Y199" s="99"/>
      <c r="Z199" s="99"/>
      <c r="AA199" s="94" t="s">
        <v>6500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6501</v>
      </c>
      <c r="DR199" s="99"/>
      <c r="DS199" s="99"/>
      <c r="DT199" s="99"/>
      <c r="DU199" s="99"/>
      <c r="DV199" s="99"/>
      <c r="DW199" s="94" t="s">
        <v>328</v>
      </c>
      <c r="DX199" s="99"/>
      <c r="DY199" s="99"/>
      <c r="DZ199" s="99"/>
      <c r="EA199" s="99"/>
      <c r="EB199" s="99"/>
      <c r="EC199" s="99"/>
      <c r="ED199" s="261"/>
    </row>
    <row r="200">
      <c r="A200" s="362" t="s">
        <v>6502</v>
      </c>
      <c r="B200" s="104" t="s">
        <v>6503</v>
      </c>
      <c r="C200" s="105" t="s">
        <v>1256</v>
      </c>
      <c r="D200" s="106" t="s">
        <v>1256</v>
      </c>
      <c r="E200" s="107" t="s">
        <v>1256</v>
      </c>
      <c r="F200" s="108" t="s">
        <v>1256</v>
      </c>
      <c r="G200" s="104" t="s">
        <v>4596</v>
      </c>
      <c r="H200" s="167" t="s">
        <v>6504</v>
      </c>
      <c r="I200" s="167" t="s">
        <v>2480</v>
      </c>
      <c r="J200" s="167" t="s">
        <v>1206</v>
      </c>
      <c r="K200" s="167" t="s">
        <v>6505</v>
      </c>
      <c r="L200" s="167" t="s">
        <v>6506</v>
      </c>
      <c r="M200" s="167" t="s">
        <v>6507</v>
      </c>
      <c r="N200" s="167" t="s">
        <v>6508</v>
      </c>
      <c r="O200" s="167" t="s">
        <v>5468</v>
      </c>
      <c r="P200" s="167" t="s">
        <v>4141</v>
      </c>
      <c r="Q200" s="243"/>
      <c r="R200" s="243"/>
      <c r="S200" s="243"/>
      <c r="T200" s="243"/>
      <c r="U200" s="243"/>
      <c r="V200" s="243"/>
      <c r="W200" s="92"/>
      <c r="X200" s="198" t="s">
        <v>6509</v>
      </c>
      <c r="Y200" s="198"/>
      <c r="Z200" s="198" t="s">
        <v>6510</v>
      </c>
      <c r="AA200" s="198" t="s">
        <v>6511</v>
      </c>
      <c r="AB200" s="246" t="s">
        <v>6512</v>
      </c>
      <c r="AC200" s="198" t="s">
        <v>5987</v>
      </c>
      <c r="AD200" s="246" t="s">
        <v>6513</v>
      </c>
      <c r="AE200" s="246"/>
      <c r="AF200" s="246" t="s">
        <v>6514</v>
      </c>
      <c r="AG200" s="198" t="s">
        <v>5620</v>
      </c>
      <c r="AH200" s="246"/>
      <c r="AI200" s="246"/>
      <c r="AJ200" s="246"/>
      <c r="AK200" s="246"/>
      <c r="AL200" s="97"/>
      <c r="AM200" s="247"/>
      <c r="AN200" s="247"/>
      <c r="AO200" s="247"/>
      <c r="AP200" s="247"/>
      <c r="AQ200" s="247"/>
      <c r="AR200" s="247"/>
      <c r="AS200" s="247"/>
      <c r="AT200" s="247"/>
      <c r="AU200" s="168" t="s">
        <v>214</v>
      </c>
      <c r="AV200" s="247" t="s">
        <v>4452</v>
      </c>
      <c r="AW200" s="168" t="s">
        <v>6515</v>
      </c>
      <c r="AX200" s="247"/>
      <c r="AY200" s="247"/>
      <c r="AZ200" s="247"/>
      <c r="BA200" s="247"/>
      <c r="BB200" s="174"/>
      <c r="BC200" s="173" t="s">
        <v>2140</v>
      </c>
      <c r="BD200" s="174" t="s">
        <v>1705</v>
      </c>
      <c r="BE200" s="173" t="s">
        <v>6516</v>
      </c>
      <c r="BF200" s="173" t="s">
        <v>6517</v>
      </c>
      <c r="BG200" s="173" t="s">
        <v>6518</v>
      </c>
      <c r="BH200" s="173" t="s">
        <v>6519</v>
      </c>
      <c r="BI200" s="174" t="s">
        <v>6520</v>
      </c>
      <c r="BJ200" s="173"/>
      <c r="BK200" s="173"/>
      <c r="BL200" s="174" t="s">
        <v>6521</v>
      </c>
      <c r="BM200" s="173"/>
      <c r="BN200" s="173"/>
      <c r="BO200" s="173"/>
      <c r="BP200" s="173"/>
      <c r="BQ200" s="249"/>
      <c r="BR200" s="253" t="s">
        <v>6522</v>
      </c>
      <c r="BS200" s="253" t="s">
        <v>2174</v>
      </c>
      <c r="BT200" s="253" t="s">
        <v>6523</v>
      </c>
      <c r="BU200" s="175" t="s">
        <v>6193</v>
      </c>
      <c r="BV200" s="253" t="s">
        <v>6524</v>
      </c>
      <c r="BW200" s="253" t="s">
        <v>6525</v>
      </c>
      <c r="BX200" s="175" t="s">
        <v>6526</v>
      </c>
      <c r="BY200" s="175" t="s">
        <v>6527</v>
      </c>
      <c r="BZ200" s="253"/>
      <c r="CA200" s="175" t="s">
        <v>4711</v>
      </c>
      <c r="CB200" s="253"/>
      <c r="CC200" s="253"/>
      <c r="CD200" s="253"/>
      <c r="CE200" s="253"/>
      <c r="CF200" s="254"/>
      <c r="CG200" s="177" t="s">
        <v>5698</v>
      </c>
      <c r="CH200" s="177" t="s">
        <v>1560</v>
      </c>
      <c r="CI200" s="177" t="s">
        <v>2479</v>
      </c>
      <c r="CJ200" s="177" t="s">
        <v>3634</v>
      </c>
      <c r="CK200" s="177"/>
      <c r="CL200" s="177" t="s">
        <v>371</v>
      </c>
      <c r="CM200" s="177" t="s">
        <v>6528</v>
      </c>
      <c r="CN200" s="177" t="s">
        <v>6529</v>
      </c>
      <c r="CO200" s="177" t="s">
        <v>3886</v>
      </c>
      <c r="CP200" s="256"/>
      <c r="CQ200" s="256"/>
      <c r="CR200" s="256"/>
      <c r="CS200" s="256"/>
      <c r="CT200" s="256"/>
      <c r="CU200" s="92"/>
      <c r="CV200" s="257" t="s">
        <v>6530</v>
      </c>
      <c r="CW200" s="257" t="s">
        <v>2185</v>
      </c>
      <c r="CX200" s="257" t="s">
        <v>1098</v>
      </c>
      <c r="CY200" s="257" t="s">
        <v>6531</v>
      </c>
      <c r="CZ200" s="257" t="s">
        <v>6532</v>
      </c>
      <c r="DA200" s="257" t="s">
        <v>4514</v>
      </c>
      <c r="DB200" s="257" t="s">
        <v>6533</v>
      </c>
      <c r="DC200" s="204" t="s">
        <v>3337</v>
      </c>
      <c r="DD200" s="257"/>
      <c r="DE200" s="257"/>
      <c r="DF200" s="257"/>
      <c r="DG200" s="257"/>
      <c r="DH200" s="258"/>
      <c r="DI200" s="259"/>
      <c r="DJ200" s="259"/>
      <c r="DK200" s="259"/>
      <c r="DL200" s="259"/>
      <c r="DM200" s="259" t="s">
        <v>5592</v>
      </c>
      <c r="DN200" s="205"/>
      <c r="DO200" s="205" t="s">
        <v>6534</v>
      </c>
      <c r="DP200" s="205" t="s">
        <v>3877</v>
      </c>
      <c r="DQ200" s="205" t="s">
        <v>3011</v>
      </c>
      <c r="DR200" s="259"/>
      <c r="DS200" s="259"/>
      <c r="DT200" s="259"/>
      <c r="DU200" s="259"/>
      <c r="DV200" s="259"/>
      <c r="DW200" s="259"/>
      <c r="DX200" s="259"/>
      <c r="DY200" s="259"/>
      <c r="DZ200" s="259"/>
      <c r="EA200" s="259"/>
      <c r="EB200" s="259"/>
      <c r="EC200" s="259"/>
      <c r="ED200" s="287"/>
    </row>
    <row r="201">
      <c r="A201" s="731" t="s">
        <v>6535</v>
      </c>
      <c r="B201" s="82" t="s">
        <v>6536</v>
      </c>
      <c r="C201" s="83" t="s">
        <v>1256</v>
      </c>
      <c r="D201" s="84" t="s">
        <v>1256</v>
      </c>
      <c r="E201" s="85" t="s">
        <v>1256</v>
      </c>
      <c r="F201" s="86" t="s">
        <v>1256</v>
      </c>
      <c r="G201" s="82" t="s">
        <v>220</v>
      </c>
      <c r="H201" s="102"/>
      <c r="I201" s="95"/>
      <c r="J201" s="102"/>
      <c r="K201" s="102"/>
      <c r="L201" s="102"/>
      <c r="M201" s="102"/>
      <c r="N201" s="102"/>
      <c r="O201" s="261" t="s">
        <v>5970</v>
      </c>
      <c r="P201" s="261" t="s">
        <v>2867</v>
      </c>
      <c r="Q201" s="99"/>
      <c r="R201" s="99"/>
      <c r="S201" s="99"/>
      <c r="T201" s="99"/>
      <c r="U201" s="99"/>
      <c r="V201" s="99"/>
      <c r="W201" s="92"/>
      <c r="X201" s="102"/>
      <c r="Y201" s="102"/>
      <c r="Z201" s="102"/>
      <c r="AA201" s="102"/>
      <c r="AB201" s="267"/>
      <c r="AC201" s="261" t="s">
        <v>1886</v>
      </c>
      <c r="AD201" s="102"/>
      <c r="AE201" s="99"/>
      <c r="AF201" s="102"/>
      <c r="AG201" s="261" t="s">
        <v>6247</v>
      </c>
      <c r="AH201" s="99"/>
      <c r="AI201" s="99"/>
      <c r="AJ201" s="102"/>
      <c r="AK201" s="94" t="s">
        <v>6537</v>
      </c>
      <c r="AL201" s="97"/>
      <c r="AM201" s="102"/>
      <c r="AN201" s="102" t="s">
        <v>6538</v>
      </c>
      <c r="AO201" s="99"/>
      <c r="AP201" s="99"/>
      <c r="AQ201" s="94"/>
      <c r="AR201" s="94"/>
      <c r="AS201" s="99"/>
      <c r="AT201" s="99"/>
      <c r="AU201" s="261" t="s">
        <v>6539</v>
      </c>
      <c r="AV201" s="102"/>
      <c r="AW201" s="102"/>
      <c r="AX201" s="99"/>
      <c r="AY201" s="99"/>
      <c r="AZ201" s="99"/>
      <c r="BA201" s="99"/>
      <c r="BB201" s="102"/>
      <c r="BC201" s="102"/>
      <c r="BD201" s="102"/>
      <c r="BE201" s="102"/>
      <c r="BF201" s="102"/>
      <c r="BG201" s="102"/>
      <c r="BH201" s="99"/>
      <c r="BI201" s="261" t="s">
        <v>6085</v>
      </c>
      <c r="BJ201" s="99"/>
      <c r="BK201" s="102"/>
      <c r="BL201" s="261" t="s">
        <v>6540</v>
      </c>
      <c r="BM201" s="99"/>
      <c r="BN201" s="99"/>
      <c r="BO201" s="102"/>
      <c r="BP201" s="99"/>
      <c r="BQ201" s="236"/>
      <c r="BR201" s="261" t="s">
        <v>6541</v>
      </c>
      <c r="BS201" s="261" t="s">
        <v>6542</v>
      </c>
      <c r="BT201" s="102"/>
      <c r="BU201" s="261" t="s">
        <v>2583</v>
      </c>
      <c r="BV201" s="261" t="s">
        <v>6543</v>
      </c>
      <c r="BW201" s="261" t="s">
        <v>1091</v>
      </c>
      <c r="BX201" s="99"/>
      <c r="BY201" s="102"/>
      <c r="BZ201" s="261" t="s">
        <v>6544</v>
      </c>
      <c r="CA201" s="261" t="s">
        <v>1853</v>
      </c>
      <c r="CB201" s="94" t="s">
        <v>6545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6546</v>
      </c>
      <c r="DD201" s="99"/>
      <c r="DE201" s="99"/>
      <c r="DF201" s="99"/>
      <c r="DG201" s="99"/>
      <c r="DH201" s="236"/>
      <c r="DI201" s="102"/>
      <c r="DJ201" s="99"/>
      <c r="DK201" s="99"/>
      <c r="DL201" s="102"/>
      <c r="DM201" s="261" t="s">
        <v>6547</v>
      </c>
      <c r="DN201" s="102"/>
      <c r="DO201" s="99"/>
      <c r="DP201" s="99"/>
      <c r="DQ201" s="99"/>
      <c r="DR201" s="102"/>
      <c r="DS201" s="102"/>
      <c r="DT201" s="94" t="s">
        <v>2086</v>
      </c>
      <c r="DU201" s="102"/>
      <c r="DV201" s="99"/>
      <c r="DW201" s="94" t="s">
        <v>278</v>
      </c>
      <c r="DX201" s="99"/>
      <c r="DY201" s="99"/>
      <c r="DZ201" s="99"/>
      <c r="EA201" s="102" t="s">
        <v>5829</v>
      </c>
      <c r="EB201" s="99"/>
      <c r="EC201" s="99"/>
      <c r="ED201" s="261"/>
    </row>
    <row r="202">
      <c r="A202" s="408" t="s">
        <v>6548</v>
      </c>
      <c r="B202" s="104" t="s">
        <v>6549</v>
      </c>
      <c r="C202" s="105" t="s">
        <v>1256</v>
      </c>
      <c r="D202" s="106" t="s">
        <v>1256</v>
      </c>
      <c r="E202" s="107" t="s">
        <v>1256</v>
      </c>
      <c r="F202" s="108" t="s">
        <v>1256</v>
      </c>
      <c r="G202" s="104" t="s">
        <v>1196</v>
      </c>
      <c r="H202" s="243"/>
      <c r="I202" s="167" t="s">
        <v>6550</v>
      </c>
      <c r="J202" s="167" t="s">
        <v>6551</v>
      </c>
      <c r="K202" s="167" t="s">
        <v>2041</v>
      </c>
      <c r="L202" s="167" t="s">
        <v>6552</v>
      </c>
      <c r="M202" s="167" t="s">
        <v>6553</v>
      </c>
      <c r="N202" s="243"/>
      <c r="O202" s="243"/>
      <c r="P202" s="167" t="s">
        <v>202</v>
      </c>
      <c r="Q202" s="243"/>
      <c r="R202" s="243"/>
      <c r="S202" s="243"/>
      <c r="T202" s="243"/>
      <c r="U202" s="243"/>
      <c r="V202" s="243"/>
      <c r="W202" s="92"/>
      <c r="X202" s="246"/>
      <c r="Y202" s="246"/>
      <c r="Z202" s="246"/>
      <c r="AA202" s="198" t="s">
        <v>5675</v>
      </c>
      <c r="AB202" s="246"/>
      <c r="AC202" s="246"/>
      <c r="AD202" s="246"/>
      <c r="AE202" s="246"/>
      <c r="AF202" s="246"/>
      <c r="AG202" s="198" t="s">
        <v>5389</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5066</v>
      </c>
      <c r="CJ202" s="256"/>
      <c r="CK202" s="256"/>
      <c r="CL202" s="256" t="s">
        <v>6554</v>
      </c>
      <c r="CM202" s="256"/>
      <c r="CN202" s="256"/>
      <c r="CO202" s="256"/>
      <c r="CP202" s="256"/>
      <c r="CQ202" s="256"/>
      <c r="CR202" s="256"/>
      <c r="CS202" s="256"/>
      <c r="CT202" s="256"/>
      <c r="CU202" s="92"/>
      <c r="CV202" s="257"/>
      <c r="CW202" s="257"/>
      <c r="CX202" s="257"/>
      <c r="CY202" s="257"/>
      <c r="CZ202" s="257"/>
      <c r="DA202" s="257"/>
      <c r="DB202" s="257"/>
      <c r="DC202" s="204" t="s">
        <v>6555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6556</v>
      </c>
      <c r="B203" s="82" t="s">
        <v>6557</v>
      </c>
      <c r="C203" s="83" t="s">
        <v>1256</v>
      </c>
      <c r="D203" s="84" t="s">
        <v>1256</v>
      </c>
      <c r="E203" s="85" t="s">
        <v>1256</v>
      </c>
      <c r="F203" s="86" t="s">
        <v>1256</v>
      </c>
      <c r="G203" s="82" t="s">
        <v>3537</v>
      </c>
      <c r="H203" s="99"/>
      <c r="I203" s="94" t="s">
        <v>6558</v>
      </c>
      <c r="J203" s="94" t="s">
        <v>1295</v>
      </c>
      <c r="K203" s="94" t="s">
        <v>1055</v>
      </c>
      <c r="L203" s="94" t="s">
        <v>6559</v>
      </c>
      <c r="M203" s="94" t="s">
        <v>6560</v>
      </c>
      <c r="N203" s="94" t="s">
        <v>6561</v>
      </c>
      <c r="O203" s="94" t="s">
        <v>6562</v>
      </c>
      <c r="P203" s="94" t="s">
        <v>4610</v>
      </c>
      <c r="Q203" s="99"/>
      <c r="R203" s="99"/>
      <c r="S203" s="99"/>
      <c r="T203" s="99"/>
      <c r="U203" s="99"/>
      <c r="V203" s="99"/>
      <c r="W203" s="92"/>
      <c r="X203" s="94" t="s">
        <v>336</v>
      </c>
      <c r="Y203" s="94"/>
      <c r="Z203" s="94" t="s">
        <v>2211</v>
      </c>
      <c r="AA203" s="94" t="s">
        <v>3247</v>
      </c>
      <c r="AB203" s="94" t="s">
        <v>6563</v>
      </c>
      <c r="AC203" s="94" t="s">
        <v>6564</v>
      </c>
      <c r="AD203" s="94" t="s">
        <v>3209</v>
      </c>
      <c r="AE203" s="99"/>
      <c r="AF203" s="94" t="s">
        <v>6565</v>
      </c>
      <c r="AG203" s="94" t="s">
        <v>1354</v>
      </c>
      <c r="AH203" s="99"/>
      <c r="AI203" s="99"/>
      <c r="AJ203" s="99"/>
      <c r="AK203" s="99"/>
      <c r="AL203" s="97"/>
      <c r="AM203" s="94" t="s">
        <v>5115</v>
      </c>
      <c r="AN203" s="94" t="s">
        <v>1369</v>
      </c>
      <c r="AO203" s="94" t="s">
        <v>6566</v>
      </c>
      <c r="AP203" s="94" t="s">
        <v>6567</v>
      </c>
      <c r="AQ203" s="94" t="s">
        <v>6568</v>
      </c>
      <c r="AR203" s="94"/>
      <c r="AS203" s="94" t="s">
        <v>2177</v>
      </c>
      <c r="AT203" s="94" t="s">
        <v>6569</v>
      </c>
      <c r="AU203" s="94" t="s">
        <v>3852</v>
      </c>
      <c r="AV203" s="94" t="s">
        <v>693</v>
      </c>
      <c r="AW203" s="99"/>
      <c r="AX203" s="99"/>
      <c r="AY203" s="99"/>
      <c r="AZ203" s="99"/>
      <c r="BA203" s="99"/>
      <c r="BB203" s="94" t="s">
        <v>628</v>
      </c>
      <c r="BC203" s="94" t="s">
        <v>6570</v>
      </c>
      <c r="BD203" s="94" t="s">
        <v>6571</v>
      </c>
      <c r="BE203" s="94" t="s">
        <v>6572</v>
      </c>
      <c r="BF203" s="94" t="s">
        <v>6573</v>
      </c>
      <c r="BG203" s="94" t="s">
        <v>6520</v>
      </c>
      <c r="BH203" s="94" t="s">
        <v>6574</v>
      </c>
      <c r="BI203" s="94" t="s">
        <v>5249</v>
      </c>
      <c r="BJ203" s="94"/>
      <c r="BK203" s="94"/>
      <c r="BL203" s="94" t="s">
        <v>921</v>
      </c>
      <c r="BM203" s="99"/>
      <c r="BN203" s="99"/>
      <c r="BO203" s="99"/>
      <c r="BP203" s="99"/>
      <c r="BQ203" s="236"/>
      <c r="BR203" s="94"/>
      <c r="BS203" s="94" t="s">
        <v>6575</v>
      </c>
      <c r="BT203" s="94" t="s">
        <v>6576</v>
      </c>
      <c r="BU203" s="94" t="s">
        <v>112</v>
      </c>
      <c r="BV203" s="94" t="s">
        <v>6577</v>
      </c>
      <c r="BW203" s="94" t="s">
        <v>6578</v>
      </c>
      <c r="BX203" s="94" t="s">
        <v>6579</v>
      </c>
      <c r="BY203" s="94" t="s">
        <v>6580</v>
      </c>
      <c r="BZ203" s="99"/>
      <c r="CA203" s="94" t="s">
        <v>3583</v>
      </c>
      <c r="CB203" s="99"/>
      <c r="CC203" s="99"/>
      <c r="CD203" s="99"/>
      <c r="CE203" s="99"/>
      <c r="CF203" s="236"/>
      <c r="CG203" s="94" t="s">
        <v>6581</v>
      </c>
      <c r="CH203" s="94" t="s">
        <v>6582</v>
      </c>
      <c r="CI203" s="94" t="s">
        <v>2938</v>
      </c>
      <c r="CJ203" s="94" t="s">
        <v>6583</v>
      </c>
      <c r="CK203" s="94"/>
      <c r="CL203" s="94" t="s">
        <v>4243</v>
      </c>
      <c r="CM203" s="94" t="s">
        <v>6584</v>
      </c>
      <c r="CN203" s="94" t="s">
        <v>964</v>
      </c>
      <c r="CO203" s="94" t="s">
        <v>1429</v>
      </c>
      <c r="CP203" s="99"/>
      <c r="CQ203" s="99"/>
      <c r="CR203" s="99"/>
      <c r="CS203" s="99"/>
      <c r="CT203" s="99"/>
      <c r="CU203" s="92"/>
      <c r="CV203" s="94" t="s">
        <v>6585</v>
      </c>
      <c r="CW203" s="94" t="s">
        <v>6586</v>
      </c>
      <c r="CX203" s="94" t="s">
        <v>1649</v>
      </c>
      <c r="CY203" s="94" t="s">
        <v>6587</v>
      </c>
      <c r="CZ203" s="94" t="s">
        <v>6588</v>
      </c>
      <c r="DA203" s="94" t="s">
        <v>6589</v>
      </c>
      <c r="DB203" s="94" t="s">
        <v>1509</v>
      </c>
      <c r="DC203" s="94" t="s">
        <v>6590</v>
      </c>
      <c r="DD203" s="99"/>
      <c r="DE203" s="99"/>
      <c r="DF203" s="99"/>
      <c r="DG203" s="99"/>
      <c r="DH203" s="236"/>
      <c r="DI203" s="99"/>
      <c r="DJ203" s="99"/>
      <c r="DK203" s="99"/>
      <c r="DL203" s="99"/>
      <c r="DM203" s="99"/>
      <c r="DN203" s="99"/>
      <c r="DO203" s="99"/>
      <c r="DP203" s="99"/>
      <c r="DQ203" s="99"/>
      <c r="DR203" s="94" t="s">
        <v>6591</v>
      </c>
      <c r="DS203" s="94"/>
      <c r="DT203" s="99"/>
      <c r="DU203" s="99"/>
      <c r="DV203" s="99"/>
      <c r="DW203" s="99"/>
      <c r="DX203" s="99"/>
      <c r="DY203" s="99"/>
      <c r="DZ203" s="99"/>
      <c r="EA203" s="99"/>
      <c r="EB203" s="99"/>
      <c r="EC203" s="99"/>
      <c r="ED203" s="261"/>
    </row>
    <row r="204">
      <c r="A204" s="732" t="s">
        <v>6592</v>
      </c>
      <c r="B204" s="104" t="s">
        <v>6593</v>
      </c>
      <c r="C204" s="105" t="s">
        <v>1256</v>
      </c>
      <c r="D204" s="106" t="s">
        <v>1256</v>
      </c>
      <c r="E204" s="107" t="s">
        <v>1256</v>
      </c>
      <c r="F204" s="108" t="s">
        <v>1256</v>
      </c>
      <c r="G204" s="104" t="s">
        <v>4050</v>
      </c>
      <c r="H204" s="167" t="s">
        <v>6594</v>
      </c>
      <c r="I204" s="167" t="s">
        <v>6595</v>
      </c>
      <c r="J204" s="167" t="s">
        <v>6596</v>
      </c>
      <c r="K204" s="167" t="s">
        <v>1617</v>
      </c>
      <c r="L204" s="167" t="s">
        <v>4068</v>
      </c>
      <c r="M204" s="167" t="s">
        <v>6597</v>
      </c>
      <c r="N204" s="167" t="s">
        <v>6598</v>
      </c>
      <c r="O204" s="167" t="s">
        <v>4426</v>
      </c>
      <c r="P204" s="167" t="s">
        <v>4668</v>
      </c>
      <c r="Q204" s="243"/>
      <c r="R204" s="243"/>
      <c r="S204" s="243"/>
      <c r="T204" s="243"/>
      <c r="U204" s="243"/>
      <c r="V204" s="243"/>
      <c r="W204" s="92"/>
      <c r="X204" s="198" t="s">
        <v>6599</v>
      </c>
      <c r="Y204" s="198"/>
      <c r="Z204" s="198" t="s">
        <v>1005</v>
      </c>
      <c r="AA204" s="246"/>
      <c r="AB204" s="246"/>
      <c r="AC204" s="198" t="s">
        <v>6600</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5744</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6601</v>
      </c>
      <c r="CH204" s="177" t="s">
        <v>5527</v>
      </c>
      <c r="CI204" s="177" t="s">
        <v>784</v>
      </c>
      <c r="CJ204" s="177" t="s">
        <v>6602</v>
      </c>
      <c r="CK204" s="177"/>
      <c r="CL204" s="177" t="s">
        <v>788</v>
      </c>
      <c r="CM204" s="177" t="s">
        <v>6603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6604</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6605</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5744</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6606</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5622</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6607</v>
      </c>
      <c r="B208" s="104" t="s">
        <v>4169</v>
      </c>
      <c r="C208" s="105" t="s">
        <v>1256</v>
      </c>
      <c r="D208" s="106" t="s">
        <v>1256</v>
      </c>
      <c r="E208" s="107" t="s">
        <v>1256</v>
      </c>
      <c r="F208" s="108" t="s">
        <v>1256</v>
      </c>
      <c r="G208" s="104" t="s">
        <v>2872</v>
      </c>
      <c r="H208" s="167"/>
      <c r="I208" s="167" t="s">
        <v>6608</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6609</v>
      </c>
      <c r="BF208" s="173"/>
      <c r="BG208" s="173"/>
      <c r="BH208" s="173"/>
      <c r="BI208" s="174" t="s">
        <v>4437</v>
      </c>
      <c r="BJ208" s="173"/>
      <c r="BK208" s="173"/>
      <c r="BL208" s="173"/>
      <c r="BM208" s="173"/>
      <c r="BN208" s="173"/>
      <c r="BO208" s="173"/>
      <c r="BP208" s="173"/>
      <c r="BQ208" s="249"/>
      <c r="BR208" s="253"/>
      <c r="BS208" s="175" t="s">
        <v>4901</v>
      </c>
      <c r="BT208" s="175" t="s">
        <v>6610</v>
      </c>
      <c r="BU208" s="175" t="s">
        <v>5288</v>
      </c>
      <c r="BV208" s="253"/>
      <c r="BW208" s="253"/>
      <c r="BX208" s="253"/>
      <c r="BY208" s="253"/>
      <c r="BZ208" s="253"/>
      <c r="CA208" s="253"/>
      <c r="CB208" s="253"/>
      <c r="CC208" s="253"/>
      <c r="CD208" s="253"/>
      <c r="CE208" s="253"/>
      <c r="CF208" s="254"/>
      <c r="CG208" s="177" t="s">
        <v>6611</v>
      </c>
      <c r="CH208" s="177" t="s">
        <v>1635</v>
      </c>
      <c r="CI208" s="256"/>
      <c r="CJ208" s="256"/>
      <c r="CK208" s="256"/>
      <c r="CL208" s="256"/>
      <c r="CM208" s="256"/>
      <c r="CN208" s="256"/>
      <c r="CO208" s="256"/>
      <c r="CP208" s="256"/>
      <c r="CQ208" s="256"/>
      <c r="CR208" s="256"/>
      <c r="CS208" s="256"/>
      <c r="CT208" s="256"/>
      <c r="CU208" s="92"/>
      <c r="CV208" s="257"/>
      <c r="CW208" s="257"/>
      <c r="CX208" s="204" t="s">
        <v>6612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5464</v>
      </c>
      <c r="DT208" s="259"/>
      <c r="DU208" s="259"/>
      <c r="DV208" s="259"/>
      <c r="DW208" s="259"/>
      <c r="DX208" s="259"/>
      <c r="DY208" s="259"/>
      <c r="DZ208" s="259"/>
      <c r="EA208" s="259"/>
      <c r="EB208" s="259"/>
      <c r="EC208" s="259"/>
      <c r="ED208" s="565"/>
    </row>
    <row r="209">
      <c r="A209" s="341" t="s">
        <v>6613</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6614</v>
      </c>
      <c r="B210" s="104" t="s">
        <v>5410</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6616</v>
      </c>
      <c r="B211" s="82" t="s">
        <v>6617</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6618</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6619</v>
      </c>
      <c r="B213" s="82" t="s">
        <v>6620</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6621</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6622</v>
      </c>
      <c r="B214" s="104" t="s">
        <v>4596</v>
      </c>
      <c r="C214" s="105" t="s">
        <v>1256</v>
      </c>
      <c r="D214" s="106" t="s">
        <v>1256</v>
      </c>
      <c r="E214" s="107" t="s">
        <v>1256</v>
      </c>
      <c r="F214" s="108" t="s">
        <v>2773</v>
      </c>
      <c r="G214" s="104" t="s">
        <v>2773</v>
      </c>
      <c r="H214" s="735" t="s">
        <v>6623</v>
      </c>
      <c r="I214" s="167"/>
      <c r="J214" s="243"/>
      <c r="K214" s="736" t="s">
        <v>4291</v>
      </c>
      <c r="L214" s="167"/>
      <c r="M214" s="243"/>
      <c r="N214" s="243"/>
      <c r="O214" s="167"/>
      <c r="P214" s="243"/>
      <c r="Q214" s="243"/>
      <c r="R214" s="243"/>
      <c r="S214" s="243"/>
      <c r="T214" s="243"/>
      <c r="U214" s="243"/>
      <c r="V214" s="243"/>
      <c r="W214" s="92"/>
      <c r="X214" s="246"/>
      <c r="Y214" s="246"/>
      <c r="Z214" s="582" t="s">
        <v>5736</v>
      </c>
      <c r="AA214" s="246"/>
      <c r="AB214" s="246"/>
      <c r="AC214" s="246"/>
      <c r="AD214" s="246"/>
      <c r="AE214" s="246"/>
      <c r="AF214" s="246"/>
      <c r="AG214" s="246"/>
      <c r="AH214" s="246"/>
      <c r="AI214" s="246"/>
      <c r="AJ214" s="246"/>
      <c r="AK214" s="246"/>
      <c r="AL214" s="97"/>
      <c r="AM214" s="247"/>
      <c r="AN214" s="737" t="s">
        <v>3155</v>
      </c>
      <c r="AO214" s="247"/>
      <c r="AP214" s="737" t="s">
        <v>6624</v>
      </c>
      <c r="AQ214" s="247"/>
      <c r="AR214" s="247"/>
      <c r="AS214" s="247"/>
      <c r="AT214" s="247"/>
      <c r="AU214" s="247"/>
      <c r="AV214" s="247"/>
      <c r="AW214" s="247"/>
      <c r="AX214" s="247"/>
      <c r="AY214" s="737" t="s">
        <v>520</v>
      </c>
      <c r="AZ214" s="247"/>
      <c r="BA214" s="247"/>
      <c r="BB214" s="702" t="s">
        <v>6625</v>
      </c>
      <c r="BC214" s="173"/>
      <c r="BD214" s="702" t="s">
        <v>4770</v>
      </c>
      <c r="BE214" s="173"/>
      <c r="BF214" s="173"/>
      <c r="BG214" s="173"/>
      <c r="BH214" s="173"/>
      <c r="BI214" s="173"/>
      <c r="BJ214" s="173"/>
      <c r="BK214" s="173"/>
      <c r="BL214" s="173"/>
      <c r="BM214" s="173"/>
      <c r="BN214" s="702" t="s">
        <v>6626</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5255</v>
      </c>
      <c r="DP214" s="738" t="s">
        <v>5581</v>
      </c>
      <c r="DQ214" s="738" t="s">
        <v>6627</v>
      </c>
      <c r="DR214" s="259"/>
      <c r="DS214" s="259"/>
      <c r="DT214" s="259"/>
      <c r="DU214" s="259"/>
      <c r="DV214" s="259"/>
      <c r="DW214" s="259"/>
      <c r="DX214" s="259"/>
      <c r="DY214" s="259"/>
      <c r="DZ214" s="259"/>
      <c r="EA214" s="259"/>
      <c r="EB214" s="259"/>
      <c r="EC214" s="259"/>
      <c r="ED214" s="739" t="s">
        <v>1842</v>
      </c>
    </row>
    <row r="215">
      <c r="A215" s="148" t="s">
        <v>6628</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4770</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6629</v>
      </c>
      <c r="B216" s="104" t="s">
        <v>4032</v>
      </c>
      <c r="C216" s="105" t="s">
        <v>1256</v>
      </c>
      <c r="D216" s="106" t="s">
        <v>1256</v>
      </c>
      <c r="E216" s="107" t="s">
        <v>1256</v>
      </c>
      <c r="F216" s="108" t="s">
        <v>1256</v>
      </c>
      <c r="G216" s="104" t="s">
        <v>647</v>
      </c>
      <c r="H216" s="243"/>
      <c r="I216" s="167" t="s">
        <v>6630</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5945</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6631</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4963</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6632</v>
      </c>
      <c r="B218" s="104" t="s">
        <v>2649</v>
      </c>
      <c r="C218" s="105" t="s">
        <v>1256</v>
      </c>
      <c r="D218" s="106" t="s">
        <v>1256</v>
      </c>
      <c r="E218" s="107" t="s">
        <v>1256</v>
      </c>
      <c r="F218" s="108" t="s">
        <v>1256</v>
      </c>
      <c r="G218" s="104" t="s">
        <v>647</v>
      </c>
      <c r="H218" s="243"/>
      <c r="I218" s="167"/>
      <c r="J218" s="243"/>
      <c r="K218" s="167" t="s">
        <v>4989</v>
      </c>
      <c r="L218" s="167" t="s">
        <v>6633</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6634</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6635</v>
      </c>
      <c r="CH219" s="94" t="s">
        <v>4680</v>
      </c>
      <c r="CI219" s="94" t="s">
        <v>1769</v>
      </c>
      <c r="CJ219" s="99"/>
      <c r="CK219" s="99"/>
      <c r="CL219" s="99" t="s">
        <v>6636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6637</v>
      </c>
      <c r="DN219" s="94"/>
      <c r="DO219" s="99"/>
      <c r="DP219" s="99"/>
      <c r="DQ219" s="99"/>
      <c r="DR219" s="99"/>
      <c r="DS219" s="99"/>
      <c r="DT219" s="99"/>
      <c r="DU219" s="99"/>
      <c r="DV219" s="99"/>
      <c r="DW219" s="99"/>
      <c r="DX219" s="99"/>
      <c r="DY219" s="99"/>
      <c r="DZ219" s="99"/>
      <c r="EA219" s="99"/>
      <c r="EB219" s="99"/>
      <c r="EC219" s="99"/>
      <c r="ED219" s="340"/>
    </row>
    <row r="220">
      <c r="A220" s="166" t="s">
        <v>6638</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6639</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6640</v>
      </c>
      <c r="B222" s="104" t="s">
        <v>6313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6641</v>
      </c>
      <c r="B223" s="82" t="s">
        <v>222</v>
      </c>
      <c r="C223" s="83" t="s">
        <v>1256</v>
      </c>
      <c r="D223" s="84" t="s">
        <v>1256</v>
      </c>
      <c r="E223" s="85" t="s">
        <v>1256</v>
      </c>
      <c r="F223" s="86" t="s">
        <v>437</v>
      </c>
      <c r="G223" s="82" t="s">
        <v>437</v>
      </c>
      <c r="H223" s="88" t="s">
        <v>6642</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6643</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6644</v>
      </c>
      <c r="B224" s="104" t="s">
        <v>981</v>
      </c>
      <c r="C224" s="105" t="s">
        <v>1256</v>
      </c>
      <c r="D224" s="106" t="s">
        <v>1256</v>
      </c>
      <c r="E224" s="107" t="s">
        <v>1256</v>
      </c>
      <c r="F224" s="108" t="s">
        <v>1256</v>
      </c>
      <c r="G224" s="104" t="s">
        <v>546</v>
      </c>
      <c r="H224" s="243"/>
      <c r="I224" s="243"/>
      <c r="J224" s="243"/>
      <c r="K224" s="243" t="s">
        <v>6505</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6645</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6646</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6647</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6648</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6649</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6650</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P119"/>
    <hyperlink r:id="rId3730" ref="CN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O123"/>
    <hyperlink r:id="rId3793" ref="AC123"/>
    <hyperlink r:id="rId3794" ref="BE123"/>
    <hyperlink r:id="rId3795" ref="J124"/>
    <hyperlink r:id="rId3796" ref="K124"/>
    <hyperlink r:id="rId3797" ref="P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90"/>
    <hyperlink r:id="rId4063" ref="K190"/>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6651</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6652</v>
      </c>
      <c r="H2" s="758" t="s">
        <v>47</v>
      </c>
      <c r="I2" s="758" t="s">
        <v>48</v>
      </c>
      <c r="J2" s="758" t="s">
        <v>6653</v>
      </c>
      <c r="K2" s="758" t="s">
        <v>54</v>
      </c>
      <c r="N2" s="758" t="s">
        <v>6654</v>
      </c>
      <c r="P2" s="759"/>
      <c r="Q2" s="760" t="s">
        <v>47</v>
      </c>
      <c r="R2" s="760" t="s">
        <v>6655</v>
      </c>
      <c r="S2" s="760" t="s">
        <v>52</v>
      </c>
      <c r="T2" s="760" t="s">
        <v>53</v>
      </c>
      <c r="U2" s="760" t="s">
        <v>54</v>
      </c>
      <c r="V2" s="760" t="s">
        <v>6656</v>
      </c>
      <c r="W2" s="759"/>
      <c r="X2" s="761" t="s">
        <v>47</v>
      </c>
      <c r="Y2" s="761" t="s">
        <v>48</v>
      </c>
      <c r="Z2" s="761" t="s">
        <v>49</v>
      </c>
      <c r="AA2" s="761" t="s">
        <v>50</v>
      </c>
      <c r="AC2" s="761" t="s">
        <v>52</v>
      </c>
      <c r="AD2" s="761" t="s">
        <v>53</v>
      </c>
      <c r="AE2" s="761" t="s">
        <v>54</v>
      </c>
      <c r="AF2" s="761" t="s">
        <v>6657</v>
      </c>
      <c r="AG2" s="761" t="s">
        <v>6654</v>
      </c>
      <c r="AI2" s="759"/>
      <c r="AJ2" s="762" t="s">
        <v>47</v>
      </c>
      <c r="AK2" s="762" t="s">
        <v>48</v>
      </c>
      <c r="AM2" s="762" t="s">
        <v>49</v>
      </c>
      <c r="AP2" s="762" t="s">
        <v>51</v>
      </c>
      <c r="AR2" s="762" t="s">
        <v>52</v>
      </c>
      <c r="AV2" s="762" t="s">
        <v>52</v>
      </c>
      <c r="AW2" s="762" t="s">
        <v>53</v>
      </c>
      <c r="AX2" s="762" t="s">
        <v>6656</v>
      </c>
      <c r="AZ2" s="763"/>
      <c r="BA2" s="764" t="s">
        <v>47</v>
      </c>
      <c r="BB2" s="764" t="s">
        <v>52</v>
      </c>
      <c r="BC2" s="764" t="s">
        <v>53</v>
      </c>
      <c r="BD2" s="764" t="s">
        <v>54</v>
      </c>
      <c r="BE2" s="764" t="s">
        <v>6654</v>
      </c>
      <c r="BF2" s="763"/>
      <c r="BG2" s="765" t="s">
        <v>47</v>
      </c>
      <c r="BH2" s="765" t="s">
        <v>48</v>
      </c>
      <c r="BI2" s="765" t="s">
        <v>50</v>
      </c>
      <c r="BK2" s="765" t="s">
        <v>52</v>
      </c>
      <c r="BL2" s="765" t="s">
        <v>6654</v>
      </c>
      <c r="BN2" s="759"/>
      <c r="BO2" s="766" t="s">
        <v>49</v>
      </c>
      <c r="BP2" s="766" t="s">
        <v>50</v>
      </c>
      <c r="BQ2" s="766" t="s">
        <v>51</v>
      </c>
      <c r="BR2" s="766" t="s">
        <v>52</v>
      </c>
      <c r="BT2" s="766" t="s">
        <v>53</v>
      </c>
      <c r="BU2" s="766" t="s">
        <v>54</v>
      </c>
      <c r="BW2" s="766" t="s">
        <v>6656</v>
      </c>
      <c r="BX2" s="763"/>
      <c r="BY2" s="767" t="s">
        <v>6658</v>
      </c>
      <c r="BZ2" s="768" t="s">
        <v>75</v>
      </c>
      <c r="CA2" s="767" t="s">
        <v>80</v>
      </c>
      <c r="CD2" s="767" t="s">
        <v>77</v>
      </c>
      <c r="CE2" s="767" t="s">
        <v>6659</v>
      </c>
      <c r="CF2" s="767" t="s">
        <v>6660</v>
      </c>
      <c r="CG2" s="769" t="s">
        <v>68</v>
      </c>
      <c r="CH2" s="767" t="s">
        <v>76</v>
      </c>
      <c r="CI2" s="767" t="s">
        <v>66</v>
      </c>
      <c r="CJ2" s="768" t="s">
        <v>78</v>
      </c>
    </row>
    <row r="3" ht="23.25" customHeight="1">
      <c r="J3" s="770" t="s">
        <v>6661</v>
      </c>
      <c r="K3" s="770" t="s">
        <v>6662</v>
      </c>
      <c r="L3" s="771" t="s">
        <v>6663</v>
      </c>
      <c r="M3" s="771" t="s">
        <v>6664</v>
      </c>
      <c r="N3" s="771" t="s">
        <v>6665</v>
      </c>
      <c r="O3" s="770" t="s">
        <v>6666</v>
      </c>
      <c r="P3" s="759"/>
      <c r="W3" s="759"/>
      <c r="AA3" s="772" t="s">
        <v>6667</v>
      </c>
      <c r="AB3" s="773" t="s">
        <v>92</v>
      </c>
      <c r="AF3" s="773" t="s">
        <v>6668</v>
      </c>
      <c r="AG3" s="772" t="s">
        <v>52</v>
      </c>
      <c r="AH3" s="774" t="s">
        <v>49</v>
      </c>
      <c r="AI3" s="759"/>
      <c r="AK3" s="775" t="s">
        <v>6669</v>
      </c>
      <c r="AL3" s="775" t="s">
        <v>6670</v>
      </c>
      <c r="AM3" s="776" t="s">
        <v>6665</v>
      </c>
      <c r="AN3" s="776" t="s">
        <v>6671</v>
      </c>
      <c r="AO3" s="776" t="s">
        <v>6672</v>
      </c>
      <c r="AP3" s="776" t="s">
        <v>6665</v>
      </c>
      <c r="AQ3" s="777" t="s">
        <v>6673</v>
      </c>
      <c r="AR3" s="776" t="s">
        <v>6674</v>
      </c>
      <c r="AS3" s="776" t="s">
        <v>6675</v>
      </c>
      <c r="AT3" s="776" t="s">
        <v>6676</v>
      </c>
      <c r="AU3" s="776" t="s">
        <v>6677</v>
      </c>
      <c r="AX3" s="776" t="s">
        <v>6678</v>
      </c>
      <c r="AY3" s="776" t="s">
        <v>6679</v>
      </c>
      <c r="AZ3" s="763"/>
      <c r="BF3" s="778"/>
      <c r="BI3" s="765" t="s">
        <v>6680</v>
      </c>
      <c r="BJ3" s="765" t="s">
        <v>6681</v>
      </c>
      <c r="BL3" s="779" t="s">
        <v>88</v>
      </c>
      <c r="BM3" s="779" t="s">
        <v>6682</v>
      </c>
      <c r="BN3" s="759"/>
      <c r="BR3" s="780" t="s">
        <v>6672</v>
      </c>
      <c r="BS3" s="780" t="s">
        <v>6683</v>
      </c>
      <c r="BU3" s="780" t="s">
        <v>6665</v>
      </c>
      <c r="BV3" s="780" t="s">
        <v>6672</v>
      </c>
      <c r="BX3" s="763"/>
      <c r="CA3" s="781" t="s">
        <v>6684</v>
      </c>
      <c r="CB3" s="781" t="s">
        <v>6685</v>
      </c>
      <c r="CC3" s="781" t="s">
        <v>6686</v>
      </c>
      <c r="CJ3" s="781" t="s">
        <v>6687</v>
      </c>
      <c r="CK3" s="781" t="s">
        <v>6688</v>
      </c>
    </row>
    <row r="4">
      <c r="A4" s="782" t="s">
        <v>6689</v>
      </c>
      <c r="B4" s="783" t="s">
        <v>6690</v>
      </c>
      <c r="C4" s="784" t="s">
        <v>4111</v>
      </c>
      <c r="D4" s="785" t="s">
        <v>438</v>
      </c>
      <c r="E4" s="786" t="s">
        <v>1256</v>
      </c>
      <c r="F4" s="787" t="s">
        <v>4775</v>
      </c>
      <c r="G4" s="788" t="s">
        <v>2545</v>
      </c>
      <c r="H4" s="789" t="s">
        <v>2996</v>
      </c>
      <c r="I4" s="790"/>
      <c r="J4" s="791" t="s">
        <v>2030</v>
      </c>
      <c r="K4" s="791" t="s">
        <v>6691</v>
      </c>
      <c r="L4" s="791" t="s">
        <v>6692</v>
      </c>
      <c r="M4" s="792" t="s">
        <v>3224</v>
      </c>
      <c r="N4" s="790"/>
      <c r="O4" s="793" t="s">
        <v>6693</v>
      </c>
      <c r="P4" s="794"/>
      <c r="Q4" s="795" t="s">
        <v>6694</v>
      </c>
      <c r="R4" s="796" t="s">
        <v>1737</v>
      </c>
      <c r="S4" s="797" t="s">
        <v>5067</v>
      </c>
      <c r="T4" s="797" t="s">
        <v>5675</v>
      </c>
      <c r="U4" s="797"/>
      <c r="V4" s="795" t="s">
        <v>6695</v>
      </c>
      <c r="W4" s="794"/>
      <c r="X4" s="798" t="s">
        <v>2381</v>
      </c>
      <c r="Y4" s="799" t="s">
        <v>6696</v>
      </c>
      <c r="Z4" s="799" t="s">
        <v>6697</v>
      </c>
      <c r="AA4" s="799" t="s">
        <v>5030</v>
      </c>
      <c r="AB4" s="800" t="s">
        <v>6698</v>
      </c>
      <c r="AC4" s="799" t="s">
        <v>747</v>
      </c>
      <c r="AD4" s="801" t="s">
        <v>4266</v>
      </c>
      <c r="AE4" s="801" t="s">
        <v>2529</v>
      </c>
      <c r="AF4" s="802"/>
      <c r="AG4" s="800" t="s">
        <v>6699</v>
      </c>
      <c r="AH4" s="803"/>
      <c r="AI4" s="804"/>
      <c r="AJ4" s="805"/>
      <c r="AK4" s="806"/>
      <c r="AL4" s="806"/>
      <c r="AM4" s="807" t="s">
        <v>6700</v>
      </c>
      <c r="AN4" s="805"/>
      <c r="AO4" s="806"/>
      <c r="AP4" s="807" t="s">
        <v>906</v>
      </c>
      <c r="AQ4" s="805" t="s">
        <v>6701</v>
      </c>
      <c r="AR4" s="806"/>
      <c r="AS4" s="806"/>
      <c r="AT4" s="806"/>
      <c r="AU4" s="806"/>
      <c r="AV4" s="806"/>
      <c r="AW4" s="808" t="s">
        <v>4739</v>
      </c>
      <c r="AX4" s="807" t="s">
        <v>6702</v>
      </c>
      <c r="AY4" s="807" t="s">
        <v>1678</v>
      </c>
      <c r="AZ4" s="809"/>
      <c r="BA4" s="810" t="s">
        <v>6703</v>
      </c>
      <c r="BB4" s="811" t="s">
        <v>6704</v>
      </c>
      <c r="BC4" s="812" t="s">
        <v>294</v>
      </c>
      <c r="BD4" s="810" t="s">
        <v>4271</v>
      </c>
      <c r="BE4" s="810" t="s">
        <v>6705</v>
      </c>
      <c r="BF4" s="809"/>
      <c r="BG4" s="813" t="s">
        <v>6706</v>
      </c>
      <c r="BH4" s="814" t="s">
        <v>694</v>
      </c>
      <c r="BI4" s="815" t="s">
        <v>6707</v>
      </c>
      <c r="BJ4" s="816" t="s">
        <v>6708</v>
      </c>
      <c r="BK4" s="813" t="s">
        <v>6709</v>
      </c>
      <c r="BL4" s="817"/>
      <c r="BM4" s="818" t="s">
        <v>6710</v>
      </c>
      <c r="BN4" s="804"/>
      <c r="BO4" s="819" t="s">
        <v>6711</v>
      </c>
      <c r="BP4" s="820"/>
      <c r="BQ4" s="821" t="s">
        <v>6712</v>
      </c>
      <c r="BR4" s="819" t="s">
        <v>6713</v>
      </c>
      <c r="BS4" s="822"/>
      <c r="BT4" s="821" t="s">
        <v>1106</v>
      </c>
      <c r="BU4" s="819" t="s">
        <v>6429</v>
      </c>
      <c r="BV4" s="823"/>
      <c r="BW4" s="819" t="s">
        <v>6714</v>
      </c>
      <c r="BX4" s="794"/>
      <c r="BY4" s="824" t="s">
        <v>3390</v>
      </c>
      <c r="BZ4" s="825" t="s">
        <v>6171</v>
      </c>
      <c r="CA4" s="795" t="s">
        <v>6715</v>
      </c>
      <c r="CB4" s="826"/>
      <c r="CC4" s="827"/>
      <c r="CD4" s="795" t="s">
        <v>6716</v>
      </c>
      <c r="CE4" s="828" t="s">
        <v>6717</v>
      </c>
      <c r="CF4" s="795" t="s">
        <v>1591</v>
      </c>
      <c r="CG4" s="796" t="s">
        <v>5099</v>
      </c>
      <c r="CH4" s="829" t="s">
        <v>6718</v>
      </c>
      <c r="CI4" s="795" t="s">
        <v>1017</v>
      </c>
      <c r="CJ4" s="795" t="s">
        <v>2216</v>
      </c>
      <c r="CK4" s="795" t="s">
        <v>3872</v>
      </c>
    </row>
    <row r="5">
      <c r="A5" s="830" t="s">
        <v>6719</v>
      </c>
      <c r="B5" s="788" t="s">
        <v>6720</v>
      </c>
      <c r="C5" s="784" t="s">
        <v>647</v>
      </c>
      <c r="D5" s="785" t="s">
        <v>334</v>
      </c>
      <c r="E5" s="786" t="s">
        <v>332</v>
      </c>
      <c r="F5" s="787" t="s">
        <v>3380</v>
      </c>
      <c r="G5" s="788" t="s">
        <v>4674</v>
      </c>
      <c r="H5" s="831"/>
      <c r="I5" s="832" t="s">
        <v>1258</v>
      </c>
      <c r="J5" s="832"/>
      <c r="K5" s="833" t="s">
        <v>6721</v>
      </c>
      <c r="L5" s="832" t="s">
        <v>6722</v>
      </c>
      <c r="M5" s="831"/>
      <c r="N5" s="831"/>
      <c r="O5" s="834" t="s">
        <v>6723</v>
      </c>
      <c r="P5" s="809"/>
      <c r="Q5" s="835" t="s">
        <v>6724</v>
      </c>
      <c r="R5" s="836"/>
      <c r="S5" s="836"/>
      <c r="T5" s="837" t="s">
        <v>6725</v>
      </c>
      <c r="U5" s="838"/>
      <c r="V5" s="839" t="s">
        <v>6726</v>
      </c>
      <c r="W5" s="809"/>
      <c r="X5" s="840" t="s">
        <v>141</v>
      </c>
      <c r="Y5" s="840" t="s">
        <v>6727</v>
      </c>
      <c r="Z5" s="800" t="s">
        <v>4439</v>
      </c>
      <c r="AA5" s="801" t="s">
        <v>5672</v>
      </c>
      <c r="AB5" s="841" t="s">
        <v>791</v>
      </c>
      <c r="AC5" s="841" t="s">
        <v>2980</v>
      </c>
      <c r="AD5" s="799" t="s">
        <v>1213</v>
      </c>
      <c r="AE5" s="841" t="s">
        <v>2674</v>
      </c>
      <c r="AF5" s="802"/>
      <c r="AG5" s="799" t="s">
        <v>6728</v>
      </c>
      <c r="AH5" s="803"/>
      <c r="AI5" s="809"/>
      <c r="AJ5" s="842"/>
      <c r="AK5" s="842" t="s">
        <v>4072</v>
      </c>
      <c r="AL5" s="843"/>
      <c r="AM5" s="842" t="s">
        <v>4631</v>
      </c>
      <c r="AN5" s="842"/>
      <c r="AO5" s="844" t="s">
        <v>2388</v>
      </c>
      <c r="AP5" s="843"/>
      <c r="AQ5" s="845" t="s">
        <v>6729</v>
      </c>
      <c r="AR5" s="842" t="s">
        <v>6730</v>
      </c>
      <c r="AS5" s="842" t="s">
        <v>6731</v>
      </c>
      <c r="AT5" s="843"/>
      <c r="AU5" s="843"/>
      <c r="AV5" s="843"/>
      <c r="AW5" s="846" t="s">
        <v>4230</v>
      </c>
      <c r="AX5" s="847" t="s">
        <v>3759</v>
      </c>
      <c r="AY5" s="842" t="s">
        <v>6732</v>
      </c>
      <c r="AZ5" s="809"/>
      <c r="BA5" s="848"/>
      <c r="BB5" s="849" t="s">
        <v>6733</v>
      </c>
      <c r="BC5" s="850" t="s">
        <v>6734</v>
      </c>
      <c r="BD5" s="848"/>
      <c r="BE5" s="851" t="s">
        <v>6735</v>
      </c>
      <c r="BF5" s="809"/>
      <c r="BG5" s="852" t="s">
        <v>6736</v>
      </c>
      <c r="BH5" s="853" t="s">
        <v>1874</v>
      </c>
      <c r="BI5" s="853"/>
      <c r="BJ5" s="853"/>
      <c r="BK5" s="854" t="s">
        <v>2049</v>
      </c>
      <c r="BL5" s="855"/>
      <c r="BM5" s="853" t="s">
        <v>6737</v>
      </c>
      <c r="BN5" s="809"/>
      <c r="BO5" s="856" t="s">
        <v>5468</v>
      </c>
      <c r="BP5" s="857"/>
      <c r="BQ5" s="857"/>
      <c r="BR5" s="858" t="s">
        <v>6738</v>
      </c>
      <c r="BS5" s="857"/>
      <c r="BT5" s="859" t="s">
        <v>1616</v>
      </c>
      <c r="BU5" s="857"/>
      <c r="BV5" s="860" t="s">
        <v>3859</v>
      </c>
      <c r="BW5" s="859" t="s">
        <v>6137</v>
      </c>
      <c r="BX5" s="809"/>
      <c r="BY5" s="861" t="s">
        <v>2811</v>
      </c>
      <c r="BZ5" s="862" t="s">
        <v>4207</v>
      </c>
      <c r="CA5" s="863"/>
      <c r="CB5" s="863"/>
      <c r="CC5" s="863"/>
      <c r="CD5" s="862" t="s">
        <v>1396</v>
      </c>
      <c r="CE5" s="864" t="s">
        <v>4733</v>
      </c>
      <c r="CF5" s="862" t="s">
        <v>6739</v>
      </c>
      <c r="CG5" s="863"/>
      <c r="CH5" s="863"/>
      <c r="CI5" s="863"/>
      <c r="CJ5" s="863"/>
      <c r="CK5" s="863"/>
    </row>
    <row r="6">
      <c r="A6" s="865" t="s">
        <v>435</v>
      </c>
      <c r="B6" s="788" t="s">
        <v>6740</v>
      </c>
      <c r="C6" s="784" t="s">
        <v>437</v>
      </c>
      <c r="D6" s="785" t="s">
        <v>1197</v>
      </c>
      <c r="E6" s="786" t="s">
        <v>332</v>
      </c>
      <c r="F6" s="787" t="s">
        <v>4050</v>
      </c>
      <c r="G6" s="788" t="s">
        <v>1498</v>
      </c>
      <c r="H6" s="833" t="s">
        <v>1606</v>
      </c>
      <c r="I6" s="866" t="s">
        <v>3118</v>
      </c>
      <c r="J6" s="834" t="s">
        <v>6741</v>
      </c>
      <c r="K6" s="867" t="s">
        <v>5946</v>
      </c>
      <c r="L6" s="833" t="s">
        <v>5488</v>
      </c>
      <c r="M6" s="831"/>
      <c r="N6" s="831"/>
      <c r="O6" s="868" t="s">
        <v>6742</v>
      </c>
      <c r="P6" s="794"/>
      <c r="Q6" s="869" t="s">
        <v>6743</v>
      </c>
      <c r="R6" s="869" t="s">
        <v>2812</v>
      </c>
      <c r="S6" s="836"/>
      <c r="T6" s="870" t="s">
        <v>233</v>
      </c>
      <c r="U6" s="871"/>
      <c r="V6" s="837" t="s">
        <v>6744</v>
      </c>
      <c r="W6" s="794"/>
      <c r="X6" s="801" t="s">
        <v>148</v>
      </c>
      <c r="Y6" s="801" t="s">
        <v>6745</v>
      </c>
      <c r="Z6" s="801" t="s">
        <v>2597</v>
      </c>
      <c r="AA6" s="872" t="s">
        <v>6746</v>
      </c>
      <c r="AB6" s="840" t="s">
        <v>1274</v>
      </c>
      <c r="AC6" s="872" t="s">
        <v>1316</v>
      </c>
      <c r="AD6" s="799" t="s">
        <v>1213</v>
      </c>
      <c r="AE6" s="799" t="s">
        <v>6747</v>
      </c>
      <c r="AF6" s="873"/>
      <c r="AG6" s="874" t="s">
        <v>6748</v>
      </c>
      <c r="AH6" s="803"/>
      <c r="AI6" s="804"/>
      <c r="AJ6" s="842"/>
      <c r="AK6" s="842" t="s">
        <v>6749</v>
      </c>
      <c r="AL6" s="843"/>
      <c r="AM6" s="875" t="s">
        <v>3276</v>
      </c>
      <c r="AN6" s="876" t="s">
        <v>3510</v>
      </c>
      <c r="AO6" s="842" t="s">
        <v>6750</v>
      </c>
      <c r="AP6" s="875" t="s">
        <v>2467</v>
      </c>
      <c r="AQ6" s="877" t="s">
        <v>6751</v>
      </c>
      <c r="AR6" s="842" t="s">
        <v>6752</v>
      </c>
      <c r="AS6" s="843"/>
      <c r="AT6" s="844" t="s">
        <v>4894</v>
      </c>
      <c r="AU6" s="843"/>
      <c r="AV6" s="843"/>
      <c r="AW6" s="847" t="s">
        <v>5032</v>
      </c>
      <c r="AX6" s="847" t="s">
        <v>1301</v>
      </c>
      <c r="AY6" s="843"/>
      <c r="AZ6" s="809"/>
      <c r="BA6" s="878"/>
      <c r="BB6" s="850" t="s">
        <v>6753</v>
      </c>
      <c r="BC6" s="851" t="s">
        <v>6162</v>
      </c>
      <c r="BD6" s="878"/>
      <c r="BE6" s="879" t="s">
        <v>6754</v>
      </c>
      <c r="BF6" s="809"/>
      <c r="BG6" s="852" t="s">
        <v>3235</v>
      </c>
      <c r="BH6" s="852" t="s">
        <v>1303</v>
      </c>
      <c r="BI6" s="880" t="s">
        <v>5817</v>
      </c>
      <c r="BJ6" s="881"/>
      <c r="BK6" s="852" t="s">
        <v>6755</v>
      </c>
      <c r="BL6" s="855"/>
      <c r="BM6" s="853" t="s">
        <v>6756</v>
      </c>
      <c r="BN6" s="794"/>
      <c r="BO6" s="859" t="s">
        <v>6757</v>
      </c>
      <c r="BP6" s="858"/>
      <c r="BQ6" s="882" t="s">
        <v>1681</v>
      </c>
      <c r="BR6" s="858" t="s">
        <v>6758</v>
      </c>
      <c r="BS6" s="857"/>
      <c r="BT6" s="882" t="s">
        <v>1902</v>
      </c>
      <c r="BU6" s="857"/>
      <c r="BV6" s="858" t="s">
        <v>5954</v>
      </c>
      <c r="BW6" s="858" t="s">
        <v>2134</v>
      </c>
      <c r="BX6" s="794"/>
      <c r="BY6" s="883" t="s">
        <v>302</v>
      </c>
      <c r="BZ6" s="862" t="s">
        <v>3505</v>
      </c>
      <c r="CA6" s="863"/>
      <c r="CB6" s="884"/>
      <c r="CC6" s="863"/>
      <c r="CD6" s="863"/>
      <c r="CE6" s="863"/>
      <c r="CF6" s="863"/>
      <c r="CG6" s="863"/>
      <c r="CH6" s="863"/>
      <c r="CI6" s="863"/>
      <c r="CJ6" s="884"/>
      <c r="CK6" s="884"/>
    </row>
    <row r="7">
      <c r="A7" s="885" t="s">
        <v>6759</v>
      </c>
      <c r="B7" s="886" t="s">
        <v>6760</v>
      </c>
      <c r="C7" s="784" t="s">
        <v>334</v>
      </c>
      <c r="D7" s="785" t="s">
        <v>332</v>
      </c>
      <c r="E7" s="786" t="s">
        <v>333</v>
      </c>
      <c r="F7" s="787" t="s">
        <v>3537</v>
      </c>
      <c r="G7" s="788" t="s">
        <v>3869</v>
      </c>
      <c r="H7" s="887" t="s">
        <v>6761</v>
      </c>
      <c r="I7" s="833" t="s">
        <v>6762</v>
      </c>
      <c r="J7" s="833" t="s">
        <v>3723</v>
      </c>
      <c r="K7" s="833" t="s">
        <v>6763</v>
      </c>
      <c r="L7" s="888" t="s">
        <v>2030</v>
      </c>
      <c r="M7" s="866" t="s">
        <v>6764</v>
      </c>
      <c r="N7" s="833" t="s">
        <v>6765</v>
      </c>
      <c r="O7" s="833" t="s">
        <v>6766</v>
      </c>
      <c r="P7" s="794"/>
      <c r="Q7" s="839" t="s">
        <v>6767</v>
      </c>
      <c r="R7" s="839" t="s">
        <v>1939</v>
      </c>
      <c r="S7" s="837" t="s">
        <v>726</v>
      </c>
      <c r="T7" s="839" t="s">
        <v>5176</v>
      </c>
      <c r="U7" s="869" t="s">
        <v>6768</v>
      </c>
      <c r="V7" s="837" t="s">
        <v>6769</v>
      </c>
      <c r="W7" s="794"/>
      <c r="X7" s="841" t="s">
        <v>831</v>
      </c>
      <c r="Y7" s="800" t="s">
        <v>6770</v>
      </c>
      <c r="Z7" s="801" t="s">
        <v>6771</v>
      </c>
      <c r="AA7" s="801" t="s">
        <v>6772</v>
      </c>
      <c r="AB7" s="889" t="s">
        <v>4379</v>
      </c>
      <c r="AC7" s="801" t="s">
        <v>5920</v>
      </c>
      <c r="AD7" s="801" t="s">
        <v>131</v>
      </c>
      <c r="AE7" s="801" t="s">
        <v>6773</v>
      </c>
      <c r="AF7" s="802"/>
      <c r="AG7" s="874" t="s">
        <v>6774</v>
      </c>
      <c r="AH7" s="890" t="s">
        <v>6775</v>
      </c>
      <c r="AI7" s="794"/>
      <c r="AJ7" s="891"/>
      <c r="AK7" s="876" t="s">
        <v>102</v>
      </c>
      <c r="AL7" s="877" t="s">
        <v>6776</v>
      </c>
      <c r="AM7" s="847" t="s">
        <v>2231</v>
      </c>
      <c r="AN7" s="842" t="s">
        <v>4621</v>
      </c>
      <c r="AO7" s="842" t="s">
        <v>6777</v>
      </c>
      <c r="AP7" s="847" t="s">
        <v>6778</v>
      </c>
      <c r="AQ7" s="842" t="s">
        <v>6779</v>
      </c>
      <c r="AR7" s="847" t="s">
        <v>6780</v>
      </c>
      <c r="AS7" s="847" t="s">
        <v>2749</v>
      </c>
      <c r="AT7" s="876" t="s">
        <v>6781</v>
      </c>
      <c r="AU7" s="844" t="s">
        <v>6782</v>
      </c>
      <c r="AV7" s="877" t="s">
        <v>6783</v>
      </c>
      <c r="AW7" s="847" t="s">
        <v>2551</v>
      </c>
      <c r="AX7" s="876" t="s">
        <v>5261</v>
      </c>
      <c r="AY7" s="876" t="s">
        <v>6784</v>
      </c>
      <c r="AZ7" s="809"/>
      <c r="BA7" s="851" t="s">
        <v>6785</v>
      </c>
      <c r="BB7" s="892" t="s">
        <v>6786</v>
      </c>
      <c r="BC7" s="893" t="s">
        <v>3286</v>
      </c>
      <c r="BD7" s="894"/>
      <c r="BE7" s="850" t="s">
        <v>6787</v>
      </c>
      <c r="BF7" s="809"/>
      <c r="BG7" s="895" t="s">
        <v>6788</v>
      </c>
      <c r="BH7" s="896" t="s">
        <v>3522</v>
      </c>
      <c r="BI7" s="852" t="s">
        <v>610</v>
      </c>
      <c r="BJ7" s="853" t="s">
        <v>6789</v>
      </c>
      <c r="BK7" s="852" t="s">
        <v>6790</v>
      </c>
      <c r="BL7" s="852" t="s">
        <v>6791</v>
      </c>
      <c r="BM7" s="852" t="s">
        <v>6792</v>
      </c>
      <c r="BN7" s="794"/>
      <c r="BO7" s="859" t="s">
        <v>2467</v>
      </c>
      <c r="BP7" s="860" t="s">
        <v>5857</v>
      </c>
      <c r="BQ7" s="859" t="s">
        <v>3595</v>
      </c>
      <c r="BR7" s="859" t="s">
        <v>3953</v>
      </c>
      <c r="BS7" s="859" t="s">
        <v>814</v>
      </c>
      <c r="BT7" s="859" t="s">
        <v>1369</v>
      </c>
      <c r="BU7" s="882" t="s">
        <v>3953</v>
      </c>
      <c r="BV7" s="897" t="s">
        <v>6793</v>
      </c>
      <c r="BW7" s="859" t="s">
        <v>6794</v>
      </c>
      <c r="BX7" s="794"/>
      <c r="BY7" s="883" t="s">
        <v>6795</v>
      </c>
      <c r="BZ7" s="898" t="s">
        <v>6396</v>
      </c>
      <c r="CA7" s="898" t="s">
        <v>2348</v>
      </c>
      <c r="CB7" s="899" t="s">
        <v>3461</v>
      </c>
      <c r="CC7" s="900"/>
      <c r="CD7" s="901"/>
      <c r="CE7" s="883" t="s">
        <v>2820</v>
      </c>
      <c r="CF7" s="883" t="s">
        <v>6796</v>
      </c>
      <c r="CG7" s="883" t="s">
        <v>6797</v>
      </c>
      <c r="CH7" s="883" t="s">
        <v>2246</v>
      </c>
      <c r="CI7" s="883" t="s">
        <v>6798</v>
      </c>
      <c r="CJ7" s="898" t="s">
        <v>2735</v>
      </c>
      <c r="CK7" s="899"/>
    </row>
    <row r="8">
      <c r="A8" s="902" t="s">
        <v>1550</v>
      </c>
      <c r="B8" s="788" t="s">
        <v>6799</v>
      </c>
      <c r="C8" s="784" t="s">
        <v>647</v>
      </c>
      <c r="D8" s="785" t="s">
        <v>646</v>
      </c>
      <c r="E8" s="786" t="s">
        <v>332</v>
      </c>
      <c r="F8" s="787" t="s">
        <v>2937</v>
      </c>
      <c r="G8" s="788" t="s">
        <v>5888</v>
      </c>
      <c r="H8" s="833" t="s">
        <v>1293</v>
      </c>
      <c r="I8" s="903" t="s">
        <v>6800</v>
      </c>
      <c r="J8" s="831"/>
      <c r="K8" s="832" t="s">
        <v>6801</v>
      </c>
      <c r="L8" s="903" t="s">
        <v>6802</v>
      </c>
      <c r="M8" s="831"/>
      <c r="N8" s="868" t="s">
        <v>6803</v>
      </c>
      <c r="O8" s="831"/>
      <c r="P8" s="794"/>
      <c r="Q8" s="835" t="s">
        <v>4161</v>
      </c>
      <c r="R8" s="870" t="s">
        <v>3179</v>
      </c>
      <c r="S8" s="871" t="s">
        <v>5929</v>
      </c>
      <c r="T8" s="904" t="s">
        <v>5389</v>
      </c>
      <c r="U8" s="904" t="s">
        <v>6804</v>
      </c>
      <c r="V8" s="869" t="s">
        <v>6805</v>
      </c>
      <c r="W8" s="794"/>
      <c r="X8" s="872" t="s">
        <v>910</v>
      </c>
      <c r="Y8" s="872" t="s">
        <v>6806</v>
      </c>
      <c r="Z8" s="801" t="s">
        <v>6807</v>
      </c>
      <c r="AA8" s="889" t="s">
        <v>6808</v>
      </c>
      <c r="AB8" s="840" t="s">
        <v>4955</v>
      </c>
      <c r="AC8" s="840" t="s">
        <v>5125</v>
      </c>
      <c r="AD8" s="872" t="s">
        <v>4960</v>
      </c>
      <c r="AE8" s="840" t="s">
        <v>6809</v>
      </c>
      <c r="AF8" s="840"/>
      <c r="AG8" s="905"/>
      <c r="AH8" s="906" t="s">
        <v>6810</v>
      </c>
      <c r="AI8" s="794"/>
      <c r="AJ8" s="842"/>
      <c r="AK8" s="842" t="s">
        <v>6811</v>
      </c>
      <c r="AL8" s="842" t="s">
        <v>5599</v>
      </c>
      <c r="AM8" s="842" t="s">
        <v>561</v>
      </c>
      <c r="AN8" s="847" t="s">
        <v>6812</v>
      </c>
      <c r="AO8" s="843"/>
      <c r="AP8" s="847" t="s">
        <v>6813</v>
      </c>
      <c r="AQ8" s="907" t="s">
        <v>5062</v>
      </c>
      <c r="AR8" s="842" t="s">
        <v>6814</v>
      </c>
      <c r="AS8" s="876" t="s">
        <v>6815</v>
      </c>
      <c r="AT8" s="843"/>
      <c r="AU8" s="842" t="s">
        <v>6816</v>
      </c>
      <c r="AV8" s="843"/>
      <c r="AW8" s="842" t="s">
        <v>472</v>
      </c>
      <c r="AX8" s="847" t="s">
        <v>6817</v>
      </c>
      <c r="AY8" s="847" t="s">
        <v>6818</v>
      </c>
      <c r="AZ8" s="809"/>
      <c r="BA8" s="849" t="s">
        <v>6819</v>
      </c>
      <c r="BB8" s="850" t="s">
        <v>6820</v>
      </c>
      <c r="BC8" s="908" t="s">
        <v>3521</v>
      </c>
      <c r="BD8" s="878"/>
      <c r="BE8" s="879" t="s">
        <v>6821</v>
      </c>
      <c r="BF8" s="809"/>
      <c r="BG8" s="852" t="s">
        <v>3235</v>
      </c>
      <c r="BH8" s="852" t="s">
        <v>6822</v>
      </c>
      <c r="BI8" s="853" t="s">
        <v>769</v>
      </c>
      <c r="BJ8" s="855"/>
      <c r="BK8" s="852" t="s">
        <v>6823</v>
      </c>
      <c r="BL8" s="854" t="s">
        <v>6824</v>
      </c>
      <c r="BM8" s="909" t="s">
        <v>6825</v>
      </c>
      <c r="BN8" s="794"/>
      <c r="BO8" s="858" t="s">
        <v>6826</v>
      </c>
      <c r="BP8" s="910"/>
      <c r="BQ8" s="858" t="s">
        <v>6827</v>
      </c>
      <c r="BR8" s="911" t="s">
        <v>6828</v>
      </c>
      <c r="BS8" s="860" t="s">
        <v>6829</v>
      </c>
      <c r="BT8" s="858" t="s">
        <v>6830</v>
      </c>
      <c r="BU8" s="911" t="s">
        <v>6819</v>
      </c>
      <c r="BV8" s="859" t="s">
        <v>6831</v>
      </c>
      <c r="BW8" s="897" t="s">
        <v>6832</v>
      </c>
      <c r="BX8" s="794"/>
      <c r="BY8" s="862" t="s">
        <v>6833</v>
      </c>
      <c r="BZ8" s="862" t="s">
        <v>2683</v>
      </c>
      <c r="CA8" s="863"/>
      <c r="CB8" s="912" t="s">
        <v>2405</v>
      </c>
      <c r="CC8" s="862"/>
      <c r="CD8" s="862" t="s">
        <v>2954</v>
      </c>
      <c r="CE8" s="898" t="s">
        <v>6834</v>
      </c>
      <c r="CF8" s="899" t="s">
        <v>6835</v>
      </c>
      <c r="CG8" s="899" t="s">
        <v>6836</v>
      </c>
      <c r="CH8" s="913" t="s">
        <v>6837</v>
      </c>
      <c r="CI8" s="899" t="s">
        <v>3643</v>
      </c>
      <c r="CJ8" s="899" t="s">
        <v>5040</v>
      </c>
      <c r="CK8" s="884"/>
    </row>
    <row r="9">
      <c r="A9" s="914" t="s">
        <v>825</v>
      </c>
      <c r="B9" s="788" t="s">
        <v>6203</v>
      </c>
      <c r="C9" s="784" t="s">
        <v>646</v>
      </c>
      <c r="D9" s="785" t="s">
        <v>981</v>
      </c>
      <c r="E9" s="786" t="s">
        <v>332</v>
      </c>
      <c r="F9" s="787" t="s">
        <v>6245</v>
      </c>
      <c r="G9" s="788" t="s">
        <v>2994</v>
      </c>
      <c r="H9" s="831"/>
      <c r="I9" s="887" t="s">
        <v>6838</v>
      </c>
      <c r="J9" s="832" t="s">
        <v>6839</v>
      </c>
      <c r="K9" s="832"/>
      <c r="L9" s="868" t="s">
        <v>6840</v>
      </c>
      <c r="M9" s="831"/>
      <c r="N9" s="866" t="s">
        <v>6841</v>
      </c>
      <c r="O9" s="831"/>
      <c r="P9" s="794"/>
      <c r="Q9" s="870" t="s">
        <v>6842</v>
      </c>
      <c r="R9" s="915" t="s">
        <v>2122</v>
      </c>
      <c r="S9" s="836"/>
      <c r="T9" s="836"/>
      <c r="U9" s="870" t="s">
        <v>6843</v>
      </c>
      <c r="V9" s="837" t="s">
        <v>6844</v>
      </c>
      <c r="W9" s="794"/>
      <c r="X9" s="800" t="s">
        <v>6845</v>
      </c>
      <c r="Y9" s="840"/>
      <c r="Z9" s="840" t="s">
        <v>6846</v>
      </c>
      <c r="AA9" s="916" t="s">
        <v>6847</v>
      </c>
      <c r="AB9" s="840"/>
      <c r="AC9" s="840" t="s">
        <v>6848</v>
      </c>
      <c r="AD9" s="799" t="s">
        <v>1213</v>
      </c>
      <c r="AE9" s="905"/>
      <c r="AF9" s="905"/>
      <c r="AG9" s="840" t="s">
        <v>6849</v>
      </c>
      <c r="AH9" s="803"/>
      <c r="AI9" s="794"/>
      <c r="AJ9" s="843"/>
      <c r="AK9" s="843"/>
      <c r="AL9" s="843"/>
      <c r="AM9" s="877" t="s">
        <v>5741</v>
      </c>
      <c r="AN9" s="843"/>
      <c r="AO9" s="876" t="s">
        <v>2062</v>
      </c>
      <c r="AP9" s="877" t="s">
        <v>6850</v>
      </c>
      <c r="AQ9" s="844" t="s">
        <v>6851</v>
      </c>
      <c r="AR9" s="843"/>
      <c r="AS9" s="843"/>
      <c r="AT9" s="843"/>
      <c r="AU9" s="843"/>
      <c r="AV9" s="843"/>
      <c r="AW9" s="844" t="s">
        <v>6852</v>
      </c>
      <c r="AX9" s="843"/>
      <c r="AY9" s="843"/>
      <c r="AZ9" s="809"/>
      <c r="BA9" s="917"/>
      <c r="BB9" s="917"/>
      <c r="BC9" s="892" t="s">
        <v>6853</v>
      </c>
      <c r="BD9" s="878"/>
      <c r="BE9" s="879" t="s">
        <v>6854</v>
      </c>
      <c r="BF9" s="809"/>
      <c r="BG9" s="854" t="s">
        <v>6855</v>
      </c>
      <c r="BH9" s="918" t="s">
        <v>6856</v>
      </c>
      <c r="BI9" s="854" t="s">
        <v>325</v>
      </c>
      <c r="BJ9" s="855"/>
      <c r="BK9" s="855"/>
      <c r="BL9" s="855"/>
      <c r="BM9" s="853" t="s">
        <v>6857</v>
      </c>
      <c r="BN9" s="794"/>
      <c r="BO9" s="882" t="s">
        <v>6858</v>
      </c>
      <c r="BP9" s="910"/>
      <c r="BQ9" s="858" t="s">
        <v>6859</v>
      </c>
      <c r="BR9" s="857"/>
      <c r="BS9" s="857"/>
      <c r="BT9" s="897" t="s">
        <v>870</v>
      </c>
      <c r="BU9" s="857"/>
      <c r="BV9" s="858" t="s">
        <v>4057</v>
      </c>
      <c r="BW9" s="858" t="s">
        <v>6860</v>
      </c>
      <c r="BX9" s="794"/>
      <c r="BY9" s="862" t="s">
        <v>6861</v>
      </c>
      <c r="BZ9" s="913" t="s">
        <v>6862</v>
      </c>
      <c r="CA9" s="863"/>
      <c r="CB9" s="884"/>
      <c r="CC9" s="863"/>
      <c r="CD9" s="863"/>
      <c r="CE9" s="863"/>
      <c r="CF9" s="863"/>
      <c r="CG9" s="863"/>
      <c r="CH9" s="863"/>
      <c r="CI9" s="863"/>
      <c r="CJ9" s="884"/>
      <c r="CK9" s="884"/>
    </row>
    <row r="10">
      <c r="A10" s="865" t="s">
        <v>1413</v>
      </c>
      <c r="B10" s="788" t="s">
        <v>6863</v>
      </c>
      <c r="C10" s="784" t="s">
        <v>1256</v>
      </c>
      <c r="D10" s="785" t="s">
        <v>332</v>
      </c>
      <c r="E10" s="786" t="s">
        <v>438</v>
      </c>
      <c r="F10" s="787" t="s">
        <v>220</v>
      </c>
      <c r="G10" s="788" t="s">
        <v>4947</v>
      </c>
      <c r="H10" s="831"/>
      <c r="I10" s="833" t="s">
        <v>6864</v>
      </c>
      <c r="J10" s="867"/>
      <c r="K10" s="868" t="s">
        <v>6865</v>
      </c>
      <c r="L10" s="887" t="s">
        <v>3131</v>
      </c>
      <c r="M10" s="831"/>
      <c r="N10" s="831"/>
      <c r="O10" s="903" t="s">
        <v>6866</v>
      </c>
      <c r="P10" s="794"/>
      <c r="Q10" s="839" t="s">
        <v>6867</v>
      </c>
      <c r="R10" s="836"/>
      <c r="S10" s="836"/>
      <c r="T10" s="919" t="s">
        <v>5895</v>
      </c>
      <c r="U10" s="835"/>
      <c r="V10" s="904" t="s">
        <v>6868</v>
      </c>
      <c r="W10" s="794"/>
      <c r="X10" s="801" t="s">
        <v>590</v>
      </c>
      <c r="Y10" s="920" t="s">
        <v>6869</v>
      </c>
      <c r="Z10" s="872" t="s">
        <v>6870</v>
      </c>
      <c r="AA10" s="872" t="s">
        <v>5591</v>
      </c>
      <c r="AB10" s="801" t="s">
        <v>2352</v>
      </c>
      <c r="AC10" s="872" t="s">
        <v>6871</v>
      </c>
      <c r="AD10" s="921" t="s">
        <v>2419</v>
      </c>
      <c r="AE10" s="801" t="s">
        <v>1088</v>
      </c>
      <c r="AF10" s="873"/>
      <c r="AG10" s="841" t="s">
        <v>6872</v>
      </c>
      <c r="AH10" s="922" t="s">
        <v>6873</v>
      </c>
      <c r="AI10" s="804"/>
      <c r="AJ10" s="843"/>
      <c r="AK10" s="875" t="s">
        <v>6874</v>
      </c>
      <c r="AL10" s="876" t="s">
        <v>6044</v>
      </c>
      <c r="AM10" s="847" t="s">
        <v>659</v>
      </c>
      <c r="AN10" s="923"/>
      <c r="AO10" s="847" t="s">
        <v>5882</v>
      </c>
      <c r="AP10" s="875" t="s">
        <v>6875</v>
      </c>
      <c r="AQ10" s="924" t="s">
        <v>5907</v>
      </c>
      <c r="AR10" s="843"/>
      <c r="AS10" s="843"/>
      <c r="AT10" s="843"/>
      <c r="AU10" s="843"/>
      <c r="AV10" s="875" t="s">
        <v>6876</v>
      </c>
      <c r="AW10" s="875" t="s">
        <v>959</v>
      </c>
      <c r="AX10" s="907" t="s">
        <v>6877</v>
      </c>
      <c r="AY10" s="907" t="s">
        <v>6878</v>
      </c>
      <c r="AZ10" s="809"/>
      <c r="BA10" s="917"/>
      <c r="BB10" s="925" t="s">
        <v>6879</v>
      </c>
      <c r="BC10" s="850" t="s">
        <v>5232</v>
      </c>
      <c r="BD10" s="878"/>
      <c r="BE10" s="850" t="s">
        <v>6880</v>
      </c>
      <c r="BF10" s="809"/>
      <c r="BG10" s="852" t="s">
        <v>6881</v>
      </c>
      <c r="BH10" s="926" t="s">
        <v>4760</v>
      </c>
      <c r="BI10" s="855"/>
      <c r="BJ10" s="855"/>
      <c r="BK10" s="855"/>
      <c r="BL10" s="855"/>
      <c r="BM10" s="927" t="s">
        <v>6882</v>
      </c>
      <c r="BN10" s="804"/>
      <c r="BO10" s="859" t="s">
        <v>6883</v>
      </c>
      <c r="BP10" s="910"/>
      <c r="BQ10" s="857"/>
      <c r="BR10" s="882" t="s">
        <v>6884</v>
      </c>
      <c r="BS10" s="857"/>
      <c r="BT10" s="910" t="s">
        <v>296</v>
      </c>
      <c r="BU10" s="857"/>
      <c r="BV10" s="910" t="s">
        <v>6885</v>
      </c>
      <c r="BW10" s="859" t="s">
        <v>6886</v>
      </c>
      <c r="BX10" s="804"/>
      <c r="BY10" s="928"/>
      <c r="BZ10" s="883" t="s">
        <v>723</v>
      </c>
      <c r="CA10" s="863"/>
      <c r="CB10" s="884"/>
      <c r="CC10" s="863"/>
      <c r="CD10" s="899" t="s">
        <v>4335</v>
      </c>
      <c r="CE10" s="863"/>
      <c r="CF10" s="898" t="s">
        <v>6887</v>
      </c>
      <c r="CG10" s="912" t="s">
        <v>2640</v>
      </c>
      <c r="CH10" s="863"/>
      <c r="CI10" s="863"/>
      <c r="CJ10" s="884"/>
      <c r="CK10" s="884"/>
    </row>
    <row r="11">
      <c r="A11" s="830" t="s">
        <v>2374</v>
      </c>
      <c r="B11" s="788" t="s">
        <v>6888</v>
      </c>
      <c r="C11" s="784" t="s">
        <v>546</v>
      </c>
      <c r="D11" s="785" t="s">
        <v>332</v>
      </c>
      <c r="E11" s="786" t="s">
        <v>438</v>
      </c>
      <c r="F11" s="787" t="s">
        <v>1881</v>
      </c>
      <c r="G11" s="788" t="s">
        <v>1881</v>
      </c>
      <c r="H11" s="833" t="s">
        <v>1205</v>
      </c>
      <c r="I11" s="833" t="s">
        <v>6889</v>
      </c>
      <c r="J11" s="833" t="s">
        <v>3723</v>
      </c>
      <c r="K11" s="833" t="s">
        <v>2032</v>
      </c>
      <c r="L11" s="831"/>
      <c r="M11" s="831"/>
      <c r="N11" s="831"/>
      <c r="O11" s="887" t="s">
        <v>6890</v>
      </c>
      <c r="P11" s="794"/>
      <c r="Q11" s="839" t="s">
        <v>6891</v>
      </c>
      <c r="R11" s="836"/>
      <c r="S11" s="869" t="s">
        <v>6892</v>
      </c>
      <c r="T11" s="839" t="s">
        <v>5216</v>
      </c>
      <c r="U11" s="839" t="s">
        <v>3602</v>
      </c>
      <c r="V11" s="839" t="s">
        <v>6893</v>
      </c>
      <c r="W11" s="794"/>
      <c r="X11" s="801" t="s">
        <v>2778</v>
      </c>
      <c r="Y11" s="841" t="s">
        <v>6894</v>
      </c>
      <c r="Z11" s="801" t="s">
        <v>6895</v>
      </c>
      <c r="AA11" s="801" t="s">
        <v>6772</v>
      </c>
      <c r="AB11" s="801" t="s">
        <v>6408</v>
      </c>
      <c r="AC11" s="801" t="s">
        <v>6896</v>
      </c>
      <c r="AD11" s="801" t="s">
        <v>1055</v>
      </c>
      <c r="AE11" s="801" t="s">
        <v>6897</v>
      </c>
      <c r="AF11" s="873"/>
      <c r="AG11" s="801" t="s">
        <v>6898</v>
      </c>
      <c r="AH11" s="803"/>
      <c r="AI11" s="794"/>
      <c r="AJ11" s="929"/>
      <c r="AK11" s="877" t="s">
        <v>2092</v>
      </c>
      <c r="AL11" s="843"/>
      <c r="AM11" s="847" t="s">
        <v>4249</v>
      </c>
      <c r="AN11" s="843"/>
      <c r="AO11" s="843"/>
      <c r="AP11" s="847" t="s">
        <v>3523</v>
      </c>
      <c r="AQ11" s="843"/>
      <c r="AR11" s="877" t="s">
        <v>6899</v>
      </c>
      <c r="AS11" s="847" t="s">
        <v>6900</v>
      </c>
      <c r="AT11" s="843"/>
      <c r="AU11" s="876" t="s">
        <v>6901</v>
      </c>
      <c r="AV11" s="843"/>
      <c r="AW11" s="847" t="s">
        <v>5416</v>
      </c>
      <c r="AX11" s="847" t="s">
        <v>4812</v>
      </c>
      <c r="AY11" s="847" t="s">
        <v>6902</v>
      </c>
      <c r="AZ11" s="809"/>
      <c r="BA11" s="850" t="s">
        <v>6903</v>
      </c>
      <c r="BB11" s="850" t="s">
        <v>6904</v>
      </c>
      <c r="BC11" s="850" t="s">
        <v>5339</v>
      </c>
      <c r="BD11" s="878"/>
      <c r="BE11" s="850" t="s">
        <v>6905</v>
      </c>
      <c r="BF11" s="809"/>
      <c r="BG11" s="852" t="s">
        <v>6906</v>
      </c>
      <c r="BH11" s="852" t="s">
        <v>3333</v>
      </c>
      <c r="BI11" s="852" t="s">
        <v>2216</v>
      </c>
      <c r="BJ11" s="918" t="s">
        <v>6907</v>
      </c>
      <c r="BK11" s="852" t="s">
        <v>6908</v>
      </c>
      <c r="BL11" s="855"/>
      <c r="BM11" s="852" t="s">
        <v>6909</v>
      </c>
      <c r="BN11" s="794"/>
      <c r="BO11" s="857"/>
      <c r="BP11" s="910"/>
      <c r="BQ11" s="859" t="s">
        <v>2701</v>
      </c>
      <c r="BR11" s="859" t="s">
        <v>6910</v>
      </c>
      <c r="BS11" s="857"/>
      <c r="BT11" s="859" t="s">
        <v>1699</v>
      </c>
      <c r="BU11" s="857"/>
      <c r="BV11" s="859" t="s">
        <v>6911</v>
      </c>
      <c r="BW11" s="859" t="s">
        <v>6231</v>
      </c>
      <c r="BX11" s="794"/>
      <c r="BY11" s="883" t="s">
        <v>6750</v>
      </c>
      <c r="BZ11" s="883" t="s">
        <v>2782</v>
      </c>
      <c r="CA11" s="899" t="s">
        <v>6912</v>
      </c>
      <c r="CB11" s="884"/>
      <c r="CC11" s="863"/>
      <c r="CD11" s="899" t="s">
        <v>4335</v>
      </c>
      <c r="CE11" s="883" t="s">
        <v>6913</v>
      </c>
      <c r="CF11" s="883" t="s">
        <v>5341</v>
      </c>
      <c r="CG11" s="898" t="s">
        <v>6914</v>
      </c>
      <c r="CH11" s="863"/>
      <c r="CI11" s="898" t="s">
        <v>4807</v>
      </c>
      <c r="CJ11" s="884"/>
      <c r="CK11" s="884"/>
    </row>
    <row r="12">
      <c r="A12" s="865" t="s">
        <v>330</v>
      </c>
      <c r="B12" s="788" t="s">
        <v>6915</v>
      </c>
      <c r="C12" s="784" t="s">
        <v>332</v>
      </c>
      <c r="D12" s="785" t="s">
        <v>334</v>
      </c>
      <c r="E12" s="786" t="s">
        <v>1197</v>
      </c>
      <c r="F12" s="787" t="s">
        <v>3969</v>
      </c>
      <c r="G12" s="788" t="s">
        <v>1498</v>
      </c>
      <c r="H12" s="930" t="s">
        <v>2929</v>
      </c>
      <c r="I12" s="868" t="s">
        <v>6916</v>
      </c>
      <c r="J12" s="868" t="s">
        <v>6917</v>
      </c>
      <c r="K12" s="833" t="s">
        <v>713</v>
      </c>
      <c r="L12" s="931" t="s">
        <v>6918</v>
      </c>
      <c r="M12" s="831"/>
      <c r="N12" s="831"/>
      <c r="O12" s="903" t="s">
        <v>6919</v>
      </c>
      <c r="P12" s="794"/>
      <c r="Q12" s="839" t="s">
        <v>6920</v>
      </c>
      <c r="R12" s="836"/>
      <c r="S12" s="836"/>
      <c r="T12" s="869" t="s">
        <v>5351</v>
      </c>
      <c r="U12" s="835"/>
      <c r="V12" s="904" t="s">
        <v>6921</v>
      </c>
      <c r="W12" s="794"/>
      <c r="X12" s="905"/>
      <c r="Y12" s="872" t="s">
        <v>6922</v>
      </c>
      <c r="Z12" s="920" t="s">
        <v>6918</v>
      </c>
      <c r="AA12" s="920" t="s">
        <v>6923</v>
      </c>
      <c r="AB12" s="799" t="s">
        <v>3434</v>
      </c>
      <c r="AC12" s="872" t="s">
        <v>2901</v>
      </c>
      <c r="AD12" s="801" t="s">
        <v>2397</v>
      </c>
      <c r="AE12" s="800" t="s">
        <v>1247</v>
      </c>
      <c r="AF12" s="873"/>
      <c r="AG12" s="920" t="s">
        <v>6924</v>
      </c>
      <c r="AH12" s="803"/>
      <c r="AI12" s="794"/>
      <c r="AJ12" s="929"/>
      <c r="AK12" s="847" t="s">
        <v>6925</v>
      </c>
      <c r="AL12" s="843"/>
      <c r="AM12" s="932"/>
      <c r="AN12" s="932" t="s">
        <v>6926</v>
      </c>
      <c r="AO12" s="933" t="s">
        <v>4844</v>
      </c>
      <c r="AP12" s="934" t="s">
        <v>6927</v>
      </c>
      <c r="AQ12" s="934" t="s">
        <v>6928</v>
      </c>
      <c r="AR12" s="935"/>
      <c r="AS12" s="844" t="s">
        <v>6731</v>
      </c>
      <c r="AT12" s="932"/>
      <c r="AU12" s="923"/>
      <c r="AV12" s="844" t="s">
        <v>6929</v>
      </c>
      <c r="AW12" s="876" t="s">
        <v>6930</v>
      </c>
      <c r="AX12" s="907" t="s">
        <v>6931</v>
      </c>
      <c r="AY12" s="907" t="s">
        <v>6932</v>
      </c>
      <c r="AZ12" s="809"/>
      <c r="BA12" s="848"/>
      <c r="BB12" s="851" t="s">
        <v>6933</v>
      </c>
      <c r="BC12" s="850" t="s">
        <v>3755</v>
      </c>
      <c r="BD12" s="878"/>
      <c r="BE12" s="925" t="s">
        <v>6934</v>
      </c>
      <c r="BF12" s="809"/>
      <c r="BG12" s="936" t="s">
        <v>6935</v>
      </c>
      <c r="BH12" s="936" t="s">
        <v>5451</v>
      </c>
      <c r="BI12" s="853"/>
      <c r="BJ12" s="853"/>
      <c r="BK12" s="937" t="s">
        <v>6936</v>
      </c>
      <c r="BL12" s="855"/>
      <c r="BM12" s="937" t="s">
        <v>6937</v>
      </c>
      <c r="BN12" s="794"/>
      <c r="BO12" s="897" t="s">
        <v>6938</v>
      </c>
      <c r="BP12" s="910"/>
      <c r="BQ12" s="897" t="s">
        <v>695</v>
      </c>
      <c r="BR12" s="911" t="s">
        <v>6939</v>
      </c>
      <c r="BS12" s="857"/>
      <c r="BT12" s="859" t="s">
        <v>1931</v>
      </c>
      <c r="BU12" s="857"/>
      <c r="BV12" s="910" t="s">
        <v>6940</v>
      </c>
      <c r="BW12" s="938" t="s">
        <v>6941</v>
      </c>
      <c r="BX12" s="804"/>
      <c r="BY12" s="912" t="s">
        <v>4500</v>
      </c>
      <c r="BZ12" s="863"/>
      <c r="CA12" s="900"/>
      <c r="CB12" s="913" t="s">
        <v>2845</v>
      </c>
      <c r="CC12" s="928"/>
      <c r="CD12" s="912" t="s">
        <v>1169</v>
      </c>
      <c r="CE12" s="863"/>
      <c r="CF12" s="912" t="s">
        <v>6942</v>
      </c>
      <c r="CG12" s="863"/>
      <c r="CH12" s="899" t="s">
        <v>4852</v>
      </c>
      <c r="CI12" s="863"/>
      <c r="CJ12" s="884"/>
      <c r="CK12" s="884"/>
    </row>
    <row r="13">
      <c r="A13" s="939" t="s">
        <v>1632</v>
      </c>
      <c r="B13" s="788" t="s">
        <v>6943</v>
      </c>
      <c r="C13" s="784" t="s">
        <v>546</v>
      </c>
      <c r="D13" s="785" t="s">
        <v>546</v>
      </c>
      <c r="E13" s="786" t="s">
        <v>437</v>
      </c>
      <c r="F13" s="787" t="s">
        <v>1196</v>
      </c>
      <c r="G13" s="788" t="s">
        <v>5276</v>
      </c>
      <c r="H13" s="833" t="s">
        <v>2357</v>
      </c>
      <c r="I13" s="940" t="s">
        <v>6944</v>
      </c>
      <c r="J13" s="832" t="s">
        <v>1299</v>
      </c>
      <c r="K13" s="832" t="s">
        <v>6945</v>
      </c>
      <c r="L13" s="832" t="s">
        <v>2149</v>
      </c>
      <c r="M13" s="941"/>
      <c r="N13" s="832" t="s">
        <v>6946</v>
      </c>
      <c r="O13" s="832" t="s">
        <v>6947</v>
      </c>
      <c r="P13" s="794"/>
      <c r="Q13" s="835" t="s">
        <v>6948</v>
      </c>
      <c r="R13" s="835" t="s">
        <v>5606</v>
      </c>
      <c r="S13" s="835" t="s">
        <v>6949</v>
      </c>
      <c r="T13" s="835" t="s">
        <v>5775</v>
      </c>
      <c r="U13" s="835" t="s">
        <v>6950</v>
      </c>
      <c r="V13" s="835" t="s">
        <v>6951</v>
      </c>
      <c r="W13" s="794"/>
      <c r="X13" s="840" t="s">
        <v>3977</v>
      </c>
      <c r="Y13" s="840" t="s">
        <v>6952</v>
      </c>
      <c r="Z13" s="872" t="s">
        <v>6953</v>
      </c>
      <c r="AA13" s="942" t="s">
        <v>6954</v>
      </c>
      <c r="AB13" s="840" t="s">
        <v>6955</v>
      </c>
      <c r="AC13" s="840" t="s">
        <v>649</v>
      </c>
      <c r="AD13" s="889" t="s">
        <v>1789</v>
      </c>
      <c r="AE13" s="801" t="s">
        <v>5280</v>
      </c>
      <c r="AF13" s="800" t="s">
        <v>102</v>
      </c>
      <c r="AG13" s="840" t="s">
        <v>6956</v>
      </c>
      <c r="AH13" s="943" t="s">
        <v>6957</v>
      </c>
      <c r="AI13" s="794"/>
      <c r="AJ13" s="891"/>
      <c r="AK13" s="845" t="s">
        <v>6958</v>
      </c>
      <c r="AL13" s="842"/>
      <c r="AM13" s="842" t="s">
        <v>3424</v>
      </c>
      <c r="AN13" s="847" t="s">
        <v>1731</v>
      </c>
      <c r="AO13" s="842" t="s">
        <v>4125</v>
      </c>
      <c r="AP13" s="845" t="s">
        <v>6959</v>
      </c>
      <c r="AQ13" s="842" t="s">
        <v>6960</v>
      </c>
      <c r="AR13" s="876" t="s">
        <v>6961</v>
      </c>
      <c r="AS13" s="842" t="s">
        <v>6962</v>
      </c>
      <c r="AT13" s="842"/>
      <c r="AU13" s="842"/>
      <c r="AV13" s="842"/>
      <c r="AW13" s="845" t="s">
        <v>305</v>
      </c>
      <c r="AX13" s="907" t="s">
        <v>6963</v>
      </c>
      <c r="AY13" s="842" t="s">
        <v>6964</v>
      </c>
      <c r="AZ13" s="809"/>
      <c r="BA13" s="879" t="s">
        <v>6965</v>
      </c>
      <c r="BB13" s="879" t="s">
        <v>6966</v>
      </c>
      <c r="BC13" s="879" t="s">
        <v>4216</v>
      </c>
      <c r="BD13" s="879" t="s">
        <v>5080</v>
      </c>
      <c r="BE13" s="850" t="s">
        <v>6967</v>
      </c>
      <c r="BF13" s="809"/>
      <c r="BG13" s="853" t="s">
        <v>6968</v>
      </c>
      <c r="BH13" s="853" t="s">
        <v>5168</v>
      </c>
      <c r="BI13" s="852" t="s">
        <v>1939</v>
      </c>
      <c r="BJ13" s="854" t="s">
        <v>6969</v>
      </c>
      <c r="BK13" s="909" t="s">
        <v>6970</v>
      </c>
      <c r="BL13" s="853"/>
      <c r="BM13" s="853" t="s">
        <v>6971</v>
      </c>
      <c r="BN13" s="794"/>
      <c r="BO13" s="859" t="s">
        <v>4714</v>
      </c>
      <c r="BP13" s="911"/>
      <c r="BQ13" s="944" t="s">
        <v>4766</v>
      </c>
      <c r="BR13" s="858" t="s">
        <v>6972</v>
      </c>
      <c r="BS13" s="858"/>
      <c r="BT13" s="945" t="s">
        <v>6973</v>
      </c>
      <c r="BU13" s="911" t="s">
        <v>4785</v>
      </c>
      <c r="BV13" s="858" t="s">
        <v>6974</v>
      </c>
      <c r="BW13" s="858" t="s">
        <v>6975</v>
      </c>
      <c r="BX13" s="794"/>
      <c r="BY13" s="862" t="s">
        <v>2522</v>
      </c>
      <c r="BZ13" s="862" t="s">
        <v>6976</v>
      </c>
      <c r="CA13" s="863"/>
      <c r="CB13" s="884"/>
      <c r="CC13" s="863"/>
      <c r="CD13" s="862" t="s">
        <v>6977</v>
      </c>
      <c r="CE13" s="862" t="s">
        <v>6978</v>
      </c>
      <c r="CF13" s="862" t="s">
        <v>6979</v>
      </c>
      <c r="CG13" s="862"/>
      <c r="CH13" s="898" t="s">
        <v>6980</v>
      </c>
      <c r="CI13" s="863"/>
      <c r="CJ13" s="884"/>
      <c r="CK13" s="884"/>
    </row>
    <row r="14">
      <c r="A14" s="946" t="s">
        <v>1056</v>
      </c>
      <c r="B14" s="788" t="s">
        <v>6981</v>
      </c>
      <c r="C14" s="784" t="s">
        <v>221</v>
      </c>
      <c r="D14" s="785" t="s">
        <v>334</v>
      </c>
      <c r="E14" s="786" t="s">
        <v>647</v>
      </c>
      <c r="F14" s="787" t="s">
        <v>3969</v>
      </c>
      <c r="G14" s="788" t="s">
        <v>6276</v>
      </c>
      <c r="H14" s="866" t="s">
        <v>4811</v>
      </c>
      <c r="I14" s="831"/>
      <c r="J14" s="887" t="s">
        <v>6982</v>
      </c>
      <c r="K14" s="887" t="s">
        <v>6377</v>
      </c>
      <c r="L14" s="831"/>
      <c r="M14" s="831"/>
      <c r="N14" s="831"/>
      <c r="O14" s="832" t="s">
        <v>6983</v>
      </c>
      <c r="P14" s="794"/>
      <c r="Q14" s="836"/>
      <c r="R14" s="837" t="s">
        <v>403</v>
      </c>
      <c r="S14" s="836"/>
      <c r="T14" s="915" t="s">
        <v>4862</v>
      </c>
      <c r="U14" s="915" t="s">
        <v>1183</v>
      </c>
      <c r="V14" s="836"/>
      <c r="W14" s="794"/>
      <c r="X14" s="840" t="s">
        <v>379</v>
      </c>
      <c r="Y14" s="905"/>
      <c r="Z14" s="841" t="s">
        <v>3299</v>
      </c>
      <c r="AA14" s="800" t="s">
        <v>6984</v>
      </c>
      <c r="AB14" s="840" t="s">
        <v>503</v>
      </c>
      <c r="AC14" s="874" t="s">
        <v>1118</v>
      </c>
      <c r="AD14" s="800" t="s">
        <v>1701</v>
      </c>
      <c r="AE14" s="872" t="s">
        <v>6985</v>
      </c>
      <c r="AF14" s="840"/>
      <c r="AG14" s="840" t="s">
        <v>6986</v>
      </c>
      <c r="AH14" s="803"/>
      <c r="AI14" s="794"/>
      <c r="AJ14" s="843"/>
      <c r="AK14" s="843"/>
      <c r="AL14" s="843"/>
      <c r="AM14" s="842" t="s">
        <v>5161</v>
      </c>
      <c r="AN14" s="844" t="s">
        <v>4075</v>
      </c>
      <c r="AO14" s="843"/>
      <c r="AP14" s="843"/>
      <c r="AQ14" s="843"/>
      <c r="AR14" s="844" t="s">
        <v>6987</v>
      </c>
      <c r="AS14" s="843"/>
      <c r="AT14" s="877" t="s">
        <v>6988</v>
      </c>
      <c r="AU14" s="843"/>
      <c r="AV14" s="843"/>
      <c r="AW14" s="877" t="s">
        <v>1037</v>
      </c>
      <c r="AX14" s="877" t="s">
        <v>6989</v>
      </c>
      <c r="AY14" s="877" t="s">
        <v>964</v>
      </c>
      <c r="AZ14" s="809"/>
      <c r="BA14" s="917"/>
      <c r="BB14" s="879"/>
      <c r="BC14" s="849" t="s">
        <v>4543</v>
      </c>
      <c r="BD14" s="848"/>
      <c r="BE14" s="879"/>
      <c r="BF14" s="809"/>
      <c r="BG14" s="855"/>
      <c r="BH14" s="855"/>
      <c r="BI14" s="918" t="s">
        <v>6990</v>
      </c>
      <c r="BJ14" s="855"/>
      <c r="BK14" s="855"/>
      <c r="BL14" s="855"/>
      <c r="BM14" s="855"/>
      <c r="BN14" s="794"/>
      <c r="BO14" s="858"/>
      <c r="BP14" s="910"/>
      <c r="BQ14" s="860" t="s">
        <v>5034</v>
      </c>
      <c r="BR14" s="857"/>
      <c r="BS14" s="857"/>
      <c r="BT14" s="860" t="s">
        <v>6991</v>
      </c>
      <c r="BU14" s="857"/>
      <c r="BV14" s="911" t="s">
        <v>6992</v>
      </c>
      <c r="BW14" s="859" t="s">
        <v>6993</v>
      </c>
      <c r="BX14" s="794"/>
      <c r="BY14" s="913" t="s">
        <v>3460</v>
      </c>
      <c r="BZ14" s="913" t="s">
        <v>6862</v>
      </c>
      <c r="CA14" s="863"/>
      <c r="CB14" s="884"/>
      <c r="CC14" s="863"/>
      <c r="CD14" s="863"/>
      <c r="CE14" s="863"/>
      <c r="CF14" s="863"/>
      <c r="CG14" s="913" t="s">
        <v>6994</v>
      </c>
      <c r="CH14" s="863"/>
      <c r="CI14" s="863"/>
      <c r="CJ14" s="884"/>
      <c r="CK14" s="884"/>
    </row>
    <row r="15">
      <c r="A15" s="830" t="s">
        <v>2026</v>
      </c>
      <c r="B15" s="788" t="s">
        <v>6995</v>
      </c>
      <c r="C15" s="784" t="s">
        <v>1256</v>
      </c>
      <c r="D15" s="785" t="s">
        <v>647</v>
      </c>
      <c r="E15" s="786" t="s">
        <v>647</v>
      </c>
      <c r="F15" s="787" t="s">
        <v>2872</v>
      </c>
      <c r="G15" s="788" t="s">
        <v>6996</v>
      </c>
      <c r="H15" s="831"/>
      <c r="I15" s="832" t="s">
        <v>6997</v>
      </c>
      <c r="J15" s="832"/>
      <c r="K15" s="833" t="s">
        <v>1783</v>
      </c>
      <c r="L15" s="832"/>
      <c r="M15" s="832"/>
      <c r="N15" s="831"/>
      <c r="O15" s="833" t="s">
        <v>6998</v>
      </c>
      <c r="P15" s="794"/>
      <c r="Q15" s="836"/>
      <c r="R15" s="838"/>
      <c r="S15" s="839" t="s">
        <v>6999</v>
      </c>
      <c r="T15" s="836"/>
      <c r="U15" s="836"/>
      <c r="V15" s="839" t="s">
        <v>7000</v>
      </c>
      <c r="W15" s="794"/>
      <c r="X15" s="799" t="s">
        <v>1372</v>
      </c>
      <c r="Y15" s="905"/>
      <c r="Z15" s="840" t="s">
        <v>7001</v>
      </c>
      <c r="AA15" s="801" t="s">
        <v>7002</v>
      </c>
      <c r="AB15" s="840" t="s">
        <v>3721</v>
      </c>
      <c r="AC15" s="801" t="s">
        <v>2049</v>
      </c>
      <c r="AD15" s="840" t="s">
        <v>4141</v>
      </c>
      <c r="AE15" s="840" t="s">
        <v>4652</v>
      </c>
      <c r="AF15" s="840"/>
      <c r="AG15" s="801" t="s">
        <v>7003</v>
      </c>
      <c r="AH15" s="803"/>
      <c r="AI15" s="794"/>
      <c r="AJ15" s="843"/>
      <c r="AK15" s="843"/>
      <c r="AL15" s="843"/>
      <c r="AM15" s="876" t="s">
        <v>1416</v>
      </c>
      <c r="AN15" s="843"/>
      <c r="AO15" s="843"/>
      <c r="AP15" s="842" t="s">
        <v>7004</v>
      </c>
      <c r="AQ15" s="843"/>
      <c r="AR15" s="843"/>
      <c r="AS15" s="843"/>
      <c r="AT15" s="843"/>
      <c r="AU15" s="843"/>
      <c r="AV15" s="843"/>
      <c r="AW15" s="843"/>
      <c r="AX15" s="847" t="s">
        <v>7005</v>
      </c>
      <c r="AY15" s="842" t="s">
        <v>7006</v>
      </c>
      <c r="AZ15" s="809"/>
      <c r="BA15" s="879"/>
      <c r="BB15" s="879"/>
      <c r="BC15" s="850" t="s">
        <v>3697</v>
      </c>
      <c r="BD15" s="848"/>
      <c r="BE15" s="879" t="s">
        <v>7007</v>
      </c>
      <c r="BF15" s="809"/>
      <c r="BG15" s="853" t="s">
        <v>6219</v>
      </c>
      <c r="BH15" s="854" t="s">
        <v>7008</v>
      </c>
      <c r="BI15" s="855"/>
      <c r="BJ15" s="855"/>
      <c r="BK15" s="936" t="s">
        <v>7009</v>
      </c>
      <c r="BL15" s="855"/>
      <c r="BM15" s="852" t="s">
        <v>7010</v>
      </c>
      <c r="BN15" s="794"/>
      <c r="BO15" s="858" t="s">
        <v>7011</v>
      </c>
      <c r="BP15" s="911"/>
      <c r="BQ15" s="858"/>
      <c r="BR15" s="859" t="s">
        <v>7012</v>
      </c>
      <c r="BS15" s="858"/>
      <c r="BT15" s="859" t="s">
        <v>1401</v>
      </c>
      <c r="BU15" s="857"/>
      <c r="BV15" s="882" t="s">
        <v>5743</v>
      </c>
      <c r="BW15" s="859" t="s">
        <v>5739</v>
      </c>
      <c r="BX15" s="794"/>
      <c r="BY15" s="898" t="s">
        <v>462</v>
      </c>
      <c r="BZ15" s="863"/>
      <c r="CA15" s="863"/>
      <c r="CB15" s="884"/>
      <c r="CC15" s="863"/>
      <c r="CD15" s="863"/>
      <c r="CE15" s="863"/>
      <c r="CF15" s="862" t="s">
        <v>4609</v>
      </c>
      <c r="CG15" s="863"/>
      <c r="CH15" s="863"/>
      <c r="CI15" s="863"/>
      <c r="CJ15" s="884"/>
      <c r="CK15" s="884"/>
    </row>
    <row r="16">
      <c r="A16" s="830" t="s">
        <v>7013</v>
      </c>
      <c r="B16" s="788" t="s">
        <v>7014</v>
      </c>
      <c r="C16" s="784" t="s">
        <v>1256</v>
      </c>
      <c r="D16" s="785" t="s">
        <v>437</v>
      </c>
      <c r="E16" s="786" t="s">
        <v>546</v>
      </c>
      <c r="F16" s="787" t="s">
        <v>5686</v>
      </c>
      <c r="G16" s="788" t="s">
        <v>4947</v>
      </c>
      <c r="H16" s="833" t="s">
        <v>2125</v>
      </c>
      <c r="I16" s="833" t="s">
        <v>7015</v>
      </c>
      <c r="J16" s="831"/>
      <c r="K16" s="831"/>
      <c r="L16" s="833" t="s">
        <v>3377</v>
      </c>
      <c r="M16" s="831"/>
      <c r="N16" s="833" t="s">
        <v>7016</v>
      </c>
      <c r="O16" s="831"/>
      <c r="P16" s="794"/>
      <c r="Q16" s="839" t="s">
        <v>246</v>
      </c>
      <c r="R16" s="836"/>
      <c r="S16" s="839" t="s">
        <v>6874</v>
      </c>
      <c r="T16" s="839" t="s">
        <v>3738</v>
      </c>
      <c r="U16" s="836"/>
      <c r="V16" s="839" t="s">
        <v>7017</v>
      </c>
      <c r="W16" s="794"/>
      <c r="X16" s="801" t="s">
        <v>273</v>
      </c>
      <c r="Y16" s="801" t="s">
        <v>7018</v>
      </c>
      <c r="Z16" s="801" t="s">
        <v>2370</v>
      </c>
      <c r="AA16" s="889" t="s">
        <v>7019</v>
      </c>
      <c r="AB16" s="801" t="s">
        <v>7020</v>
      </c>
      <c r="AC16" s="801" t="s">
        <v>1756</v>
      </c>
      <c r="AD16" s="801" t="s">
        <v>5596</v>
      </c>
      <c r="AE16" s="801" t="s">
        <v>7021</v>
      </c>
      <c r="AF16" s="802"/>
      <c r="AG16" s="840" t="s">
        <v>7022</v>
      </c>
      <c r="AH16" s="803"/>
      <c r="AI16" s="794"/>
      <c r="AJ16" s="891"/>
      <c r="AK16" s="847" t="s">
        <v>7023</v>
      </c>
      <c r="AL16" s="847" t="s">
        <v>7024</v>
      </c>
      <c r="AM16" s="847" t="s">
        <v>1210</v>
      </c>
      <c r="AN16" s="842"/>
      <c r="AO16" s="843"/>
      <c r="AP16" s="847" t="s">
        <v>4068</v>
      </c>
      <c r="AQ16" s="843"/>
      <c r="AR16" s="847" t="s">
        <v>7025</v>
      </c>
      <c r="AS16" s="877" t="s">
        <v>7026</v>
      </c>
      <c r="AT16" s="847" t="s">
        <v>7027</v>
      </c>
      <c r="AU16" s="877" t="s">
        <v>7028</v>
      </c>
      <c r="AV16" s="843"/>
      <c r="AW16" s="847" t="s">
        <v>370</v>
      </c>
      <c r="AX16" s="847" t="s">
        <v>7029</v>
      </c>
      <c r="AY16" s="847" t="s">
        <v>7030</v>
      </c>
      <c r="AZ16" s="809"/>
      <c r="BA16" s="917"/>
      <c r="BB16" s="850" t="s">
        <v>7031</v>
      </c>
      <c r="BC16" s="850" t="s">
        <v>7032</v>
      </c>
      <c r="BD16" s="848"/>
      <c r="BE16" s="850" t="s">
        <v>7033</v>
      </c>
      <c r="BF16" s="809"/>
      <c r="BG16" s="853" t="s">
        <v>4083</v>
      </c>
      <c r="BH16" s="853" t="s">
        <v>4608</v>
      </c>
      <c r="BI16" s="936" t="s">
        <v>1586</v>
      </c>
      <c r="BJ16" s="855"/>
      <c r="BK16" s="853" t="s">
        <v>4300</v>
      </c>
      <c r="BL16" s="855"/>
      <c r="BM16" s="853" t="s">
        <v>7034</v>
      </c>
      <c r="BN16" s="794"/>
      <c r="BO16" s="859" t="s">
        <v>3430</v>
      </c>
      <c r="BP16" s="910"/>
      <c r="BQ16" s="857"/>
      <c r="BR16" s="857"/>
      <c r="BS16" s="857"/>
      <c r="BT16" s="859" t="s">
        <v>845</v>
      </c>
      <c r="BU16" s="857"/>
      <c r="BV16" s="858" t="s">
        <v>7035</v>
      </c>
      <c r="BW16" s="858" t="s">
        <v>7036</v>
      </c>
      <c r="BX16" s="794"/>
      <c r="BY16" s="883" t="s">
        <v>1614</v>
      </c>
      <c r="BZ16" s="862"/>
      <c r="CA16" s="863"/>
      <c r="CB16" s="884"/>
      <c r="CC16" s="863"/>
      <c r="CD16" s="863"/>
      <c r="CE16" s="862" t="s">
        <v>7037</v>
      </c>
      <c r="CF16" s="863"/>
      <c r="CG16" s="863"/>
      <c r="CH16" s="863"/>
      <c r="CI16" s="863"/>
      <c r="CJ16" s="884"/>
      <c r="CK16" s="884"/>
    </row>
    <row r="17">
      <c r="A17" s="830" t="s">
        <v>7038</v>
      </c>
      <c r="B17" s="788" t="s">
        <v>7039</v>
      </c>
      <c r="C17" s="784" t="s">
        <v>1256</v>
      </c>
      <c r="D17" s="785" t="s">
        <v>1256</v>
      </c>
      <c r="E17" s="786" t="s">
        <v>1256</v>
      </c>
      <c r="F17" s="787" t="s">
        <v>1197</v>
      </c>
      <c r="G17" s="788" t="s">
        <v>5863</v>
      </c>
      <c r="H17" s="831"/>
      <c r="I17" s="831"/>
      <c r="J17" s="832" t="s">
        <v>7040</v>
      </c>
      <c r="K17" s="832" t="s">
        <v>7041</v>
      </c>
      <c r="L17" s="833" t="s">
        <v>7042</v>
      </c>
      <c r="M17" s="831"/>
      <c r="N17" s="903" t="s">
        <v>7043</v>
      </c>
      <c r="O17" s="832" t="s">
        <v>7044</v>
      </c>
      <c r="P17" s="794"/>
      <c r="Q17" s="904" t="s">
        <v>725</v>
      </c>
      <c r="R17" s="836"/>
      <c r="S17" s="836"/>
      <c r="T17" s="836"/>
      <c r="U17" s="835"/>
      <c r="V17" s="839" t="s">
        <v>7022</v>
      </c>
      <c r="W17" s="794"/>
      <c r="X17" s="905"/>
      <c r="Y17" s="801" t="s">
        <v>7045</v>
      </c>
      <c r="Z17" s="872" t="s">
        <v>2403</v>
      </c>
      <c r="AA17" s="947"/>
      <c r="AB17" s="905"/>
      <c r="AC17" s="872" t="s">
        <v>814</v>
      </c>
      <c r="AD17" s="872" t="s">
        <v>5856</v>
      </c>
      <c r="AE17" s="872" t="s">
        <v>7046</v>
      </c>
      <c r="AF17" s="840"/>
      <c r="AG17" s="872" t="s">
        <v>7047</v>
      </c>
      <c r="AH17" s="803"/>
      <c r="AI17" s="794"/>
      <c r="AJ17" s="842"/>
      <c r="AK17" s="907" t="s">
        <v>1470</v>
      </c>
      <c r="AL17" s="843"/>
      <c r="AM17" s="843"/>
      <c r="AN17" s="843"/>
      <c r="AO17" s="843"/>
      <c r="AP17" s="907" t="s">
        <v>7048</v>
      </c>
      <c r="AQ17" s="843"/>
      <c r="AR17" s="843"/>
      <c r="AS17" s="843"/>
      <c r="AT17" s="843"/>
      <c r="AU17" s="843"/>
      <c r="AV17" s="843"/>
      <c r="AW17" s="847" t="s">
        <v>6238</v>
      </c>
      <c r="AX17" s="842" t="s">
        <v>7049</v>
      </c>
      <c r="AY17" s="842" t="s">
        <v>6346</v>
      </c>
      <c r="AZ17" s="809"/>
      <c r="BA17" s="879" t="s">
        <v>7050</v>
      </c>
      <c r="BB17" s="948" t="s">
        <v>7051</v>
      </c>
      <c r="BC17" s="850" t="s">
        <v>510</v>
      </c>
      <c r="BD17" s="848"/>
      <c r="BE17" s="948" t="s">
        <v>7052</v>
      </c>
      <c r="BF17" s="809"/>
      <c r="BG17" s="853" t="s">
        <v>2854</v>
      </c>
      <c r="BH17" s="937" t="s">
        <v>7053</v>
      </c>
      <c r="BI17" s="853"/>
      <c r="BJ17" s="853"/>
      <c r="BK17" s="855"/>
      <c r="BL17" s="855"/>
      <c r="BM17" s="852" t="s">
        <v>7054</v>
      </c>
      <c r="BN17" s="794"/>
      <c r="BO17" s="911" t="s">
        <v>7055</v>
      </c>
      <c r="BP17" s="910"/>
      <c r="BQ17" s="857"/>
      <c r="BR17" s="858" t="s">
        <v>7056</v>
      </c>
      <c r="BS17" s="857"/>
      <c r="BT17" s="911" t="s">
        <v>2326</v>
      </c>
      <c r="BU17" s="857"/>
      <c r="BV17" s="858" t="s">
        <v>252</v>
      </c>
      <c r="BW17" s="858" t="s">
        <v>1573</v>
      </c>
      <c r="BX17" s="794"/>
      <c r="BY17" s="862" t="s">
        <v>4208</v>
      </c>
      <c r="BZ17" s="883" t="s">
        <v>6085</v>
      </c>
      <c r="CA17" s="863"/>
      <c r="CB17" s="884"/>
      <c r="CC17" s="863"/>
      <c r="CD17" s="863"/>
      <c r="CE17" s="862" t="s">
        <v>5927</v>
      </c>
      <c r="CF17" s="912" t="s">
        <v>7057</v>
      </c>
      <c r="CG17" s="863"/>
      <c r="CH17" s="863"/>
      <c r="CI17" s="862" t="s">
        <v>7058</v>
      </c>
      <c r="CJ17" s="884"/>
      <c r="CK17" s="884"/>
    </row>
    <row r="18">
      <c r="A18" s="830" t="s">
        <v>7059</v>
      </c>
      <c r="B18" s="788" t="s">
        <v>7060</v>
      </c>
      <c r="C18" s="784" t="s">
        <v>1256</v>
      </c>
      <c r="D18" s="785" t="s">
        <v>1256</v>
      </c>
      <c r="E18" s="786" t="s">
        <v>1256</v>
      </c>
      <c r="F18" s="787" t="s">
        <v>1256</v>
      </c>
      <c r="G18" s="788" t="s">
        <v>3345</v>
      </c>
      <c r="H18" s="831"/>
      <c r="I18" s="903" t="s">
        <v>2742</v>
      </c>
      <c r="J18" s="832"/>
      <c r="K18" s="831"/>
      <c r="L18" s="831"/>
      <c r="M18" s="831"/>
      <c r="N18" s="831"/>
      <c r="O18" s="832" t="s">
        <v>7061</v>
      </c>
      <c r="P18" s="794"/>
      <c r="Q18" s="904" t="s">
        <v>1484</v>
      </c>
      <c r="R18" s="836"/>
      <c r="S18" s="836"/>
      <c r="T18" s="904" t="s">
        <v>1113</v>
      </c>
      <c r="U18" s="835"/>
      <c r="V18" s="835" t="s">
        <v>7062</v>
      </c>
      <c r="W18" s="794"/>
      <c r="X18" s="920" t="s">
        <v>7063</v>
      </c>
      <c r="Y18" s="840" t="s">
        <v>7064</v>
      </c>
      <c r="Z18" s="920" t="s">
        <v>6918</v>
      </c>
      <c r="AA18" s="872" t="s">
        <v>7065</v>
      </c>
      <c r="AB18" s="872" t="s">
        <v>1738</v>
      </c>
      <c r="AC18" s="872" t="s">
        <v>3643</v>
      </c>
      <c r="AD18" s="920" t="s">
        <v>202</v>
      </c>
      <c r="AE18" s="872" t="s">
        <v>4620</v>
      </c>
      <c r="AF18" s="840"/>
      <c r="AG18" s="872" t="s">
        <v>7066</v>
      </c>
      <c r="AH18" s="803"/>
      <c r="AI18" s="794"/>
      <c r="AJ18" s="843"/>
      <c r="AK18" s="875" t="s">
        <v>5670</v>
      </c>
      <c r="AL18" s="907" t="s">
        <v>7067</v>
      </c>
      <c r="AM18" s="875" t="s">
        <v>7068</v>
      </c>
      <c r="AN18" s="843"/>
      <c r="AO18" s="907" t="s">
        <v>971</v>
      </c>
      <c r="AP18" s="875" t="s">
        <v>1564</v>
      </c>
      <c r="AQ18" s="907" t="s">
        <v>7069</v>
      </c>
      <c r="AR18" s="907" t="s">
        <v>7070</v>
      </c>
      <c r="AS18" s="843"/>
      <c r="AT18" s="843"/>
      <c r="AU18" s="843"/>
      <c r="AV18" s="843"/>
      <c r="AW18" s="875" t="s">
        <v>1249</v>
      </c>
      <c r="AX18" s="907" t="s">
        <v>7071</v>
      </c>
      <c r="AY18" s="907" t="s">
        <v>7072</v>
      </c>
      <c r="AZ18" s="809"/>
      <c r="BA18" s="879"/>
      <c r="BB18" s="948" t="s">
        <v>7073</v>
      </c>
      <c r="BC18" s="917"/>
      <c r="BD18" s="917"/>
      <c r="BE18" s="948" t="s">
        <v>7074</v>
      </c>
      <c r="BF18" s="809"/>
      <c r="BG18" s="937" t="s">
        <v>7075</v>
      </c>
      <c r="BH18" s="937" t="s">
        <v>2132</v>
      </c>
      <c r="BI18" s="855"/>
      <c r="BJ18" s="855"/>
      <c r="BK18" s="855"/>
      <c r="BL18" s="855"/>
      <c r="BM18" s="853" t="s">
        <v>7076</v>
      </c>
      <c r="BN18" s="794"/>
      <c r="BO18" s="911" t="s">
        <v>2034</v>
      </c>
      <c r="BP18" s="910"/>
      <c r="BQ18" s="857"/>
      <c r="BR18" s="911" t="s">
        <v>7077</v>
      </c>
      <c r="BS18" s="857"/>
      <c r="BT18" s="911" t="s">
        <v>3089</v>
      </c>
      <c r="BU18" s="857"/>
      <c r="BV18" s="911" t="s">
        <v>7078</v>
      </c>
      <c r="BW18" s="911" t="s">
        <v>7079</v>
      </c>
      <c r="BX18" s="794"/>
      <c r="BY18" s="912" t="s">
        <v>3562</v>
      </c>
      <c r="BZ18" s="863"/>
      <c r="CA18" s="863"/>
      <c r="CB18" s="884"/>
      <c r="CC18" s="863"/>
      <c r="CD18" s="863"/>
      <c r="CE18" s="863"/>
      <c r="CF18" s="863"/>
      <c r="CG18" s="863"/>
      <c r="CH18" s="863"/>
      <c r="CI18" s="863"/>
      <c r="CJ18" s="884"/>
      <c r="CK18" s="884"/>
    </row>
    <row r="19">
      <c r="A19" s="830" t="s">
        <v>1809</v>
      </c>
      <c r="B19" s="788" t="s">
        <v>7080</v>
      </c>
      <c r="C19" s="784" t="s">
        <v>1256</v>
      </c>
      <c r="D19" s="785" t="s">
        <v>1256</v>
      </c>
      <c r="E19" s="786" t="s">
        <v>1256</v>
      </c>
      <c r="F19" s="787" t="s">
        <v>1256</v>
      </c>
      <c r="G19" s="788" t="s">
        <v>5863</v>
      </c>
      <c r="H19" s="831"/>
      <c r="I19" s="832" t="s">
        <v>2697</v>
      </c>
      <c r="J19" s="832" t="s">
        <v>2098</v>
      </c>
      <c r="K19" s="832" t="s">
        <v>7081</v>
      </c>
      <c r="L19" s="903" t="s">
        <v>7082</v>
      </c>
      <c r="M19" s="831"/>
      <c r="N19" s="903" t="s">
        <v>7083</v>
      </c>
      <c r="O19" s="832" t="s">
        <v>7084</v>
      </c>
      <c r="P19" s="794"/>
      <c r="Q19" s="904" t="s">
        <v>2554</v>
      </c>
      <c r="R19" s="836"/>
      <c r="S19" s="836"/>
      <c r="T19" s="904" t="s">
        <v>5033</v>
      </c>
      <c r="U19" s="835"/>
      <c r="V19" s="904" t="s">
        <v>7085</v>
      </c>
      <c r="W19" s="794"/>
      <c r="X19" s="872" t="s">
        <v>4118</v>
      </c>
      <c r="Y19" s="872" t="s">
        <v>7086</v>
      </c>
      <c r="Z19" s="872" t="s">
        <v>7087</v>
      </c>
      <c r="AA19" s="872" t="s">
        <v>3037</v>
      </c>
      <c r="AB19" s="872" t="s">
        <v>4727</v>
      </c>
      <c r="AC19" s="840" t="s">
        <v>7088</v>
      </c>
      <c r="AD19" s="872" t="s">
        <v>4607</v>
      </c>
      <c r="AE19" s="872" t="s">
        <v>4904</v>
      </c>
      <c r="AF19" s="840"/>
      <c r="AG19" s="840" t="s">
        <v>7089</v>
      </c>
      <c r="AH19" s="949" t="s">
        <v>7090</v>
      </c>
      <c r="AI19" s="794"/>
      <c r="AJ19" s="843"/>
      <c r="AK19" s="843"/>
      <c r="AL19" s="843"/>
      <c r="AM19" s="842" t="s">
        <v>171</v>
      </c>
      <c r="AN19" s="843"/>
      <c r="AO19" s="907" t="s">
        <v>4390</v>
      </c>
      <c r="AP19" s="842" t="s">
        <v>3307</v>
      </c>
      <c r="AQ19" s="907" t="s">
        <v>7091</v>
      </c>
      <c r="AR19" s="843"/>
      <c r="AS19" s="843"/>
      <c r="AT19" s="843"/>
      <c r="AU19" s="843"/>
      <c r="AV19" s="843"/>
      <c r="AW19" s="907" t="s">
        <v>1004</v>
      </c>
      <c r="AX19" s="907" t="s">
        <v>4894</v>
      </c>
      <c r="AY19" s="843"/>
      <c r="AZ19" s="809"/>
      <c r="BA19" s="917"/>
      <c r="BB19" s="917"/>
      <c r="BC19" s="948" t="s">
        <v>7092</v>
      </c>
      <c r="BD19" s="879"/>
      <c r="BE19" s="879" t="s">
        <v>7093</v>
      </c>
      <c r="BF19" s="809"/>
      <c r="BG19" s="937" t="s">
        <v>1202</v>
      </c>
      <c r="BH19" s="937" t="s">
        <v>2132</v>
      </c>
      <c r="BI19" s="855"/>
      <c r="BJ19" s="855"/>
      <c r="BK19" s="853" t="s">
        <v>7094</v>
      </c>
      <c r="BL19" s="855"/>
      <c r="BM19" s="937" t="s">
        <v>7095</v>
      </c>
      <c r="BN19" s="794"/>
      <c r="BO19" s="911" t="s">
        <v>7096</v>
      </c>
      <c r="BP19" s="910"/>
      <c r="BQ19" s="857"/>
      <c r="BR19" s="857"/>
      <c r="BS19" s="857"/>
      <c r="BT19" s="911" t="s">
        <v>2754</v>
      </c>
      <c r="BU19" s="857"/>
      <c r="BV19" s="857"/>
      <c r="BW19" s="910" t="s">
        <v>7097</v>
      </c>
      <c r="BX19" s="794"/>
      <c r="BY19" s="862" t="s">
        <v>3002</v>
      </c>
      <c r="BZ19" s="863"/>
      <c r="CA19" s="863"/>
      <c r="CB19" s="884"/>
      <c r="CC19" s="863"/>
      <c r="CD19" s="863"/>
      <c r="CE19" s="863"/>
      <c r="CF19" s="863"/>
      <c r="CG19" s="863"/>
      <c r="CH19" s="863"/>
      <c r="CI19" s="863"/>
      <c r="CJ19" s="884"/>
      <c r="CK19" s="884"/>
    </row>
    <row r="20">
      <c r="A20" s="830" t="s">
        <v>3569</v>
      </c>
      <c r="B20" s="788" t="s">
        <v>7098</v>
      </c>
      <c r="C20" s="784" t="s">
        <v>1256</v>
      </c>
      <c r="D20" s="785" t="s">
        <v>546</v>
      </c>
      <c r="E20" s="786" t="s">
        <v>647</v>
      </c>
      <c r="F20" s="787" t="s">
        <v>981</v>
      </c>
      <c r="G20" s="788" t="s">
        <v>2545</v>
      </c>
      <c r="H20" s="930" t="s">
        <v>266</v>
      </c>
      <c r="I20" s="831"/>
      <c r="J20" s="831"/>
      <c r="K20" s="831"/>
      <c r="L20" s="833" t="s">
        <v>1159</v>
      </c>
      <c r="M20" s="831"/>
      <c r="N20" s="833" t="s">
        <v>7099</v>
      </c>
      <c r="O20" s="831"/>
      <c r="P20" s="794"/>
      <c r="Q20" s="950" t="s">
        <v>7100</v>
      </c>
      <c r="R20" s="836"/>
      <c r="S20" s="835" t="s">
        <v>6038</v>
      </c>
      <c r="T20" s="950" t="s">
        <v>5389</v>
      </c>
      <c r="U20" s="951" t="s">
        <v>7101</v>
      </c>
      <c r="V20" s="835" t="s">
        <v>7102</v>
      </c>
      <c r="W20" s="794"/>
      <c r="X20" s="801" t="s">
        <v>2684</v>
      </c>
      <c r="Y20" s="840" t="s">
        <v>3582</v>
      </c>
      <c r="Z20" s="840" t="s">
        <v>6918</v>
      </c>
      <c r="AA20" s="889" t="s">
        <v>7103</v>
      </c>
      <c r="AB20" s="840" t="s">
        <v>2392</v>
      </c>
      <c r="AC20" s="840" t="s">
        <v>3943</v>
      </c>
      <c r="AD20" s="840" t="s">
        <v>3080</v>
      </c>
      <c r="AE20" s="952" t="s">
        <v>6698</v>
      </c>
      <c r="AF20" s="799" t="s">
        <v>1089</v>
      </c>
      <c r="AG20" s="840" t="s">
        <v>7104</v>
      </c>
      <c r="AH20" s="953" t="s">
        <v>3584</v>
      </c>
      <c r="AI20" s="794"/>
      <c r="AJ20" s="842"/>
      <c r="AK20" s="842" t="s">
        <v>7105</v>
      </c>
      <c r="AL20" s="842" t="s">
        <v>7106</v>
      </c>
      <c r="AM20" s="842" t="s">
        <v>7107</v>
      </c>
      <c r="AN20" s="842"/>
      <c r="AO20" s="843"/>
      <c r="AP20" s="845" t="s">
        <v>1782</v>
      </c>
      <c r="AQ20" s="843"/>
      <c r="AR20" s="842" t="s">
        <v>7108</v>
      </c>
      <c r="AS20" s="842" t="s">
        <v>7109</v>
      </c>
      <c r="AT20" s="842" t="s">
        <v>7110</v>
      </c>
      <c r="AU20" s="842" t="s">
        <v>7111</v>
      </c>
      <c r="AV20" s="843"/>
      <c r="AW20" s="845" t="s">
        <v>414</v>
      </c>
      <c r="AX20" s="847" t="s">
        <v>7112</v>
      </c>
      <c r="AY20" s="842" t="s">
        <v>7113</v>
      </c>
      <c r="AZ20" s="809"/>
      <c r="BA20" s="879" t="s">
        <v>7114</v>
      </c>
      <c r="BB20" s="879" t="s">
        <v>7115</v>
      </c>
      <c r="BC20" s="879" t="s">
        <v>5176</v>
      </c>
      <c r="BD20" s="879" t="s">
        <v>7116</v>
      </c>
      <c r="BE20" s="879" t="s">
        <v>7117</v>
      </c>
      <c r="BF20" s="809"/>
      <c r="BG20" s="853" t="s">
        <v>7118</v>
      </c>
      <c r="BH20" s="853" t="s">
        <v>2077</v>
      </c>
      <c r="BI20" s="853" t="s">
        <v>1825</v>
      </c>
      <c r="BJ20" s="855"/>
      <c r="BK20" s="853" t="s">
        <v>1473</v>
      </c>
      <c r="BL20" s="853" t="s">
        <v>7119</v>
      </c>
      <c r="BM20" s="853" t="s">
        <v>7120</v>
      </c>
      <c r="BN20" s="794"/>
      <c r="BO20" s="911" t="s">
        <v>4883</v>
      </c>
      <c r="BP20" s="910"/>
      <c r="BQ20" s="858" t="s">
        <v>2601</v>
      </c>
      <c r="BR20" s="858" t="s">
        <v>3790</v>
      </c>
      <c r="BS20" s="897" t="s">
        <v>7121</v>
      </c>
      <c r="BT20" s="911" t="s">
        <v>2318</v>
      </c>
      <c r="BU20" s="897" t="s">
        <v>7122</v>
      </c>
      <c r="BV20" s="858" t="s">
        <v>7123</v>
      </c>
      <c r="BW20" s="858" t="s">
        <v>7124</v>
      </c>
      <c r="BX20" s="794"/>
      <c r="BY20" s="863"/>
      <c r="BZ20" s="862" t="s">
        <v>3309</v>
      </c>
      <c r="CA20" s="863"/>
      <c r="CB20" s="884"/>
      <c r="CC20" s="863"/>
      <c r="CD20" s="862" t="s">
        <v>7125</v>
      </c>
      <c r="CE20" s="862" t="s">
        <v>7126</v>
      </c>
      <c r="CF20" s="862" t="s">
        <v>7127</v>
      </c>
      <c r="CG20" s="863"/>
      <c r="CH20" s="863"/>
      <c r="CI20" s="862" t="s">
        <v>7128</v>
      </c>
      <c r="CJ20" s="884"/>
      <c r="CK20" s="884"/>
    </row>
    <row r="21">
      <c r="A21" s="830" t="s">
        <v>7129</v>
      </c>
      <c r="B21" s="788" t="s">
        <v>7130</v>
      </c>
      <c r="C21" s="784" t="s">
        <v>1256</v>
      </c>
      <c r="D21" s="785" t="s">
        <v>1256</v>
      </c>
      <c r="E21" s="786" t="s">
        <v>546</v>
      </c>
      <c r="F21" s="787" t="s">
        <v>546</v>
      </c>
      <c r="G21" s="788" t="s">
        <v>6996</v>
      </c>
      <c r="H21" s="831"/>
      <c r="I21" s="831"/>
      <c r="J21" s="832" t="s">
        <v>7131</v>
      </c>
      <c r="K21" s="832" t="s">
        <v>7132</v>
      </c>
      <c r="L21" s="831"/>
      <c r="M21" s="831"/>
      <c r="N21" s="831"/>
      <c r="O21" s="903" t="s">
        <v>7133</v>
      </c>
      <c r="P21" s="794"/>
      <c r="Q21" s="835" t="s">
        <v>7134</v>
      </c>
      <c r="R21" s="836"/>
      <c r="S21" s="835" t="s">
        <v>5929</v>
      </c>
      <c r="T21" s="835" t="s">
        <v>5144</v>
      </c>
      <c r="U21" s="835" t="s">
        <v>7135</v>
      </c>
      <c r="V21" s="904" t="s">
        <v>7136</v>
      </c>
      <c r="W21" s="794"/>
      <c r="X21" s="905"/>
      <c r="Y21" s="905"/>
      <c r="Z21" s="840" t="s">
        <v>7137</v>
      </c>
      <c r="AA21" s="947"/>
      <c r="AB21" s="840" t="s">
        <v>2272</v>
      </c>
      <c r="AC21" s="872" t="s">
        <v>7138</v>
      </c>
      <c r="AD21" s="905"/>
      <c r="AE21" s="905"/>
      <c r="AF21" s="905"/>
      <c r="AG21" s="872" t="s">
        <v>7139</v>
      </c>
      <c r="AH21" s="803"/>
      <c r="AI21" s="794"/>
      <c r="AJ21" s="843"/>
      <c r="AK21" s="843"/>
      <c r="AL21" s="843"/>
      <c r="AM21" s="842" t="s">
        <v>1310</v>
      </c>
      <c r="AN21" s="842"/>
      <c r="AO21" s="843"/>
      <c r="AP21" s="843"/>
      <c r="AQ21" s="843"/>
      <c r="AR21" s="843"/>
      <c r="AS21" s="843"/>
      <c r="AT21" s="843"/>
      <c r="AU21" s="843"/>
      <c r="AV21" s="843"/>
      <c r="AW21" s="842" t="s">
        <v>3975</v>
      </c>
      <c r="AX21" s="907" t="s">
        <v>7140</v>
      </c>
      <c r="AY21" s="843"/>
      <c r="AZ21" s="809"/>
      <c r="BA21" s="917"/>
      <c r="BB21" s="879" t="s">
        <v>7141</v>
      </c>
      <c r="BC21" s="879" t="s">
        <v>3735</v>
      </c>
      <c r="BD21" s="879"/>
      <c r="BE21" s="948" t="s">
        <v>7142</v>
      </c>
      <c r="BF21" s="809"/>
      <c r="BG21" s="853" t="s">
        <v>713</v>
      </c>
      <c r="BH21" s="937" t="s">
        <v>4303</v>
      </c>
      <c r="BI21" s="853" t="s">
        <v>1671</v>
      </c>
      <c r="BJ21" s="853" t="s">
        <v>7143</v>
      </c>
      <c r="BK21" s="853" t="s">
        <v>7144</v>
      </c>
      <c r="BL21" s="855"/>
      <c r="BM21" s="853" t="s">
        <v>7145</v>
      </c>
      <c r="BN21" s="794"/>
      <c r="BO21" s="858" t="s">
        <v>4758</v>
      </c>
      <c r="BP21" s="910"/>
      <c r="BQ21" s="857"/>
      <c r="BR21" s="897" t="s">
        <v>7146</v>
      </c>
      <c r="BS21" s="857"/>
      <c r="BT21" s="858" t="s">
        <v>2368</v>
      </c>
      <c r="BU21" s="857"/>
      <c r="BV21" s="858" t="s">
        <v>7147</v>
      </c>
      <c r="BW21" s="858" t="s">
        <v>1917</v>
      </c>
      <c r="BX21" s="794"/>
      <c r="BY21" s="862" t="s">
        <v>4585</v>
      </c>
      <c r="BZ21" s="900"/>
      <c r="CA21" s="863"/>
      <c r="CB21" s="884"/>
      <c r="CC21" s="863"/>
      <c r="CD21" s="863"/>
      <c r="CE21" s="863"/>
      <c r="CF21" s="863"/>
      <c r="CG21" s="863"/>
      <c r="CH21" s="863"/>
      <c r="CI21" s="863"/>
      <c r="CJ21" s="884"/>
      <c r="CK21" s="884"/>
    </row>
    <row r="22">
      <c r="A22" s="954" t="s">
        <v>3439</v>
      </c>
      <c r="B22" s="788" t="s">
        <v>7148</v>
      </c>
      <c r="C22" s="784" t="s">
        <v>1256</v>
      </c>
      <c r="D22" s="785" t="s">
        <v>546</v>
      </c>
      <c r="E22" s="786" t="s">
        <v>1256</v>
      </c>
      <c r="F22" s="787" t="s">
        <v>332</v>
      </c>
      <c r="G22" s="788" t="s">
        <v>4111</v>
      </c>
      <c r="H22" s="831"/>
      <c r="I22" s="831"/>
      <c r="J22" s="831"/>
      <c r="K22" s="831"/>
      <c r="L22" s="832" t="s">
        <v>6515</v>
      </c>
      <c r="M22" s="831"/>
      <c r="N22" s="832" t="s">
        <v>7149</v>
      </c>
      <c r="O22" s="831"/>
      <c r="P22" s="794"/>
      <c r="Q22" s="836"/>
      <c r="R22" s="836"/>
      <c r="S22" s="836"/>
      <c r="T22" s="836"/>
      <c r="U22" s="835" t="s">
        <v>3125</v>
      </c>
      <c r="V22" s="835" t="s">
        <v>7150</v>
      </c>
      <c r="W22" s="794"/>
      <c r="X22" s="840" t="s">
        <v>198</v>
      </c>
      <c r="Y22" s="840" t="s">
        <v>7151</v>
      </c>
      <c r="Z22" s="840" t="s">
        <v>7152</v>
      </c>
      <c r="AA22" s="955" t="s">
        <v>2925</v>
      </c>
      <c r="AB22" s="840" t="s">
        <v>658</v>
      </c>
      <c r="AC22" s="840" t="s">
        <v>1814</v>
      </c>
      <c r="AD22" s="840" t="s">
        <v>7153</v>
      </c>
      <c r="AE22" s="840" t="s">
        <v>2560</v>
      </c>
      <c r="AF22" s="840"/>
      <c r="AG22" s="840" t="s">
        <v>7154</v>
      </c>
      <c r="AH22" s="956" t="s">
        <v>7155</v>
      </c>
      <c r="AI22" s="794"/>
      <c r="AJ22" s="842"/>
      <c r="AK22" s="842" t="s">
        <v>5772</v>
      </c>
      <c r="AL22" s="843"/>
      <c r="AM22" s="842" t="s">
        <v>5161</v>
      </c>
      <c r="AN22" s="843"/>
      <c r="AO22" s="843"/>
      <c r="AP22" s="842" t="s">
        <v>2061</v>
      </c>
      <c r="AQ22" s="843"/>
      <c r="AR22" s="842" t="s">
        <v>7156</v>
      </c>
      <c r="AS22" s="842"/>
      <c r="AT22" s="941"/>
      <c r="AU22" s="843"/>
      <c r="AV22" s="907" t="s">
        <v>7157</v>
      </c>
      <c r="AW22" s="847" t="s">
        <v>6141</v>
      </c>
      <c r="AX22" s="842" t="s">
        <v>7158</v>
      </c>
      <c r="AY22" s="842" t="s">
        <v>7159</v>
      </c>
      <c r="AZ22" s="809"/>
      <c r="BA22" s="917"/>
      <c r="BB22" s="850" t="s">
        <v>7160</v>
      </c>
      <c r="BC22" s="879" t="s">
        <v>138</v>
      </c>
      <c r="BD22" s="879"/>
      <c r="BE22" s="957" t="s">
        <v>7161</v>
      </c>
      <c r="BF22" s="809"/>
      <c r="BG22" s="855"/>
      <c r="BH22" s="855"/>
      <c r="BI22" s="855"/>
      <c r="BJ22" s="855"/>
      <c r="BK22" s="855"/>
      <c r="BL22" s="880" t="s">
        <v>7162</v>
      </c>
      <c r="BM22" s="853" t="s">
        <v>7163</v>
      </c>
      <c r="BN22" s="794"/>
      <c r="BO22" s="857"/>
      <c r="BP22" s="910"/>
      <c r="BQ22" s="857"/>
      <c r="BR22" s="857"/>
      <c r="BS22" s="882" t="s">
        <v>7164</v>
      </c>
      <c r="BT22" s="857"/>
      <c r="BU22" s="857"/>
      <c r="BV22" s="857"/>
      <c r="BW22" s="858" t="s">
        <v>7165</v>
      </c>
      <c r="BX22" s="794"/>
      <c r="BY22" s="863"/>
      <c r="BZ22" s="863"/>
      <c r="CA22" s="863"/>
      <c r="CB22" s="884"/>
      <c r="CC22" s="863"/>
      <c r="CD22" s="863"/>
      <c r="CE22" s="863"/>
      <c r="CF22" s="863"/>
      <c r="CG22" s="863"/>
      <c r="CH22" s="863"/>
      <c r="CI22" s="863"/>
      <c r="CJ22" s="884"/>
      <c r="CK22" s="884"/>
    </row>
    <row r="23">
      <c r="A23" s="830" t="s">
        <v>2992</v>
      </c>
      <c r="B23" s="788" t="s">
        <v>7166</v>
      </c>
      <c r="C23" s="784" t="s">
        <v>546</v>
      </c>
      <c r="D23" s="785" t="s">
        <v>1256</v>
      </c>
      <c r="E23" s="786" t="s">
        <v>1256</v>
      </c>
      <c r="F23" s="787" t="s">
        <v>546</v>
      </c>
      <c r="G23" s="788" t="s">
        <v>1634</v>
      </c>
      <c r="H23" s="831"/>
      <c r="I23" s="831"/>
      <c r="J23" s="832" t="s">
        <v>311</v>
      </c>
      <c r="K23" s="832" t="s">
        <v>7167</v>
      </c>
      <c r="L23" s="832"/>
      <c r="M23" s="831"/>
      <c r="N23" s="831"/>
      <c r="O23" s="832" t="s">
        <v>7168</v>
      </c>
      <c r="P23" s="794"/>
      <c r="Q23" s="835" t="s">
        <v>4939</v>
      </c>
      <c r="R23" s="835" t="s">
        <v>3808</v>
      </c>
      <c r="S23" s="835" t="s">
        <v>691</v>
      </c>
      <c r="T23" s="835" t="s">
        <v>251</v>
      </c>
      <c r="U23" s="836"/>
      <c r="V23" s="835" t="s">
        <v>7169</v>
      </c>
      <c r="W23" s="794"/>
      <c r="X23" s="840" t="s">
        <v>6483</v>
      </c>
      <c r="Y23" s="905"/>
      <c r="Z23" s="840" t="s">
        <v>4917</v>
      </c>
      <c r="AA23" s="840" t="s">
        <v>7170</v>
      </c>
      <c r="AB23" s="840" t="s">
        <v>3010</v>
      </c>
      <c r="AC23" s="840" t="s">
        <v>1756</v>
      </c>
      <c r="AD23" s="840" t="s">
        <v>2669</v>
      </c>
      <c r="AE23" s="840" t="s">
        <v>2841</v>
      </c>
      <c r="AF23" s="840"/>
      <c r="AG23" s="840" t="s">
        <v>7171</v>
      </c>
      <c r="AH23" s="958" t="s">
        <v>3013</v>
      </c>
      <c r="AI23" s="794"/>
      <c r="AJ23" s="843"/>
      <c r="AK23" s="843"/>
      <c r="AL23" s="844" t="s">
        <v>7172</v>
      </c>
      <c r="AM23" s="842" t="s">
        <v>1964</v>
      </c>
      <c r="AN23" s="842"/>
      <c r="AO23" s="843"/>
      <c r="AP23" s="843"/>
      <c r="AQ23" s="843"/>
      <c r="AR23" s="842" t="s">
        <v>7173</v>
      </c>
      <c r="AS23" s="842"/>
      <c r="AT23" s="843"/>
      <c r="AU23" s="842" t="s">
        <v>7174</v>
      </c>
      <c r="AV23" s="907" t="s">
        <v>7175</v>
      </c>
      <c r="AW23" s="842" t="s">
        <v>193</v>
      </c>
      <c r="AX23" s="907" t="s">
        <v>7176</v>
      </c>
      <c r="AY23" s="842" t="s">
        <v>7177</v>
      </c>
      <c r="AZ23" s="809"/>
      <c r="BA23" s="879" t="s">
        <v>7178</v>
      </c>
      <c r="BB23" s="879" t="s">
        <v>7179</v>
      </c>
      <c r="BC23" s="917"/>
      <c r="BD23" s="917"/>
      <c r="BE23" s="879" t="s">
        <v>7180</v>
      </c>
      <c r="BF23" s="809"/>
      <c r="BG23" s="853" t="s">
        <v>6219</v>
      </c>
      <c r="BH23" s="855"/>
      <c r="BI23" s="853" t="s">
        <v>474</v>
      </c>
      <c r="BJ23" s="853" t="s">
        <v>7181</v>
      </c>
      <c r="BK23" s="853" t="s">
        <v>7182</v>
      </c>
      <c r="BL23" s="853" t="s">
        <v>7183</v>
      </c>
      <c r="BM23" s="909" t="s">
        <v>7184</v>
      </c>
      <c r="BN23" s="794"/>
      <c r="BO23" s="858" t="s">
        <v>7185</v>
      </c>
      <c r="BP23" s="858" t="s">
        <v>4181</v>
      </c>
      <c r="BQ23" s="857"/>
      <c r="BR23" s="858" t="s">
        <v>7186</v>
      </c>
      <c r="BS23" s="857"/>
      <c r="BT23" s="858" t="s">
        <v>3031</v>
      </c>
      <c r="BU23" s="858" t="s">
        <v>5163</v>
      </c>
      <c r="BV23" s="858" t="s">
        <v>7187</v>
      </c>
      <c r="BW23" s="858" t="s">
        <v>7188</v>
      </c>
      <c r="BX23" s="794"/>
      <c r="BY23" s="959" t="s">
        <v>3524</v>
      </c>
      <c r="BZ23" s="862" t="s">
        <v>851</v>
      </c>
      <c r="CA23" s="863"/>
      <c r="CB23" s="884"/>
      <c r="CC23" s="863"/>
      <c r="CD23" s="863"/>
      <c r="CE23" s="862" t="s">
        <v>7189</v>
      </c>
      <c r="CF23" s="862" t="s">
        <v>7190</v>
      </c>
      <c r="CG23" s="863"/>
      <c r="CH23" s="863"/>
      <c r="CI23" s="863"/>
      <c r="CJ23" s="884"/>
      <c r="CK23" s="884"/>
    </row>
    <row r="24">
      <c r="A24" s="830" t="s">
        <v>7191</v>
      </c>
      <c r="B24" s="788" t="s">
        <v>7192</v>
      </c>
      <c r="C24" s="784" t="s">
        <v>1256</v>
      </c>
      <c r="D24" s="785" t="s">
        <v>1256</v>
      </c>
      <c r="E24" s="786" t="s">
        <v>1256</v>
      </c>
      <c r="F24" s="787" t="s">
        <v>438</v>
      </c>
      <c r="G24" s="788" t="s">
        <v>222</v>
      </c>
      <c r="H24" s="831"/>
      <c r="I24" s="831"/>
      <c r="J24" s="831"/>
      <c r="K24" s="831"/>
      <c r="L24" s="931" t="s">
        <v>7193</v>
      </c>
      <c r="M24" s="831"/>
      <c r="N24" s="903" t="s">
        <v>7194</v>
      </c>
      <c r="O24" s="831"/>
      <c r="P24" s="794"/>
      <c r="Q24" s="836"/>
      <c r="R24" s="836"/>
      <c r="S24" s="836"/>
      <c r="T24" s="836"/>
      <c r="U24" s="835"/>
      <c r="V24" s="904" t="s">
        <v>7195</v>
      </c>
      <c r="W24" s="794"/>
      <c r="X24" s="905"/>
      <c r="Y24" s="905"/>
      <c r="Z24" s="920" t="s">
        <v>7196</v>
      </c>
      <c r="AA24" s="905"/>
      <c r="AB24" s="905"/>
      <c r="AC24" s="905"/>
      <c r="AD24" s="905"/>
      <c r="AE24" s="960" t="str">
        <f>HYPERLINK("https://youtu.be/0lXotWIeH0g","49.54")</f>
        <v>49.54</v>
      </c>
      <c r="AF24" s="947"/>
      <c r="AG24" s="872" t="s">
        <v>7197</v>
      </c>
      <c r="AH24" s="890" t="s">
        <v>7198</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7199</v>
      </c>
      <c r="AZ24" s="809"/>
      <c r="BA24" s="917"/>
      <c r="BB24" s="917"/>
      <c r="BC24" s="925" t="s">
        <v>4139</v>
      </c>
      <c r="BD24" s="917"/>
      <c r="BE24" s="948" t="s">
        <v>7200</v>
      </c>
      <c r="BF24" s="809"/>
      <c r="BG24" s="855"/>
      <c r="BH24" s="855"/>
      <c r="BI24" s="855"/>
      <c r="BJ24" s="855"/>
      <c r="BK24" s="855"/>
      <c r="BL24" s="962" t="str">
        <f>HYPERLINK("https://youtu.be/ZWHJWoriERw","3:48.70")</f>
        <v>3:48.70</v>
      </c>
      <c r="BM24" s="852" t="s">
        <v>7201</v>
      </c>
      <c r="BN24" s="794"/>
      <c r="BO24" s="910" t="s">
        <v>231</v>
      </c>
      <c r="BP24" s="910"/>
      <c r="BQ24" s="857"/>
      <c r="BR24" s="857"/>
      <c r="BS24" s="857"/>
      <c r="BT24" s="859" t="str">
        <f>HYPERLINK("https://youtu.be/-5bLlrzaDDc","27.91")</f>
        <v>27.91</v>
      </c>
      <c r="BU24" s="910" t="s">
        <v>7112</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7202</v>
      </c>
      <c r="C25" s="784" t="s">
        <v>1256</v>
      </c>
      <c r="D25" s="785" t="s">
        <v>1256</v>
      </c>
      <c r="E25" s="786" t="s">
        <v>1256</v>
      </c>
      <c r="F25" s="787" t="s">
        <v>1197</v>
      </c>
      <c r="G25" s="788" t="s">
        <v>3969</v>
      </c>
      <c r="H25" s="833" t="s">
        <v>2614</v>
      </c>
      <c r="I25" s="833" t="s">
        <v>7203</v>
      </c>
      <c r="J25" s="965"/>
      <c r="K25" s="833" t="s">
        <v>3312</v>
      </c>
      <c r="L25" s="832"/>
      <c r="M25" s="831"/>
      <c r="N25" s="831"/>
      <c r="O25" s="903" t="s">
        <v>7204</v>
      </c>
      <c r="P25" s="794"/>
      <c r="Q25" s="904" t="s">
        <v>7205</v>
      </c>
      <c r="R25" s="836"/>
      <c r="S25" s="836"/>
      <c r="T25" s="904" t="s">
        <v>5176</v>
      </c>
      <c r="U25" s="835"/>
      <c r="V25" s="904" t="s">
        <v>7206</v>
      </c>
      <c r="W25" s="794"/>
      <c r="X25" s="872" t="s">
        <v>2144</v>
      </c>
      <c r="Y25" s="905"/>
      <c r="Z25" s="872" t="s">
        <v>1840</v>
      </c>
      <c r="AA25" s="947"/>
      <c r="AB25" s="872" t="s">
        <v>5325</v>
      </c>
      <c r="AC25" s="905"/>
      <c r="AD25" s="905"/>
      <c r="AE25" s="872" t="s">
        <v>4425</v>
      </c>
      <c r="AF25" s="840"/>
      <c r="AG25" s="872" t="s">
        <v>7207</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7208</v>
      </c>
      <c r="BF25" s="809"/>
      <c r="BG25" s="937" t="s">
        <v>2629</v>
      </c>
      <c r="BH25" s="855"/>
      <c r="BI25" s="855"/>
      <c r="BJ25" s="855"/>
      <c r="BK25" s="855"/>
      <c r="BL25" s="855"/>
      <c r="BM25" s="937" t="s">
        <v>7209</v>
      </c>
      <c r="BN25" s="794"/>
      <c r="BO25" s="911" t="s">
        <v>612</v>
      </c>
      <c r="BP25" s="910"/>
      <c r="BQ25" s="857"/>
      <c r="BR25" s="857"/>
      <c r="BS25" s="857"/>
      <c r="BT25" s="857"/>
      <c r="BU25" s="857"/>
      <c r="BV25" s="911" t="s">
        <v>7210</v>
      </c>
      <c r="BW25" s="857"/>
      <c r="BX25" s="794"/>
      <c r="BY25" s="883" t="s">
        <v>7211</v>
      </c>
      <c r="BZ25" s="863"/>
      <c r="CA25" s="863"/>
      <c r="CB25" s="884"/>
      <c r="CC25" s="863"/>
      <c r="CD25" s="863"/>
      <c r="CE25" s="883" t="s">
        <v>7121</v>
      </c>
      <c r="CF25" s="862" t="s">
        <v>7212</v>
      </c>
      <c r="CG25" s="863"/>
      <c r="CH25" s="863"/>
      <c r="CI25" s="863"/>
      <c r="CJ25" s="884"/>
      <c r="CK25" s="884"/>
    </row>
    <row r="26">
      <c r="A26" s="830" t="s">
        <v>7213</v>
      </c>
      <c r="B26" s="788" t="s">
        <v>7214</v>
      </c>
      <c r="C26" s="784" t="s">
        <v>1256</v>
      </c>
      <c r="D26" s="785" t="s">
        <v>1256</v>
      </c>
      <c r="E26" s="786" t="s">
        <v>1256</v>
      </c>
      <c r="F26" s="787" t="s">
        <v>437</v>
      </c>
      <c r="G26" s="788" t="s">
        <v>3969</v>
      </c>
      <c r="H26" s="831"/>
      <c r="I26" s="831"/>
      <c r="J26" s="831"/>
      <c r="K26" s="831"/>
      <c r="L26" s="832" t="s">
        <v>744</v>
      </c>
      <c r="M26" s="831"/>
      <c r="N26" s="832" t="s">
        <v>7215</v>
      </c>
      <c r="O26" s="832"/>
      <c r="P26" s="794"/>
      <c r="Q26" s="836"/>
      <c r="R26" s="836"/>
      <c r="S26" s="836"/>
      <c r="T26" s="836"/>
      <c r="U26" s="836"/>
      <c r="V26" s="904" t="s">
        <v>7216</v>
      </c>
      <c r="W26" s="794"/>
      <c r="X26" s="840" t="s">
        <v>7217</v>
      </c>
      <c r="Y26" s="872" t="s">
        <v>7218</v>
      </c>
      <c r="Z26" s="905"/>
      <c r="AA26" s="966" t="s">
        <v>7219</v>
      </c>
      <c r="AB26" s="905"/>
      <c r="AC26" s="801" t="s">
        <v>4778</v>
      </c>
      <c r="AD26" s="840" t="s">
        <v>1333</v>
      </c>
      <c r="AE26" s="840" t="s">
        <v>7220</v>
      </c>
      <c r="AF26" s="840"/>
      <c r="AG26" s="872" t="s">
        <v>7221</v>
      </c>
      <c r="AH26" s="803"/>
      <c r="AI26" s="794"/>
      <c r="AJ26" s="843"/>
      <c r="AK26" s="843"/>
      <c r="AL26" s="843"/>
      <c r="AM26" s="842" t="s">
        <v>4955</v>
      </c>
      <c r="AN26" s="843"/>
      <c r="AO26" s="843"/>
      <c r="AP26" s="843"/>
      <c r="AQ26" s="843"/>
      <c r="AR26" s="843"/>
      <c r="AS26" s="843"/>
      <c r="AT26" s="843"/>
      <c r="AU26" s="843"/>
      <c r="AV26" s="843"/>
      <c r="AW26" s="843"/>
      <c r="AX26" s="843"/>
      <c r="AY26" s="907" t="s">
        <v>7222</v>
      </c>
      <c r="AZ26" s="809"/>
      <c r="BA26" s="917"/>
      <c r="BB26" s="917"/>
      <c r="BC26" s="917"/>
      <c r="BD26" s="917"/>
      <c r="BE26" s="879" t="s">
        <v>7223</v>
      </c>
      <c r="BF26" s="809"/>
      <c r="BG26" s="855"/>
      <c r="BH26" s="855"/>
      <c r="BI26" s="855"/>
      <c r="BJ26" s="855"/>
      <c r="BK26" s="855"/>
      <c r="BL26" s="853" t="s">
        <v>7224</v>
      </c>
      <c r="BM26" s="855"/>
      <c r="BN26" s="794"/>
      <c r="BO26" s="858" t="s">
        <v>4932</v>
      </c>
      <c r="BP26" s="910"/>
      <c r="BQ26" s="857"/>
      <c r="BR26" s="858" t="s">
        <v>7225</v>
      </c>
      <c r="BS26" s="859" t="s">
        <v>7002</v>
      </c>
      <c r="BT26" s="858" t="s">
        <v>1317</v>
      </c>
      <c r="BU26" s="857"/>
      <c r="BV26" s="911" t="s">
        <v>7226</v>
      </c>
      <c r="BW26" s="858" t="s">
        <v>7227</v>
      </c>
      <c r="BX26" s="794"/>
      <c r="BY26" s="863"/>
      <c r="BZ26" s="863"/>
      <c r="CA26" s="863"/>
      <c r="CB26" s="884"/>
      <c r="CC26" s="863"/>
      <c r="CD26" s="863"/>
      <c r="CE26" s="862" t="s">
        <v>7228</v>
      </c>
      <c r="CF26" s="912" t="s">
        <v>7229</v>
      </c>
      <c r="CG26" s="863"/>
      <c r="CH26" s="863"/>
      <c r="CI26" s="863"/>
      <c r="CJ26" s="884"/>
      <c r="CK26" s="884"/>
    </row>
    <row r="27">
      <c r="A27" s="964" t="s">
        <v>7230</v>
      </c>
      <c r="B27" s="788" t="s">
        <v>7231</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7232</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7233</v>
      </c>
      <c r="BF27" s="809"/>
      <c r="BG27" s="855"/>
      <c r="BH27" s="855"/>
      <c r="BI27" s="855"/>
      <c r="BJ27" s="855"/>
      <c r="BK27" s="855"/>
      <c r="BL27" s="855"/>
      <c r="BM27" s="854" t="s">
        <v>7234</v>
      </c>
      <c r="BN27" s="804"/>
      <c r="BO27" s="963" t="str">
        <f>HYPERLINK("https://youtu.be/oOY4TocVyJU","1:05.01")</f>
        <v>1:05.01</v>
      </c>
      <c r="BP27" s="910"/>
      <c r="BQ27" s="857"/>
      <c r="BR27" s="858"/>
      <c r="BS27" s="858"/>
      <c r="BT27" s="857"/>
      <c r="BU27" s="857"/>
      <c r="BV27" s="857"/>
      <c r="BW27" s="882" t="s">
        <v>7235</v>
      </c>
      <c r="BX27" s="804"/>
      <c r="BY27" s="863"/>
      <c r="BZ27" s="863"/>
      <c r="CA27" s="900"/>
      <c r="CB27" s="970"/>
      <c r="CC27" s="900"/>
      <c r="CD27" s="863"/>
      <c r="CE27" s="863"/>
      <c r="CF27" s="863"/>
      <c r="CG27" s="863"/>
      <c r="CH27" s="863"/>
      <c r="CI27" s="863"/>
      <c r="CJ27" s="884"/>
      <c r="CK27" s="884"/>
    </row>
    <row r="28">
      <c r="A28" s="830" t="s">
        <v>7236</v>
      </c>
      <c r="B28" s="788" t="s">
        <v>7237</v>
      </c>
      <c r="C28" s="784" t="s">
        <v>546</v>
      </c>
      <c r="D28" s="785" t="s">
        <v>1256</v>
      </c>
      <c r="E28" s="786" t="s">
        <v>546</v>
      </c>
      <c r="F28" s="787" t="s">
        <v>332</v>
      </c>
      <c r="G28" s="788" t="s">
        <v>2937</v>
      </c>
      <c r="H28" s="832" t="s">
        <v>4038</v>
      </c>
      <c r="I28" s="832"/>
      <c r="J28" s="832"/>
      <c r="K28" s="831"/>
      <c r="L28" s="832" t="s">
        <v>7238</v>
      </c>
      <c r="M28" s="831"/>
      <c r="N28" s="832" t="s">
        <v>7239</v>
      </c>
      <c r="O28" s="831"/>
      <c r="P28" s="794"/>
      <c r="Q28" s="835" t="s">
        <v>7240</v>
      </c>
      <c r="R28" s="836"/>
      <c r="S28" s="836"/>
      <c r="T28" s="836"/>
      <c r="U28" s="904" t="s">
        <v>7241</v>
      </c>
      <c r="V28" s="835" t="s">
        <v>7242</v>
      </c>
      <c r="W28" s="794"/>
      <c r="X28" s="840"/>
      <c r="Y28" s="840"/>
      <c r="Z28" s="840" t="s">
        <v>7243</v>
      </c>
      <c r="AA28" s="955" t="s">
        <v>4609</v>
      </c>
      <c r="AB28" s="840" t="s">
        <v>1183</v>
      </c>
      <c r="AC28" s="905"/>
      <c r="AD28" s="905"/>
      <c r="AE28" s="840" t="s">
        <v>7244</v>
      </c>
      <c r="AF28" s="840"/>
      <c r="AG28" s="873" t="s">
        <v>7245</v>
      </c>
      <c r="AH28" s="943" t="s">
        <v>7246</v>
      </c>
      <c r="AI28" s="794"/>
      <c r="AJ28" s="891"/>
      <c r="AK28" s="844" t="s">
        <v>7247</v>
      </c>
      <c r="AL28" s="843"/>
      <c r="AM28" s="843"/>
      <c r="AN28" s="843"/>
      <c r="AO28" s="843"/>
      <c r="AP28" s="843"/>
      <c r="AQ28" s="843"/>
      <c r="AR28" s="907" t="s">
        <v>7248</v>
      </c>
      <c r="AS28" s="842" t="s">
        <v>7249</v>
      </c>
      <c r="AT28" s="843"/>
      <c r="AU28" s="843"/>
      <c r="AV28" s="907" t="s">
        <v>6459</v>
      </c>
      <c r="AW28" s="842" t="s">
        <v>2694</v>
      </c>
      <c r="AX28" s="843"/>
      <c r="AY28" s="842" t="s">
        <v>7250</v>
      </c>
      <c r="AZ28" s="809"/>
      <c r="BA28" s="917"/>
      <c r="BB28" s="917"/>
      <c r="BC28" s="917"/>
      <c r="BD28" s="917"/>
      <c r="BE28" s="879" t="s">
        <v>7251</v>
      </c>
      <c r="BF28" s="809"/>
      <c r="BG28" s="855"/>
      <c r="BH28" s="855"/>
      <c r="BI28" s="855"/>
      <c r="BJ28" s="853"/>
      <c r="BK28" s="855"/>
      <c r="BL28" s="936" t="s">
        <v>7252</v>
      </c>
      <c r="BM28" s="852" t="s">
        <v>7253</v>
      </c>
      <c r="BN28" s="794"/>
      <c r="BO28" s="858" t="s">
        <v>4055</v>
      </c>
      <c r="BP28" s="910"/>
      <c r="BQ28" s="857"/>
      <c r="BR28" s="858" t="s">
        <v>7254</v>
      </c>
      <c r="BS28" s="857"/>
      <c r="BT28" s="911" t="s">
        <v>970</v>
      </c>
      <c r="BU28" s="857"/>
      <c r="BV28" s="858" t="s">
        <v>7255</v>
      </c>
      <c r="BW28" s="858" t="s">
        <v>7256</v>
      </c>
      <c r="BX28" s="794"/>
      <c r="BY28" s="863"/>
      <c r="BZ28" s="863"/>
      <c r="CA28" s="863"/>
      <c r="CB28" s="884"/>
      <c r="CC28" s="863"/>
      <c r="CD28" s="863"/>
      <c r="CE28" s="883" t="s">
        <v>7257</v>
      </c>
      <c r="CF28" s="863"/>
      <c r="CG28" s="863"/>
      <c r="CH28" s="863"/>
      <c r="CI28" s="863"/>
      <c r="CJ28" s="884"/>
      <c r="CK28" s="884"/>
    </row>
    <row r="29">
      <c r="A29" s="971" t="s">
        <v>7258</v>
      </c>
      <c r="B29" s="788" t="s">
        <v>7259</v>
      </c>
      <c r="C29" s="784" t="s">
        <v>1256</v>
      </c>
      <c r="D29" s="785" t="s">
        <v>1256</v>
      </c>
      <c r="E29" s="786" t="s">
        <v>1256</v>
      </c>
      <c r="F29" s="787" t="s">
        <v>438</v>
      </c>
      <c r="G29" s="788" t="s">
        <v>4111</v>
      </c>
      <c r="H29" s="930" t="s">
        <v>4242</v>
      </c>
      <c r="I29" s="832" t="s">
        <v>7260</v>
      </c>
      <c r="J29" s="832"/>
      <c r="K29" s="832"/>
      <c r="L29" s="903" t="s">
        <v>7261</v>
      </c>
      <c r="M29" s="831"/>
      <c r="N29" s="833" t="s">
        <v>7262</v>
      </c>
      <c r="O29" s="831"/>
      <c r="P29" s="794"/>
      <c r="Q29" s="836"/>
      <c r="R29" s="836"/>
      <c r="S29" s="836"/>
      <c r="T29" s="836"/>
      <c r="U29" s="835" t="s">
        <v>415</v>
      </c>
      <c r="V29" s="839" t="s">
        <v>7263</v>
      </c>
      <c r="W29" s="794"/>
      <c r="X29" s="872" t="s">
        <v>4928</v>
      </c>
      <c r="Y29" s="840" t="s">
        <v>6184</v>
      </c>
      <c r="Z29" s="872" t="s">
        <v>6099</v>
      </c>
      <c r="AA29" s="942" t="s">
        <v>4609</v>
      </c>
      <c r="AB29" s="872" t="s">
        <v>2509</v>
      </c>
      <c r="AC29" s="801" t="s">
        <v>7264</v>
      </c>
      <c r="AD29" s="905"/>
      <c r="AE29" s="801" t="str">
        <f>HYPERLINK("https://twitter.com/Qbe_Root/status/1242884733232648192","56.04")</f>
        <v>56.04</v>
      </c>
      <c r="AF29" s="873"/>
      <c r="AG29" s="801" t="s">
        <v>7265</v>
      </c>
      <c r="AH29" s="803"/>
      <c r="AI29" s="794"/>
      <c r="AJ29" s="842"/>
      <c r="AK29" s="842" t="s">
        <v>7266</v>
      </c>
      <c r="AL29" s="842" t="s">
        <v>7267</v>
      </c>
      <c r="AM29" s="842" t="s">
        <v>7268</v>
      </c>
      <c r="AN29" s="842"/>
      <c r="AO29" s="843"/>
      <c r="AP29" s="113" t="s">
        <v>7269</v>
      </c>
      <c r="AQ29" s="843"/>
      <c r="AR29" s="843"/>
      <c r="AS29" s="843"/>
      <c r="AT29" s="843"/>
      <c r="AU29" s="843"/>
      <c r="AV29" s="843"/>
      <c r="AW29" s="842" t="s">
        <v>1617</v>
      </c>
      <c r="AX29" s="842" t="s">
        <v>7270</v>
      </c>
      <c r="AY29" s="843"/>
      <c r="AZ29" s="809"/>
      <c r="BA29" s="917"/>
      <c r="BB29" s="917"/>
      <c r="BC29" s="917"/>
      <c r="BD29" s="917"/>
      <c r="BE29" s="948" t="s">
        <v>7271</v>
      </c>
      <c r="BF29" s="809"/>
      <c r="BG29" s="853" t="s">
        <v>1465</v>
      </c>
      <c r="BH29" s="855"/>
      <c r="BI29" s="855"/>
      <c r="BJ29" s="855"/>
      <c r="BK29" s="853" t="s">
        <v>7272</v>
      </c>
      <c r="BL29" s="855"/>
      <c r="BM29" s="853" t="s">
        <v>7273</v>
      </c>
      <c r="BN29" s="794"/>
      <c r="BO29" s="858" t="s">
        <v>7274</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6606</v>
      </c>
      <c r="B30" s="788" t="s">
        <v>7275</v>
      </c>
      <c r="C30" s="784" t="s">
        <v>546</v>
      </c>
      <c r="D30" s="785" t="s">
        <v>1256</v>
      </c>
      <c r="E30" s="786" t="s">
        <v>1256</v>
      </c>
      <c r="F30" s="787" t="s">
        <v>546</v>
      </c>
      <c r="G30" s="788" t="s">
        <v>6276</v>
      </c>
      <c r="H30" s="831"/>
      <c r="I30" s="831"/>
      <c r="J30" s="831"/>
      <c r="K30" s="831"/>
      <c r="L30" s="832" t="s">
        <v>7276</v>
      </c>
      <c r="M30" s="831"/>
      <c r="N30" s="832" t="s">
        <v>7277</v>
      </c>
      <c r="O30" s="831"/>
      <c r="P30" s="794"/>
      <c r="Q30" s="835" t="s">
        <v>7278</v>
      </c>
      <c r="R30" s="836"/>
      <c r="S30" s="835" t="s">
        <v>7279</v>
      </c>
      <c r="T30" s="836"/>
      <c r="U30" s="836"/>
      <c r="V30" s="835" t="s">
        <v>7280</v>
      </c>
      <c r="W30" s="794"/>
      <c r="X30" s="905"/>
      <c r="Y30" s="905"/>
      <c r="Z30" s="905"/>
      <c r="AA30" s="947"/>
      <c r="AB30" s="905"/>
      <c r="AC30" s="905"/>
      <c r="AD30" s="840" t="s">
        <v>204</v>
      </c>
      <c r="AE30" s="840" t="s">
        <v>1293</v>
      </c>
      <c r="AF30" s="905"/>
      <c r="AG30" s="840" t="s">
        <v>7281</v>
      </c>
      <c r="AH30" s="803"/>
      <c r="AI30" s="794"/>
      <c r="AJ30" s="843"/>
      <c r="AK30" s="843"/>
      <c r="AL30" s="843"/>
      <c r="AM30" s="842" t="s">
        <v>7282</v>
      </c>
      <c r="AN30" s="843"/>
      <c r="AO30" s="843"/>
      <c r="AP30" s="842" t="s">
        <v>7283</v>
      </c>
      <c r="AQ30" s="843"/>
      <c r="AR30" s="842" t="s">
        <v>7284</v>
      </c>
      <c r="AS30" s="842" t="s">
        <v>7285</v>
      </c>
      <c r="AT30" s="907" t="s">
        <v>7286</v>
      </c>
      <c r="AU30" s="842" t="s">
        <v>7287</v>
      </c>
      <c r="AV30" s="843"/>
      <c r="AW30" s="842" t="s">
        <v>414</v>
      </c>
      <c r="AX30" s="843"/>
      <c r="AY30" s="842" t="s">
        <v>7288</v>
      </c>
      <c r="AZ30" s="809"/>
      <c r="BA30" s="879" t="s">
        <v>7289</v>
      </c>
      <c r="BB30" s="879" t="s">
        <v>7290</v>
      </c>
      <c r="BC30" s="879" t="s">
        <v>5258</v>
      </c>
      <c r="BD30" s="917"/>
      <c r="BE30" s="879" t="s">
        <v>7291</v>
      </c>
      <c r="BF30" s="809"/>
      <c r="BG30" s="853" t="s">
        <v>6895</v>
      </c>
      <c r="BH30" s="853" t="s">
        <v>5871</v>
      </c>
      <c r="BI30" s="853" t="s">
        <v>3950</v>
      </c>
      <c r="BJ30" s="937" t="s">
        <v>6433</v>
      </c>
      <c r="BK30" s="855"/>
      <c r="BL30" s="853" t="s">
        <v>7292</v>
      </c>
      <c r="BM30" s="855"/>
      <c r="BN30" s="794"/>
      <c r="BO30" s="858" t="s">
        <v>7293</v>
      </c>
      <c r="BP30" s="910"/>
      <c r="BQ30" s="857"/>
      <c r="BR30" s="858" t="s">
        <v>1332</v>
      </c>
      <c r="BS30" s="857"/>
      <c r="BT30" s="858" t="s">
        <v>1287</v>
      </c>
      <c r="BU30" s="857"/>
      <c r="BV30" s="857"/>
      <c r="BW30" s="857"/>
      <c r="BX30" s="794"/>
      <c r="BY30" s="862" t="s">
        <v>4437</v>
      </c>
      <c r="BZ30" s="863"/>
      <c r="CA30" s="863"/>
      <c r="CB30" s="884"/>
      <c r="CC30" s="913" t="s">
        <v>7294</v>
      </c>
      <c r="CD30" s="863"/>
      <c r="CE30" s="863"/>
      <c r="CF30" s="862" t="s">
        <v>6745</v>
      </c>
      <c r="CG30" s="863"/>
      <c r="CH30" s="863"/>
      <c r="CI30" s="863"/>
      <c r="CJ30" s="884"/>
      <c r="CK30" s="884"/>
    </row>
    <row r="31">
      <c r="A31" s="830" t="s">
        <v>4048</v>
      </c>
      <c r="B31" s="788" t="s">
        <v>7295</v>
      </c>
      <c r="C31" s="784" t="s">
        <v>1256</v>
      </c>
      <c r="D31" s="785" t="s">
        <v>1256</v>
      </c>
      <c r="E31" s="786" t="s">
        <v>1256</v>
      </c>
      <c r="F31" s="787" t="s">
        <v>437</v>
      </c>
      <c r="G31" s="788" t="s">
        <v>2994</v>
      </c>
      <c r="H31" s="832" t="s">
        <v>2309</v>
      </c>
      <c r="I31" s="831"/>
      <c r="J31" s="831"/>
      <c r="K31" s="831"/>
      <c r="L31" s="832" t="s">
        <v>6509</v>
      </c>
      <c r="M31" s="831"/>
      <c r="N31" s="832" t="s">
        <v>7296</v>
      </c>
      <c r="O31" s="831"/>
      <c r="P31" s="794"/>
      <c r="Q31" s="835" t="s">
        <v>7297</v>
      </c>
      <c r="R31" s="836"/>
      <c r="S31" s="836"/>
      <c r="T31" s="836"/>
      <c r="U31" s="904" t="s">
        <v>6885</v>
      </c>
      <c r="V31" s="835" t="s">
        <v>7298</v>
      </c>
      <c r="W31" s="794"/>
      <c r="X31" s="905"/>
      <c r="Y31" s="905"/>
      <c r="Z31" s="840" t="s">
        <v>7299</v>
      </c>
      <c r="AA31" s="947"/>
      <c r="AB31" s="840" t="s">
        <v>4852</v>
      </c>
      <c r="AC31" s="840" t="s">
        <v>309</v>
      </c>
      <c r="AD31" s="905"/>
      <c r="AE31" s="840" t="s">
        <v>3276</v>
      </c>
      <c r="AF31" s="840"/>
      <c r="AG31" s="801" t="s">
        <v>7300</v>
      </c>
      <c r="AH31" s="958" t="s">
        <v>7301</v>
      </c>
      <c r="AI31" s="794"/>
      <c r="AJ31" s="842"/>
      <c r="AK31" s="842" t="s">
        <v>7302</v>
      </c>
      <c r="AL31" s="842" t="s">
        <v>7303</v>
      </c>
      <c r="AM31" s="842" t="s">
        <v>3993</v>
      </c>
      <c r="AN31" s="842"/>
      <c r="AO31" s="843"/>
      <c r="AP31" s="843"/>
      <c r="AQ31" s="843"/>
      <c r="AR31" s="842" t="s">
        <v>7304</v>
      </c>
      <c r="AS31" s="842" t="s">
        <v>7305</v>
      </c>
      <c r="AT31" s="842"/>
      <c r="AU31" s="842" t="s">
        <v>7306</v>
      </c>
      <c r="AV31" s="842"/>
      <c r="AW31" s="842" t="s">
        <v>193</v>
      </c>
      <c r="AX31" s="843"/>
      <c r="AY31" s="842" t="s">
        <v>7307</v>
      </c>
      <c r="AZ31" s="809"/>
      <c r="BA31" s="879"/>
      <c r="BB31" s="879" t="s">
        <v>7308</v>
      </c>
      <c r="BC31" s="948" t="s">
        <v>4502</v>
      </c>
      <c r="BD31" s="879"/>
      <c r="BE31" s="948" t="s">
        <v>7309</v>
      </c>
      <c r="BF31" s="809"/>
      <c r="BG31" s="853" t="s">
        <v>7310</v>
      </c>
      <c r="BH31" s="855"/>
      <c r="BI31" s="855"/>
      <c r="BJ31" s="855"/>
      <c r="BK31" s="855"/>
      <c r="BL31" s="853" t="s">
        <v>7311</v>
      </c>
      <c r="BM31" s="853" t="s">
        <v>7312</v>
      </c>
      <c r="BN31" s="794"/>
      <c r="BO31" s="858" t="s">
        <v>3401</v>
      </c>
      <c r="BP31" s="910"/>
      <c r="BQ31" s="857"/>
      <c r="BR31" s="858" t="s">
        <v>7313</v>
      </c>
      <c r="BS31" s="911" t="s">
        <v>7314</v>
      </c>
      <c r="BT31" s="857"/>
      <c r="BU31" s="857"/>
      <c r="BV31" s="858" t="s">
        <v>5337</v>
      </c>
      <c r="BW31" s="858" t="s">
        <v>4513</v>
      </c>
      <c r="BX31" s="794"/>
      <c r="BY31" s="863"/>
      <c r="BZ31" s="863"/>
      <c r="CA31" s="863"/>
      <c r="CB31" s="884"/>
      <c r="CC31" s="863"/>
      <c r="CD31" s="863"/>
      <c r="CE31" s="863"/>
      <c r="CF31" s="862" t="s">
        <v>7315</v>
      </c>
      <c r="CG31" s="863"/>
      <c r="CH31" s="863"/>
      <c r="CI31" s="883" t="s">
        <v>7316</v>
      </c>
      <c r="CJ31" s="884"/>
      <c r="CK31" s="884"/>
    </row>
    <row r="32">
      <c r="A32" s="830" t="s">
        <v>2935</v>
      </c>
      <c r="B32" s="788" t="s">
        <v>7317</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7318</v>
      </c>
      <c r="V32" s="835" t="s">
        <v>7319</v>
      </c>
      <c r="W32" s="794"/>
      <c r="X32" s="905"/>
      <c r="Y32" s="905"/>
      <c r="Z32" s="905"/>
      <c r="AA32" s="947"/>
      <c r="AB32" s="840"/>
      <c r="AC32" s="800" t="s">
        <v>7320</v>
      </c>
      <c r="AD32" s="840" t="s">
        <v>7321</v>
      </c>
      <c r="AE32" s="840" t="s">
        <v>4572</v>
      </c>
      <c r="AF32" s="840"/>
      <c r="AG32" s="905"/>
      <c r="AH32" s="803"/>
      <c r="AI32" s="794"/>
      <c r="AJ32" s="843"/>
      <c r="AK32" s="843"/>
      <c r="AL32" s="843"/>
      <c r="AM32" s="843"/>
      <c r="AN32" s="843"/>
      <c r="AO32" s="843"/>
      <c r="AP32" s="876" t="s">
        <v>7322</v>
      </c>
      <c r="AQ32" s="843"/>
      <c r="AR32" s="843"/>
      <c r="AS32" s="843"/>
      <c r="AT32" s="843"/>
      <c r="AU32" s="843"/>
      <c r="AV32" s="843"/>
      <c r="AW32" s="842" t="s">
        <v>1789</v>
      </c>
      <c r="AX32" s="843"/>
      <c r="AY32" s="843"/>
      <c r="AZ32" s="809"/>
      <c r="BA32" s="917"/>
      <c r="BB32" s="917"/>
      <c r="BC32" s="850" t="s">
        <v>5689</v>
      </c>
      <c r="BD32" s="848"/>
      <c r="BE32" s="879" t="s">
        <v>7323</v>
      </c>
      <c r="BF32" s="809"/>
      <c r="BG32" s="855"/>
      <c r="BH32" s="855"/>
      <c r="BI32" s="855"/>
      <c r="BJ32" s="855"/>
      <c r="BK32" s="855"/>
      <c r="BL32" s="855"/>
      <c r="BM32" s="855"/>
      <c r="BN32" s="794"/>
      <c r="BO32" s="858" t="s">
        <v>7324</v>
      </c>
      <c r="BP32" s="910"/>
      <c r="BQ32" s="857"/>
      <c r="BR32" s="857"/>
      <c r="BS32" s="857"/>
      <c r="BT32" s="857"/>
      <c r="BU32" s="857"/>
      <c r="BV32" s="858" t="s">
        <v>7325</v>
      </c>
      <c r="BW32" s="857"/>
      <c r="BX32" s="794"/>
      <c r="BY32" s="863"/>
      <c r="BZ32" s="863"/>
      <c r="CA32" s="863"/>
      <c r="CB32" s="884"/>
      <c r="CC32" s="863"/>
      <c r="CD32" s="863"/>
      <c r="CE32" s="863"/>
      <c r="CF32" s="863"/>
      <c r="CG32" s="863"/>
      <c r="CH32" s="863"/>
      <c r="CI32" s="863"/>
      <c r="CJ32" s="884"/>
      <c r="CK32" s="884"/>
    </row>
    <row r="33">
      <c r="A33" s="830" t="s">
        <v>7326</v>
      </c>
      <c r="B33" s="788" t="s">
        <v>6035</v>
      </c>
      <c r="C33" s="784" t="s">
        <v>1256</v>
      </c>
      <c r="D33" s="785" t="s">
        <v>1256</v>
      </c>
      <c r="E33" s="786" t="s">
        <v>1256</v>
      </c>
      <c r="F33" s="787" t="s">
        <v>1256</v>
      </c>
      <c r="G33" s="788" t="s">
        <v>221</v>
      </c>
      <c r="H33" s="831"/>
      <c r="I33" s="831"/>
      <c r="J33" s="832" t="s">
        <v>7327</v>
      </c>
      <c r="K33" s="831"/>
      <c r="L33" s="831"/>
      <c r="M33" s="831"/>
      <c r="N33" s="831"/>
      <c r="O33" s="832" t="s">
        <v>7328</v>
      </c>
      <c r="P33" s="794"/>
      <c r="Q33" s="836"/>
      <c r="R33" s="836"/>
      <c r="S33" s="836"/>
      <c r="T33" s="836"/>
      <c r="U33" s="836"/>
      <c r="V33" s="835" t="s">
        <v>7329</v>
      </c>
      <c r="W33" s="794"/>
      <c r="X33" s="905"/>
      <c r="Y33" s="905"/>
      <c r="Z33" s="905"/>
      <c r="AA33" s="947"/>
      <c r="AB33" s="905"/>
      <c r="AC33" s="905"/>
      <c r="AD33" s="905"/>
      <c r="AE33" s="840" t="s">
        <v>2299</v>
      </c>
      <c r="AF33" s="840"/>
      <c r="AG33" s="840" t="s">
        <v>7330</v>
      </c>
      <c r="AH33" s="803"/>
      <c r="AI33" s="794"/>
      <c r="AJ33" s="843"/>
      <c r="AK33" s="843"/>
      <c r="AL33" s="843"/>
      <c r="AM33" s="843"/>
      <c r="AN33" s="843"/>
      <c r="AO33" s="843"/>
      <c r="AP33" s="842" t="s">
        <v>7331</v>
      </c>
      <c r="AQ33" s="843"/>
      <c r="AR33" s="843"/>
      <c r="AS33" s="843"/>
      <c r="AT33" s="843"/>
      <c r="AU33" s="843"/>
      <c r="AV33" s="843"/>
      <c r="AW33" s="843"/>
      <c r="AX33" s="843"/>
      <c r="AY33" s="843"/>
      <c r="AZ33" s="809"/>
      <c r="BA33" s="879" t="s">
        <v>7332</v>
      </c>
      <c r="BB33" s="917"/>
      <c r="BC33" s="879"/>
      <c r="BD33" s="879"/>
      <c r="BE33" s="879" t="s">
        <v>7333</v>
      </c>
      <c r="BF33" s="809"/>
      <c r="BG33" s="855"/>
      <c r="BH33" s="855"/>
      <c r="BI33" s="855"/>
      <c r="BJ33" s="855"/>
      <c r="BK33" s="855"/>
      <c r="BL33" s="855"/>
      <c r="BM33" s="853" t="s">
        <v>7334</v>
      </c>
      <c r="BN33" s="794"/>
      <c r="BO33" s="857"/>
      <c r="BP33" s="910"/>
      <c r="BQ33" s="857"/>
      <c r="BR33" s="858" t="s">
        <v>2475</v>
      </c>
      <c r="BS33" s="857"/>
      <c r="BT33" s="857"/>
      <c r="BU33" s="857"/>
      <c r="BV33" s="911" t="s">
        <v>7335</v>
      </c>
      <c r="BW33" s="858" t="s">
        <v>7336</v>
      </c>
      <c r="BX33" s="794"/>
      <c r="BY33" s="862" t="s">
        <v>6332</v>
      </c>
      <c r="BZ33" s="863"/>
      <c r="CA33" s="862"/>
      <c r="CB33" s="912"/>
      <c r="CC33" s="862"/>
      <c r="CD33" s="863"/>
      <c r="CE33" s="863"/>
      <c r="CF33" s="863"/>
      <c r="CG33" s="863"/>
      <c r="CH33" s="863"/>
      <c r="CI33" s="863"/>
      <c r="CJ33" s="884"/>
      <c r="CK33" s="884"/>
    </row>
    <row r="34">
      <c r="A34" s="973" t="s">
        <v>5226</v>
      </c>
      <c r="B34" s="788" t="s">
        <v>439</v>
      </c>
      <c r="C34" s="784" t="s">
        <v>1256</v>
      </c>
      <c r="D34" s="785" t="s">
        <v>546</v>
      </c>
      <c r="E34" s="786" t="s">
        <v>1256</v>
      </c>
      <c r="F34" s="787" t="s">
        <v>981</v>
      </c>
      <c r="G34" s="788" t="s">
        <v>2872</v>
      </c>
      <c r="H34" s="832" t="s">
        <v>1921</v>
      </c>
      <c r="I34" s="832"/>
      <c r="J34" s="831"/>
      <c r="K34" s="831"/>
      <c r="L34" s="832" t="s">
        <v>7337</v>
      </c>
      <c r="M34" s="831"/>
      <c r="N34" s="833" t="s">
        <v>7338</v>
      </c>
      <c r="O34" s="831"/>
      <c r="P34" s="794"/>
      <c r="Q34" s="839" t="s">
        <v>7339</v>
      </c>
      <c r="R34" s="836"/>
      <c r="S34" s="836"/>
      <c r="T34" s="836"/>
      <c r="U34" s="839" t="s">
        <v>7340</v>
      </c>
      <c r="V34" s="839" t="s">
        <v>7341</v>
      </c>
      <c r="W34" s="794"/>
      <c r="X34" s="905"/>
      <c r="Y34" s="905"/>
      <c r="Z34" s="840" t="s">
        <v>7342</v>
      </c>
      <c r="AA34" s="947"/>
      <c r="AB34" s="905"/>
      <c r="AC34" s="905"/>
      <c r="AD34" s="905"/>
      <c r="AE34" s="905"/>
      <c r="AF34" s="905"/>
      <c r="AG34" s="905"/>
      <c r="AH34" s="956" t="s">
        <v>7343</v>
      </c>
      <c r="AI34" s="794"/>
      <c r="AJ34" s="843"/>
      <c r="AK34" s="842" t="s">
        <v>7344</v>
      </c>
      <c r="AL34" s="843"/>
      <c r="AM34" s="843"/>
      <c r="AN34" s="843"/>
      <c r="AO34" s="843"/>
      <c r="AP34" s="843"/>
      <c r="AQ34" s="843"/>
      <c r="AR34" s="843"/>
      <c r="AS34" s="843"/>
      <c r="AT34" s="843"/>
      <c r="AU34" s="843"/>
      <c r="AV34" s="843"/>
      <c r="AW34" s="842" t="s">
        <v>7345</v>
      </c>
      <c r="AX34" s="843"/>
      <c r="AY34" s="842" t="s">
        <v>7346</v>
      </c>
      <c r="AZ34" s="809"/>
      <c r="BA34" s="917"/>
      <c r="BB34" s="917"/>
      <c r="BC34" s="879" t="s">
        <v>7347</v>
      </c>
      <c r="BD34" s="849" t="s">
        <v>7348</v>
      </c>
      <c r="BE34" s="850" t="s">
        <v>7349</v>
      </c>
      <c r="BF34" s="809"/>
      <c r="BG34" s="855"/>
      <c r="BH34" s="855"/>
      <c r="BI34" s="855"/>
      <c r="BJ34" s="855"/>
      <c r="BK34" s="855"/>
      <c r="BL34" s="855"/>
      <c r="BM34" s="853" t="s">
        <v>7350</v>
      </c>
      <c r="BN34" s="794"/>
      <c r="BO34" s="857"/>
      <c r="BP34" s="910"/>
      <c r="BQ34" s="858" t="s">
        <v>3664</v>
      </c>
      <c r="BR34" s="857"/>
      <c r="BS34" s="857"/>
      <c r="BT34" s="857"/>
      <c r="BU34" s="859" t="s">
        <v>7351</v>
      </c>
      <c r="BV34" s="857"/>
      <c r="BW34" s="858" t="s">
        <v>7352</v>
      </c>
      <c r="BX34" s="794"/>
      <c r="BY34" s="863"/>
      <c r="BZ34" s="863"/>
      <c r="CA34" s="863"/>
      <c r="CB34" s="884"/>
      <c r="CC34" s="863"/>
      <c r="CD34" s="863"/>
      <c r="CE34" s="863"/>
      <c r="CF34" s="863"/>
      <c r="CG34" s="863"/>
      <c r="CH34" s="863"/>
      <c r="CI34" s="883" t="s">
        <v>7353</v>
      </c>
      <c r="CJ34" s="884"/>
      <c r="CK34" s="884"/>
    </row>
    <row r="35">
      <c r="A35" s="974" t="s">
        <v>5054</v>
      </c>
      <c r="B35" s="788" t="s">
        <v>4169</v>
      </c>
      <c r="C35" s="784" t="s">
        <v>1256</v>
      </c>
      <c r="D35" s="785" t="s">
        <v>1256</v>
      </c>
      <c r="E35" s="786" t="s">
        <v>1256</v>
      </c>
      <c r="F35" s="787" t="s">
        <v>332</v>
      </c>
      <c r="G35" s="788" t="s">
        <v>6313</v>
      </c>
      <c r="H35" s="832" t="s">
        <v>7354</v>
      </c>
      <c r="I35" s="831"/>
      <c r="J35" s="831"/>
      <c r="K35" s="831"/>
      <c r="L35" s="831"/>
      <c r="M35" s="831"/>
      <c r="N35" s="831"/>
      <c r="O35" s="831"/>
      <c r="P35" s="794"/>
      <c r="Q35" s="836"/>
      <c r="R35" s="836"/>
      <c r="S35" s="835" t="s">
        <v>1020</v>
      </c>
      <c r="T35" s="835" t="s">
        <v>1899</v>
      </c>
      <c r="U35" s="835" t="s">
        <v>4568</v>
      </c>
      <c r="V35" s="835" t="s">
        <v>7355</v>
      </c>
      <c r="W35" s="794"/>
      <c r="X35" s="840" t="s">
        <v>1754</v>
      </c>
      <c r="Y35" s="905"/>
      <c r="Z35" s="905"/>
      <c r="AA35" s="947"/>
      <c r="AB35" s="905"/>
      <c r="AC35" s="905"/>
      <c r="AD35" s="905"/>
      <c r="AE35" s="905"/>
      <c r="AF35" s="840"/>
      <c r="AG35" s="905"/>
      <c r="AH35" s="803"/>
      <c r="AI35" s="794"/>
      <c r="AJ35" s="843"/>
      <c r="AK35" s="843"/>
      <c r="AL35" s="843"/>
      <c r="AM35" s="842" t="s">
        <v>7356</v>
      </c>
      <c r="AN35" s="843"/>
      <c r="AO35" s="843"/>
      <c r="AP35" s="842" t="s">
        <v>7357</v>
      </c>
      <c r="AQ35" s="843"/>
      <c r="AR35" s="847" t="s">
        <v>7358</v>
      </c>
      <c r="AS35" s="843"/>
      <c r="AT35" s="843"/>
      <c r="AU35" s="843"/>
      <c r="AV35" s="843"/>
      <c r="AW35" s="842" t="s">
        <v>1436</v>
      </c>
      <c r="AX35" s="843"/>
      <c r="AY35" s="843"/>
      <c r="AZ35" s="809"/>
      <c r="BA35" s="917"/>
      <c r="BB35" s="879" t="s">
        <v>7359</v>
      </c>
      <c r="BC35" s="879" t="s">
        <v>420</v>
      </c>
      <c r="BD35" s="879"/>
      <c r="BE35" s="879" t="s">
        <v>7360</v>
      </c>
      <c r="BF35" s="809"/>
      <c r="BG35" s="855"/>
      <c r="BH35" s="855"/>
      <c r="BI35" s="855"/>
      <c r="BJ35" s="855"/>
      <c r="BK35" s="855"/>
      <c r="BL35" s="855"/>
      <c r="BM35" s="855"/>
      <c r="BN35" s="794"/>
      <c r="BO35" s="859" t="s">
        <v>7361</v>
      </c>
      <c r="BP35" s="910"/>
      <c r="BQ35" s="859" t="s">
        <v>1031</v>
      </c>
      <c r="BR35" s="857"/>
      <c r="BS35" s="857"/>
      <c r="BT35" s="857"/>
      <c r="BU35" s="857"/>
      <c r="BV35" s="858" t="s">
        <v>7290</v>
      </c>
      <c r="BW35" s="858" t="s">
        <v>7362</v>
      </c>
      <c r="BX35" s="794"/>
      <c r="BY35" s="863"/>
      <c r="BZ35" s="883" t="s">
        <v>7363</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7364</v>
      </c>
      <c r="J36" s="831"/>
      <c r="K36" s="831"/>
      <c r="L36" s="833" t="s">
        <v>7365</v>
      </c>
      <c r="M36" s="831"/>
      <c r="N36" s="833" t="s">
        <v>7366</v>
      </c>
      <c r="O36" s="831"/>
      <c r="P36" s="794"/>
      <c r="Q36" s="836"/>
      <c r="R36" s="836"/>
      <c r="S36" s="836"/>
      <c r="T36" s="836"/>
      <c r="U36" s="836"/>
      <c r="V36" s="839" t="s">
        <v>7367</v>
      </c>
      <c r="W36" s="794"/>
      <c r="X36" s="905"/>
      <c r="Y36" s="905"/>
      <c r="Z36" s="905"/>
      <c r="AA36" s="947"/>
      <c r="AB36" s="905"/>
      <c r="AC36" s="905"/>
      <c r="AD36" s="905"/>
      <c r="AE36" s="801" t="s">
        <v>2260</v>
      </c>
      <c r="AF36" s="905"/>
      <c r="AG36" s="801" t="s">
        <v>7368</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7369</v>
      </c>
      <c r="BF36" s="809"/>
      <c r="BG36" s="855"/>
      <c r="BH36" s="855"/>
      <c r="BI36" s="855"/>
      <c r="BJ36" s="855"/>
      <c r="BK36" s="855"/>
      <c r="BL36" s="852" t="s">
        <v>7370</v>
      </c>
      <c r="BM36" s="855"/>
      <c r="BN36" s="794"/>
      <c r="BO36" s="857"/>
      <c r="BP36" s="910"/>
      <c r="BQ36" s="857"/>
      <c r="BR36" s="857"/>
      <c r="BS36" s="857"/>
      <c r="BT36" s="857"/>
      <c r="BU36" s="857"/>
      <c r="BV36" s="857"/>
      <c r="BW36" s="859" t="s">
        <v>5088</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7371</v>
      </c>
      <c r="M37" s="831"/>
      <c r="N37" s="832" t="s">
        <v>7372</v>
      </c>
      <c r="O37" s="832"/>
      <c r="P37" s="794"/>
      <c r="Q37" s="835" t="s">
        <v>7373</v>
      </c>
      <c r="R37" s="836"/>
      <c r="S37" s="836"/>
      <c r="T37" s="836"/>
      <c r="U37" s="836"/>
      <c r="V37" s="835" t="s">
        <v>7374</v>
      </c>
      <c r="W37" s="794"/>
      <c r="X37" s="905"/>
      <c r="Y37" s="905"/>
      <c r="Z37" s="840" t="s">
        <v>7375</v>
      </c>
      <c r="AA37" s="840" t="s">
        <v>7376</v>
      </c>
      <c r="AB37" s="840" t="s">
        <v>3961</v>
      </c>
      <c r="AC37" s="840" t="s">
        <v>7377</v>
      </c>
      <c r="AD37" s="905"/>
      <c r="AE37" s="840" t="s">
        <v>2607</v>
      </c>
      <c r="AF37" s="840"/>
      <c r="AG37" s="905"/>
      <c r="AH37" s="958" t="s">
        <v>7378</v>
      </c>
      <c r="AI37" s="794"/>
      <c r="AJ37" s="843"/>
      <c r="AK37" s="843"/>
      <c r="AL37" s="843"/>
      <c r="AM37" s="843"/>
      <c r="AN37" s="843"/>
      <c r="AO37" s="843"/>
      <c r="AP37" s="842" t="s">
        <v>7379</v>
      </c>
      <c r="AQ37" s="843"/>
      <c r="AR37" s="843"/>
      <c r="AS37" s="843"/>
      <c r="AT37" s="843"/>
      <c r="AU37" s="843"/>
      <c r="AV37" s="843"/>
      <c r="AW37" s="842" t="s">
        <v>433</v>
      </c>
      <c r="AX37" s="843"/>
      <c r="AY37" s="842" t="s">
        <v>7380</v>
      </c>
      <c r="AZ37" s="809"/>
      <c r="BA37" s="879" t="s">
        <v>7381</v>
      </c>
      <c r="BB37" s="879" t="s">
        <v>7382</v>
      </c>
      <c r="BC37" s="917"/>
      <c r="BD37" s="917"/>
      <c r="BE37" s="879" t="s">
        <v>7383</v>
      </c>
      <c r="BF37" s="809"/>
      <c r="BG37" s="855"/>
      <c r="BH37" s="855"/>
      <c r="BI37" s="855"/>
      <c r="BJ37" s="855"/>
      <c r="BK37" s="855"/>
      <c r="BL37" s="918" t="s">
        <v>7384</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7385</v>
      </c>
      <c r="O38" s="831"/>
      <c r="P38" s="794"/>
      <c r="Q38" s="836"/>
      <c r="R38" s="836"/>
      <c r="S38" s="915" t="s">
        <v>2843</v>
      </c>
      <c r="T38" s="836"/>
      <c r="U38" s="836"/>
      <c r="V38" s="835" t="s">
        <v>7386</v>
      </c>
      <c r="W38" s="794"/>
      <c r="X38" s="905"/>
      <c r="Y38" s="905"/>
      <c r="Z38" s="840" t="s">
        <v>7131</v>
      </c>
      <c r="AA38" s="889" t="s">
        <v>607</v>
      </c>
      <c r="AB38" s="905"/>
      <c r="AC38" s="905"/>
      <c r="AD38" s="840" t="s">
        <v>4943</v>
      </c>
      <c r="AE38" s="840" t="s">
        <v>749</v>
      </c>
      <c r="AF38" s="905"/>
      <c r="AG38" s="905"/>
      <c r="AH38" s="956" t="s">
        <v>7387</v>
      </c>
      <c r="AI38" s="794"/>
      <c r="AJ38" s="843"/>
      <c r="AK38" s="843"/>
      <c r="AL38" s="843"/>
      <c r="AM38" s="842" t="s">
        <v>7388</v>
      </c>
      <c r="AN38" s="843"/>
      <c r="AO38" s="843"/>
      <c r="AP38" s="843"/>
      <c r="AQ38" s="843"/>
      <c r="AR38" s="843"/>
      <c r="AS38" s="843"/>
      <c r="AT38" s="843"/>
      <c r="AU38" s="843"/>
      <c r="AV38" s="843"/>
      <c r="AW38" s="843"/>
      <c r="AX38" s="843"/>
      <c r="AY38" s="842" t="s">
        <v>7389</v>
      </c>
      <c r="AZ38" s="809"/>
      <c r="BA38" s="917"/>
      <c r="BB38" s="917"/>
      <c r="BC38" s="917"/>
      <c r="BD38" s="879" t="s">
        <v>7390</v>
      </c>
      <c r="BE38" s="879" t="s">
        <v>7391</v>
      </c>
      <c r="BF38" s="809"/>
      <c r="BG38" s="853" t="s">
        <v>1390</v>
      </c>
      <c r="BH38" s="855"/>
      <c r="BI38" s="855"/>
      <c r="BJ38" s="855"/>
      <c r="BK38" s="855"/>
      <c r="BL38" s="853" t="s">
        <v>7392</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6363</v>
      </c>
      <c r="B39" s="788" t="s">
        <v>827</v>
      </c>
      <c r="C39" s="784" t="s">
        <v>1256</v>
      </c>
      <c r="D39" s="785" t="s">
        <v>1256</v>
      </c>
      <c r="E39" s="786" t="s">
        <v>1256</v>
      </c>
      <c r="F39" s="787" t="s">
        <v>1256</v>
      </c>
      <c r="G39" s="788" t="s">
        <v>2872</v>
      </c>
      <c r="H39" s="831"/>
      <c r="I39" s="831"/>
      <c r="J39" s="831"/>
      <c r="K39" s="831"/>
      <c r="L39" s="832" t="s">
        <v>7393</v>
      </c>
      <c r="M39" s="831"/>
      <c r="N39" s="832" t="s">
        <v>7394</v>
      </c>
      <c r="O39" s="831"/>
      <c r="P39" s="794"/>
      <c r="Q39" s="836"/>
      <c r="R39" s="836"/>
      <c r="S39" s="836"/>
      <c r="T39" s="836"/>
      <c r="U39" s="835" t="s">
        <v>4514</v>
      </c>
      <c r="V39" s="835" t="s">
        <v>7395</v>
      </c>
      <c r="W39" s="794"/>
      <c r="X39" s="905"/>
      <c r="Y39" s="905"/>
      <c r="Z39" s="840" t="s">
        <v>7396</v>
      </c>
      <c r="AA39" s="947"/>
      <c r="AB39" s="905"/>
      <c r="AC39" s="905"/>
      <c r="AD39" s="840" t="s">
        <v>1410</v>
      </c>
      <c r="AE39" s="840" t="s">
        <v>3270</v>
      </c>
      <c r="AF39" s="840"/>
      <c r="AG39" s="905"/>
      <c r="AH39" s="958" t="s">
        <v>7397</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7398</v>
      </c>
      <c r="BF39" s="809"/>
      <c r="BG39" s="853" t="s">
        <v>7399</v>
      </c>
      <c r="BH39" s="853" t="s">
        <v>3002</v>
      </c>
      <c r="BI39" s="855"/>
      <c r="BJ39" s="855"/>
      <c r="BK39" s="855"/>
      <c r="BL39" s="853" t="s">
        <v>7400</v>
      </c>
      <c r="BM39" s="855"/>
      <c r="BN39" s="794"/>
      <c r="BO39" s="858" t="s">
        <v>1832</v>
      </c>
      <c r="BP39" s="910"/>
      <c r="BQ39" s="857"/>
      <c r="BR39" s="857"/>
      <c r="BS39" s="857"/>
      <c r="BT39" s="858" t="s">
        <v>4392</v>
      </c>
      <c r="BU39" s="857"/>
      <c r="BV39" s="858" t="s">
        <v>7401</v>
      </c>
      <c r="BW39" s="858" t="s">
        <v>7402</v>
      </c>
      <c r="BX39" s="794"/>
      <c r="BY39" s="863"/>
      <c r="BZ39" s="863"/>
      <c r="CA39" s="863"/>
      <c r="CB39" s="884"/>
      <c r="CC39" s="863"/>
      <c r="CD39" s="863"/>
      <c r="CE39" s="863"/>
      <c r="CF39" s="863"/>
      <c r="CG39" s="863"/>
      <c r="CH39" s="912" t="s">
        <v>6104</v>
      </c>
      <c r="CI39" s="863"/>
      <c r="CJ39" s="884"/>
      <c r="CK39" s="884"/>
    </row>
    <row r="40">
      <c r="A40" s="830" t="s">
        <v>5274</v>
      </c>
      <c r="B40" s="788" t="s">
        <v>2090</v>
      </c>
      <c r="C40" s="784" t="s">
        <v>1256</v>
      </c>
      <c r="D40" s="785" t="s">
        <v>1256</v>
      </c>
      <c r="E40" s="786" t="s">
        <v>1256</v>
      </c>
      <c r="F40" s="787" t="s">
        <v>546</v>
      </c>
      <c r="G40" s="788" t="s">
        <v>221</v>
      </c>
      <c r="H40" s="831"/>
      <c r="I40" s="831"/>
      <c r="J40" s="831"/>
      <c r="K40" s="831"/>
      <c r="L40" s="930" t="s">
        <v>291</v>
      </c>
      <c r="M40" s="831"/>
      <c r="N40" s="832" t="s">
        <v>7403</v>
      </c>
      <c r="O40" s="831"/>
      <c r="P40" s="794"/>
      <c r="Q40" s="836"/>
      <c r="R40" s="836"/>
      <c r="S40" s="835" t="s">
        <v>7404</v>
      </c>
      <c r="T40" s="836"/>
      <c r="U40" s="836"/>
      <c r="V40" s="836"/>
      <c r="W40" s="794"/>
      <c r="X40" s="905"/>
      <c r="Y40" s="905"/>
      <c r="Z40" s="905"/>
      <c r="AA40" s="955" t="s">
        <v>7405</v>
      </c>
      <c r="AB40" s="874" t="s">
        <v>7406</v>
      </c>
      <c r="AC40" s="905"/>
      <c r="AD40" s="905"/>
      <c r="AE40" s="905"/>
      <c r="AF40" s="905"/>
      <c r="AG40" s="905"/>
      <c r="AH40" s="958" t="s">
        <v>7407</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7408</v>
      </c>
      <c r="BF40" s="809"/>
      <c r="BG40" s="855"/>
      <c r="BH40" s="855"/>
      <c r="BI40" s="855"/>
      <c r="BJ40" s="855"/>
      <c r="BK40" s="855"/>
      <c r="BL40" s="855"/>
      <c r="BM40" s="855"/>
      <c r="BN40" s="794"/>
      <c r="BO40" s="857"/>
      <c r="BP40" s="910"/>
      <c r="BQ40" s="857"/>
      <c r="BR40" s="857"/>
      <c r="BS40" s="857"/>
      <c r="BT40" s="857"/>
      <c r="BU40" s="944" t="s">
        <v>3415</v>
      </c>
      <c r="BV40" s="858" t="s">
        <v>391</v>
      </c>
      <c r="BW40" s="911" t="s">
        <v>7409</v>
      </c>
      <c r="BX40" s="794"/>
      <c r="BY40" s="863"/>
      <c r="BZ40" s="959" t="s">
        <v>2876</v>
      </c>
      <c r="CA40" s="863"/>
      <c r="CB40" s="884"/>
      <c r="CC40" s="863"/>
      <c r="CD40" s="863"/>
      <c r="CE40" s="863"/>
      <c r="CF40" s="862" t="s">
        <v>7410</v>
      </c>
      <c r="CG40" s="863"/>
      <c r="CH40" s="863"/>
      <c r="CI40" s="883" t="s">
        <v>4996</v>
      </c>
      <c r="CJ40" s="884"/>
      <c r="CK40" s="884"/>
    </row>
    <row r="41">
      <c r="A41" s="830" t="s">
        <v>7411</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5284</v>
      </c>
      <c r="U41" s="836"/>
      <c r="V41" s="919" t="s">
        <v>7412</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4672</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7413</v>
      </c>
      <c r="Z42" s="980"/>
      <c r="AA42" s="980"/>
      <c r="AB42" s="983" t="s">
        <v>5132</v>
      </c>
      <c r="AC42" s="980"/>
      <c r="AD42" s="981"/>
      <c r="AE42" s="981"/>
      <c r="AF42" s="981"/>
      <c r="AG42" s="983" t="s">
        <v>7414</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6208</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7415</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4775</v>
      </c>
      <c r="C44" s="784" t="s">
        <v>1256</v>
      </c>
      <c r="D44" s="785" t="s">
        <v>1256</v>
      </c>
      <c r="E44" s="786" t="s">
        <v>1256</v>
      </c>
      <c r="F44" s="787" t="s">
        <v>1256</v>
      </c>
      <c r="G44" s="788" t="s">
        <v>333</v>
      </c>
      <c r="H44" s="831"/>
      <c r="I44" s="831"/>
      <c r="J44" s="832" t="s">
        <v>7416</v>
      </c>
      <c r="K44" s="832"/>
      <c r="L44" s="832"/>
      <c r="M44" s="832" t="s">
        <v>7417</v>
      </c>
      <c r="N44" s="831"/>
      <c r="O44" s="832" t="s">
        <v>7418</v>
      </c>
      <c r="P44" s="794"/>
      <c r="Q44" s="836"/>
      <c r="R44" s="835" t="s">
        <v>5470</v>
      </c>
      <c r="S44" s="836"/>
      <c r="T44" s="836"/>
      <c r="U44" s="836"/>
      <c r="V44" s="835" t="s">
        <v>7419</v>
      </c>
      <c r="W44" s="794"/>
      <c r="X44" s="905"/>
      <c r="Y44" s="905"/>
      <c r="Z44" s="905"/>
      <c r="AA44" s="955" t="s">
        <v>7420</v>
      </c>
      <c r="AB44" s="840" t="s">
        <v>7421</v>
      </c>
      <c r="AC44" s="905"/>
      <c r="AD44" s="905"/>
      <c r="AE44" s="905"/>
      <c r="AF44" s="905"/>
      <c r="AG44" s="840" t="s">
        <v>7422</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7423</v>
      </c>
      <c r="BF44" s="809"/>
      <c r="BG44" s="855"/>
      <c r="BH44" s="855"/>
      <c r="BI44" s="855"/>
      <c r="BJ44" s="855"/>
      <c r="BK44" s="855"/>
      <c r="BL44" s="855"/>
      <c r="BM44" s="853" t="s">
        <v>7424</v>
      </c>
      <c r="BN44" s="794"/>
      <c r="BO44" s="857"/>
      <c r="BP44" s="910"/>
      <c r="BQ44" s="857"/>
      <c r="BR44" s="857"/>
      <c r="BS44" s="857"/>
      <c r="BT44" s="857"/>
      <c r="BU44" s="857"/>
      <c r="BV44" s="858" t="s">
        <v>6783</v>
      </c>
      <c r="BW44" s="858" t="s">
        <v>7425</v>
      </c>
      <c r="BX44" s="794"/>
      <c r="BY44" s="863"/>
      <c r="BZ44" s="863"/>
      <c r="CA44" s="863"/>
      <c r="CB44" s="884"/>
      <c r="CC44" s="863"/>
      <c r="CD44" s="863"/>
      <c r="CE44" s="863"/>
      <c r="CF44" s="863"/>
      <c r="CG44" s="863"/>
      <c r="CH44" s="863"/>
      <c r="CI44" s="863"/>
      <c r="CJ44" s="884"/>
      <c r="CK44" s="884"/>
    </row>
    <row r="45">
      <c r="A45" s="830" t="s">
        <v>6007</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7426</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7427</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7428</v>
      </c>
      <c r="BF46" s="809"/>
      <c r="BG46" s="937" t="s">
        <v>7429</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7430</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7431</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7432</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5305</v>
      </c>
      <c r="B49" s="788" t="s">
        <v>6245</v>
      </c>
      <c r="C49" s="784" t="s">
        <v>1256</v>
      </c>
      <c r="D49" s="785" t="s">
        <v>1256</v>
      </c>
      <c r="E49" s="786" t="s">
        <v>1256</v>
      </c>
      <c r="F49" s="787" t="s">
        <v>1256</v>
      </c>
      <c r="G49" s="788" t="s">
        <v>981</v>
      </c>
      <c r="H49" s="831"/>
      <c r="I49" s="831"/>
      <c r="J49" s="831"/>
      <c r="K49" s="831"/>
      <c r="L49" s="832" t="s">
        <v>4828</v>
      </c>
      <c r="M49" s="831"/>
      <c r="N49" s="832" t="s">
        <v>7433</v>
      </c>
      <c r="O49" s="831"/>
      <c r="P49" s="794"/>
      <c r="Q49" s="836"/>
      <c r="R49" s="836"/>
      <c r="S49" s="836"/>
      <c r="T49" s="836"/>
      <c r="U49" s="835"/>
      <c r="V49" s="835" t="s">
        <v>7434</v>
      </c>
      <c r="W49" s="794"/>
      <c r="X49" s="905"/>
      <c r="Y49" s="905"/>
      <c r="Z49" s="872" t="s">
        <v>7435</v>
      </c>
      <c r="AA49" s="947"/>
      <c r="AB49" s="840" t="s">
        <v>814</v>
      </c>
      <c r="AC49" s="905"/>
      <c r="AD49" s="905"/>
      <c r="AE49" s="905"/>
      <c r="AF49" s="905"/>
      <c r="AG49" s="840" t="s">
        <v>7436</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7437</v>
      </c>
      <c r="BF49" s="809"/>
      <c r="BG49" s="855"/>
      <c r="BH49" s="855"/>
      <c r="BI49" s="855"/>
      <c r="BJ49" s="855"/>
      <c r="BK49" s="855"/>
      <c r="BL49" s="855"/>
      <c r="BM49" s="855"/>
      <c r="BN49" s="794"/>
      <c r="BO49" s="858" t="s">
        <v>7438</v>
      </c>
      <c r="BP49" s="910"/>
      <c r="BQ49" s="857"/>
      <c r="BR49" s="857"/>
      <c r="BS49" s="857"/>
      <c r="BT49" s="857"/>
      <c r="BU49" s="857"/>
      <c r="BV49" s="857"/>
      <c r="BW49" s="911" t="s">
        <v>7439</v>
      </c>
      <c r="BX49" s="794"/>
      <c r="BY49" s="863"/>
      <c r="BZ49" s="863"/>
      <c r="CA49" s="863"/>
      <c r="CB49" s="884"/>
      <c r="CC49" s="863"/>
      <c r="CD49" s="863"/>
      <c r="CE49" s="863"/>
      <c r="CF49" s="863"/>
      <c r="CG49" s="863"/>
      <c r="CH49" s="863"/>
      <c r="CI49" s="863"/>
      <c r="CJ49" s="884"/>
      <c r="CK49" s="884"/>
    </row>
    <row r="50">
      <c r="A50" s="830" t="s">
        <v>7440</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7441</v>
      </c>
      <c r="W50" s="794"/>
      <c r="X50" s="905"/>
      <c r="Y50" s="905"/>
      <c r="Z50" s="905"/>
      <c r="AA50" s="947"/>
      <c r="AB50" s="905"/>
      <c r="AC50" s="905"/>
      <c r="AD50" s="905"/>
      <c r="AE50" s="905"/>
      <c r="AF50" s="905"/>
      <c r="AG50" s="905"/>
      <c r="AH50" s="958" t="s">
        <v>7442</v>
      </c>
      <c r="AI50" s="794"/>
      <c r="AJ50" s="843"/>
      <c r="AK50" s="843"/>
      <c r="AL50" s="843"/>
      <c r="AM50" s="843"/>
      <c r="AN50" s="843"/>
      <c r="AO50" s="843"/>
      <c r="AP50" s="843"/>
      <c r="AQ50" s="843"/>
      <c r="AR50" s="843"/>
      <c r="AS50" s="843"/>
      <c r="AT50" s="843"/>
      <c r="AU50" s="843"/>
      <c r="AV50" s="843"/>
      <c r="AW50" s="843"/>
      <c r="AX50" s="843"/>
      <c r="AY50" s="958" t="s">
        <v>7443</v>
      </c>
      <c r="AZ50" s="809"/>
      <c r="BA50" s="917"/>
      <c r="BB50" s="917"/>
      <c r="BC50" s="917"/>
      <c r="BD50" s="917"/>
      <c r="BE50" s="958" t="s">
        <v>7444</v>
      </c>
      <c r="BF50" s="809"/>
      <c r="BG50" s="855"/>
      <c r="BH50" s="855"/>
      <c r="BI50" s="855"/>
      <c r="BJ50" s="855"/>
      <c r="BK50" s="855"/>
      <c r="BL50" s="958" t="s">
        <v>7445</v>
      </c>
      <c r="BM50" s="853"/>
      <c r="BN50" s="794"/>
      <c r="BO50" s="857"/>
      <c r="BP50" s="910"/>
      <c r="BQ50" s="857"/>
      <c r="BR50" s="857"/>
      <c r="BS50" s="857"/>
      <c r="BT50" s="857"/>
      <c r="BU50" s="857"/>
      <c r="BV50" s="857"/>
      <c r="BW50" s="958" t="s">
        <v>7446</v>
      </c>
      <c r="BX50" s="794"/>
      <c r="BY50" s="863"/>
      <c r="BZ50" s="863"/>
      <c r="CA50" s="863"/>
      <c r="CB50" s="884"/>
      <c r="CC50" s="863"/>
      <c r="CD50" s="863"/>
      <c r="CE50" s="863"/>
      <c r="CF50" s="863"/>
      <c r="CG50" s="863"/>
      <c r="CH50" s="863"/>
      <c r="CI50" s="863"/>
      <c r="CJ50" s="884"/>
      <c r="CK50" s="884"/>
    </row>
    <row r="51">
      <c r="A51" s="964" t="s">
        <v>7447</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7448</v>
      </c>
      <c r="AA51" s="905"/>
      <c r="AB51" s="920" t="s">
        <v>7449</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7450</v>
      </c>
      <c r="B52" s="788" t="s">
        <v>1196</v>
      </c>
      <c r="C52" s="784" t="s">
        <v>1256</v>
      </c>
      <c r="D52" s="785" t="s">
        <v>1256</v>
      </c>
      <c r="E52" s="786" t="s">
        <v>1256</v>
      </c>
      <c r="F52" s="787" t="s">
        <v>1256</v>
      </c>
      <c r="G52" s="788" t="s">
        <v>647</v>
      </c>
      <c r="H52" s="831"/>
      <c r="I52" s="831"/>
      <c r="J52" s="831"/>
      <c r="K52" s="831"/>
      <c r="L52" s="831"/>
      <c r="M52" s="831"/>
      <c r="N52" s="832" t="s">
        <v>7451</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7452</v>
      </c>
      <c r="BF52" s="809"/>
      <c r="BG52" s="855"/>
      <c r="BH52" s="855"/>
      <c r="BI52" s="855"/>
      <c r="BJ52" s="855"/>
      <c r="BK52" s="855"/>
      <c r="BL52" s="855"/>
      <c r="BM52" s="855"/>
      <c r="BN52" s="794"/>
      <c r="BO52" s="857"/>
      <c r="BP52" s="910"/>
      <c r="BQ52" s="857"/>
      <c r="BR52" s="857"/>
      <c r="BS52" s="857"/>
      <c r="BT52" s="857"/>
      <c r="BU52" s="857"/>
      <c r="BV52" s="857"/>
      <c r="BW52" s="858" t="s">
        <v>7453</v>
      </c>
      <c r="BX52" s="794"/>
      <c r="BY52" s="863"/>
      <c r="BZ52" s="863"/>
      <c r="CA52" s="863"/>
      <c r="CB52" s="884"/>
      <c r="CC52" s="863"/>
      <c r="CD52" s="863"/>
      <c r="CE52" s="863"/>
      <c r="CF52" s="863"/>
      <c r="CG52" s="863"/>
      <c r="CH52" s="863"/>
      <c r="CI52" s="863"/>
      <c r="CJ52" s="884"/>
      <c r="CK52" s="884"/>
    </row>
    <row r="53">
      <c r="A53" s="830" t="s">
        <v>6138</v>
      </c>
      <c r="B53" s="788" t="s">
        <v>981</v>
      </c>
      <c r="C53" s="784" t="s">
        <v>1256</v>
      </c>
      <c r="D53" s="785" t="s">
        <v>1256</v>
      </c>
      <c r="E53" s="786" t="s">
        <v>1256</v>
      </c>
      <c r="F53" s="787" t="s">
        <v>1256</v>
      </c>
      <c r="G53" s="788" t="s">
        <v>1197</v>
      </c>
      <c r="H53" s="831"/>
      <c r="I53" s="831"/>
      <c r="J53" s="831"/>
      <c r="K53" s="831"/>
      <c r="L53" s="831"/>
      <c r="M53" s="831"/>
      <c r="N53" s="832" t="s">
        <v>7454</v>
      </c>
      <c r="O53" s="831"/>
      <c r="P53" s="794"/>
      <c r="Q53" s="836"/>
      <c r="R53" s="836"/>
      <c r="S53" s="836"/>
      <c r="T53" s="836"/>
      <c r="U53" s="836"/>
      <c r="V53" s="835" t="s">
        <v>7455</v>
      </c>
      <c r="W53" s="794"/>
      <c r="X53" s="905"/>
      <c r="Y53" s="905"/>
      <c r="Z53" s="905"/>
      <c r="AA53" s="947"/>
      <c r="AB53" s="905"/>
      <c r="AC53" s="905"/>
      <c r="AD53" s="905"/>
      <c r="AE53" s="840" t="s">
        <v>7456</v>
      </c>
      <c r="AF53" s="905"/>
      <c r="AG53" s="905"/>
      <c r="AH53" s="958" t="s">
        <v>7457</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7458</v>
      </c>
      <c r="BE53" s="879" t="s">
        <v>7459</v>
      </c>
      <c r="BF53" s="809"/>
      <c r="BG53" s="855"/>
      <c r="BH53" s="855"/>
      <c r="BI53" s="855"/>
      <c r="BJ53" s="855"/>
      <c r="BK53" s="855"/>
      <c r="BL53" s="855"/>
      <c r="BM53" s="855"/>
      <c r="BN53" s="794"/>
      <c r="BO53" s="857"/>
      <c r="BP53" s="910"/>
      <c r="BQ53" s="857"/>
      <c r="BR53" s="857"/>
      <c r="BS53" s="857"/>
      <c r="BT53" s="857"/>
      <c r="BU53" s="857"/>
      <c r="BV53" s="857"/>
      <c r="BW53" s="858" t="s">
        <v>7460</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6134</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7461</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6448</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7462</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5889</v>
      </c>
      <c r="AL56" s="842" t="s">
        <v>7463</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7464</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7465</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5396</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7466</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6265</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4644</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7467</v>
      </c>
      <c r="B61" s="788" t="s">
        <v>647</v>
      </c>
      <c r="C61" s="784" t="s">
        <v>1256</v>
      </c>
      <c r="D61" s="785" t="s">
        <v>1256</v>
      </c>
      <c r="E61" s="786" t="s">
        <v>1256</v>
      </c>
      <c r="F61" s="787" t="s">
        <v>437</v>
      </c>
      <c r="G61" s="788" t="s">
        <v>437</v>
      </c>
      <c r="H61" s="831"/>
      <c r="I61" s="831"/>
      <c r="J61" s="831"/>
      <c r="K61" s="831"/>
      <c r="L61" s="833" t="s">
        <v>7468</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6753</v>
      </c>
      <c r="BV61" s="857"/>
      <c r="BW61" s="857"/>
      <c r="BX61" s="794"/>
      <c r="BY61" s="863"/>
      <c r="BZ61" s="863"/>
      <c r="CA61" s="863"/>
      <c r="CB61" s="884"/>
      <c r="CC61" s="863"/>
      <c r="CD61" s="863"/>
      <c r="CE61" s="863"/>
      <c r="CF61" s="863"/>
      <c r="CG61" s="863"/>
      <c r="CH61" s="863"/>
      <c r="CI61" s="863"/>
      <c r="CJ61" s="884"/>
      <c r="CK61" s="884"/>
    </row>
    <row r="62">
      <c r="A62" s="830" t="s">
        <v>7469</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5796</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7470</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6535</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7471</v>
      </c>
      <c r="D1" s="1001" t="s">
        <v>1550</v>
      </c>
      <c r="E1" s="1002" t="s">
        <v>7472</v>
      </c>
      <c r="F1" s="1003" t="s">
        <v>2543</v>
      </c>
      <c r="G1" s="1001" t="s">
        <v>7473</v>
      </c>
      <c r="H1" s="1001" t="s">
        <v>1056</v>
      </c>
      <c r="I1" s="1002" t="s">
        <v>7474</v>
      </c>
      <c r="J1" s="1001" t="s">
        <v>7013</v>
      </c>
      <c r="K1" s="1001" t="s">
        <v>7475</v>
      </c>
      <c r="L1" s="1002" t="s">
        <v>7476</v>
      </c>
      <c r="M1" s="1001" t="s">
        <v>739</v>
      </c>
      <c r="N1" s="1001" t="s">
        <v>7477</v>
      </c>
      <c r="O1" s="1001" t="s">
        <v>979</v>
      </c>
      <c r="P1" s="1004" t="s">
        <v>7478</v>
      </c>
      <c r="Q1" s="1001" t="s">
        <v>1809</v>
      </c>
      <c r="R1" s="1001" t="s">
        <v>7479</v>
      </c>
      <c r="S1" s="1001" t="s">
        <v>7258</v>
      </c>
      <c r="T1" s="1002" t="s">
        <v>7480</v>
      </c>
      <c r="U1" s="1001" t="s">
        <v>2713</v>
      </c>
      <c r="V1" s="1005" t="s">
        <v>7481</v>
      </c>
      <c r="W1" s="1001" t="s">
        <v>7482</v>
      </c>
      <c r="X1" s="1001" t="s">
        <v>7129</v>
      </c>
      <c r="Y1" s="1001" t="s">
        <v>4048</v>
      </c>
      <c r="Z1" s="1001" t="s">
        <v>7483</v>
      </c>
      <c r="AA1" s="1001" t="s">
        <v>6719</v>
      </c>
      <c r="AB1" s="1001" t="s">
        <v>3569</v>
      </c>
      <c r="AC1" s="1001" t="s">
        <v>7213</v>
      </c>
      <c r="AD1" s="1001" t="s">
        <v>7484</v>
      </c>
      <c r="AE1" s="1001" t="s">
        <v>7485</v>
      </c>
      <c r="AF1" s="1001" t="s">
        <v>1194</v>
      </c>
      <c r="AG1" s="1001" t="s">
        <v>218</v>
      </c>
      <c r="AH1" s="1001" t="s">
        <v>1632</v>
      </c>
      <c r="AI1" s="1001" t="s">
        <v>2087</v>
      </c>
      <c r="AJ1" s="1001" t="s">
        <v>7486</v>
      </c>
      <c r="AK1" s="1001" t="s">
        <v>7487</v>
      </c>
      <c r="AL1" s="1001" t="s">
        <v>7488</v>
      </c>
      <c r="AM1" s="1001" t="s">
        <v>2026</v>
      </c>
      <c r="AN1" s="1001" t="s">
        <v>7489</v>
      </c>
      <c r="AO1" s="1001" t="s">
        <v>7490</v>
      </c>
      <c r="AP1" s="1001" t="s">
        <v>6016</v>
      </c>
      <c r="AQ1" s="1001" t="s">
        <v>7491</v>
      </c>
      <c r="AR1" s="1001" t="s">
        <v>7492</v>
      </c>
      <c r="AS1" s="1001" t="s">
        <v>7493</v>
      </c>
      <c r="AT1" s="1001" t="s">
        <v>7494</v>
      </c>
      <c r="AU1" s="1005" t="s">
        <v>7495</v>
      </c>
      <c r="AV1" s="1001" t="s">
        <v>3192</v>
      </c>
      <c r="AW1" s="1001" t="s">
        <v>3901</v>
      </c>
      <c r="AX1" s="1001" t="s">
        <v>5886</v>
      </c>
      <c r="AY1" s="1001" t="s">
        <v>7496</v>
      </c>
      <c r="AZ1" s="1001" t="s">
        <v>5274</v>
      </c>
      <c r="BA1" s="1005" t="s">
        <v>4672</v>
      </c>
      <c r="BB1" s="1001" t="s">
        <v>825</v>
      </c>
      <c r="BC1" s="1001" t="s">
        <v>644</v>
      </c>
      <c r="BD1" s="1001" t="s">
        <v>7497</v>
      </c>
      <c r="BE1" s="1002" t="s">
        <v>7230</v>
      </c>
      <c r="BF1" s="1001" t="s">
        <v>7432</v>
      </c>
      <c r="BG1" s="1001" t="s">
        <v>7440</v>
      </c>
      <c r="BH1" s="1001" t="s">
        <v>1722</v>
      </c>
      <c r="BI1" s="1005" t="s">
        <v>6646</v>
      </c>
      <c r="BJ1" s="1005" t="s">
        <v>6606</v>
      </c>
      <c r="BK1" s="1005" t="s">
        <v>1879</v>
      </c>
      <c r="BL1" s="1005" t="s">
        <v>7498</v>
      </c>
      <c r="BM1" s="1006"/>
      <c r="BN1" s="1006"/>
      <c r="BO1" s="1006"/>
    </row>
    <row r="2" ht="15.75" customHeight="1">
      <c r="A2" s="1007" t="s">
        <v>7499</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38</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7500</v>
      </c>
      <c r="B4" s="1017" t="s">
        <v>7501</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7502</v>
      </c>
      <c r="B5" s="1028" t="s">
        <v>7503</v>
      </c>
      <c r="C5" s="1018" t="s">
        <v>7065</v>
      </c>
      <c r="D5" s="1029" t="s">
        <v>7504</v>
      </c>
      <c r="E5" s="1029" t="s">
        <v>7505</v>
      </c>
      <c r="F5" s="1030"/>
      <c r="G5" s="1022" t="s">
        <v>7506</v>
      </c>
      <c r="H5" s="1029"/>
      <c r="I5" s="1029" t="s">
        <v>7507</v>
      </c>
      <c r="J5" s="1029"/>
      <c r="K5" s="1029" t="s">
        <v>3650</v>
      </c>
      <c r="L5" s="1029"/>
      <c r="M5" s="1029"/>
      <c r="N5" s="1029" t="s">
        <v>7508</v>
      </c>
      <c r="O5" s="1029" t="str">
        <f>HYPERLINK("https://youtu.be/y9FQ4EcrohI", "1:21.52")</f>
        <v>1:21.52</v>
      </c>
      <c r="P5" s="1025" t="s">
        <v>7509</v>
      </c>
      <c r="Q5" s="1029"/>
      <c r="R5" s="1029" t="s">
        <v>7065</v>
      </c>
      <c r="S5" s="1029" t="s">
        <v>2582</v>
      </c>
      <c r="T5" s="1029"/>
      <c r="U5" s="1029"/>
      <c r="V5" s="1031" t="s">
        <v>7510</v>
      </c>
      <c r="W5" s="1029"/>
      <c r="X5" s="1029"/>
      <c r="Y5" s="1029"/>
      <c r="Z5" s="1029"/>
      <c r="AA5" s="1029"/>
      <c r="AB5" s="1029" t="s">
        <v>7511</v>
      </c>
      <c r="AC5" s="1029"/>
      <c r="AD5" s="1029"/>
      <c r="AE5" s="1029" t="s">
        <v>7512</v>
      </c>
      <c r="AF5" s="1029"/>
      <c r="AG5" s="1029"/>
      <c r="AH5" s="1029"/>
      <c r="AI5" s="1029"/>
      <c r="AJ5" s="1029"/>
      <c r="AK5" s="1023" t="s">
        <v>4414</v>
      </c>
      <c r="AL5" s="1029"/>
      <c r="AM5" s="1029"/>
      <c r="AN5" s="1029"/>
      <c r="AO5" s="1029"/>
      <c r="AP5" s="1029" t="s">
        <v>5720</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7513</v>
      </c>
      <c r="C6" s="1018" t="s">
        <v>336</v>
      </c>
      <c r="D6" s="983" t="s">
        <v>1555</v>
      </c>
      <c r="E6" s="1023" t="s">
        <v>336</v>
      </c>
      <c r="F6" s="1035" t="s">
        <v>2546</v>
      </c>
      <c r="G6" s="1022" t="s">
        <v>1258</v>
      </c>
      <c r="H6" s="1023" t="s">
        <v>6908</v>
      </c>
      <c r="I6" s="1023" t="str">
        <f>HYPERLINK("https://youtu.be/ZP_d48CVxG0","1:19.30")</f>
        <v>1:19.30</v>
      </c>
      <c r="J6" s="1024"/>
      <c r="K6" s="1024"/>
      <c r="L6" s="1024" t="s">
        <v>102</v>
      </c>
      <c r="M6" s="1024" t="s">
        <v>744</v>
      </c>
      <c r="N6" s="1024" t="s">
        <v>4597</v>
      </c>
      <c r="O6" s="1023" t="s">
        <v>985</v>
      </c>
      <c r="P6" s="1025" t="s">
        <v>7514</v>
      </c>
      <c r="Q6" s="1024" t="s">
        <v>102</v>
      </c>
      <c r="R6" s="1024"/>
      <c r="S6" s="1024"/>
      <c r="T6" s="1024"/>
      <c r="U6" s="1023" t="s">
        <v>7243</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7515</v>
      </c>
      <c r="B7" s="1037" t="s">
        <v>7516</v>
      </c>
      <c r="C7" s="1038" t="s">
        <v>2124</v>
      </c>
      <c r="D7" s="1039"/>
      <c r="E7" s="1039"/>
      <c r="F7" s="1021"/>
      <c r="G7" s="1040"/>
      <c r="H7" s="1039"/>
      <c r="I7" s="1039"/>
      <c r="J7" s="1039"/>
      <c r="K7" s="1039"/>
      <c r="L7" s="1039"/>
      <c r="M7" s="1039"/>
      <c r="N7" s="1039"/>
      <c r="O7" s="1039"/>
      <c r="P7" s="1039"/>
      <c r="Q7" s="1039"/>
      <c r="R7" s="1039"/>
      <c r="S7" s="1039"/>
      <c r="T7" s="1039"/>
      <c r="U7" s="1023" t="s">
        <v>2124</v>
      </c>
      <c r="V7" s="1026"/>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7517</v>
      </c>
      <c r="C8" s="1018" t="s">
        <v>143</v>
      </c>
      <c r="D8" s="1029" t="s">
        <v>7518</v>
      </c>
      <c r="E8" s="1029" t="s">
        <v>4870</v>
      </c>
      <c r="F8" s="1041" t="s">
        <v>1151</v>
      </c>
      <c r="G8" s="1040"/>
      <c r="H8" s="1023" t="s">
        <v>143</v>
      </c>
      <c r="I8" s="1029" t="s">
        <v>1371</v>
      </c>
      <c r="J8" s="1029"/>
      <c r="K8" s="1029"/>
      <c r="L8" s="1029" t="s">
        <v>1136</v>
      </c>
      <c r="M8" s="1029" t="s">
        <v>1136</v>
      </c>
      <c r="N8" s="1029" t="s">
        <v>7519</v>
      </c>
      <c r="O8" s="1029"/>
      <c r="P8" s="1025"/>
      <c r="Q8" s="1029" t="s">
        <v>5849</v>
      </c>
      <c r="R8" s="1029" t="s">
        <v>3851</v>
      </c>
      <c r="S8" s="1029" t="s">
        <v>7520</v>
      </c>
      <c r="T8" s="1029" t="s">
        <v>7521</v>
      </c>
      <c r="U8" s="1029"/>
      <c r="V8" s="1032"/>
      <c r="W8" s="1029"/>
      <c r="X8" s="1029" t="s">
        <v>5849</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7522</v>
      </c>
      <c r="B9" s="1037" t="s">
        <v>7523</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26"/>
      <c r="W9" s="1039"/>
      <c r="X9" s="1039"/>
      <c r="Y9" s="1039"/>
      <c r="Z9" s="1039"/>
      <c r="AA9" s="1039"/>
      <c r="AB9" s="1039"/>
      <c r="AC9" s="1039"/>
      <c r="AD9" s="1039" t="s">
        <v>2626</v>
      </c>
      <c r="AE9" s="1039"/>
      <c r="AF9" s="1039"/>
      <c r="AG9" s="1039"/>
      <c r="AH9" s="1039"/>
      <c r="AI9" s="1039"/>
      <c r="AJ9" s="1039"/>
      <c r="AK9" s="1039"/>
      <c r="AL9" s="1039"/>
      <c r="AM9" s="1039"/>
      <c r="AN9" s="1039"/>
      <c r="AO9" s="1039"/>
      <c r="AP9" s="1039" t="s">
        <v>7524</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7525</v>
      </c>
      <c r="C10" s="1042" t="s">
        <v>2538</v>
      </c>
      <c r="D10" s="1024"/>
      <c r="E10" s="1024"/>
      <c r="F10" s="1043"/>
      <c r="G10" s="1040"/>
      <c r="H10" s="1024"/>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7513</v>
      </c>
      <c r="C11" s="1018" t="s">
        <v>7526</v>
      </c>
      <c r="D11" s="1024"/>
      <c r="E11" s="1023" t="s">
        <v>1240</v>
      </c>
      <c r="F11" s="1047" t="s">
        <v>5040</v>
      </c>
      <c r="G11" s="1022" t="s">
        <v>2164</v>
      </c>
      <c r="H11" s="1024"/>
      <c r="I11" s="1024"/>
      <c r="J11" s="1024"/>
      <c r="K11" s="1024"/>
      <c r="L11" s="1024"/>
      <c r="M11" s="1024"/>
      <c r="N11" s="1024"/>
      <c r="O11" s="1023" t="s">
        <v>7526</v>
      </c>
      <c r="P11" s="1025"/>
      <c r="Q11" s="1024"/>
      <c r="R11" s="1024"/>
      <c r="S11" s="1024"/>
      <c r="T11" s="1024"/>
      <c r="U11" s="1024"/>
      <c r="V11" s="1032"/>
      <c r="W11" s="1024"/>
      <c r="X11" s="1024"/>
      <c r="Y11" s="1024"/>
      <c r="Z11" s="1023" t="s">
        <v>7527</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7528</v>
      </c>
      <c r="B12" s="1017" t="s">
        <v>7529</v>
      </c>
      <c r="C12" s="1048" t="s">
        <v>2346</v>
      </c>
      <c r="D12" s="1029" t="s">
        <v>1792</v>
      </c>
      <c r="E12" s="1029" t="s">
        <v>2827</v>
      </c>
      <c r="F12" s="1049" t="s">
        <v>2346</v>
      </c>
      <c r="G12" s="1022" t="s">
        <v>7530</v>
      </c>
      <c r="H12" s="1029"/>
      <c r="I12" s="1029" t="s">
        <v>7363</v>
      </c>
      <c r="J12" s="1029"/>
      <c r="K12" s="1029" t="s">
        <v>1934</v>
      </c>
      <c r="L12" s="1029"/>
      <c r="M12" s="1029" t="s">
        <v>4491</v>
      </c>
      <c r="N12" s="1029" t="s">
        <v>4783</v>
      </c>
      <c r="O12" s="1029"/>
      <c r="P12" s="1025" t="s">
        <v>3406</v>
      </c>
      <c r="Q12" s="1029" t="s">
        <v>4491</v>
      </c>
      <c r="R12" s="1029"/>
      <c r="S12" s="1029" t="s">
        <v>4370</v>
      </c>
      <c r="T12" s="1029"/>
      <c r="U12" s="1029" t="s">
        <v>653</v>
      </c>
      <c r="V12" s="1050" t="s">
        <v>7531</v>
      </c>
      <c r="W12" s="1029" t="s">
        <v>2896</v>
      </c>
      <c r="X12" s="1029"/>
      <c r="Y12" s="1029"/>
      <c r="Z12" s="1029"/>
      <c r="AA12" s="1029"/>
      <c r="AB12" s="1029" t="s">
        <v>7532</v>
      </c>
      <c r="AC12" s="1029"/>
      <c r="AD12" s="1029"/>
      <c r="AE12" s="1029"/>
      <c r="AF12" s="1029"/>
      <c r="AG12" s="1029"/>
      <c r="AH12" s="1029"/>
      <c r="AI12" s="1029"/>
      <c r="AJ12" s="1029"/>
      <c r="AK12" s="1024"/>
      <c r="AL12" s="1029"/>
      <c r="AM12" s="1029"/>
      <c r="AN12" s="1029" t="s">
        <v>2035</v>
      </c>
      <c r="AO12" s="1029"/>
      <c r="AP12" s="1029" t="s">
        <v>6230</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7533</v>
      </c>
      <c r="C13" s="1018" t="s">
        <v>4269</v>
      </c>
      <c r="D13" s="983" t="s">
        <v>1556</v>
      </c>
      <c r="E13" s="1023" t="s">
        <v>337</v>
      </c>
      <c r="F13" s="1035" t="s">
        <v>2547</v>
      </c>
      <c r="G13" s="1022" t="s">
        <v>1259</v>
      </c>
      <c r="H13" s="1023" t="s">
        <v>4269</v>
      </c>
      <c r="I13" s="1024" t="s">
        <v>7534</v>
      </c>
      <c r="J13" s="1023" t="s">
        <v>723</v>
      </c>
      <c r="K13" s="1024"/>
      <c r="L13" s="1024" t="s">
        <v>2346</v>
      </c>
      <c r="M13" s="1023" t="s">
        <v>2109</v>
      </c>
      <c r="N13" s="1024" t="s">
        <v>7535</v>
      </c>
      <c r="O13" s="1023" t="s">
        <v>7536</v>
      </c>
      <c r="P13" s="1025" t="s">
        <v>2827</v>
      </c>
      <c r="Q13" s="1024" t="s">
        <v>3871</v>
      </c>
      <c r="R13" s="1024"/>
      <c r="S13" s="1023" t="s">
        <v>7537</v>
      </c>
      <c r="T13" s="1024" t="s">
        <v>1501</v>
      </c>
      <c r="U13" s="1024"/>
      <c r="V13" s="1032"/>
      <c r="W13" s="1024"/>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7515</v>
      </c>
      <c r="B14" s="1052" t="s">
        <v>7529</v>
      </c>
      <c r="C14" s="1018" t="s">
        <v>6307</v>
      </c>
      <c r="D14" s="1029" t="s">
        <v>119</v>
      </c>
      <c r="E14" s="1029" t="s">
        <v>6307</v>
      </c>
      <c r="F14" s="1049" t="s">
        <v>6128</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53" t="s">
        <v>5372</v>
      </c>
      <c r="W14" s="1029" t="s">
        <v>5645</v>
      </c>
      <c r="X14" s="1029"/>
      <c r="Y14" s="1029" t="s">
        <v>4512</v>
      </c>
      <c r="Z14" s="1029"/>
      <c r="AA14" s="1029"/>
      <c r="AB14" s="1029" t="s">
        <v>6128</v>
      </c>
      <c r="AC14" s="1029"/>
      <c r="AD14" s="1029"/>
      <c r="AE14" s="1029" t="s">
        <v>662</v>
      </c>
      <c r="AF14" s="1029" t="s">
        <v>6853</v>
      </c>
      <c r="AG14" s="1029"/>
      <c r="AH14" s="1029" t="s">
        <v>5372</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7533</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32"/>
      <c r="W15" s="1029" t="s">
        <v>2625</v>
      </c>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7522</v>
      </c>
      <c r="B16" s="1056" t="s">
        <v>7538</v>
      </c>
      <c r="C16" s="1018" t="s">
        <v>2669</v>
      </c>
      <c r="D16" s="1029" t="s">
        <v>5490</v>
      </c>
      <c r="E16" s="1029"/>
      <c r="F16" s="1049" t="s">
        <v>2147</v>
      </c>
      <c r="G16" s="1040"/>
      <c r="H16" s="1029"/>
      <c r="I16" s="1029"/>
      <c r="J16" s="1029"/>
      <c r="K16" s="1029"/>
      <c r="L16" s="1029"/>
      <c r="M16" s="1029" t="s">
        <v>2669</v>
      </c>
      <c r="N16" s="1029"/>
      <c r="O16" s="1029"/>
      <c r="P16" s="1025"/>
      <c r="Q16" s="1029"/>
      <c r="R16" s="1029"/>
      <c r="S16" s="1029" t="s">
        <v>7539</v>
      </c>
      <c r="T16" s="1029"/>
      <c r="U16" s="1029"/>
      <c r="V16" s="1044" t="s">
        <v>7540</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7541</v>
      </c>
      <c r="C17" s="1018" t="s">
        <v>7542</v>
      </c>
      <c r="D17" s="1024" t="s">
        <v>7543</v>
      </c>
      <c r="E17" s="1023" t="s">
        <v>1092</v>
      </c>
      <c r="F17" s="1047" t="s">
        <v>945</v>
      </c>
      <c r="G17" s="1022" t="s">
        <v>2257</v>
      </c>
      <c r="H17" s="1024" t="s">
        <v>7544</v>
      </c>
      <c r="I17" s="1024"/>
      <c r="J17" s="1023" t="s">
        <v>7545</v>
      </c>
      <c r="K17" s="1024"/>
      <c r="L17" s="1024" t="s">
        <v>7545</v>
      </c>
      <c r="M17" s="1024"/>
      <c r="N17" s="1024"/>
      <c r="O17" s="1023" t="s">
        <v>1989</v>
      </c>
      <c r="P17" s="1025" t="s">
        <v>7546</v>
      </c>
      <c r="Q17" s="1024" t="s">
        <v>7547</v>
      </c>
      <c r="R17" s="1024"/>
      <c r="S17" s="1024"/>
      <c r="T17" s="1024" t="s">
        <v>2669</v>
      </c>
      <c r="U17" s="1024"/>
      <c r="V17" s="1026"/>
      <c r="W17" s="1024"/>
      <c r="X17" s="1024" t="s">
        <v>7545</v>
      </c>
      <c r="Y17" s="1024"/>
      <c r="Z17" s="1023" t="s">
        <v>1989</v>
      </c>
      <c r="AA17" s="1024"/>
      <c r="AB17" s="1024"/>
      <c r="AC17" s="1024"/>
      <c r="AD17" s="1024"/>
      <c r="AE17" s="1024"/>
      <c r="AF17" s="1024"/>
      <c r="AG17" s="1023" t="s">
        <v>7542</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7548</v>
      </c>
      <c r="B18" s="1017" t="s">
        <v>7549</v>
      </c>
      <c r="C18" s="1018" t="s">
        <v>1698</v>
      </c>
      <c r="D18" s="1029" t="s">
        <v>3611</v>
      </c>
      <c r="E18" s="1029" t="s">
        <v>1169</v>
      </c>
      <c r="F18" s="1030"/>
      <c r="G18" s="1022" t="s">
        <v>4437</v>
      </c>
      <c r="H18" s="1029"/>
      <c r="I18" s="1029" t="s">
        <v>4208</v>
      </c>
      <c r="J18" s="1029"/>
      <c r="K18" s="1029" t="s">
        <v>7550</v>
      </c>
      <c r="L18" s="1029"/>
      <c r="M18" s="1029" t="s">
        <v>7551</v>
      </c>
      <c r="N18" s="1029" t="str">
        <f>HYPERLINK("https://www.youtube.com/watch?v=2TATjRbAkgw","46.87")</f>
        <v>46.87</v>
      </c>
      <c r="O18" s="1029"/>
      <c r="P18" s="1025"/>
      <c r="Q18" s="1029" t="str">
        <f>HYPERLINK("https://clips.twitch.tv/ManlyHedonisticDotterelOMGScoots","45.85")</f>
        <v>45.85</v>
      </c>
      <c r="R18" s="1029"/>
      <c r="S18" s="1029"/>
      <c r="T18" s="1029"/>
      <c r="U18" s="1029"/>
      <c r="V18" s="1044" t="s">
        <v>7552</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4645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7553</v>
      </c>
      <c r="C19" s="1018" t="s">
        <v>2862</v>
      </c>
      <c r="D19" s="1029"/>
      <c r="E19" s="1029" t="s">
        <v>880</v>
      </c>
      <c r="F19" s="1021"/>
      <c r="G19" s="1040"/>
      <c r="H19" s="1029"/>
      <c r="I19" s="1029"/>
      <c r="J19" s="1029"/>
      <c r="K19" s="1029" t="s">
        <v>6809</v>
      </c>
      <c r="L19" s="1029"/>
      <c r="M19" s="1029"/>
      <c r="N19" s="1029"/>
      <c r="O19" s="1029"/>
      <c r="P19" s="1025"/>
      <c r="Q19" s="1029" t="s">
        <v>7554</v>
      </c>
      <c r="R19" s="1029" t="s">
        <v>7555</v>
      </c>
      <c r="S19" s="1029"/>
      <c r="T19" s="1029"/>
      <c r="U19" s="1029"/>
      <c r="V19" s="1026"/>
      <c r="W19" s="1029"/>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7" t="s">
        <v>7556</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7557</v>
      </c>
      <c r="T20" s="1029"/>
      <c r="U20" s="1023" t="s">
        <v>5715</v>
      </c>
      <c r="V20" s="1032"/>
      <c r="W20" s="1029" t="s">
        <v>7558</v>
      </c>
      <c r="X20" s="1029" t="s">
        <v>552</v>
      </c>
      <c r="Y20" s="1029"/>
      <c r="Z20" s="1029"/>
      <c r="AA20" s="1029"/>
      <c r="AB20" s="1029" t="s">
        <v>5174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7559</v>
      </c>
      <c r="B21" s="1017" t="s">
        <v>7560</v>
      </c>
      <c r="C21" s="1058" t="s">
        <v>7561</v>
      </c>
      <c r="D21" s="1059"/>
      <c r="E21" s="1059"/>
      <c r="F21" s="1021"/>
      <c r="G21" s="1040"/>
      <c r="H21" s="1059"/>
      <c r="I21" s="1059"/>
      <c r="J21" s="1059"/>
      <c r="K21" s="1059"/>
      <c r="L21" s="1059"/>
      <c r="M21" s="1059"/>
      <c r="N21" s="1059"/>
      <c r="O21" s="1059"/>
      <c r="P21" s="1060"/>
      <c r="Q21" s="1059"/>
      <c r="R21" s="1059"/>
      <c r="S21" s="1059"/>
      <c r="T21" s="1059"/>
      <c r="U21" s="1061" t="s">
        <v>7561</v>
      </c>
      <c r="V21" s="1053" t="s">
        <v>7562</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7563</v>
      </c>
      <c r="C22" s="1018" t="s">
        <v>160</v>
      </c>
      <c r="D22" s="1059"/>
      <c r="E22" s="1059"/>
      <c r="F22" s="1021"/>
      <c r="G22" s="1040"/>
      <c r="H22" s="1059"/>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5"/>
      <c r="B23" s="1057" t="s">
        <v>7564</v>
      </c>
      <c r="C23" s="1018" t="s">
        <v>2669</v>
      </c>
      <c r="D23" s="1059"/>
      <c r="E23" s="1059" t="s">
        <v>727</v>
      </c>
      <c r="F23" s="1021"/>
      <c r="G23" s="1040" t="s">
        <v>4160</v>
      </c>
      <c r="H23" s="1059"/>
      <c r="I23" s="1059"/>
      <c r="J23" s="1059"/>
      <c r="K23" s="1059"/>
      <c r="L23" s="1059"/>
      <c r="M23" s="1059"/>
      <c r="N23" s="1059"/>
      <c r="O23" s="1059"/>
      <c r="P23" s="1060"/>
      <c r="Q23" s="1059" t="s">
        <v>7565</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7566</v>
      </c>
      <c r="C24" s="1018" t="s">
        <v>7567</v>
      </c>
      <c r="D24" s="1029"/>
      <c r="E24" s="1029" t="s">
        <v>3886</v>
      </c>
      <c r="F24" s="1047" t="s">
        <v>4251</v>
      </c>
      <c r="G24" s="1040"/>
      <c r="H24" s="1029" t="s">
        <v>7568</v>
      </c>
      <c r="I24" s="1029"/>
      <c r="J24" s="1029"/>
      <c r="K24" s="1029"/>
      <c r="L24" s="1029" t="s">
        <v>783</v>
      </c>
      <c r="M24" s="1029"/>
      <c r="N24" s="1029"/>
      <c r="O24" s="1029"/>
      <c r="P24" s="1025"/>
      <c r="Q24" s="1029" t="s">
        <v>7569</v>
      </c>
      <c r="R24" s="1029"/>
      <c r="S24" s="1029"/>
      <c r="T24" s="1029"/>
      <c r="U24" s="1029"/>
      <c r="V24" s="1032"/>
      <c r="W24" s="1029"/>
      <c r="X24" s="1029"/>
      <c r="Y24" s="1029"/>
      <c r="Z24" s="1029" t="s">
        <v>7570</v>
      </c>
      <c r="AA24" s="1029"/>
      <c r="AB24" s="1029"/>
      <c r="AC24" s="1029"/>
      <c r="AD24" s="1029"/>
      <c r="AE24" s="1029"/>
      <c r="AF24" s="1029"/>
      <c r="AG24" s="1029" t="s">
        <v>7567</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7571</v>
      </c>
      <c r="B25" s="1017" t="s">
        <v>7572</v>
      </c>
      <c r="C25" s="1018" t="s">
        <v>253</v>
      </c>
      <c r="D25" s="1029"/>
      <c r="E25" s="1029" t="s">
        <v>253</v>
      </c>
      <c r="F25" s="1021"/>
      <c r="G25" s="1040"/>
      <c r="H25" s="1029"/>
      <c r="I25" s="1029"/>
      <c r="J25" s="1029"/>
      <c r="K25" s="1029"/>
      <c r="L25" s="1029"/>
      <c r="M25" s="1029"/>
      <c r="N25" s="1029" t="s">
        <v>7573</v>
      </c>
      <c r="O25" s="1029"/>
      <c r="P25" s="1025"/>
      <c r="Q25" s="1029" t="s">
        <v>7574</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7575</v>
      </c>
      <c r="C26" s="1018" t="s">
        <v>7576</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65" t="s">
        <v>7577</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7578</v>
      </c>
      <c r="C27" s="1018" t="s">
        <v>2830</v>
      </c>
      <c r="D27" s="1023" t="s">
        <v>1560</v>
      </c>
      <c r="E27" s="1029" t="s">
        <v>7579</v>
      </c>
      <c r="F27" s="1049" t="s">
        <v>6692</v>
      </c>
      <c r="G27" s="1040"/>
      <c r="H27" s="1029"/>
      <c r="I27" s="1029"/>
      <c r="J27" s="1029"/>
      <c r="K27" s="1029"/>
      <c r="L27" s="1029"/>
      <c r="M27" s="1029"/>
      <c r="N27" s="1029"/>
      <c r="O27" s="1029"/>
      <c r="P27" s="1025"/>
      <c r="Q27" s="1029"/>
      <c r="R27" s="1029"/>
      <c r="S27" s="1029"/>
      <c r="T27" s="1029"/>
      <c r="U27" s="1029" t="s">
        <v>4559</v>
      </c>
      <c r="V27" s="1026"/>
      <c r="W27" s="1029"/>
      <c r="X27" s="1029"/>
      <c r="Y27" s="1029"/>
      <c r="Z27" s="1029"/>
      <c r="AA27" s="1029"/>
      <c r="AB27" s="1029"/>
      <c r="AC27" s="1029"/>
      <c r="AD27" s="1029"/>
      <c r="AE27" s="1029"/>
      <c r="AF27" s="1029"/>
      <c r="AG27" s="1029"/>
      <c r="AH27" s="1029"/>
      <c r="AI27" s="1029"/>
      <c r="AJ27" s="1029"/>
      <c r="AK27" s="1023" t="s">
        <v>7580</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7581</v>
      </c>
      <c r="C28" s="1018" t="s">
        <v>7582</v>
      </c>
      <c r="D28" s="1029"/>
      <c r="E28" s="1029" t="s">
        <v>7582</v>
      </c>
      <c r="F28" s="1035" t="s">
        <v>2549</v>
      </c>
      <c r="G28" s="1022" t="s">
        <v>1263</v>
      </c>
      <c r="H28" s="1029"/>
      <c r="I28" s="1029"/>
      <c r="J28" s="1029" t="s">
        <v>7583</v>
      </c>
      <c r="K28" s="1029" t="s">
        <v>7584</v>
      </c>
      <c r="L28" s="1029"/>
      <c r="M28" s="1029"/>
      <c r="N28" s="1029"/>
      <c r="O28" s="1029" t="s">
        <v>7585</v>
      </c>
      <c r="P28" s="1025" t="s">
        <v>7586</v>
      </c>
      <c r="Q28" s="1029" t="s">
        <v>7587</v>
      </c>
      <c r="R28" s="1029"/>
      <c r="S28" s="1029" t="s">
        <v>107</v>
      </c>
      <c r="T28" s="1029" t="s">
        <v>3312</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7515</v>
      </c>
      <c r="B29" s="1037" t="s">
        <v>7588</v>
      </c>
      <c r="C29" s="1018" t="s">
        <v>5402</v>
      </c>
      <c r="D29" s="1029" t="s">
        <v>479</v>
      </c>
      <c r="E29" s="1029" t="s">
        <v>5402</v>
      </c>
      <c r="F29" s="1021"/>
      <c r="G29" s="1022" t="s">
        <v>5598</v>
      </c>
      <c r="H29" s="1029"/>
      <c r="I29" s="1029"/>
      <c r="J29" s="1029"/>
      <c r="K29" s="1029" t="s">
        <v>479</v>
      </c>
      <c r="L29" s="1029"/>
      <c r="M29" s="1029"/>
      <c r="N29" s="1029"/>
      <c r="O29" s="1029"/>
      <c r="P29" s="1025"/>
      <c r="Q29" s="1029"/>
      <c r="R29" s="1029"/>
      <c r="S29" s="1029"/>
      <c r="T29" s="1029"/>
      <c r="U29" s="1029"/>
      <c r="V29" s="1053" t="s">
        <v>4875</v>
      </c>
      <c r="W29" s="1029"/>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7589</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7590</v>
      </c>
      <c r="C30" s="1018" t="s">
        <v>2958</v>
      </c>
      <c r="D30" s="1029"/>
      <c r="E30" s="1029" t="s">
        <v>2958</v>
      </c>
      <c r="F30" s="1030"/>
      <c r="G30" s="1040"/>
      <c r="H30" s="1029"/>
      <c r="I30" s="1029"/>
      <c r="J30" s="1029"/>
      <c r="K30" s="1029" t="s">
        <v>5731</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7591</v>
      </c>
      <c r="C31" s="1018" t="s">
        <v>4260</v>
      </c>
      <c r="D31" s="1029"/>
      <c r="E31" s="1029" t="s">
        <v>1966</v>
      </c>
      <c r="F31" s="1069" t="s">
        <v>5731</v>
      </c>
      <c r="G31" s="1040"/>
      <c r="H31" s="1029"/>
      <c r="I31" s="1029" t="s">
        <v>4909</v>
      </c>
      <c r="J31" s="1029" t="s">
        <v>770</v>
      </c>
      <c r="K31" s="1029" t="s">
        <v>3446</v>
      </c>
      <c r="L31" s="1029"/>
      <c r="M31" s="1029" t="s">
        <v>1445</v>
      </c>
      <c r="N31" s="1029" t="s">
        <v>5731</v>
      </c>
      <c r="O31" s="1029"/>
      <c r="P31" s="1025"/>
      <c r="Q31" s="1029"/>
      <c r="R31" s="1029"/>
      <c r="S31" s="1029"/>
      <c r="T31" s="1029"/>
      <c r="U31" s="1029"/>
      <c r="V31" s="1053" t="s">
        <v>2557</v>
      </c>
      <c r="W31" s="1029"/>
      <c r="X31" s="1029"/>
      <c r="Y31" s="1029" t="s">
        <v>450</v>
      </c>
      <c r="Z31" s="1029"/>
      <c r="AA31" s="1029"/>
      <c r="AB31" s="1029" t="s">
        <v>6747</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7592</v>
      </c>
      <c r="C32" s="1018" t="s">
        <v>2045</v>
      </c>
      <c r="D32" s="1029"/>
      <c r="E32" s="1029" t="s">
        <v>1423</v>
      </c>
      <c r="F32" s="1030"/>
      <c r="G32" s="1022" t="s">
        <v>4929</v>
      </c>
      <c r="H32" s="1029"/>
      <c r="I32" s="1029" t="s">
        <v>1966</v>
      </c>
      <c r="J32" s="1029" t="s">
        <v>2045</v>
      </c>
      <c r="K32" s="1029" t="s">
        <v>877</v>
      </c>
      <c r="L32" s="1029"/>
      <c r="M32" s="1029" t="s">
        <v>2881</v>
      </c>
      <c r="N32" s="1029" t="s">
        <v>851</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7593</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7594</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7" t="s">
        <v>7595</v>
      </c>
      <c r="C35" s="1018" t="s">
        <v>3743</v>
      </c>
      <c r="D35" s="1029"/>
      <c r="E35" s="1029" t="s">
        <v>3446</v>
      </c>
      <c r="F35" s="1021"/>
      <c r="G35" s="1040"/>
      <c r="H35" s="1029"/>
      <c r="I35" s="1029"/>
      <c r="J35" s="1029" t="s">
        <v>3743</v>
      </c>
      <c r="K35" s="1029" t="s">
        <v>3874</v>
      </c>
      <c r="L35" s="1029"/>
      <c r="M35" s="1029" t="s">
        <v>5370</v>
      </c>
      <c r="N35" s="1029"/>
      <c r="O35" s="1029"/>
      <c r="P35" s="1025"/>
      <c r="Q35" s="1029" t="s">
        <v>7596</v>
      </c>
      <c r="R35" s="1023" t="s">
        <v>3743</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7597</v>
      </c>
      <c r="C36" s="1018" t="s">
        <v>4142</v>
      </c>
      <c r="D36" s="1029"/>
      <c r="E36" s="1029" t="s">
        <v>3845</v>
      </c>
      <c r="F36" s="1030"/>
      <c r="G36" s="1040"/>
      <c r="H36" s="1029"/>
      <c r="I36" s="1029"/>
      <c r="J36" s="1029" t="s">
        <v>4142</v>
      </c>
      <c r="K36" s="1029" t="s">
        <v>7598</v>
      </c>
      <c r="L36" s="1029" t="s">
        <v>2271</v>
      </c>
      <c r="M36" s="1029" t="s">
        <v>2881</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7599</v>
      </c>
      <c r="C37" s="1018" t="s">
        <v>2316</v>
      </c>
      <c r="D37" s="1029" t="s">
        <v>1561</v>
      </c>
      <c r="E37" s="1029" t="s">
        <v>3743</v>
      </c>
      <c r="F37" s="1049" t="s">
        <v>3157</v>
      </c>
      <c r="G37" s="1040"/>
      <c r="H37" s="1029"/>
      <c r="I37" s="1029" t="s">
        <v>7600</v>
      </c>
      <c r="J37" s="1029" t="s">
        <v>2316</v>
      </c>
      <c r="K37" s="1029" t="s">
        <v>2271</v>
      </c>
      <c r="L37" s="1029"/>
      <c r="M37" s="1029" t="s">
        <v>7598</v>
      </c>
      <c r="N37" s="1029"/>
      <c r="O37" s="1029"/>
      <c r="P37" s="1025"/>
      <c r="Q37" s="1029" t="s">
        <v>1657</v>
      </c>
      <c r="R37" s="1029"/>
      <c r="S37" s="1029"/>
      <c r="T37" s="1029"/>
      <c r="U37" s="1023" t="s">
        <v>3743</v>
      </c>
      <c r="V37" s="1026"/>
      <c r="W37" s="1029" t="s">
        <v>5948</v>
      </c>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7601</v>
      </c>
      <c r="C38" s="1018" t="s">
        <v>761</v>
      </c>
      <c r="D38" s="1029"/>
      <c r="E38" s="1029" t="s">
        <v>4005</v>
      </c>
      <c r="F38" s="1035" t="s">
        <v>2550</v>
      </c>
      <c r="G38" s="1022" t="s">
        <v>3821</v>
      </c>
      <c r="H38" s="1029" t="s">
        <v>761</v>
      </c>
      <c r="I38" s="1029" t="s">
        <v>2035</v>
      </c>
      <c r="J38" s="1029" t="s">
        <v>1133</v>
      </c>
      <c r="K38" s="1029" t="s">
        <v>4882</v>
      </c>
      <c r="L38" s="1029"/>
      <c r="M38" s="1029"/>
      <c r="N38" s="1029"/>
      <c r="O38" s="1029" t="s">
        <v>2035</v>
      </c>
      <c r="P38" s="1025" t="s">
        <v>2490</v>
      </c>
      <c r="Q38" s="1029" t="str">
        <f>HYPERLINK("https://clips.twitch.tv/AggressiveBigTeaNononoCat","40.26")</f>
        <v>40.26</v>
      </c>
      <c r="R38" s="1029"/>
      <c r="S38" s="1029"/>
      <c r="T38" s="1029" t="s">
        <v>4005</v>
      </c>
      <c r="U38" s="1029" t="s">
        <v>476</v>
      </c>
      <c r="V38" s="1032"/>
      <c r="W38" s="1029"/>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7522</v>
      </c>
      <c r="B39" s="1037" t="s">
        <v>7602</v>
      </c>
      <c r="C39" s="1018" t="s">
        <v>4363</v>
      </c>
      <c r="D39" s="1029" t="s">
        <v>7603</v>
      </c>
      <c r="E39" s="1029" t="s">
        <v>4363</v>
      </c>
      <c r="F39" s="1049" t="s">
        <v>7604</v>
      </c>
      <c r="G39" s="1022" t="s">
        <v>3126</v>
      </c>
      <c r="H39" s="1029"/>
      <c r="I39" s="1029"/>
      <c r="J39" s="1029"/>
      <c r="K39" s="1029" t="s">
        <v>354</v>
      </c>
      <c r="L39" s="1029"/>
      <c r="M39" s="1029"/>
      <c r="N39" s="1029"/>
      <c r="O39" s="1029"/>
      <c r="P39" s="1025"/>
      <c r="Q39" s="1029" t="s">
        <v>3179</v>
      </c>
      <c r="R39" s="1029"/>
      <c r="S39" s="1029"/>
      <c r="T39" s="1029"/>
      <c r="U39" s="1029"/>
      <c r="V39" s="1026"/>
      <c r="W39" s="1029"/>
      <c r="X39" s="1029"/>
      <c r="Y39" s="1029" t="s">
        <v>7605</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7606</v>
      </c>
      <c r="C40" s="1018" t="s">
        <v>2539</v>
      </c>
      <c r="D40" s="1029" t="s">
        <v>2754</v>
      </c>
      <c r="E40" s="1029" t="s">
        <v>3663</v>
      </c>
      <c r="F40" s="1047" t="s">
        <v>5040</v>
      </c>
      <c r="G40" s="1022" t="s">
        <v>711</v>
      </c>
      <c r="H40" s="1029" t="s">
        <v>7607</v>
      </c>
      <c r="I40" s="1029"/>
      <c r="J40" s="1029" t="s">
        <v>849</v>
      </c>
      <c r="K40" s="1029" t="s">
        <v>1176</v>
      </c>
      <c r="L40" s="1029"/>
      <c r="M40" s="1029"/>
      <c r="N40" s="1029"/>
      <c r="O40" s="1029"/>
      <c r="P40" s="1025"/>
      <c r="Q40" s="1029" t="s">
        <v>296</v>
      </c>
      <c r="R40" s="1029"/>
      <c r="S40" s="1029" t="s">
        <v>1078</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7608</v>
      </c>
      <c r="B41" s="1017" t="s">
        <v>7609</v>
      </c>
      <c r="C41" s="1018" t="s">
        <v>994</v>
      </c>
      <c r="D41" s="1029" t="s">
        <v>5269</v>
      </c>
      <c r="E41" s="1029" t="s">
        <v>7610</v>
      </c>
      <c r="F41" s="1021"/>
      <c r="G41" s="1040"/>
      <c r="H41" s="1029" t="s">
        <v>2655</v>
      </c>
      <c r="I41" s="1029" t="str">
        <f>HYPERLINK("https://youtu.be/WdBDZlWcLa8","16.95")</f>
        <v>16.95</v>
      </c>
      <c r="J41" s="1029"/>
      <c r="K41" s="1029"/>
      <c r="L41" s="1029"/>
      <c r="M41" s="1029"/>
      <c r="N41" s="1029" t="str">
        <f>HYPERLINK("https://youtu.be/FwtG-kRM0SE","17.64")</f>
        <v>17.64</v>
      </c>
      <c r="O41" s="1029"/>
      <c r="P41" s="1025" t="s">
        <v>4884</v>
      </c>
      <c r="Q41" s="1029" t="str">
        <f>HYPERLINK("https://clips.twitch.tv/VainSmokyPotSeemsGood","16.88")</f>
        <v>16.88</v>
      </c>
      <c r="R41" s="1029"/>
      <c r="S41" s="1029" t="s">
        <v>994</v>
      </c>
      <c r="T41" s="1029"/>
      <c r="U41" s="1029"/>
      <c r="V41" s="1044" t="s">
        <v>4410</v>
      </c>
      <c r="W41" s="1029" t="s">
        <v>5284</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7611</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65" t="s">
        <v>305</v>
      </c>
      <c r="W42" s="1024" t="s">
        <v>3521</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2926</v>
      </c>
      <c r="BK42" s="1032"/>
      <c r="BL42" s="1032"/>
      <c r="BM42" s="1032"/>
      <c r="BN42" s="1032"/>
      <c r="BO42" s="1032"/>
    </row>
    <row r="43" ht="15.75" customHeight="1">
      <c r="A43" s="1016" t="s">
        <v>7612</v>
      </c>
      <c r="B43" s="1017" t="s">
        <v>7613</v>
      </c>
      <c r="C43" s="1018" t="s">
        <v>4955</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7614</v>
      </c>
      <c r="B44" s="1017" t="s">
        <v>7615</v>
      </c>
      <c r="C44" s="1018" t="s">
        <v>2404</v>
      </c>
      <c r="D44" s="980" t="s">
        <v>1354</v>
      </c>
      <c r="E44" s="1029" t="s">
        <v>2404</v>
      </c>
      <c r="F44" s="1021"/>
      <c r="G44" s="1040"/>
      <c r="H44" s="1029"/>
      <c r="I44" s="1029" t="str">
        <f>HYPERLINK("https://youtu.be/t-1yqXLdZMA","38.05")</f>
        <v>38.05</v>
      </c>
      <c r="J44" s="1029" t="s">
        <v>7616</v>
      </c>
      <c r="K44" s="1029" t="s">
        <v>2273</v>
      </c>
      <c r="L44" s="1029" t="s">
        <v>834</v>
      </c>
      <c r="M44" s="1029" t="s">
        <v>3139</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7617</v>
      </c>
      <c r="B45" s="1037" t="s">
        <v>7615</v>
      </c>
      <c r="C45" s="1074" t="s">
        <v>7618</v>
      </c>
      <c r="D45" s="1075" t="s">
        <v>7618</v>
      </c>
      <c r="E45" s="1029"/>
      <c r="F45" s="1021"/>
      <c r="G45" s="1040"/>
      <c r="H45" s="1024" t="s">
        <v>7619</v>
      </c>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7620</v>
      </c>
      <c r="B46" s="1017" t="s">
        <v>7615</v>
      </c>
      <c r="C46" s="1018" t="s">
        <v>7621</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7621</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7622</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7623</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7624</v>
      </c>
      <c r="C49" s="1018" t="s">
        <v>5400</v>
      </c>
      <c r="D49" s="1075" t="s">
        <v>6144</v>
      </c>
      <c r="E49" s="1025"/>
      <c r="F49" s="1030"/>
      <c r="G49" s="1040"/>
      <c r="H49" s="1025" t="s">
        <v>2012</v>
      </c>
      <c r="I49" s="1023" t="s">
        <v>5400</v>
      </c>
      <c r="J49" s="1077" t="s">
        <v>2274</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7625</v>
      </c>
      <c r="C50" s="1018" t="s">
        <v>7626</v>
      </c>
      <c r="D50" s="1079"/>
      <c r="E50" s="1029"/>
      <c r="F50" s="1021"/>
      <c r="G50" s="1040"/>
      <c r="H50" s="1029"/>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7626</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7617</v>
      </c>
      <c r="B51" s="1037" t="s">
        <v>7615</v>
      </c>
      <c r="C51" s="1018" t="s">
        <v>7627</v>
      </c>
      <c r="D51" s="1079"/>
      <c r="E51" s="1029"/>
      <c r="F51" s="1021"/>
      <c r="G51" s="1040"/>
      <c r="H51" s="1029"/>
      <c r="I51" s="1029"/>
      <c r="J51" s="1029"/>
      <c r="K51" s="1029"/>
      <c r="L51" s="1029"/>
      <c r="M51" s="1029"/>
      <c r="N51" s="1029"/>
      <c r="O51" s="1029"/>
      <c r="P51" s="1025"/>
      <c r="Q51" s="1029"/>
      <c r="R51" s="1029"/>
      <c r="S51" s="1063" t="s">
        <v>7627</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7628</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7629</v>
      </c>
      <c r="C52" s="1038" t="s">
        <v>7630</v>
      </c>
      <c r="D52" s="1075" t="s">
        <v>7631</v>
      </c>
      <c r="E52" s="1029"/>
      <c r="F52" s="1021"/>
      <c r="G52" s="1040"/>
      <c r="H52" s="1029"/>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7630</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7501</v>
      </c>
      <c r="C53" s="1018" t="s">
        <v>349</v>
      </c>
      <c r="D53" s="983" t="s">
        <v>7632</v>
      </c>
      <c r="E53" s="1023" t="s">
        <v>349</v>
      </c>
      <c r="F53" s="1030"/>
      <c r="G53" s="1022" t="s">
        <v>1268</v>
      </c>
      <c r="H53" s="1024"/>
      <c r="I53" s="1024"/>
      <c r="J53" s="1024"/>
      <c r="K53" s="1024"/>
      <c r="L53" s="1023" t="s">
        <v>907</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7633</v>
      </c>
      <c r="B55" s="1088" t="s">
        <v>7634</v>
      </c>
      <c r="C55" s="1074" t="s">
        <v>1846</v>
      </c>
      <c r="D55" s="1029"/>
      <c r="E55" s="1029" t="s">
        <v>1477</v>
      </c>
      <c r="F55" s="1021"/>
      <c r="G55" s="1022" t="s">
        <v>2019</v>
      </c>
      <c r="H55" s="1029"/>
      <c r="I55" s="1029" t="s">
        <v>5741</v>
      </c>
      <c r="J55" s="1029" t="s">
        <v>1846</v>
      </c>
      <c r="K55" s="1029" t="s">
        <v>7635</v>
      </c>
      <c r="L55" s="1029" t="s">
        <v>908</v>
      </c>
      <c r="M55" s="1029" t="s">
        <v>752</v>
      </c>
      <c r="N55" s="1029" t="s">
        <v>2996</v>
      </c>
      <c r="O55" s="1029"/>
      <c r="P55" s="1025" t="s">
        <v>3426</v>
      </c>
      <c r="Q55" s="1029" t="s">
        <v>122</v>
      </c>
      <c r="R55" s="1029" t="s">
        <v>7636</v>
      </c>
      <c r="S55" s="1029"/>
      <c r="T55" s="1029"/>
      <c r="U55" s="1029" t="s">
        <v>3513</v>
      </c>
      <c r="V55" s="1089" t="s">
        <v>7637</v>
      </c>
      <c r="W55" s="1029" t="s">
        <v>2784</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7638</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5926</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7639</v>
      </c>
      <c r="C57" s="1074">
        <v>52.89</v>
      </c>
      <c r="D57" s="1067" t="s">
        <v>3585</v>
      </c>
      <c r="E57" s="1097"/>
      <c r="F57" s="1021"/>
      <c r="G57" s="1040"/>
      <c r="H57" s="1097"/>
      <c r="I57" s="1097"/>
      <c r="J57" s="1097"/>
      <c r="K57" s="1097"/>
      <c r="L57" s="1097"/>
      <c r="M57" s="1097"/>
      <c r="N57" s="1098" t="s">
        <v>7640</v>
      </c>
      <c r="O57" s="1097"/>
      <c r="P57" s="1025"/>
      <c r="Q57" s="1097"/>
      <c r="R57" s="1097"/>
      <c r="S57" s="1097"/>
      <c r="T57" s="1097"/>
      <c r="U57" s="1067" t="s">
        <v>2000</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7641</v>
      </c>
      <c r="C58" s="1074" t="s">
        <v>239</v>
      </c>
      <c r="D58" s="1029" t="s">
        <v>492</v>
      </c>
      <c r="E58" s="1067" t="s">
        <v>350</v>
      </c>
      <c r="F58" s="1049" t="s">
        <v>5474</v>
      </c>
      <c r="G58" s="1022" t="s">
        <v>1269</v>
      </c>
      <c r="H58" s="1022" t="s">
        <v>366</v>
      </c>
      <c r="I58" s="1067"/>
      <c r="J58" s="1067"/>
      <c r="K58" s="1067"/>
      <c r="L58" s="1067"/>
      <c r="M58" s="1067"/>
      <c r="N58" s="1067"/>
      <c r="O58" s="1067" t="s">
        <v>5474</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7642</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7522</v>
      </c>
      <c r="B60" s="1101" t="s">
        <v>7634</v>
      </c>
      <c r="C60" s="1074" t="s">
        <v>3833</v>
      </c>
      <c r="D60" s="1067"/>
      <c r="E60" s="1067" t="s">
        <v>5136</v>
      </c>
      <c r="F60" s="1021"/>
      <c r="G60" s="1040"/>
      <c r="H60" s="1067"/>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7638</v>
      </c>
      <c r="C61" s="1074" t="s">
        <v>467</v>
      </c>
      <c r="D61" s="1067"/>
      <c r="E61" s="1067" t="s">
        <v>7643</v>
      </c>
      <c r="F61" s="1102"/>
      <c r="G61" s="1040"/>
      <c r="H61" s="1067" t="s">
        <v>467</v>
      </c>
      <c r="I61" s="1067"/>
      <c r="J61" s="1067"/>
      <c r="K61" s="1067"/>
      <c r="L61" s="1067"/>
      <c r="M61" s="1067"/>
      <c r="N61" s="1067"/>
      <c r="O61" s="1067"/>
      <c r="P61" s="1025" t="s">
        <v>7644</v>
      </c>
      <c r="Q61" s="1067" t="s">
        <v>2148</v>
      </c>
      <c r="R61" s="1067"/>
      <c r="S61" s="1067"/>
      <c r="T61" s="1067"/>
      <c r="U61" s="1067"/>
      <c r="V61" s="1032"/>
      <c r="W61" s="1067"/>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7639</v>
      </c>
      <c r="C62" s="1074" t="s">
        <v>1365</v>
      </c>
      <c r="D62" s="1067" t="s">
        <v>5031</v>
      </c>
      <c r="E62" s="1097"/>
      <c r="F62" s="1021"/>
      <c r="G62" s="1040"/>
      <c r="H62" s="1022" t="s">
        <v>671</v>
      </c>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7641</v>
      </c>
      <c r="C63" s="1074" t="s">
        <v>414</v>
      </c>
      <c r="D63" s="1067"/>
      <c r="E63" s="1067" t="s">
        <v>2659</v>
      </c>
      <c r="F63" s="1103" t="s">
        <v>5825</v>
      </c>
      <c r="G63" s="1022" t="s">
        <v>7645</v>
      </c>
      <c r="H63" s="1022" t="s">
        <v>621</v>
      </c>
      <c r="I63" s="1067"/>
      <c r="J63" s="1067"/>
      <c r="K63" s="1067"/>
      <c r="L63" s="1067"/>
      <c r="M63" s="1067"/>
      <c r="N63" s="1067"/>
      <c r="O63" s="1022" t="s">
        <v>3980</v>
      </c>
      <c r="P63" s="1025" t="s">
        <v>7646</v>
      </c>
      <c r="Q63" s="1067" t="s">
        <v>7554</v>
      </c>
      <c r="R63" s="1067" t="s">
        <v>193</v>
      </c>
      <c r="S63" s="1067"/>
      <c r="T63" s="1067"/>
      <c r="U63" s="1067"/>
      <c r="V63" s="1032"/>
      <c r="W63" s="1067"/>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7515</v>
      </c>
      <c r="B64" s="1105" t="s">
        <v>7647</v>
      </c>
      <c r="C64" s="1074" t="s">
        <v>4136</v>
      </c>
      <c r="D64" s="1032"/>
      <c r="E64" s="1032"/>
      <c r="F64" s="1049" t="s">
        <v>7648</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7649</v>
      </c>
      <c r="C65" s="1042" t="s">
        <v>5004</v>
      </c>
      <c r="D65" s="1067"/>
      <c r="E65" s="1067"/>
      <c r="F65" s="1103" t="s">
        <v>5004</v>
      </c>
      <c r="G65" s="1040"/>
      <c r="H65" s="1044" t="s">
        <v>5004</v>
      </c>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7502</v>
      </c>
      <c r="B66" s="1088" t="s">
        <v>7501</v>
      </c>
      <c r="C66" s="1107" t="s">
        <v>2553</v>
      </c>
      <c r="D66" s="1072" t="s">
        <v>7650</v>
      </c>
      <c r="E66" s="1072"/>
      <c r="F66" s="1103" t="s">
        <v>2553</v>
      </c>
      <c r="G66" s="1040"/>
      <c r="H66" s="1072" t="s">
        <v>2260</v>
      </c>
      <c r="I66" s="1072"/>
      <c r="J66" s="1072"/>
      <c r="K66" s="1072"/>
      <c r="L66" s="1072"/>
      <c r="M66" s="1072"/>
      <c r="N66" s="1072"/>
      <c r="O66" s="1072"/>
      <c r="P66" s="1073"/>
      <c r="Q66" s="1072"/>
      <c r="R66" s="1072"/>
      <c r="S66" s="1072"/>
      <c r="T66" s="1072"/>
      <c r="U66" s="1072"/>
      <c r="V66" s="1091"/>
      <c r="W66" s="1072"/>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7515</v>
      </c>
      <c r="B67" s="1101" t="s">
        <v>7651</v>
      </c>
      <c r="C67" s="1074" t="s">
        <v>3740</v>
      </c>
      <c r="D67" s="1072"/>
      <c r="E67" s="1072"/>
      <c r="F67" s="1021"/>
      <c r="G67" s="1040"/>
      <c r="H67" s="1022">
        <v>35.06</v>
      </c>
      <c r="I67" s="1072"/>
      <c r="J67" s="1072"/>
      <c r="K67" s="1072"/>
      <c r="L67" s="1072"/>
      <c r="M67" s="1072"/>
      <c r="N67" s="1072"/>
      <c r="O67" s="1072"/>
      <c r="P67" s="1073"/>
      <c r="Q67" s="1072"/>
      <c r="R67" s="1072"/>
      <c r="S67" s="1072"/>
      <c r="T67" s="1072"/>
      <c r="U67" s="1072" t="s">
        <v>7652</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7653</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7654</v>
      </c>
      <c r="C68" s="1109"/>
      <c r="D68" s="1025"/>
      <c r="E68" s="1025"/>
      <c r="F68" s="1110"/>
      <c r="G68" s="1040"/>
      <c r="H68" s="1025"/>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7655</v>
      </c>
      <c r="C69" s="1048" t="s">
        <v>1140</v>
      </c>
      <c r="D69" s="1025" t="s">
        <v>7554</v>
      </c>
      <c r="E69" s="1025"/>
      <c r="F69" s="1049" t="s">
        <v>1140</v>
      </c>
      <c r="G69" s="1040"/>
      <c r="H69" s="1077" t="s">
        <v>1251</v>
      </c>
      <c r="I69" s="1025"/>
      <c r="J69" s="1025"/>
      <c r="K69" s="1025"/>
      <c r="L69" s="1025"/>
      <c r="M69" s="1025"/>
      <c r="N69" s="1025"/>
      <c r="O69" s="1025"/>
      <c r="P69" s="1025"/>
      <c r="Q69" s="1025"/>
      <c r="R69" s="1023" t="s">
        <v>7648</v>
      </c>
      <c r="S69" s="1025"/>
      <c r="T69" s="1025"/>
      <c r="U69" s="1023" t="s">
        <v>7656</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7522</v>
      </c>
      <c r="B70" s="1101" t="s">
        <v>7651</v>
      </c>
      <c r="C70" s="1038" t="s">
        <v>1026</v>
      </c>
      <c r="D70" s="1025" t="s">
        <v>4217</v>
      </c>
      <c r="E70" s="1025"/>
      <c r="F70" s="1021"/>
      <c r="G70" s="1040"/>
      <c r="H70" s="1025"/>
      <c r="I70" s="1025"/>
      <c r="J70" s="1077" t="s">
        <v>6373</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7657</v>
      </c>
      <c r="C71" s="1038" t="s">
        <v>467</v>
      </c>
      <c r="D71" s="1029" t="s">
        <v>2353</v>
      </c>
      <c r="E71" s="1029" t="s">
        <v>3480</v>
      </c>
      <c r="F71" s="1103" t="s">
        <v>7658</v>
      </c>
      <c r="G71" s="1040"/>
      <c r="H71" s="1029" t="s">
        <v>573</v>
      </c>
      <c r="I71" s="1029"/>
      <c r="J71" s="1029" t="s">
        <v>7658</v>
      </c>
      <c r="K71" s="1029"/>
      <c r="L71" s="1029"/>
      <c r="M71" s="1029" t="s">
        <v>3480</v>
      </c>
      <c r="N71" s="1029"/>
      <c r="O71" s="1029"/>
      <c r="P71" s="1025"/>
      <c r="Q71" s="1029"/>
      <c r="R71" s="1029"/>
      <c r="S71" s="1029"/>
      <c r="T71" s="1029" t="s">
        <v>2839</v>
      </c>
      <c r="U71" s="1067" t="s">
        <v>5659</v>
      </c>
      <c r="V71" s="1091"/>
      <c r="W71" s="1029"/>
      <c r="X71" s="1029" t="s">
        <v>3375</v>
      </c>
      <c r="Y71" s="1029" t="s">
        <v>5073</v>
      </c>
      <c r="Z71" s="1029"/>
      <c r="AA71" s="1029" t="s">
        <v>4826</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7659</v>
      </c>
      <c r="B72" s="1088" t="s">
        <v>7660</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065" t="s">
        <v>7661</v>
      </c>
      <c r="W72" s="1113" t="s">
        <v>7662</v>
      </c>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7663</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7664</v>
      </c>
      <c r="C74" s="1074" t="s">
        <v>662</v>
      </c>
      <c r="D74" s="1029" t="s">
        <v>1271</v>
      </c>
      <c r="E74" s="1072" t="s">
        <v>909</v>
      </c>
      <c r="F74" s="1103" t="s">
        <v>1891</v>
      </c>
      <c r="G74" s="1022" t="s">
        <v>1271</v>
      </c>
      <c r="H74" s="1072" t="s">
        <v>1208</v>
      </c>
      <c r="I74" s="1072" t="s">
        <v>1428</v>
      </c>
      <c r="J74" s="1072" t="s">
        <v>4375</v>
      </c>
      <c r="K74" s="1072" t="s">
        <v>3106</v>
      </c>
      <c r="L74" s="1072" t="s">
        <v>7665</v>
      </c>
      <c r="M74" s="1072" t="s">
        <v>5925</v>
      </c>
      <c r="N74" s="1072" t="s">
        <v>358</v>
      </c>
      <c r="O74" s="1072" t="s">
        <v>6162</v>
      </c>
      <c r="P74" s="1073"/>
      <c r="Q74" s="1072" t="s">
        <v>1958</v>
      </c>
      <c r="R74" s="1072"/>
      <c r="S74" s="1072" t="s">
        <v>1608</v>
      </c>
      <c r="T74" s="1072"/>
      <c r="U74" s="1072"/>
      <c r="V74" s="1115" t="s">
        <v>5649</v>
      </c>
      <c r="W74" s="1072"/>
      <c r="X74" s="1072"/>
      <c r="Y74" s="1072"/>
      <c r="Z74" s="1072"/>
      <c r="AA74" s="1072"/>
      <c r="AB74" s="1072" t="s">
        <v>3578</v>
      </c>
      <c r="AC74" s="1072"/>
      <c r="AD74" s="1072"/>
      <c r="AE74" s="1072"/>
      <c r="AF74" s="1072"/>
      <c r="AG74" s="1072"/>
      <c r="AH74" s="1072"/>
      <c r="AI74" s="1072" t="s">
        <v>662</v>
      </c>
      <c r="AJ74" s="1072"/>
      <c r="AK74" s="1090"/>
      <c r="AL74" s="1072" t="s">
        <v>7666</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7667</v>
      </c>
      <c r="B75" s="1088" t="s">
        <v>7668</v>
      </c>
      <c r="C75" s="1074" t="s">
        <v>2200</v>
      </c>
      <c r="D75" s="1029"/>
      <c r="E75" s="1029" t="s">
        <v>2200</v>
      </c>
      <c r="F75" s="1094"/>
      <c r="G75" s="1022" t="s">
        <v>6612</v>
      </c>
      <c r="H75" s="1029"/>
      <c r="I75" s="1029" t="s">
        <v>7669</v>
      </c>
      <c r="J75" s="1029"/>
      <c r="K75" s="1029" t="s">
        <v>4228</v>
      </c>
      <c r="L75" s="1029"/>
      <c r="M75" s="1029"/>
      <c r="N75" s="1029" t="s">
        <v>7670</v>
      </c>
      <c r="O75" s="1029"/>
      <c r="P75" s="1025"/>
      <c r="Q75" s="1029"/>
      <c r="R75" s="1029"/>
      <c r="S75" s="1029"/>
      <c r="T75" s="1029"/>
      <c r="U75" s="1029"/>
      <c r="V75" s="1089" t="s">
        <v>7671</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7672</v>
      </c>
      <c r="C76" s="1074" t="s">
        <v>353</v>
      </c>
      <c r="D76" s="1029" t="s">
        <v>1476</v>
      </c>
      <c r="E76" s="1029" t="s">
        <v>353</v>
      </c>
      <c r="F76" s="1035" t="s">
        <v>359</v>
      </c>
      <c r="G76" s="1022" t="s">
        <v>1272</v>
      </c>
      <c r="H76" s="1029" t="s">
        <v>1537</v>
      </c>
      <c r="I76" s="1029" t="s">
        <v>1429</v>
      </c>
      <c r="J76" s="1029" t="s">
        <v>4990</v>
      </c>
      <c r="K76" s="1029" t="s">
        <v>7673</v>
      </c>
      <c r="L76" s="1029" t="s">
        <v>910</v>
      </c>
      <c r="M76" s="1029" t="s">
        <v>754</v>
      </c>
      <c r="N76" s="1029" t="s">
        <v>1358</v>
      </c>
      <c r="O76" s="1029" t="s">
        <v>2324</v>
      </c>
      <c r="P76" s="1025" t="s">
        <v>3878</v>
      </c>
      <c r="Q76" s="1029" t="s">
        <v>7674</v>
      </c>
      <c r="R76" s="1029"/>
      <c r="S76" s="1029" t="s">
        <v>4632</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7515</v>
      </c>
      <c r="B77" s="1101" t="s">
        <v>7675</v>
      </c>
      <c r="C77" s="1038" t="s">
        <v>7676</v>
      </c>
      <c r="D77" s="1029"/>
      <c r="E77" s="1029"/>
      <c r="F77" s="1094"/>
      <c r="G77" s="1040"/>
      <c r="H77" s="1029"/>
      <c r="I77" s="1029"/>
      <c r="J77" s="1029"/>
      <c r="K77" s="1029"/>
      <c r="L77" s="1029"/>
      <c r="M77" s="1029"/>
      <c r="N77" s="1029"/>
      <c r="O77" s="1029"/>
      <c r="P77" s="1025"/>
      <c r="Q77" s="1029"/>
      <c r="R77" s="1029"/>
      <c r="S77" s="1029"/>
      <c r="T77" s="1029"/>
      <c r="U77" s="1024"/>
      <c r="V77" s="1065" t="s">
        <v>1764</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7676</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7677</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7678</v>
      </c>
      <c r="C79" s="1074" t="s">
        <v>354</v>
      </c>
      <c r="D79" s="1029" t="s">
        <v>1567</v>
      </c>
      <c r="E79" s="1029" t="s">
        <v>755</v>
      </c>
      <c r="F79" s="1055" t="s">
        <v>1051</v>
      </c>
      <c r="G79" s="1022" t="s">
        <v>1273</v>
      </c>
      <c r="H79" s="1029" t="s">
        <v>6225</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5021</v>
      </c>
      <c r="R79" s="1029"/>
      <c r="S79" s="1029"/>
      <c r="T79" s="1029"/>
      <c r="U79" s="1023" t="s">
        <v>1607</v>
      </c>
      <c r="V79" s="1089"/>
      <c r="W79" s="1029" t="s">
        <v>968</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7679</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7522</v>
      </c>
      <c r="B80" s="1101" t="s">
        <v>7668</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65" t="s">
        <v>5232</v>
      </c>
      <c r="W80" s="1029"/>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7680</v>
      </c>
      <c r="C81" s="1074" t="s">
        <v>2741</v>
      </c>
      <c r="D81" s="1029" t="s">
        <v>2535</v>
      </c>
      <c r="E81" s="1029" t="s">
        <v>2402</v>
      </c>
      <c r="F81" s="1049" t="s">
        <v>7681</v>
      </c>
      <c r="G81" s="1022" t="s">
        <v>7682</v>
      </c>
      <c r="H81" s="1029"/>
      <c r="I81" s="1029"/>
      <c r="J81" s="1029"/>
      <c r="K81" s="1029"/>
      <c r="L81" s="1029"/>
      <c r="M81" s="1029" t="s">
        <v>7683</v>
      </c>
      <c r="N81" s="1029"/>
      <c r="O81" s="1029"/>
      <c r="P81" s="1025" t="s">
        <v>7684</v>
      </c>
      <c r="Q81" s="1029"/>
      <c r="R81" s="1029"/>
      <c r="S81" s="1029" t="s">
        <v>4043</v>
      </c>
      <c r="T81" s="1029"/>
      <c r="U81" s="1029"/>
      <c r="V81" s="1091"/>
      <c r="W81" s="1029"/>
      <c r="X81" s="1029" t="s">
        <v>7684</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7685</v>
      </c>
      <c r="C82" s="1074" t="s">
        <v>3018</v>
      </c>
      <c r="D82" s="1067"/>
      <c r="E82" s="1067"/>
      <c r="F82" s="1103" t="s">
        <v>1842</v>
      </c>
      <c r="G82" s="1040"/>
      <c r="H82" s="1113" t="s">
        <v>3018</v>
      </c>
      <c r="I82" s="1067"/>
      <c r="J82" s="1067"/>
      <c r="K82" s="1067"/>
      <c r="L82" s="1067"/>
      <c r="M82" s="1067"/>
      <c r="N82" s="1067"/>
      <c r="O82" s="1067" t="s">
        <v>3018</v>
      </c>
      <c r="P82" s="1025" t="s">
        <v>4968</v>
      </c>
      <c r="Q82" s="1067"/>
      <c r="R82" s="1067"/>
      <c r="S82" s="1067"/>
      <c r="T82" s="1067"/>
      <c r="U82" s="1067"/>
      <c r="V82" s="1032"/>
      <c r="W82" s="1067"/>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7559</v>
      </c>
      <c r="B83" s="1088" t="s">
        <v>7686</v>
      </c>
      <c r="C83" s="1074" t="s">
        <v>2256</v>
      </c>
      <c r="D83" s="1029"/>
      <c r="E83" s="1029" t="s">
        <v>2256</v>
      </c>
      <c r="F83" s="1094"/>
      <c r="G83" s="1022" t="s">
        <v>7687</v>
      </c>
      <c r="H83" s="1029"/>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7688</v>
      </c>
      <c r="C84" s="1074" t="s">
        <v>2689</v>
      </c>
      <c r="D84" s="1029" t="s">
        <v>3648</v>
      </c>
      <c r="E84" s="1029" t="s">
        <v>2689</v>
      </c>
      <c r="F84" s="1021"/>
      <c r="G84" s="1040"/>
      <c r="H84" s="1029"/>
      <c r="I84" s="1029"/>
      <c r="J84" s="1029"/>
      <c r="K84" s="1029" t="s">
        <v>7689</v>
      </c>
      <c r="L84" s="1029" t="s">
        <v>5181</v>
      </c>
      <c r="M84" s="1029"/>
      <c r="N84" s="1029" t="str">
        <f>HYPERLINK("https://youtu.be/HUwmtKe7cOY","56.54")</f>
        <v>56.54</v>
      </c>
      <c r="O84" s="1029"/>
      <c r="P84" s="1025" t="s">
        <v>3820</v>
      </c>
      <c r="Q84" s="1029"/>
      <c r="R84" s="1029"/>
      <c r="S84" s="1029"/>
      <c r="T84" s="1029"/>
      <c r="U84" s="1029" t="s">
        <v>7690</v>
      </c>
      <c r="V84" s="1089" t="s">
        <v>7691</v>
      </c>
      <c r="W84" s="1029" t="s">
        <v>2279</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7692</v>
      </c>
      <c r="C85" s="1074" t="s">
        <v>949</v>
      </c>
      <c r="D85" s="1029" t="s">
        <v>1568</v>
      </c>
      <c r="E85" s="1029" t="s">
        <v>5537</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7693</v>
      </c>
      <c r="B86" s="1088" t="s">
        <v>7694</v>
      </c>
      <c r="C86" s="1074" t="s">
        <v>3509</v>
      </c>
      <c r="D86" s="1029"/>
      <c r="E86" s="1029" t="s">
        <v>7695</v>
      </c>
      <c r="F86" s="1021"/>
      <c r="G86" s="1022" t="s">
        <v>5218</v>
      </c>
      <c r="H86" s="1029"/>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7696</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32"/>
      <c r="W87" s="1097"/>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7697</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7698</v>
      </c>
      <c r="C88" s="1119" t="s">
        <v>6589</v>
      </c>
      <c r="D88" s="1120" t="s">
        <v>7699</v>
      </c>
      <c r="E88" s="1121" t="s">
        <v>2390</v>
      </c>
      <c r="F88" s="1121" t="s">
        <v>758</v>
      </c>
      <c r="G88" s="1121" t="s">
        <v>666</v>
      </c>
      <c r="H88" s="1120" t="s">
        <v>758</v>
      </c>
      <c r="I88" s="1121" t="s">
        <v>2441</v>
      </c>
      <c r="J88" s="1121" t="s">
        <v>1276</v>
      </c>
      <c r="K88" s="1120" t="s">
        <v>3110</v>
      </c>
      <c r="L88" s="1120" t="s">
        <v>7700</v>
      </c>
      <c r="M88" s="993"/>
      <c r="N88" s="993"/>
      <c r="O88" s="1121" t="s">
        <v>6589</v>
      </c>
      <c r="P88" s="1121" t="s">
        <v>7701</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7702</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7703</v>
      </c>
      <c r="B89" s="1105" t="s">
        <v>7501</v>
      </c>
      <c r="C89" s="1107" t="s">
        <v>7704</v>
      </c>
      <c r="D89" s="1023" t="s">
        <v>7705</v>
      </c>
      <c r="E89" s="1067"/>
      <c r="F89" s="1103" t="s">
        <v>5473</v>
      </c>
      <c r="G89" s="1040"/>
      <c r="H89" s="1023" t="s">
        <v>7704</v>
      </c>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7706</v>
      </c>
      <c r="B90" s="1105" t="s">
        <v>7501</v>
      </c>
      <c r="C90" s="1048" t="s">
        <v>7707</v>
      </c>
      <c r="D90" s="1023" t="s">
        <v>7708</v>
      </c>
      <c r="E90" s="1067"/>
      <c r="F90" s="1069" t="s">
        <v>7709</v>
      </c>
      <c r="G90" s="1040"/>
      <c r="H90" s="1023" t="s">
        <v>7707</v>
      </c>
      <c r="I90" s="1067"/>
      <c r="J90" s="1067"/>
      <c r="K90" s="1067"/>
      <c r="L90" s="1067"/>
      <c r="M90" s="1067"/>
      <c r="N90" s="1067"/>
      <c r="O90" s="1067"/>
      <c r="P90" s="1025"/>
      <c r="Q90" s="1067"/>
      <c r="R90" s="1067"/>
      <c r="S90" s="1067"/>
      <c r="T90" s="1067"/>
      <c r="U90" s="1023" t="s">
        <v>7710</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7608</v>
      </c>
      <c r="B91" s="1088" t="s">
        <v>7609</v>
      </c>
      <c r="C91" s="1074" t="s">
        <v>5351</v>
      </c>
      <c r="D91" s="1029" t="s">
        <v>7092</v>
      </c>
      <c r="E91" s="1029" t="s">
        <v>5351</v>
      </c>
      <c r="F91" s="1094"/>
      <c r="G91" s="1040"/>
      <c r="H91" s="1029" t="s">
        <v>5351</v>
      </c>
      <c r="I91" s="1029" t="s">
        <v>5164</v>
      </c>
      <c r="J91" s="1029"/>
      <c r="K91" s="1029" t="s">
        <v>4739</v>
      </c>
      <c r="L91" s="1029"/>
      <c r="M91" s="1029" t="s">
        <v>3697</v>
      </c>
      <c r="N91" s="1029" t="str">
        <f>HYPERLINK("https://youtu.be/HjDDp_Mj_yI","16.74")</f>
        <v>16.74</v>
      </c>
      <c r="O91" s="1029"/>
      <c r="P91" s="1025" t="s">
        <v>6447</v>
      </c>
      <c r="Q91" s="1029"/>
      <c r="R91" s="1029" t="s">
        <v>5351</v>
      </c>
      <c r="S91" s="1029"/>
      <c r="T91" s="1029"/>
      <c r="U91" s="1029"/>
      <c r="V91" s="1065" t="s">
        <v>7711</v>
      </c>
      <c r="W91" s="1029" t="s">
        <v>5164</v>
      </c>
      <c r="X91" s="1029"/>
      <c r="Y91" s="1029"/>
      <c r="Z91" s="1029"/>
      <c r="AA91" s="1029"/>
      <c r="AB91" s="1029"/>
      <c r="AC91" s="1029"/>
      <c r="AD91" s="1029"/>
      <c r="AE91" s="1029" t="s">
        <v>5351</v>
      </c>
      <c r="AF91" s="1029"/>
      <c r="AG91" s="1029"/>
      <c r="AH91" s="1029"/>
      <c r="AI91" s="1029"/>
      <c r="AJ91" s="1029"/>
      <c r="AK91" s="1090"/>
      <c r="AL91" s="1029"/>
      <c r="AM91" s="1029"/>
      <c r="AN91" s="1029" t="s">
        <v>5622</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7712</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91"/>
      <c r="W92" s="1029"/>
      <c r="X92" s="1029"/>
      <c r="Y92" s="1029"/>
      <c r="Z92" s="1029"/>
      <c r="AA92" s="1029"/>
      <c r="AB92" s="1029"/>
      <c r="AC92" s="1029"/>
      <c r="AD92" s="1029"/>
      <c r="AE92" s="1029" t="s">
        <v>6725</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7713</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7714</v>
      </c>
      <c r="C94" s="1074" t="s">
        <v>1072</v>
      </c>
      <c r="D94" s="1029" t="s">
        <v>1570</v>
      </c>
      <c r="E94" s="1023" t="s">
        <v>358</v>
      </c>
      <c r="F94" s="1021"/>
      <c r="G94" s="1022" t="s">
        <v>1277</v>
      </c>
      <c r="H94" s="1023" t="s">
        <v>1072</v>
      </c>
      <c r="I94" s="1024"/>
      <c r="J94" s="1023" t="s">
        <v>7715</v>
      </c>
      <c r="K94" s="1024"/>
      <c r="L94" s="1024" t="s">
        <v>125</v>
      </c>
      <c r="M94" s="1023" t="s">
        <v>6083</v>
      </c>
      <c r="N94" s="1024"/>
      <c r="O94" s="1023" t="s">
        <v>125</v>
      </c>
      <c r="P94" s="1025" t="s">
        <v>125</v>
      </c>
      <c r="Q94" s="1024"/>
      <c r="R94" s="1024"/>
      <c r="S94" s="1024"/>
      <c r="T94" s="1024"/>
      <c r="U94" s="1024"/>
      <c r="V94" s="1091"/>
      <c r="W94" s="1024"/>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7716</v>
      </c>
      <c r="C95" s="1074" t="s">
        <v>2476</v>
      </c>
      <c r="D95" s="1029" t="s">
        <v>2476</v>
      </c>
      <c r="E95" s="1029"/>
      <c r="F95" s="1110" t="s">
        <v>2476</v>
      </c>
      <c r="G95" s="1040"/>
      <c r="H95" s="1024" t="s">
        <v>5013</v>
      </c>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7612</v>
      </c>
      <c r="B96" s="1088" t="s">
        <v>7717</v>
      </c>
      <c r="C96" s="1074" t="s">
        <v>359</v>
      </c>
      <c r="D96" s="983" t="s">
        <v>1571</v>
      </c>
      <c r="E96" s="1029" t="s">
        <v>1755</v>
      </c>
      <c r="F96" s="1021"/>
      <c r="G96" s="1022" t="s">
        <v>5005</v>
      </c>
      <c r="H96" s="1029"/>
      <c r="I96" s="1029" t="str">
        <f>HYPERLINK("https://youtu.be/VjOXmvP4h2s","46.37")</f>
        <v>46.37</v>
      </c>
      <c r="J96" s="1029" t="s">
        <v>359</v>
      </c>
      <c r="K96" s="1029"/>
      <c r="L96" s="1029"/>
      <c r="M96" s="1029"/>
      <c r="N96" s="1029" t="s">
        <v>3426</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6648</v>
      </c>
      <c r="BM96" s="1032"/>
      <c r="BN96" s="1032"/>
      <c r="BO96" s="1032"/>
    </row>
    <row r="97" ht="15.75" customHeight="1">
      <c r="A97" s="1087" t="s">
        <v>7718</v>
      </c>
      <c r="B97" s="1088" t="s">
        <v>7615</v>
      </c>
      <c r="C97" s="1074" t="s">
        <v>7719</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7720</v>
      </c>
      <c r="B98" s="1105" t="s">
        <v>7615</v>
      </c>
      <c r="C98" s="1074" t="s">
        <v>7721</v>
      </c>
      <c r="D98" s="1075" t="s">
        <v>7721</v>
      </c>
      <c r="E98" s="1029"/>
      <c r="F98" s="1021"/>
      <c r="G98" s="1040"/>
      <c r="H98" s="1029"/>
      <c r="I98" s="1029"/>
      <c r="J98" s="1029"/>
      <c r="K98" s="1029"/>
      <c r="L98" s="1029"/>
      <c r="M98" s="1029"/>
      <c r="N98" s="1029"/>
      <c r="O98" s="1029"/>
      <c r="P98" s="1025"/>
      <c r="Q98" s="1029"/>
      <c r="R98" s="1029"/>
      <c r="S98" s="1029"/>
      <c r="T98" s="1029"/>
      <c r="U98" s="1023" t="s">
        <v>7722</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7501</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7723</v>
      </c>
      <c r="D100" s="1124"/>
      <c r="E100" s="1124"/>
      <c r="F100" s="1125"/>
      <c r="G100" s="1126"/>
      <c r="H100" s="1124"/>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7500</v>
      </c>
      <c r="B101" s="1130"/>
      <c r="C101" s="1131" t="s">
        <v>4204</v>
      </c>
      <c r="D101" s="983" t="s">
        <v>1574</v>
      </c>
      <c r="E101" s="1132" t="s">
        <v>2442</v>
      </c>
      <c r="F101" s="1021"/>
      <c r="G101" s="1022" t="s">
        <v>6054</v>
      </c>
      <c r="H101" s="1132"/>
      <c r="I101" s="1132" t="str">
        <f>HYPERLINK("https://youtu.be/ycBfir2aflI","41.70")</f>
        <v>41.70</v>
      </c>
      <c r="J101" s="1132" t="s">
        <v>7534</v>
      </c>
      <c r="K101" s="1132"/>
      <c r="L101" s="1132" t="s">
        <v>916</v>
      </c>
      <c r="M101" s="1132"/>
      <c r="N101" s="1132" t="str">
        <f>HYPERLINK("https://youtu.be/OxlK2SgEm_U","42.73")</f>
        <v>42.73</v>
      </c>
      <c r="O101" s="1132"/>
      <c r="P101" s="1133" t="s">
        <v>1906</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7515</v>
      </c>
      <c r="B102" s="1137"/>
      <c r="C102" s="1131" t="s">
        <v>1617</v>
      </c>
      <c r="D102" s="983" t="s">
        <v>1575</v>
      </c>
      <c r="E102" s="1138"/>
      <c r="F102" s="1139"/>
      <c r="G102" s="1022" t="s">
        <v>7643</v>
      </c>
      <c r="H102" s="1138"/>
      <c r="I102" s="1132" t="s">
        <v>3342</v>
      </c>
      <c r="J102" s="1132" t="s">
        <v>4155</v>
      </c>
      <c r="K102" s="1138" t="s">
        <v>1233</v>
      </c>
      <c r="L102" s="1138" t="s">
        <v>917</v>
      </c>
      <c r="M102" s="1132" t="s">
        <v>762</v>
      </c>
      <c r="N102" s="1138" t="s">
        <v>3722</v>
      </c>
      <c r="O102" s="1132" t="s">
        <v>1617</v>
      </c>
      <c r="P102" s="1140" t="s">
        <v>2917</v>
      </c>
      <c r="Q102" s="1138"/>
      <c r="R102" s="1138" t="s">
        <v>5856</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7522</v>
      </c>
      <c r="B103" s="1141"/>
      <c r="C103" s="1131" t="s">
        <v>3400</v>
      </c>
      <c r="D103" s="1142" t="s">
        <v>4515</v>
      </c>
      <c r="E103" s="1138"/>
      <c r="F103" s="1021"/>
      <c r="G103" s="1022" t="s">
        <v>6103</v>
      </c>
      <c r="H103" s="1138"/>
      <c r="I103" s="1138"/>
      <c r="J103" s="1132" t="s">
        <v>3400</v>
      </c>
      <c r="K103" s="1138"/>
      <c r="L103" s="1138" t="s">
        <v>3480</v>
      </c>
      <c r="M103" s="1138"/>
      <c r="N103" s="1138"/>
      <c r="O103" s="1138"/>
      <c r="P103" s="1140"/>
      <c r="Q103" s="1138"/>
      <c r="R103" s="1138"/>
      <c r="S103" s="1138"/>
      <c r="T103" s="1138" t="s">
        <v>1899</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7724</v>
      </c>
      <c r="B104" s="1143" t="s">
        <v>7725</v>
      </c>
      <c r="C104" s="1131" t="s">
        <v>1513</v>
      </c>
      <c r="D104" s="980" t="s">
        <v>7726</v>
      </c>
      <c r="E104" s="1138"/>
      <c r="F104" s="1021"/>
      <c r="G104" s="1022" t="s">
        <v>1282</v>
      </c>
      <c r="H104" s="1138"/>
      <c r="I104" s="1138" t="s">
        <v>6869</v>
      </c>
      <c r="J104" s="1132" t="s">
        <v>7727</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7728</v>
      </c>
      <c r="C105" s="1131" t="s">
        <v>7729</v>
      </c>
      <c r="D105" s="983" t="s">
        <v>1576</v>
      </c>
      <c r="E105" s="1138"/>
      <c r="F105" s="1139"/>
      <c r="G105" s="1040"/>
      <c r="H105" s="1138"/>
      <c r="I105" s="1138"/>
      <c r="J105" s="1132" t="s">
        <v>7729</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7659</v>
      </c>
      <c r="B106" s="1143" t="s">
        <v>7730</v>
      </c>
      <c r="C106" s="1131" t="s">
        <v>5712</v>
      </c>
      <c r="D106" s="980" t="s">
        <v>6807</v>
      </c>
      <c r="E106" s="1138"/>
      <c r="F106" s="1021"/>
      <c r="G106" s="1022" t="s">
        <v>611</v>
      </c>
      <c r="H106" s="1138"/>
      <c r="I106" s="1138"/>
      <c r="J106" s="1132" t="s">
        <v>7731</v>
      </c>
      <c r="K106" s="1138" t="s">
        <v>3640</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7732</v>
      </c>
      <c r="BG106" s="1138"/>
      <c r="BH106" s="1138"/>
      <c r="BI106" s="1134"/>
      <c r="BJ106" s="1134"/>
      <c r="BK106" s="1134"/>
      <c r="BL106" s="1134"/>
      <c r="BM106" s="1134"/>
      <c r="BN106" s="1134"/>
      <c r="BO106" s="1134"/>
    </row>
    <row r="107" ht="15.75" customHeight="1">
      <c r="A107" s="1129" t="s">
        <v>7667</v>
      </c>
      <c r="B107" s="1143" t="s">
        <v>7733</v>
      </c>
      <c r="C107" s="1131" t="s">
        <v>7734</v>
      </c>
      <c r="D107" s="980" t="s">
        <v>3719</v>
      </c>
      <c r="E107" s="1138"/>
      <c r="F107" s="1139"/>
      <c r="G107" s="1022" t="s">
        <v>134</v>
      </c>
      <c r="H107" s="1138"/>
      <c r="I107" s="1138" t="s">
        <v>7735</v>
      </c>
      <c r="J107" s="1132" t="s">
        <v>7736</v>
      </c>
      <c r="K107" s="1138" t="s">
        <v>3641</v>
      </c>
      <c r="L107" s="1138" t="s">
        <v>919</v>
      </c>
      <c r="M107" s="1138"/>
      <c r="N107" s="1138" t="s">
        <v>2509</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7515</v>
      </c>
      <c r="B108" s="1137" t="s">
        <v>7733</v>
      </c>
      <c r="C108" s="1018" t="s">
        <v>7737</v>
      </c>
      <c r="D108" s="1075" t="s">
        <v>7648</v>
      </c>
      <c r="E108" s="1132" t="s">
        <v>367</v>
      </c>
      <c r="F108" s="1021"/>
      <c r="G108" s="1022" t="s">
        <v>7738</v>
      </c>
      <c r="H108" s="1132"/>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7737</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7522</v>
      </c>
      <c r="B109" s="1146" t="s">
        <v>7725</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7739</v>
      </c>
      <c r="B110" s="1147" t="s">
        <v>7501</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7693</v>
      </c>
      <c r="B111" s="1143" t="s">
        <v>7615</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7740</v>
      </c>
      <c r="C112" s="1131" t="s">
        <v>1257</v>
      </c>
      <c r="D112" s="983" t="s">
        <v>1579</v>
      </c>
      <c r="E112" s="1138"/>
      <c r="F112" s="1021"/>
      <c r="G112" s="1022" t="s">
        <v>1285</v>
      </c>
      <c r="H112" s="1138"/>
      <c r="I112" s="1138" t="s">
        <v>7741</v>
      </c>
      <c r="J112" s="1132" t="s">
        <v>1257</v>
      </c>
      <c r="K112" s="1138" t="s">
        <v>3643</v>
      </c>
      <c r="L112" s="1132" t="s">
        <v>920</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7608</v>
      </c>
      <c r="B113" s="1143" t="s">
        <v>7742</v>
      </c>
      <c r="C113" s="1131" t="s">
        <v>1055</v>
      </c>
      <c r="D113" s="1138" t="s">
        <v>1548</v>
      </c>
      <c r="F113" s="1149" t="s">
        <v>5484</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6103</v>
      </c>
      <c r="S113" s="1132"/>
      <c r="T113" s="1132"/>
      <c r="U113" s="1132"/>
      <c r="V113" s="1150" t="s">
        <v>7743</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7744</v>
      </c>
      <c r="C114" s="1131"/>
      <c r="D114" s="1132"/>
      <c r="E114" s="1132" t="s">
        <v>6103</v>
      </c>
      <c r="F114" s="1149" t="s">
        <v>3822</v>
      </c>
      <c r="G114" s="1040"/>
      <c r="H114" s="1132" t="s">
        <v>6103</v>
      </c>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7611</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7612</v>
      </c>
      <c r="B116" s="1143" t="s">
        <v>7745</v>
      </c>
      <c r="C116" s="1131" t="s">
        <v>2244</v>
      </c>
      <c r="D116" s="1138"/>
      <c r="E116" s="1138"/>
      <c r="F116" s="1139"/>
      <c r="G116" s="1022" t="s">
        <v>4254</v>
      </c>
      <c r="H116" s="1138"/>
      <c r="I116" s="1138"/>
      <c r="J116" s="1138"/>
      <c r="K116" s="1132" t="s">
        <v>4013</v>
      </c>
      <c r="L116" s="1138"/>
      <c r="M116" s="1138"/>
      <c r="N116" s="1138" t="s">
        <v>5405</v>
      </c>
      <c r="O116" s="1138"/>
      <c r="P116" s="1140"/>
      <c r="Q116" s="1138"/>
      <c r="R116" s="1138"/>
      <c r="S116" s="1138"/>
      <c r="T116" s="1138"/>
      <c r="U116" s="1138"/>
      <c r="V116" s="1153" t="s">
        <v>1680</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6420</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3794</v>
      </c>
      <c r="BJ116" s="1134"/>
      <c r="BK116" s="1134"/>
      <c r="BL116" s="1134"/>
      <c r="BM116" s="1134"/>
      <c r="BN116" s="1134"/>
      <c r="BO116" s="1134"/>
    </row>
    <row r="117" ht="15.75" customHeight="1">
      <c r="A117" s="1148"/>
      <c r="B117" s="1145" t="s">
        <v>7746</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4693</v>
      </c>
      <c r="V117" s="1032"/>
      <c r="W117" s="1138" t="s">
        <v>7747</v>
      </c>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7748</v>
      </c>
      <c r="C118" s="1131" t="s">
        <v>7749</v>
      </c>
      <c r="D118" s="1029" t="s">
        <v>1580</v>
      </c>
      <c r="E118" s="1132" t="s">
        <v>7749</v>
      </c>
      <c r="F118" s="1049" t="s">
        <v>2054</v>
      </c>
      <c r="G118" s="1040"/>
      <c r="H118" s="1138" t="s">
        <v>1931</v>
      </c>
      <c r="I118" s="1132" t="s">
        <v>259</v>
      </c>
      <c r="J118" s="1132" t="s">
        <v>4793</v>
      </c>
      <c r="K118" s="1132" t="s">
        <v>845</v>
      </c>
      <c r="L118" s="1132"/>
      <c r="M118" s="1132" t="s">
        <v>768</v>
      </c>
      <c r="N118" s="1132"/>
      <c r="O118" s="1132" t="s">
        <v>4234</v>
      </c>
      <c r="P118" s="1133" t="s">
        <v>6195</v>
      </c>
      <c r="Q118" s="1132" t="s">
        <v>2569</v>
      </c>
      <c r="R118" s="1132" t="s">
        <v>3371</v>
      </c>
      <c r="S118" s="1132"/>
      <c r="T118" s="1132" t="s">
        <v>6830</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7750</v>
      </c>
      <c r="C119" s="1131" t="s">
        <v>7751</v>
      </c>
      <c r="D119" s="1138"/>
      <c r="E119" s="1138"/>
      <c r="F119" s="1035" t="s">
        <v>2555</v>
      </c>
      <c r="G119" s="1040"/>
      <c r="H119" s="1138"/>
      <c r="I119" s="1138"/>
      <c r="J119" s="1138"/>
      <c r="K119" s="1138"/>
      <c r="L119" s="1138"/>
      <c r="M119" s="1138"/>
      <c r="N119" s="1138"/>
      <c r="O119" s="1138"/>
      <c r="P119" s="1140"/>
      <c r="Q119" s="1138"/>
      <c r="R119" s="1138"/>
      <c r="S119" s="1138" t="s">
        <v>7752</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7753</v>
      </c>
      <c r="B120" s="1147" t="s">
        <v>7615</v>
      </c>
      <c r="C120" s="1131" t="s">
        <v>923</v>
      </c>
      <c r="D120" s="983" t="s">
        <v>1582</v>
      </c>
      <c r="E120" s="1138"/>
      <c r="F120" s="1139"/>
      <c r="G120" s="1040"/>
      <c r="H120" s="1138" t="s">
        <v>5142</v>
      </c>
      <c r="I120" s="1138" t="s">
        <v>3661</v>
      </c>
      <c r="J120" s="1138"/>
      <c r="K120" s="1138" t="s">
        <v>3074</v>
      </c>
      <c r="L120" s="1132" t="s">
        <v>923</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846</v>
      </c>
      <c r="AJ120" s="1138"/>
      <c r="AK120" s="1135"/>
      <c r="AL120" s="1138"/>
      <c r="AM120" s="1138" t="s">
        <v>6028</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7720</v>
      </c>
      <c r="B121" s="1137" t="s">
        <v>7615</v>
      </c>
      <c r="C121" s="1074" t="s">
        <v>7754</v>
      </c>
      <c r="D121" s="1075" t="s">
        <v>7754</v>
      </c>
      <c r="E121" s="1138"/>
      <c r="F121" s="1139"/>
      <c r="G121" s="1040"/>
      <c r="H121" s="1138"/>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6657</v>
      </c>
      <c r="B122" s="1147" t="s">
        <v>7501</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7725</v>
      </c>
      <c r="C123" s="1131" t="s">
        <v>2959</v>
      </c>
      <c r="D123" s="983" t="s">
        <v>7755</v>
      </c>
      <c r="E123" s="1138"/>
      <c r="F123" s="1021"/>
      <c r="G123" s="1040"/>
      <c r="H123" s="1138"/>
      <c r="I123" s="1132" t="s">
        <v>7756</v>
      </c>
      <c r="J123" s="1138"/>
      <c r="K123" s="1138"/>
      <c r="L123" s="1138" t="s">
        <v>924</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7"/>
      <c r="H124" s="1155"/>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7757</v>
      </c>
      <c r="B125" s="1161"/>
      <c r="C125" s="1131" t="s">
        <v>4108</v>
      </c>
      <c r="D125" s="1132" t="s">
        <v>7758</v>
      </c>
      <c r="E125" s="1132" t="s">
        <v>7759</v>
      </c>
      <c r="F125" s="1049" t="s">
        <v>7760</v>
      </c>
      <c r="G125" s="1040"/>
      <c r="H125" s="1132" t="s">
        <v>4108</v>
      </c>
      <c r="I125" s="1132"/>
      <c r="J125" s="1132"/>
      <c r="K125" s="1132"/>
      <c r="L125" s="1132" t="s">
        <v>7759</v>
      </c>
      <c r="M125" s="1132"/>
      <c r="N125" s="1132"/>
      <c r="O125" s="1132"/>
      <c r="P125" s="1133" t="s">
        <v>7761</v>
      </c>
      <c r="Q125" s="1132"/>
      <c r="R125" s="1132"/>
      <c r="S125" s="1132" t="s">
        <v>7762</v>
      </c>
      <c r="T125" s="1132"/>
      <c r="U125" s="1132"/>
      <c r="V125" s="1162"/>
      <c r="W125" s="1132"/>
      <c r="X125" s="1132" t="s">
        <v>7761</v>
      </c>
      <c r="Y125" s="1132"/>
      <c r="Z125" s="1132"/>
      <c r="AA125" s="1132" t="s">
        <v>7760</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7500</v>
      </c>
      <c r="B126" s="1163" t="s">
        <v>7763</v>
      </c>
      <c r="C126" s="1131"/>
      <c r="D126" s="1138"/>
      <c r="E126" s="1138"/>
      <c r="F126" s="1164"/>
      <c r="G126" s="1040"/>
      <c r="H126" s="1138"/>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7764</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7765</v>
      </c>
      <c r="C128" s="1048" t="s">
        <v>1179</v>
      </c>
      <c r="D128" s="1029" t="s">
        <v>660</v>
      </c>
      <c r="E128" s="1138"/>
      <c r="F128" s="1049" t="s">
        <v>1179</v>
      </c>
      <c r="G128" s="1022" t="s">
        <v>1349</v>
      </c>
      <c r="H128" s="1138"/>
      <c r="I128" s="1138"/>
      <c r="J128" s="1138" t="s">
        <v>2785</v>
      </c>
      <c r="K128" s="1138" t="s">
        <v>7766</v>
      </c>
      <c r="L128" s="1138"/>
      <c r="M128" s="1138"/>
      <c r="N128" s="1138"/>
      <c r="O128" s="1138"/>
      <c r="P128" s="1140" t="s">
        <v>7767</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7768</v>
      </c>
      <c r="C129" s="1018" t="s">
        <v>1080</v>
      </c>
      <c r="D129" s="1138"/>
      <c r="E129" s="1138"/>
      <c r="F129" s="1055" t="s">
        <v>2556</v>
      </c>
      <c r="G129" s="1022" t="s">
        <v>1290</v>
      </c>
      <c r="H129" s="1063" t="s">
        <v>1080</v>
      </c>
      <c r="I129" s="1138"/>
      <c r="J129" s="1138"/>
      <c r="K129" s="1138"/>
      <c r="L129" s="1138"/>
      <c r="M129" s="1138"/>
      <c r="N129" s="1138"/>
      <c r="O129" s="1063" t="s">
        <v>1012</v>
      </c>
      <c r="P129" s="1140"/>
      <c r="Q129" s="1138"/>
      <c r="R129" s="1138"/>
      <c r="S129" s="1138" t="s">
        <v>2603</v>
      </c>
      <c r="T129" s="1138"/>
      <c r="U129" s="1138"/>
      <c r="V129" s="1162"/>
      <c r="W129" s="1138"/>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7515</v>
      </c>
      <c r="B130" s="1171" t="s">
        <v>7501</v>
      </c>
      <c r="C130" s="1131" t="s">
        <v>3412</v>
      </c>
      <c r="D130" s="1135"/>
      <c r="E130" s="1135"/>
      <c r="F130" s="1172" t="s">
        <v>2735</v>
      </c>
      <c r="G130" s="1040"/>
      <c r="H130" s="1063" t="s">
        <v>3412</v>
      </c>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7522</v>
      </c>
      <c r="B131" s="1175" t="s">
        <v>7501</v>
      </c>
      <c r="C131" s="1131" t="s">
        <v>7769</v>
      </c>
      <c r="D131" s="1138"/>
      <c r="E131" s="1138"/>
      <c r="F131" s="1049" t="s">
        <v>1945</v>
      </c>
      <c r="G131" s="1022" t="s">
        <v>7770</v>
      </c>
      <c r="H131" s="1022" t="s">
        <v>7769</v>
      </c>
      <c r="I131" s="1138"/>
      <c r="J131" s="1138"/>
      <c r="K131" s="1138"/>
      <c r="L131" s="1138"/>
      <c r="M131" s="1138"/>
      <c r="N131" s="1138"/>
      <c r="O131" s="1138"/>
      <c r="P131" s="1140"/>
      <c r="Q131" s="1138"/>
      <c r="R131" s="1138"/>
      <c r="S131" s="1138" t="s">
        <v>7769</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7502</v>
      </c>
      <c r="B132" s="1161"/>
      <c r="C132" s="1131" t="s">
        <v>773</v>
      </c>
      <c r="D132" s="1029" t="s">
        <v>933</v>
      </c>
      <c r="E132" s="1138"/>
      <c r="F132" s="1055" t="s">
        <v>2557</v>
      </c>
      <c r="G132" s="1022" t="s">
        <v>1291</v>
      </c>
      <c r="H132" s="1138"/>
      <c r="I132" s="1063" t="str">
        <f>HYPERLINK("https://youtu.be/6f5dBhAmU1g","42.10")</f>
        <v>42.10</v>
      </c>
      <c r="J132" s="1138" t="s">
        <v>526</v>
      </c>
      <c r="K132" s="1138" t="s">
        <v>2144</v>
      </c>
      <c r="L132" s="1063" t="s">
        <v>926</v>
      </c>
      <c r="M132" s="1063" t="s">
        <v>773</v>
      </c>
      <c r="N132" s="1138" t="s">
        <v>4682</v>
      </c>
      <c r="O132" s="1138"/>
      <c r="P132" s="1140" t="s">
        <v>1217</v>
      </c>
      <c r="Q132" s="1138"/>
      <c r="R132" s="1138"/>
      <c r="S132" s="1138"/>
      <c r="T132" s="1138"/>
      <c r="U132" s="1138"/>
      <c r="V132" s="1044" t="s">
        <v>6287</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7515</v>
      </c>
      <c r="B133" s="1175" t="s">
        <v>7501</v>
      </c>
      <c r="C133" s="1131" t="str">
        <f>HYPERLINK("https://youtu.be/sDPkawvhuRo","28.54")</f>
        <v>28.54</v>
      </c>
      <c r="D133" s="1029" t="s">
        <v>1584</v>
      </c>
      <c r="E133" s="1138"/>
      <c r="F133" s="1055" t="s">
        <v>2558</v>
      </c>
      <c r="G133" s="1022" t="s">
        <v>376</v>
      </c>
      <c r="H133" s="1063" t="s">
        <v>1108</v>
      </c>
      <c r="I133" s="1138" t="s">
        <v>1448</v>
      </c>
      <c r="J133" s="1138" t="s">
        <v>2326</v>
      </c>
      <c r="K133" s="1138" t="s">
        <v>406</v>
      </c>
      <c r="L133" s="1063" t="s">
        <v>145</v>
      </c>
      <c r="M133" s="1063" t="s">
        <v>376</v>
      </c>
      <c r="N133" s="1138" t="s">
        <v>3646</v>
      </c>
      <c r="O133" s="1063" t="s">
        <v>259</v>
      </c>
      <c r="P133" s="1140" t="s">
        <v>301</v>
      </c>
      <c r="Q133" s="1138"/>
      <c r="R133" s="1138"/>
      <c r="S133" s="1138" t="s">
        <v>1078</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7522</v>
      </c>
      <c r="B134" s="1175" t="s">
        <v>7501</v>
      </c>
      <c r="C134" s="1131" t="s">
        <v>7771</v>
      </c>
      <c r="D134" s="1132"/>
      <c r="E134" s="1132" t="s">
        <v>7771</v>
      </c>
      <c r="F134" s="1172" t="s">
        <v>1545</v>
      </c>
      <c r="G134" s="1022" t="s">
        <v>7772</v>
      </c>
      <c r="H134" s="1132"/>
      <c r="I134" s="1132"/>
      <c r="J134" s="1132"/>
      <c r="K134" s="1132"/>
      <c r="L134" s="1132" t="s">
        <v>3018</v>
      </c>
      <c r="M134" s="1132" t="s">
        <v>7772</v>
      </c>
      <c r="N134" s="1132"/>
      <c r="O134" s="1132"/>
      <c r="P134" s="1133" t="s">
        <v>7771</v>
      </c>
      <c r="Q134" s="1132" t="s">
        <v>486</v>
      </c>
      <c r="R134" s="1132"/>
      <c r="S134" s="1132"/>
      <c r="T134" s="1132"/>
      <c r="U134" s="1132"/>
      <c r="V134" s="1032"/>
      <c r="W134" s="1132"/>
      <c r="X134" s="1132"/>
      <c r="Y134" s="1132"/>
      <c r="Z134" s="1132" t="s">
        <v>7773</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7659</v>
      </c>
      <c r="B135" s="1163" t="s">
        <v>7774</v>
      </c>
      <c r="C135" s="1131" t="s">
        <v>7775</v>
      </c>
      <c r="D135" s="1138"/>
      <c r="E135" s="1138"/>
      <c r="F135" s="1021"/>
      <c r="G135" s="1022" t="s">
        <v>4811</v>
      </c>
      <c r="H135" s="1138"/>
      <c r="I135" s="1138"/>
      <c r="J135" s="1138"/>
      <c r="K135" s="1138" t="s">
        <v>4437</v>
      </c>
      <c r="L135" s="1138"/>
      <c r="M135" s="1138"/>
      <c r="N135" s="1138"/>
      <c r="O135" s="1138"/>
      <c r="P135" s="1140"/>
      <c r="Q135" s="1138"/>
      <c r="R135" s="1138"/>
      <c r="S135" s="1138"/>
      <c r="T135" s="1138"/>
      <c r="U135" s="1138"/>
      <c r="V135" s="1176" t="s">
        <v>7776</v>
      </c>
      <c r="W135" s="1138"/>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7777</v>
      </c>
      <c r="C136" s="1131" t="s">
        <v>1815</v>
      </c>
      <c r="D136" s="1138" t="s">
        <v>2602</v>
      </c>
      <c r="E136" s="1138"/>
      <c r="F136" s="1164"/>
      <c r="G136" s="1040"/>
      <c r="H136" s="1138"/>
      <c r="I136" s="1138"/>
      <c r="J136" s="1138"/>
      <c r="K136" s="1138" t="s">
        <v>3647</v>
      </c>
      <c r="L136" s="1138"/>
      <c r="M136" s="1138"/>
      <c r="N136" s="1138"/>
      <c r="O136" s="1138"/>
      <c r="P136" s="1140"/>
      <c r="Q136" s="1138"/>
      <c r="R136" s="1138" t="s">
        <v>3064</v>
      </c>
      <c r="S136" s="1138"/>
      <c r="T136" s="1138"/>
      <c r="U136" s="1138"/>
      <c r="V136" s="1032"/>
      <c r="W136" s="1138"/>
      <c r="X136" s="1138"/>
      <c r="Y136" s="1138" t="s">
        <v>1731</v>
      </c>
      <c r="Z136" s="1138"/>
      <c r="AA136" s="1138" t="s">
        <v>6396</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7778</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2"/>
      <c r="AV137" s="1138"/>
      <c r="AW137" s="1138" t="s">
        <v>6485</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7779</v>
      </c>
      <c r="C138" s="1131" t="s">
        <v>377</v>
      </c>
      <c r="D138" s="1029" t="s">
        <v>774</v>
      </c>
      <c r="E138" s="1022" t="s">
        <v>377</v>
      </c>
      <c r="F138" s="1055" t="s">
        <v>3976</v>
      </c>
      <c r="G138" s="1022" t="s">
        <v>1292</v>
      </c>
      <c r="H138" s="1177" t="s">
        <v>7780</v>
      </c>
      <c r="I138" s="1022" t="s">
        <v>5442</v>
      </c>
      <c r="J138" s="1040"/>
      <c r="K138" s="1040"/>
      <c r="L138" s="1022" t="s">
        <v>927</v>
      </c>
      <c r="M138" s="1022" t="s">
        <v>6484</v>
      </c>
      <c r="N138" s="1040"/>
      <c r="O138" s="1022" t="s">
        <v>7781</v>
      </c>
      <c r="P138" s="1133" t="s">
        <v>5100</v>
      </c>
      <c r="Q138" s="1040"/>
      <c r="R138" s="1022" t="s">
        <v>1671</v>
      </c>
      <c r="S138" s="1040"/>
      <c r="T138" s="1040"/>
      <c r="U138" s="1022" t="s">
        <v>1874</v>
      </c>
      <c r="V138" s="1032"/>
      <c r="W138" s="1040"/>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7782</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7548</v>
      </c>
      <c r="B139" s="1163" t="s">
        <v>7783</v>
      </c>
      <c r="C139" s="1131" t="s">
        <v>566</v>
      </c>
      <c r="D139" s="1138" t="s">
        <v>4290</v>
      </c>
      <c r="E139" s="1138"/>
      <c r="F139" s="1021"/>
      <c r="G139" s="1040"/>
      <c r="H139" s="1138"/>
      <c r="I139" s="1138"/>
      <c r="J139" s="1022" t="s">
        <v>5695</v>
      </c>
      <c r="K139" s="1138" t="s">
        <v>1654</v>
      </c>
      <c r="L139" s="1138"/>
      <c r="M139" s="1138"/>
      <c r="N139" s="1138" t="str">
        <f>HYPERLINK("https://youtu.be/wzsts4r5VHY","56.24")</f>
        <v>56.24</v>
      </c>
      <c r="O139" s="1022" t="s">
        <v>7784</v>
      </c>
      <c r="P139" s="1140"/>
      <c r="Q139" s="1138"/>
      <c r="R139" s="1138"/>
      <c r="S139" s="1138" t="s">
        <v>566</v>
      </c>
      <c r="T139" s="1138"/>
      <c r="U139" s="1138"/>
      <c r="V139" s="1167" t="s">
        <v>7785</v>
      </c>
      <c r="W139" s="1138"/>
      <c r="X139" s="1138"/>
      <c r="Y139" s="1138"/>
      <c r="Z139" s="1138"/>
      <c r="AA139" s="1138"/>
      <c r="AB139" s="1138"/>
      <c r="AC139" s="1138"/>
      <c r="AD139" s="1138"/>
      <c r="AE139" s="1138" t="s">
        <v>7786</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7787</v>
      </c>
      <c r="C140" s="1131" t="s">
        <v>4554</v>
      </c>
      <c r="D140" s="1178"/>
      <c r="E140" s="1178"/>
      <c r="F140" s="1164"/>
      <c r="G140" s="1040"/>
      <c r="H140" s="1178"/>
      <c r="I140" s="1178"/>
      <c r="J140" s="1022" t="s">
        <v>7788</v>
      </c>
      <c r="K140" s="1178"/>
      <c r="L140" s="1178"/>
      <c r="M140" s="1178"/>
      <c r="N140" s="1178"/>
      <c r="O140" s="1178"/>
      <c r="P140" s="1133"/>
      <c r="Q140" s="1178"/>
      <c r="R140" s="1178" t="s">
        <v>4554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7789</v>
      </c>
      <c r="C141" s="1131" t="s">
        <v>7790</v>
      </c>
      <c r="D141" s="1029" t="s">
        <v>791</v>
      </c>
      <c r="E141" s="1179"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1324</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7559</v>
      </c>
      <c r="B142" s="1163" t="s">
        <v>7791</v>
      </c>
      <c r="C142" s="1131" t="s">
        <v>4131</v>
      </c>
      <c r="D142" s="1138"/>
      <c r="E142" s="1138"/>
      <c r="F142" s="1164"/>
      <c r="G142" s="1040"/>
      <c r="H142" s="1138"/>
      <c r="I142" s="1138"/>
      <c r="J142" s="1138"/>
      <c r="K142" s="1138" t="s">
        <v>3954</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7792</v>
      </c>
      <c r="C143" s="1131" t="s">
        <v>7793</v>
      </c>
      <c r="E143" s="1138"/>
      <c r="F143" s="1021"/>
      <c r="G143" s="1022" t="s">
        <v>1294</v>
      </c>
      <c r="H143" s="1138"/>
      <c r="I143" s="1138"/>
      <c r="J143" s="1022" t="s">
        <v>1432</v>
      </c>
      <c r="K143" s="1138"/>
      <c r="L143" s="1138" t="s">
        <v>929</v>
      </c>
      <c r="M143" s="1138"/>
      <c r="N143" s="1138"/>
      <c r="O143" s="1022" t="s">
        <v>5715</v>
      </c>
      <c r="P143" s="1140" t="s">
        <v>837</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7794</v>
      </c>
      <c r="C144" s="1131"/>
      <c r="E144" s="1138"/>
      <c r="F144" s="1021"/>
      <c r="G144" s="1040"/>
      <c r="H144" s="1138"/>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7795</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7796</v>
      </c>
      <c r="C145" s="1018" t="s">
        <v>7797</v>
      </c>
      <c r="D145" s="1029" t="s">
        <v>580</v>
      </c>
      <c r="E145" s="1138"/>
      <c r="F145" s="1021"/>
      <c r="G145" s="1040"/>
      <c r="H145" s="1138"/>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7797</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7571</v>
      </c>
      <c r="B146" s="1163" t="s">
        <v>7798</v>
      </c>
      <c r="C146" s="1131" t="str">
        <f>HYPERLINK("https://youtu.be/KomZysL4CgE","1:10.59")</f>
        <v>1:10.59</v>
      </c>
      <c r="D146" s="1138"/>
      <c r="E146" s="1138"/>
      <c r="F146" s="1164"/>
      <c r="G146" s="1040"/>
      <c r="H146" s="1138"/>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7799</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7515</v>
      </c>
      <c r="B148" s="1171" t="s">
        <v>7798</v>
      </c>
      <c r="C148" s="1131" t="s">
        <v>3587</v>
      </c>
      <c r="D148" s="1132" t="s">
        <v>5392</v>
      </c>
      <c r="E148" s="1132" t="s">
        <v>3587</v>
      </c>
      <c r="F148" s="1164"/>
      <c r="G148" s="1022" t="s">
        <v>2947</v>
      </c>
      <c r="H148" s="1132"/>
      <c r="I148" s="1132"/>
      <c r="J148" s="1132"/>
      <c r="K148" s="1132" t="s">
        <v>474</v>
      </c>
      <c r="L148" s="1132"/>
      <c r="M148" s="1132" t="s">
        <v>2318</v>
      </c>
      <c r="N148" s="1132" t="s">
        <v>1317</v>
      </c>
      <c r="O148" s="1132"/>
      <c r="P148" s="1133"/>
      <c r="Q148" s="1132"/>
      <c r="R148" s="1132"/>
      <c r="S148" s="1132"/>
      <c r="T148" s="1132"/>
      <c r="U148" s="1132"/>
      <c r="V148" s="1065" t="s">
        <v>3728</v>
      </c>
      <c r="W148" s="1132"/>
      <c r="X148" s="1132"/>
      <c r="Y148" s="1132" t="s">
        <v>7800</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7799</v>
      </c>
      <c r="C149" s="1131" t="s">
        <v>1442</v>
      </c>
      <c r="D149" s="983" t="s">
        <v>1586</v>
      </c>
      <c r="E149" s="1132" t="s">
        <v>5446</v>
      </c>
      <c r="F149" s="1055" t="s">
        <v>1616</v>
      </c>
      <c r="G149" s="1022" t="s">
        <v>3371</v>
      </c>
      <c r="H149" s="1142" t="s">
        <v>139</v>
      </c>
      <c r="I149" s="1132" t="str">
        <f>HYPERLINK("https://youtu.be/NPrbRwZDn1I","27.54")</f>
        <v>27.54</v>
      </c>
      <c r="J149" s="1132" t="s">
        <v>504</v>
      </c>
      <c r="K149" s="1132" t="s">
        <v>2569</v>
      </c>
      <c r="L149" s="1132"/>
      <c r="M149" s="1132" t="s">
        <v>5446</v>
      </c>
      <c r="N149" s="1132" t="str">
        <f>HYPERLINK("https://youtu.be/gwRV1gD1ndo","27.79")</f>
        <v>27.79</v>
      </c>
      <c r="O149" s="1132" t="s">
        <v>150</v>
      </c>
      <c r="P149" s="1133" t="s">
        <v>431</v>
      </c>
      <c r="Q149" s="1132" t="s">
        <v>409</v>
      </c>
      <c r="R149" s="1132"/>
      <c r="S149" s="1022" t="s">
        <v>399</v>
      </c>
      <c r="T149" s="1132"/>
      <c r="U149" s="1132"/>
      <c r="V149" s="1167"/>
      <c r="W149" s="1132" t="s">
        <v>7801</v>
      </c>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7522</v>
      </c>
      <c r="B150" s="1171" t="s">
        <v>7501</v>
      </c>
      <c r="C150" s="1131" t="s">
        <v>7802</v>
      </c>
      <c r="D150" s="1178"/>
      <c r="E150" s="1178"/>
      <c r="F150" s="1164"/>
      <c r="G150" s="1022" t="s">
        <v>2819</v>
      </c>
      <c r="H150" s="1178"/>
      <c r="I150" s="1178"/>
      <c r="J150" s="1178"/>
      <c r="K150" s="1178"/>
      <c r="L150" s="1178"/>
      <c r="M150" s="1178"/>
      <c r="N150" s="1178"/>
      <c r="O150" s="1063" t="s">
        <v>7802</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7801</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7803</v>
      </c>
      <c r="B151" s="1175" t="s">
        <v>7804</v>
      </c>
      <c r="C151" s="1131" t="s">
        <v>7805</v>
      </c>
      <c r="D151" s="1132" t="s">
        <v>7806</v>
      </c>
      <c r="E151" s="1132" t="s">
        <v>7805</v>
      </c>
      <c r="F151" s="1021"/>
      <c r="G151" s="1040"/>
      <c r="H151" s="1132"/>
      <c r="I151" s="1132" t="s">
        <v>7807</v>
      </c>
      <c r="J151" s="1132" t="s">
        <v>7808</v>
      </c>
      <c r="K151" s="1132"/>
      <c r="L151" s="1132" t="s">
        <v>932</v>
      </c>
      <c r="M151" s="1132"/>
      <c r="N151" s="1132" t="s">
        <v>7405</v>
      </c>
      <c r="O151" s="1132"/>
      <c r="P151" s="1133"/>
      <c r="Q151" s="1132"/>
      <c r="R151" s="1132"/>
      <c r="S151" s="1132"/>
      <c r="T151" s="1132" t="s">
        <v>7809</v>
      </c>
      <c r="U151" s="1132"/>
      <c r="V151" s="1162"/>
      <c r="W151" s="1132" t="s">
        <v>5111</v>
      </c>
      <c r="X151" s="1132"/>
      <c r="Y151" s="1132"/>
      <c r="Z151" s="1132"/>
      <c r="AA151" s="1132"/>
      <c r="AB151" s="1132"/>
      <c r="AC151" s="1132"/>
      <c r="AD151" s="1132"/>
      <c r="AE151" s="1132"/>
      <c r="AF151" s="1132"/>
      <c r="AG151" s="1132"/>
      <c r="AH151" s="1132"/>
      <c r="AI151" s="1132"/>
      <c r="AJ151" s="1132" t="s">
        <v>6867</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7810</v>
      </c>
      <c r="BF151" s="1132"/>
      <c r="BG151" s="1132"/>
      <c r="BH151" s="1132"/>
      <c r="BI151" s="1162"/>
      <c r="BJ151" s="1162"/>
      <c r="BK151" s="1162"/>
      <c r="BL151" s="1162"/>
      <c r="BM151" s="1162"/>
      <c r="BN151" s="1162"/>
      <c r="BO151" s="1162"/>
    </row>
    <row r="152" ht="15.75" customHeight="1">
      <c r="A152" s="1165"/>
      <c r="B152" s="1166" t="s">
        <v>7811</v>
      </c>
      <c r="C152" s="1131" t="s">
        <v>7812</v>
      </c>
      <c r="D152" s="1138"/>
      <c r="E152" s="1138"/>
      <c r="F152" s="1164"/>
      <c r="G152" s="1040"/>
      <c r="H152" s="1138"/>
      <c r="I152" s="1138"/>
      <c r="J152" s="1138"/>
      <c r="K152" s="1138" t="s">
        <v>7813</v>
      </c>
      <c r="L152" s="1138"/>
      <c r="M152" s="1138"/>
      <c r="N152" s="1138"/>
      <c r="O152" s="1138" t="s">
        <v>7812</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7814</v>
      </c>
      <c r="C153" s="1180" t="s">
        <v>2561</v>
      </c>
      <c r="D153" s="1067" t="s">
        <v>1588</v>
      </c>
      <c r="E153" s="1022" t="s">
        <v>382</v>
      </c>
      <c r="F153" s="1055" t="s">
        <v>2561</v>
      </c>
      <c r="G153" s="1040"/>
      <c r="H153" s="1022" t="s">
        <v>7815</v>
      </c>
      <c r="I153" s="1022" t="s">
        <v>587</v>
      </c>
      <c r="J153" s="1022" t="s">
        <v>3258</v>
      </c>
      <c r="K153" s="1040" t="s">
        <v>3651</v>
      </c>
      <c r="L153" s="1040"/>
      <c r="M153" s="1040"/>
      <c r="N153" s="1040"/>
      <c r="O153" s="1040"/>
      <c r="P153" s="1133"/>
      <c r="Q153" s="1040"/>
      <c r="R153" s="1040"/>
      <c r="S153" s="1040"/>
      <c r="T153" s="1040"/>
      <c r="U153" s="1022" t="s">
        <v>7182</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2"/>
      <c r="AV153" s="1040"/>
      <c r="AW153" s="1040"/>
      <c r="AX153" s="1040"/>
      <c r="AY153" s="1040"/>
      <c r="AZ153" s="1040"/>
      <c r="BA153" s="1162"/>
      <c r="BB153" s="1181" t="s">
        <v>7816</v>
      </c>
      <c r="BC153" s="1040"/>
      <c r="BD153" s="1040"/>
      <c r="BE153" s="1040"/>
      <c r="BF153" s="1040"/>
      <c r="BG153" s="1040"/>
      <c r="BH153" s="1040"/>
      <c r="BI153" s="1162"/>
      <c r="BJ153" s="1162"/>
      <c r="BK153" s="1162"/>
      <c r="BL153" s="1162"/>
      <c r="BM153" s="1162"/>
      <c r="BN153" s="1162"/>
      <c r="BO153" s="1162"/>
    </row>
    <row r="154" ht="15.75" customHeight="1">
      <c r="A154" s="1165"/>
      <c r="B154" s="1166" t="s">
        <v>7817</v>
      </c>
      <c r="C154" s="1018" t="s">
        <v>3539</v>
      </c>
      <c r="D154" s="983" t="s">
        <v>1587</v>
      </c>
      <c r="E154" s="1138"/>
      <c r="F154" s="1164"/>
      <c r="G154" s="1022" t="s">
        <v>1296</v>
      </c>
      <c r="H154" s="1138"/>
      <c r="I154" s="1138"/>
      <c r="J154" s="1138"/>
      <c r="K154" s="1142" t="s">
        <v>3650</v>
      </c>
      <c r="L154" s="1138"/>
      <c r="M154" s="1138" t="s">
        <v>7818</v>
      </c>
      <c r="N154" s="1138"/>
      <c r="O154" s="1138" t="s">
        <v>1017</v>
      </c>
      <c r="P154" s="1140"/>
      <c r="Q154" s="1138"/>
      <c r="R154" s="1138"/>
      <c r="S154" s="1022" t="s">
        <v>3539</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7819</v>
      </c>
      <c r="B155" s="1175" t="s">
        <v>7804</v>
      </c>
      <c r="C155" s="1131" t="s">
        <v>775</v>
      </c>
      <c r="D155" s="1182" t="s">
        <v>5108</v>
      </c>
      <c r="E155" s="1182" t="s">
        <v>3656</v>
      </c>
      <c r="F155" s="1021"/>
      <c r="G155" s="1040"/>
      <c r="H155" s="1182"/>
      <c r="I155" s="1182" t="s">
        <v>775</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7820</v>
      </c>
      <c r="C156" s="1183" t="s">
        <v>1339</v>
      </c>
      <c r="D156" s="1182"/>
      <c r="E156" s="1182"/>
      <c r="F156" s="1069"/>
      <c r="G156" s="1040"/>
      <c r="H156" s="1040"/>
      <c r="I156" s="1182"/>
      <c r="J156" s="1182"/>
      <c r="K156" s="1182"/>
      <c r="L156" s="1182"/>
      <c r="M156" s="1182"/>
      <c r="N156" s="1182"/>
      <c r="O156" s="1182"/>
      <c r="P156" s="1133"/>
      <c r="Q156" s="1182"/>
      <c r="R156" s="1182"/>
      <c r="S156" s="1182"/>
      <c r="T156" s="1182"/>
      <c r="U156" s="1022"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7821</v>
      </c>
      <c r="C157" s="1018" t="s">
        <v>2630</v>
      </c>
      <c r="D157" s="1182" t="s">
        <v>7822</v>
      </c>
      <c r="E157" s="1182"/>
      <c r="F157" s="1069" t="s">
        <v>3851</v>
      </c>
      <c r="G157" s="1040"/>
      <c r="H157" s="1022" t="s">
        <v>2630</v>
      </c>
      <c r="I157" s="1182"/>
      <c r="J157" s="1182"/>
      <c r="K157" s="1182"/>
      <c r="L157" s="1182"/>
      <c r="M157" s="1182"/>
      <c r="N157" s="1182"/>
      <c r="O157" s="1182"/>
      <c r="P157" s="1133"/>
      <c r="Q157" s="1182"/>
      <c r="R157" s="1182"/>
      <c r="S157" s="1182"/>
      <c r="T157" s="1182"/>
      <c r="V157" s="1162"/>
      <c r="W157" s="1182"/>
      <c r="X157" s="1182" t="s">
        <v>956</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7823</v>
      </c>
      <c r="C158" s="1048" t="s">
        <v>5133</v>
      </c>
      <c r="D158" s="1182"/>
      <c r="E158" s="1182"/>
      <c r="F158" s="1049" t="s">
        <v>5133</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7824</v>
      </c>
      <c r="C159" s="1131"/>
      <c r="D159" s="1182"/>
      <c r="E159" s="1182"/>
      <c r="F159" s="1164"/>
      <c r="G159" s="1040"/>
      <c r="H159" s="1182"/>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7817</v>
      </c>
      <c r="C160" s="1018" t="s">
        <v>1429</v>
      </c>
      <c r="D160" s="1182"/>
      <c r="E160" s="1182"/>
      <c r="F160" s="1164"/>
      <c r="G160" s="1022" t="s">
        <v>7046</v>
      </c>
      <c r="H160" s="1182" t="s">
        <v>7825</v>
      </c>
      <c r="I160" s="1182" t="s">
        <v>286</v>
      </c>
      <c r="J160" s="1182"/>
      <c r="K160" s="1182"/>
      <c r="L160" s="1182"/>
      <c r="M160" s="1132" t="s">
        <v>4791</v>
      </c>
      <c r="N160" s="1182"/>
      <c r="O160" s="1182"/>
      <c r="P160" s="1133"/>
      <c r="Q160" s="1182"/>
      <c r="R160" s="1182"/>
      <c r="S160" s="1022" t="s">
        <v>6551</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7826</v>
      </c>
      <c r="B161" s="1175" t="s">
        <v>7827</v>
      </c>
      <c r="C161" s="1131" t="s">
        <v>7828</v>
      </c>
      <c r="D161" s="1182" t="s">
        <v>2289</v>
      </c>
      <c r="E161" s="1182"/>
      <c r="F161" s="1021"/>
      <c r="G161" s="1040"/>
      <c r="H161" s="1182"/>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7829</v>
      </c>
      <c r="C162" s="1131"/>
      <c r="D162" s="1182"/>
      <c r="E162" s="1182"/>
      <c r="F162" s="1164"/>
      <c r="G162" s="1040"/>
      <c r="H162" s="1182"/>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7830</v>
      </c>
      <c r="B163" s="1175" t="s">
        <v>7831</v>
      </c>
      <c r="C163" s="1018" t="s">
        <v>7832</v>
      </c>
      <c r="D163" s="1182"/>
      <c r="E163" s="1182"/>
      <c r="F163" s="1049" t="s">
        <v>7833</v>
      </c>
      <c r="G163" s="1022" t="s">
        <v>7834</v>
      </c>
      <c r="H163" s="1132" t="s">
        <v>7835</v>
      </c>
      <c r="I163" s="1182" t="s">
        <v>7836</v>
      </c>
      <c r="J163" s="1182"/>
      <c r="K163" s="1182"/>
      <c r="L163" s="1182"/>
      <c r="M163" s="1132" t="s">
        <v>1321</v>
      </c>
      <c r="N163" s="1182"/>
      <c r="O163" s="1182"/>
      <c r="P163" s="1133"/>
      <c r="Q163" s="1182"/>
      <c r="R163" s="1182"/>
      <c r="S163" s="1022" t="s">
        <v>7832</v>
      </c>
      <c r="T163" s="1182"/>
      <c r="U163" s="1022" t="s">
        <v>7837</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7838</v>
      </c>
      <c r="C164" s="1131" t="s">
        <v>7839</v>
      </c>
      <c r="D164" s="1182"/>
      <c r="E164" s="1182"/>
      <c r="F164" s="1172" t="s">
        <v>7840</v>
      </c>
      <c r="G164" s="1040"/>
      <c r="H164" s="1132" t="s">
        <v>7841</v>
      </c>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7842</v>
      </c>
      <c r="C165" s="1131" t="s">
        <v>7843</v>
      </c>
      <c r="D165" s="1182"/>
      <c r="E165" s="1182"/>
      <c r="F165" s="1049" t="s">
        <v>7844</v>
      </c>
      <c r="G165" s="1040"/>
      <c r="H165" s="1132" t="s">
        <v>7843</v>
      </c>
      <c r="I165" s="1182" t="s">
        <v>7845</v>
      </c>
      <c r="J165" s="1182"/>
      <c r="K165" s="1182"/>
      <c r="L165" s="1182"/>
      <c r="M165" s="1182"/>
      <c r="N165" s="1182"/>
      <c r="O165" s="1182"/>
      <c r="P165" s="1133"/>
      <c r="Q165" s="1182"/>
      <c r="R165" s="1182"/>
      <c r="S165" s="1182"/>
      <c r="T165" s="1182"/>
      <c r="U165" s="1182"/>
      <c r="V165" s="1162"/>
      <c r="W165" s="1182"/>
      <c r="X165" s="1182"/>
      <c r="Y165" s="1182"/>
      <c r="Z165" s="1182" t="s">
        <v>969</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7846</v>
      </c>
      <c r="C166" s="1131" t="s">
        <v>745</v>
      </c>
      <c r="D166" s="1182"/>
      <c r="E166" s="1182"/>
      <c r="F166" s="1172" t="s">
        <v>3107</v>
      </c>
      <c r="G166" s="1040"/>
      <c r="H166" s="1132" t="s">
        <v>745</v>
      </c>
      <c r="I166" s="1182"/>
      <c r="J166" s="1182"/>
      <c r="K166" s="1182"/>
      <c r="L166" s="1182"/>
      <c r="M166" s="1132" t="s">
        <v>2759</v>
      </c>
      <c r="N166" s="1182"/>
      <c r="O166" s="1182"/>
      <c r="P166" s="1133"/>
      <c r="Q166" s="1182"/>
      <c r="R166" s="1182"/>
      <c r="S166" s="1182"/>
      <c r="T166" s="1182"/>
      <c r="U166" s="1182"/>
      <c r="V166" s="1032"/>
      <c r="W166" s="1182"/>
      <c r="X166" s="1182" t="s">
        <v>2351</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7608</v>
      </c>
      <c r="B167" s="1184" t="s">
        <v>7847</v>
      </c>
      <c r="C167" s="1131" t="s">
        <v>2609</v>
      </c>
      <c r="D167" s="1138" t="s">
        <v>2609</v>
      </c>
      <c r="E167" s="1138"/>
      <c r="F167" s="1172"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032"/>
      <c r="W167" s="1138"/>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5629</v>
      </c>
      <c r="AO167" s="1138"/>
      <c r="AP167" s="1138"/>
      <c r="AQ167" s="1135"/>
      <c r="AR167" s="1185" t="s">
        <v>7848</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7849</v>
      </c>
      <c r="C168" s="1131" t="s">
        <v>2445</v>
      </c>
      <c r="D168" s="1029" t="s">
        <v>1589</v>
      </c>
      <c r="E168" s="1132" t="s">
        <v>7850</v>
      </c>
      <c r="F168" s="1049" t="s">
        <v>7851</v>
      </c>
      <c r="G168" s="1040"/>
      <c r="H168" s="1132" t="s">
        <v>7852</v>
      </c>
      <c r="I168" s="1132"/>
      <c r="J168" s="1132" t="s">
        <v>516</v>
      </c>
      <c r="K168" s="1132" t="s">
        <v>3652</v>
      </c>
      <c r="L168" s="1132"/>
      <c r="M168" s="1132"/>
      <c r="N168" s="1132"/>
      <c r="O168" s="1132" t="s">
        <v>878</v>
      </c>
      <c r="P168" s="1133" t="s">
        <v>799</v>
      </c>
      <c r="Q168" s="1132"/>
      <c r="R168" s="1132"/>
      <c r="S168" s="1132"/>
      <c r="T168" s="1132"/>
      <c r="U168" s="1022" t="s">
        <v>2741</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7612</v>
      </c>
      <c r="B169" s="1184" t="s">
        <v>7853</v>
      </c>
      <c r="C169" s="1131" t="s">
        <v>658</v>
      </c>
      <c r="D169" s="983" t="s">
        <v>1134</v>
      </c>
      <c r="E169" s="1138"/>
      <c r="F169" s="1164"/>
      <c r="G169" s="1022" t="s">
        <v>1297</v>
      </c>
      <c r="H169" s="1138"/>
      <c r="I169" s="1138"/>
      <c r="J169" s="1138" t="s">
        <v>658</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7522</v>
      </c>
      <c r="B170" s="1175" t="s">
        <v>7501</v>
      </c>
      <c r="C170" s="1131" t="s">
        <v>7854</v>
      </c>
      <c r="D170" s="1138"/>
      <c r="E170" s="1138"/>
      <c r="F170" s="1021"/>
      <c r="G170" s="1022" t="s">
        <v>687</v>
      </c>
      <c r="H170" s="1138"/>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7855</v>
      </c>
      <c r="B171" s="1184" t="s">
        <v>7856</v>
      </c>
      <c r="C171" s="1131" t="s">
        <v>7857</v>
      </c>
      <c r="D171" s="1138" t="s">
        <v>6095</v>
      </c>
      <c r="E171" s="1138"/>
      <c r="F171" s="1021"/>
      <c r="G171" s="1040"/>
      <c r="H171" s="1138"/>
      <c r="I171" s="1138"/>
      <c r="J171" s="1138"/>
      <c r="K171" s="1138" t="s">
        <v>6350</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7858</v>
      </c>
      <c r="C172" s="1131" t="s">
        <v>933</v>
      </c>
      <c r="D172" s="983" t="s">
        <v>933</v>
      </c>
      <c r="E172" s="1138"/>
      <c r="F172" s="1164"/>
      <c r="G172" s="1040"/>
      <c r="H172" s="1138"/>
      <c r="I172" s="1138"/>
      <c r="J172" s="1138"/>
      <c r="K172" s="1138"/>
      <c r="L172" s="1022" t="s">
        <v>933</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7617</v>
      </c>
      <c r="B173" s="1175" t="s">
        <v>7856</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7858</v>
      </c>
      <c r="C174" s="1186" t="s">
        <v>7859</v>
      </c>
      <c r="D174" s="1187" t="s">
        <v>7859</v>
      </c>
      <c r="E174" s="1138"/>
      <c r="F174" s="1164"/>
      <c r="G174" s="1040"/>
      <c r="H174" s="1138"/>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7620</v>
      </c>
      <c r="B175" s="1184" t="s">
        <v>7501</v>
      </c>
      <c r="C175" s="1131" t="s">
        <v>1521</v>
      </c>
      <c r="D175" s="980" t="s">
        <v>1590</v>
      </c>
      <c r="E175" s="1132" t="s">
        <v>7860</v>
      </c>
      <c r="F175" s="1021"/>
      <c r="G175" s="1040"/>
      <c r="H175" s="1132"/>
      <c r="I175" s="1132"/>
      <c r="J175" s="1132"/>
      <c r="K175" s="1132" t="s">
        <v>1455</v>
      </c>
      <c r="L175" s="1132"/>
      <c r="M175" s="1132"/>
      <c r="N175" s="1132"/>
      <c r="O175" s="1132"/>
      <c r="P175" s="1133"/>
      <c r="Q175" s="1132"/>
      <c r="R175" s="1132"/>
      <c r="S175" s="1132"/>
      <c r="T175" s="1132"/>
      <c r="U175" s="1022" t="s">
        <v>2743</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7617</v>
      </c>
      <c r="B176" s="1171" t="s">
        <v>7501</v>
      </c>
      <c r="C176" s="1074" t="s">
        <v>7861</v>
      </c>
      <c r="D176" s="1075" t="s">
        <v>7861</v>
      </c>
      <c r="E176" s="1132"/>
      <c r="F176" s="1021"/>
      <c r="G176" s="1040"/>
      <c r="H176" s="1132"/>
      <c r="I176" s="1132"/>
      <c r="J176" s="1132"/>
      <c r="K176" s="1132"/>
      <c r="L176" s="1132"/>
      <c r="M176" s="1132"/>
      <c r="N176" s="1132"/>
      <c r="O176" s="1132"/>
      <c r="P176" s="1133"/>
      <c r="Q176" s="1132"/>
      <c r="R176" s="1132"/>
      <c r="S176" s="1132"/>
      <c r="T176" s="1132"/>
      <c r="U176" s="1022" t="s">
        <v>7862</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7863</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7501</v>
      </c>
      <c r="C177" s="1131" t="s">
        <v>1456</v>
      </c>
      <c r="D177" s="983" t="s">
        <v>780</v>
      </c>
      <c r="E177" s="1138"/>
      <c r="F177" s="1164"/>
      <c r="G177" s="1022" t="s">
        <v>1300</v>
      </c>
      <c r="H177" s="1138"/>
      <c r="I177" s="1138" t="s">
        <v>1456</v>
      </c>
      <c r="J177" s="1138"/>
      <c r="K177" s="1138"/>
      <c r="L177" s="1138" t="s">
        <v>935</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91"/>
      <c r="H178" s="1189"/>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7864</v>
      </c>
      <c r="B179" s="1195" t="s">
        <v>7865</v>
      </c>
      <c r="C179" s="1131" t="s">
        <v>7866</v>
      </c>
      <c r="D179" s="1024" t="s">
        <v>7867</v>
      </c>
      <c r="E179" s="1029" t="s">
        <v>7868</v>
      </c>
      <c r="F179" s="1049" t="s">
        <v>7869</v>
      </c>
      <c r="G179" s="1022" t="s">
        <v>7870</v>
      </c>
      <c r="H179" s="1024" t="s">
        <v>7868</v>
      </c>
      <c r="I179" s="1029"/>
      <c r="J179" s="1029" t="s">
        <v>7871</v>
      </c>
      <c r="K179" s="1029" t="s">
        <v>7872</v>
      </c>
      <c r="L179" s="1029" t="s">
        <v>7869</v>
      </c>
      <c r="M179" s="1029" t="s">
        <v>7869</v>
      </c>
      <c r="N179" s="1029"/>
      <c r="O179" s="1029"/>
      <c r="P179" s="1025" t="s">
        <v>7868</v>
      </c>
      <c r="Q179" s="1029"/>
      <c r="R179" s="1029" t="s">
        <v>2169</v>
      </c>
      <c r="S179" s="1029" t="s">
        <v>7873</v>
      </c>
      <c r="T179" s="1029"/>
      <c r="U179" s="1029"/>
      <c r="V179" s="1196"/>
      <c r="W179" s="1029"/>
      <c r="X179" s="1029"/>
      <c r="Y179" s="1029"/>
      <c r="Z179" s="1029"/>
      <c r="AA179" s="1029"/>
      <c r="AB179" s="1029"/>
      <c r="AC179" s="1029" t="s">
        <v>7835</v>
      </c>
      <c r="AD179" s="1029" t="s">
        <v>7870</v>
      </c>
      <c r="AE179" s="1029"/>
      <c r="AF179" s="1029"/>
      <c r="AG179" s="1029" t="s">
        <v>7866</v>
      </c>
      <c r="AH179" s="1029"/>
      <c r="AI179" s="1029"/>
      <c r="AJ179" s="1029"/>
      <c r="AK179" s="1090"/>
      <c r="AL179" s="1029"/>
      <c r="AM179" s="1029" t="s">
        <v>7872</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7874</v>
      </c>
      <c r="C180" s="1131" t="s">
        <v>7875</v>
      </c>
      <c r="D180" s="1029"/>
      <c r="E180" s="1029" t="s">
        <v>7871</v>
      </c>
      <c r="F180" s="1199"/>
      <c r="G180" s="1040"/>
      <c r="H180" s="1029" t="s">
        <v>7875</v>
      </c>
      <c r="I180" s="1029"/>
      <c r="J180" s="1029"/>
      <c r="K180" s="1029"/>
      <c r="L180" s="1029"/>
      <c r="M180" s="1029"/>
      <c r="N180" s="1029"/>
      <c r="O180" s="1029"/>
      <c r="P180" s="1025" t="s">
        <v>7876</v>
      </c>
      <c r="Q180" s="1029"/>
      <c r="R180" s="1029"/>
      <c r="S180" s="1029"/>
      <c r="T180" s="1029" t="s">
        <v>7871</v>
      </c>
      <c r="U180" s="1029"/>
      <c r="V180" s="1032"/>
      <c r="W180" s="1029"/>
      <c r="X180" s="1029"/>
      <c r="Y180" s="1029"/>
      <c r="Z180" s="1029"/>
      <c r="AA180" s="1029" t="s">
        <v>7868</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7877</v>
      </c>
      <c r="B181" s="1195" t="s">
        <v>7501</v>
      </c>
      <c r="C181" s="1131" t="s">
        <v>1857</v>
      </c>
      <c r="D181" s="1024" t="s">
        <v>5419</v>
      </c>
      <c r="E181" s="1029" t="s">
        <v>6251</v>
      </c>
      <c r="F181" s="1049" t="s">
        <v>3001</v>
      </c>
      <c r="G181" s="1022" t="s">
        <v>7878</v>
      </c>
      <c r="H181" s="1029" t="s">
        <v>3001</v>
      </c>
      <c r="I181" s="1029"/>
      <c r="J181" s="1029"/>
      <c r="K181" s="1029"/>
      <c r="L181" s="1029" t="s">
        <v>4486</v>
      </c>
      <c r="M181" s="1029"/>
      <c r="N181" s="1029"/>
      <c r="O181" s="1029"/>
      <c r="P181" s="1025"/>
      <c r="Q181" s="1029"/>
      <c r="R181" s="1029"/>
      <c r="S181" s="1029" t="s">
        <v>4180</v>
      </c>
      <c r="T181" s="1029" t="s">
        <v>2941</v>
      </c>
      <c r="U181" s="1029"/>
      <c r="V181" s="1196"/>
      <c r="W181" s="1029"/>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7515</v>
      </c>
      <c r="B182" s="1201" t="s">
        <v>7501</v>
      </c>
      <c r="C182" s="1131" t="s">
        <v>7879</v>
      </c>
      <c r="D182" s="1113"/>
      <c r="E182" s="1113" t="s">
        <v>7880</v>
      </c>
      <c r="F182" s="1202" t="s">
        <v>7881</v>
      </c>
      <c r="G182" s="1040"/>
      <c r="H182" s="1029" t="s">
        <v>7879</v>
      </c>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7502</v>
      </c>
      <c r="B183" s="1203" t="s">
        <v>7882</v>
      </c>
      <c r="C183" s="1131" t="s">
        <v>5068</v>
      </c>
      <c r="D183" s="1204"/>
      <c r="E183" s="1204"/>
      <c r="F183" s="1021"/>
      <c r="G183" s="1040"/>
      <c r="H183" s="1204"/>
      <c r="I183" s="1204"/>
      <c r="J183" s="1204" t="s">
        <v>5068</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7883</v>
      </c>
      <c r="C184" s="1131" t="s">
        <v>7884</v>
      </c>
      <c r="D184" s="1029" t="s">
        <v>7885</v>
      </c>
      <c r="E184" s="1029" t="s">
        <v>7884</v>
      </c>
      <c r="F184" s="1055" t="s">
        <v>1257</v>
      </c>
      <c r="G184" s="1022" t="s">
        <v>1302</v>
      </c>
      <c r="H184" s="1029" t="s">
        <v>5741</v>
      </c>
      <c r="I184" s="1029"/>
      <c r="J184" s="1029" t="s">
        <v>609</v>
      </c>
      <c r="K184" s="1029" t="s">
        <v>355</v>
      </c>
      <c r="L184" s="1029"/>
      <c r="M184" s="1029"/>
      <c r="N184" s="1029" t="s">
        <v>147</v>
      </c>
      <c r="O184" s="1029" t="s">
        <v>7886</v>
      </c>
      <c r="P184" s="1025"/>
      <c r="Q184" s="1029"/>
      <c r="R184" s="1029"/>
      <c r="S184" s="1029" t="s">
        <v>2614</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7515</v>
      </c>
      <c r="B185" s="1205" t="s">
        <v>7887</v>
      </c>
      <c r="C185" s="1131" t="s">
        <v>7888</v>
      </c>
      <c r="D185" s="1067"/>
      <c r="E185" s="1067"/>
      <c r="F185" s="1021"/>
      <c r="G185" s="1040"/>
      <c r="H185" s="1067"/>
      <c r="I185" s="1067"/>
      <c r="J185" s="1067" t="s">
        <v>4560</v>
      </c>
      <c r="K185" s="1067"/>
      <c r="L185" s="1067"/>
      <c r="M185" s="1067"/>
      <c r="N185" s="1067"/>
      <c r="O185" s="1067"/>
      <c r="P185" s="1025"/>
      <c r="Q185" s="1067"/>
      <c r="R185" s="1067"/>
      <c r="S185" s="1067"/>
      <c r="T185" s="1067"/>
      <c r="U185" s="1067"/>
      <c r="V185" s="1196"/>
      <c r="W185" s="1067"/>
      <c r="X185" s="1067"/>
      <c r="Y185" s="1067" t="s">
        <v>7889</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7890</v>
      </c>
      <c r="C186" s="1131" t="s">
        <v>7891</v>
      </c>
      <c r="D186" s="1029" t="s">
        <v>1593</v>
      </c>
      <c r="E186" s="1029" t="s">
        <v>7891</v>
      </c>
      <c r="F186" s="1055" t="s">
        <v>2485</v>
      </c>
      <c r="G186" s="1022" t="s">
        <v>1303</v>
      </c>
      <c r="H186" s="1029" t="s">
        <v>3085</v>
      </c>
      <c r="I186" s="1029" t="s">
        <v>159</v>
      </c>
      <c r="J186" s="1029" t="s">
        <v>3998</v>
      </c>
      <c r="K186" s="1029" t="s">
        <v>5396</v>
      </c>
      <c r="L186" s="1029" t="s">
        <v>938</v>
      </c>
      <c r="M186" s="1029" t="s">
        <v>2989</v>
      </c>
      <c r="N186" s="1029" t="s">
        <v>1987</v>
      </c>
      <c r="O186" s="1029" t="s">
        <v>4824</v>
      </c>
      <c r="P186" s="1025" t="s">
        <v>1987</v>
      </c>
      <c r="Q186" s="1029"/>
      <c r="R186" s="1029"/>
      <c r="S186" s="1029"/>
      <c r="T186" s="1029"/>
      <c r="U186" s="1029"/>
      <c r="V186" s="1044" t="s">
        <v>5412</v>
      </c>
      <c r="W186" s="1029" t="s">
        <v>7892</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7893</v>
      </c>
      <c r="C187" s="1131" t="s">
        <v>3432</v>
      </c>
      <c r="D187" s="1029"/>
      <c r="E187" s="1029" t="s">
        <v>3432</v>
      </c>
      <c r="F187" s="1021"/>
      <c r="G187" s="1040"/>
      <c r="H187" s="1029"/>
      <c r="I187" s="1029" t="s">
        <v>5332</v>
      </c>
      <c r="J187" s="1029"/>
      <c r="K187" s="1029"/>
      <c r="L187" s="1029"/>
      <c r="M187" s="1029" t="s">
        <v>1023</v>
      </c>
      <c r="N187" s="1029" t="s">
        <v>4475</v>
      </c>
      <c r="O187" s="1029" t="s">
        <v>1023</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7894</v>
      </c>
      <c r="B188" s="1205" t="s">
        <v>7660</v>
      </c>
      <c r="C188" s="1131" t="s">
        <v>3912</v>
      </c>
      <c r="D188" s="1204"/>
      <c r="E188" s="1204"/>
      <c r="F188" s="1208" t="s">
        <v>3668</v>
      </c>
      <c r="G188" s="1040"/>
      <c r="H188" s="1204"/>
      <c r="I188" s="1204"/>
      <c r="J188" s="1204"/>
      <c r="K188" s="1204"/>
      <c r="L188" s="1204" t="s">
        <v>2859</v>
      </c>
      <c r="M188" s="1204"/>
      <c r="N188" s="1204"/>
      <c r="O188" s="1204"/>
      <c r="P188" s="1054"/>
      <c r="Q188" s="1204"/>
      <c r="R188" s="1204"/>
      <c r="S188" s="1204"/>
      <c r="T188" s="1204"/>
      <c r="U188" s="1204"/>
      <c r="V188" s="1032"/>
      <c r="W188" s="1204"/>
      <c r="X188" s="1204"/>
      <c r="Y188" s="1204"/>
      <c r="Z188" s="1204"/>
      <c r="AA188" s="1204"/>
      <c r="AB188" s="1204" t="s">
        <v>3298</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7895</v>
      </c>
      <c r="C189" s="1209" t="s">
        <v>1570</v>
      </c>
      <c r="D189" s="1210" t="s">
        <v>179</v>
      </c>
      <c r="E189" s="1029" t="s">
        <v>4780</v>
      </c>
      <c r="F189" s="1021"/>
      <c r="G189" s="1022" t="s">
        <v>179</v>
      </c>
      <c r="H189" s="1029"/>
      <c r="I189" s="1029"/>
      <c r="J189" s="1029"/>
      <c r="K189" s="1023" t="s">
        <v>3298</v>
      </c>
      <c r="L189" s="1029"/>
      <c r="M189" s="1029"/>
      <c r="N189" s="1029"/>
      <c r="O189" s="1029"/>
      <c r="P189" s="1025"/>
      <c r="Q189" s="1029"/>
      <c r="R189" s="1029"/>
      <c r="S189" s="1029" t="s">
        <v>2068</v>
      </c>
      <c r="T189" s="1029"/>
      <c r="U189" s="1029"/>
      <c r="V189" s="1196"/>
      <c r="W189" s="1029"/>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7896</v>
      </c>
      <c r="B190" s="1205" t="s">
        <v>7660</v>
      </c>
      <c r="C190" s="1131" t="s">
        <v>7897</v>
      </c>
      <c r="D190" s="1204"/>
      <c r="E190" s="1204"/>
      <c r="F190" s="1202" t="s">
        <v>7898</v>
      </c>
      <c r="G190" s="1040"/>
      <c r="H190" s="1204" t="s">
        <v>7897</v>
      </c>
      <c r="I190" s="1204"/>
      <c r="J190" s="1204" t="s">
        <v>7899</v>
      </c>
      <c r="K190" s="1204"/>
      <c r="L190" s="1204"/>
      <c r="M190" s="1204"/>
      <c r="N190" s="1204"/>
      <c r="O190" s="1204"/>
      <c r="P190" s="1054"/>
      <c r="Q190" s="1204"/>
      <c r="R190" s="1204"/>
      <c r="S190" s="1204"/>
      <c r="T190" s="1204"/>
      <c r="U190" s="1204"/>
      <c r="V190" s="1032"/>
      <c r="W190" s="1204"/>
      <c r="X190" s="1204"/>
      <c r="Y190" s="1204" t="s">
        <v>7881</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7895</v>
      </c>
      <c r="C191" s="1131" t="s">
        <v>7900</v>
      </c>
      <c r="D191" s="1024" t="s">
        <v>7901</v>
      </c>
      <c r="E191" s="1023" t="s">
        <v>7900</v>
      </c>
      <c r="F191" s="1021"/>
      <c r="G191" s="1040"/>
      <c r="H191" s="1024" t="s">
        <v>7900</v>
      </c>
      <c r="I191" s="1024"/>
      <c r="J191" s="1024"/>
      <c r="K191" s="1024"/>
      <c r="L191" s="1024"/>
      <c r="M191" s="1024"/>
      <c r="N191" s="1024"/>
      <c r="O191" s="1024"/>
      <c r="P191" s="1025"/>
      <c r="Q191" s="1024"/>
      <c r="R191" s="1024"/>
      <c r="S191" s="1024"/>
      <c r="T191" s="1024"/>
      <c r="U191" s="1024"/>
      <c r="V191" s="1196"/>
      <c r="W191" s="1024"/>
      <c r="X191" s="1024"/>
      <c r="Y191" s="1024"/>
      <c r="Z191" s="1023" t="s">
        <v>7900</v>
      </c>
      <c r="AA191" s="1024"/>
      <c r="AB191" s="1024"/>
      <c r="AC191" s="1024"/>
      <c r="AD191" s="1024"/>
      <c r="AE191" s="1024"/>
      <c r="AF191" s="1024"/>
      <c r="AG191" s="1024"/>
      <c r="AH191" s="1024" t="s">
        <v>7902</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194" t="s">
        <v>7528</v>
      </c>
      <c r="B192" s="1203" t="s">
        <v>7903</v>
      </c>
      <c r="C192" s="1131" t="s">
        <v>2616</v>
      </c>
      <c r="D192" s="1204"/>
      <c r="E192" s="1204"/>
      <c r="F192" s="1199"/>
      <c r="G192" s="1022" t="s">
        <v>7904</v>
      </c>
      <c r="H192" s="1204"/>
      <c r="I192" s="1204"/>
      <c r="J192" s="1204"/>
      <c r="K192" s="1204"/>
      <c r="L192" s="1204"/>
      <c r="M192" s="1204"/>
      <c r="N192" s="1204" t="s">
        <v>4574</v>
      </c>
      <c r="O192" s="1204"/>
      <c r="P192" s="1054"/>
      <c r="Q192" s="1204"/>
      <c r="R192" s="1204"/>
      <c r="S192" s="1204"/>
      <c r="T192" s="1204"/>
      <c r="U192" s="1023" t="s">
        <v>642</v>
      </c>
      <c r="V192" s="1196"/>
      <c r="W192" s="1204" t="s">
        <v>259</v>
      </c>
      <c r="X192" s="1204"/>
      <c r="Y192" s="1204"/>
      <c r="Z192" s="1204"/>
      <c r="AA192" s="1204"/>
      <c r="AB192" s="1204"/>
      <c r="AC192" s="1204"/>
      <c r="AD192" s="1204"/>
      <c r="AE192" s="1204"/>
      <c r="AF192" s="1204"/>
      <c r="AG192" s="1204"/>
      <c r="AH192" s="1204"/>
      <c r="AI192" s="1204"/>
      <c r="AJ192" s="1204"/>
      <c r="AK192" s="1090"/>
      <c r="AL192" s="1204"/>
      <c r="AM192" s="1204"/>
      <c r="AN192" s="1204"/>
      <c r="AO192" s="1204"/>
      <c r="AP192" s="1204"/>
      <c r="AQ192" s="1090"/>
      <c r="AR192" s="1090"/>
      <c r="AS192" s="1204"/>
      <c r="AT192" s="1204"/>
      <c r="AU192" s="1196"/>
      <c r="AV192" s="1204"/>
      <c r="AW192" s="1204"/>
      <c r="AX192" s="1204"/>
      <c r="AY192" s="1204"/>
      <c r="AZ192" s="1204"/>
      <c r="BA192" s="1196"/>
      <c r="BB192" s="1204"/>
      <c r="BC192" s="1204"/>
      <c r="BD192" s="1204"/>
      <c r="BE192" s="1204"/>
      <c r="BF192" s="1204"/>
      <c r="BG192" s="1204"/>
      <c r="BH192" s="1204"/>
      <c r="BI192" s="1196"/>
      <c r="BJ192" s="1196"/>
      <c r="BK192" s="1196"/>
      <c r="BL192" s="1196"/>
      <c r="BM192" s="1196"/>
      <c r="BN192" s="1196"/>
      <c r="BO192" s="1196"/>
    </row>
    <row r="193" ht="15.75" customHeight="1">
      <c r="A193" s="1197"/>
      <c r="B193" s="1198" t="s">
        <v>7905</v>
      </c>
      <c r="C193" s="1131" t="s">
        <v>819</v>
      </c>
      <c r="D193" s="1204" t="s">
        <v>3468</v>
      </c>
      <c r="E193" s="1204"/>
      <c r="F193" s="1049" t="s">
        <v>2230</v>
      </c>
      <c r="G193" s="1040"/>
      <c r="H193" s="1204"/>
      <c r="I193" s="1204" t="s">
        <v>3595</v>
      </c>
      <c r="J193" s="1204"/>
      <c r="K193" s="1204" t="s">
        <v>3364</v>
      </c>
      <c r="L193" s="1204"/>
      <c r="M193" s="1204"/>
      <c r="N193" s="1204" t="s">
        <v>7906</v>
      </c>
      <c r="O193" s="1204"/>
      <c r="P193" s="1054"/>
      <c r="Q193" s="1204"/>
      <c r="R193" s="1204"/>
      <c r="S193" s="1204"/>
      <c r="T193" s="1204"/>
      <c r="U193" s="1204"/>
      <c r="V193" s="1032"/>
      <c r="W193" s="1204"/>
      <c r="X193" s="1204"/>
      <c r="Y193" s="1204"/>
      <c r="Z193" s="1204"/>
      <c r="AA193" s="1204"/>
      <c r="AB193" s="1204"/>
      <c r="AC193" s="1204"/>
      <c r="AD193" s="1204"/>
      <c r="AE193" s="1204"/>
      <c r="AF193" s="1204"/>
      <c r="AG193" s="1204"/>
      <c r="AH193" s="1204" t="s">
        <v>4527</v>
      </c>
      <c r="AI193" s="1204"/>
      <c r="AJ193" s="1204"/>
      <c r="AK193" s="1090"/>
      <c r="AL193" s="1204"/>
      <c r="AM193" s="1204"/>
      <c r="AN193" s="1204"/>
      <c r="AO193" s="1204"/>
      <c r="AP193" s="1204"/>
      <c r="AQ193" s="1090"/>
      <c r="AR193" s="1090"/>
      <c r="AS193" s="1204"/>
      <c r="AT193" s="1204"/>
      <c r="AU193" s="1032"/>
      <c r="AV193" s="1204"/>
      <c r="AW193" s="1204"/>
      <c r="AX193" s="1204"/>
      <c r="AY193" s="1204" t="s">
        <v>3326</v>
      </c>
      <c r="AZ193" s="1204"/>
      <c r="BA193" s="1032"/>
      <c r="BB193" s="1204"/>
      <c r="BC193" s="1204"/>
      <c r="BD193" s="1204"/>
      <c r="BE193" s="1204"/>
      <c r="BF193" s="1204"/>
      <c r="BG193" s="1204"/>
      <c r="BH193" s="1204"/>
      <c r="BI193" s="1032"/>
      <c r="BJ193" s="1032"/>
      <c r="BK193" s="1032"/>
      <c r="BL193" s="1032"/>
      <c r="BM193" s="1032"/>
      <c r="BN193" s="1032"/>
      <c r="BO193" s="1032"/>
    </row>
    <row r="194" ht="15.75" customHeight="1">
      <c r="A194" s="1206"/>
      <c r="B194" s="1207" t="s">
        <v>7907</v>
      </c>
      <c r="C194" s="1131" t="s">
        <v>494</v>
      </c>
      <c r="D194" s="1029" t="s">
        <v>2927</v>
      </c>
      <c r="E194" s="1204"/>
      <c r="F194" s="1035" t="s">
        <v>2563</v>
      </c>
      <c r="G194" s="1022" t="s">
        <v>630</v>
      </c>
      <c r="H194" s="1204" t="s">
        <v>783</v>
      </c>
      <c r="I194" s="1204"/>
      <c r="J194" s="1204" t="s">
        <v>5652</v>
      </c>
      <c r="K194" s="1204"/>
      <c r="L194" s="1204" t="s">
        <v>939</v>
      </c>
      <c r="M194" s="1204"/>
      <c r="N194" s="1204"/>
      <c r="O194" s="1204" t="s">
        <v>1024</v>
      </c>
      <c r="P194" s="1054"/>
      <c r="Q194" s="1204" t="s">
        <v>6446</v>
      </c>
      <c r="R194" s="1204"/>
      <c r="S194" s="1204"/>
      <c r="T194" s="1204" t="s">
        <v>494</v>
      </c>
      <c r="U194" s="1023" t="s">
        <v>2747</v>
      </c>
      <c r="V194" s="1196"/>
      <c r="W194" s="1204" t="s">
        <v>586</v>
      </c>
      <c r="X194" s="1204"/>
      <c r="Y194" s="1204"/>
      <c r="Z194" s="1204"/>
      <c r="AA194" s="1204" t="s">
        <v>1523</v>
      </c>
      <c r="AB194" s="1204"/>
      <c r="AC194" s="1204"/>
      <c r="AD194" s="1204"/>
      <c r="AE194" s="1204"/>
      <c r="AF194" s="1204"/>
      <c r="AG194" s="1204"/>
      <c r="AH194" s="1204"/>
      <c r="AI194" s="1204"/>
      <c r="AJ194" s="1204"/>
      <c r="AK194" s="1090"/>
      <c r="AL194" s="1204"/>
      <c r="AM194" s="1204"/>
      <c r="AN194" s="1204"/>
      <c r="AO194" s="1204"/>
      <c r="AP194" s="1204"/>
      <c r="AQ194" s="1090"/>
      <c r="AR194" s="1090"/>
      <c r="AS194" s="1204"/>
      <c r="AT194" s="1204"/>
      <c r="AU194" s="1196"/>
      <c r="AV194" s="1204"/>
      <c r="AW194" s="1204"/>
      <c r="AX194" s="1204"/>
      <c r="AY194" s="1204"/>
      <c r="AZ194" s="1204"/>
      <c r="BA194" s="1196"/>
      <c r="BB194" s="1204"/>
      <c r="BC194" s="1204"/>
      <c r="BD194" s="1204"/>
      <c r="BE194" s="1204"/>
      <c r="BF194" s="1204"/>
      <c r="BG194" s="1204"/>
      <c r="BH194" s="1204"/>
      <c r="BI194" s="1196"/>
      <c r="BJ194" s="1196"/>
      <c r="BK194" s="1196"/>
      <c r="BL194" s="1196"/>
      <c r="BM194" s="1196"/>
      <c r="BN194" s="1196"/>
      <c r="BO194" s="1196"/>
    </row>
    <row r="195" ht="15.75" customHeight="1">
      <c r="A195" s="1200" t="s">
        <v>7515</v>
      </c>
      <c r="B195" s="1205" t="s">
        <v>7908</v>
      </c>
      <c r="C195" s="1131"/>
      <c r="D195" s="1204"/>
      <c r="E195" s="1204"/>
      <c r="F195" s="1021"/>
      <c r="G195" s="1040"/>
      <c r="H195" s="1204"/>
      <c r="I195" s="1204"/>
      <c r="J195" s="1204"/>
      <c r="K195" s="1204"/>
      <c r="L195" s="1204"/>
      <c r="M195" s="1204"/>
      <c r="N195" s="1204"/>
      <c r="O195" s="1204"/>
      <c r="P195" s="1054"/>
      <c r="Q195" s="1204"/>
      <c r="R195" s="1204"/>
      <c r="S195" s="1204"/>
      <c r="T195" s="1204"/>
      <c r="U195" s="1204"/>
      <c r="V195" s="1032"/>
      <c r="W195" s="1204"/>
      <c r="X195" s="1204"/>
      <c r="Y195" s="1204"/>
      <c r="Z195" s="1204"/>
      <c r="AA195" s="1204"/>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032"/>
      <c r="AV195" s="1204"/>
      <c r="AW195" s="1204"/>
      <c r="AX195" s="1204"/>
      <c r="AY195" s="1204"/>
      <c r="AZ195" s="1204"/>
      <c r="BA195" s="1032"/>
      <c r="BB195" s="1204"/>
      <c r="BC195" s="1204"/>
      <c r="BD195" s="1204"/>
      <c r="BE195" s="1204"/>
      <c r="BF195" s="1204"/>
      <c r="BG195" s="1204"/>
      <c r="BH195" s="1204"/>
      <c r="BI195" s="1032"/>
      <c r="BJ195" s="1032"/>
      <c r="BK195" s="1032"/>
      <c r="BL195" s="1032"/>
      <c r="BM195" s="1032"/>
      <c r="BN195" s="1032"/>
      <c r="BO195" s="1032"/>
    </row>
    <row r="196" ht="15.75" customHeight="1">
      <c r="A196" s="1197"/>
      <c r="B196" s="1198" t="s">
        <v>7909</v>
      </c>
      <c r="C196" s="1131" t="s">
        <v>7844</v>
      </c>
      <c r="D196" s="1204"/>
      <c r="E196" s="1204"/>
      <c r="F196" s="1199"/>
      <c r="G196" s="1040"/>
      <c r="H196" s="1204"/>
      <c r="I196" s="1204"/>
      <c r="J196" s="1204"/>
      <c r="K196" s="1204"/>
      <c r="L196" s="1204"/>
      <c r="M196" s="1204"/>
      <c r="N196" s="1204"/>
      <c r="O196" s="1204"/>
      <c r="P196" s="1054"/>
      <c r="Q196" s="1204"/>
      <c r="R196" s="1204"/>
      <c r="S196" s="1204"/>
      <c r="T196" s="1204"/>
      <c r="U196" s="1204"/>
      <c r="V196" s="1196"/>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196"/>
      <c r="AV196" s="1204"/>
      <c r="AW196" s="1204"/>
      <c r="AX196" s="1204"/>
      <c r="AY196" s="1204"/>
      <c r="AZ196" s="1204"/>
      <c r="BA196" s="1196"/>
      <c r="BB196" s="1204"/>
      <c r="BC196" s="1204"/>
      <c r="BD196" s="1204"/>
      <c r="BE196" s="1204"/>
      <c r="BF196" s="1204"/>
      <c r="BG196" s="1204"/>
      <c r="BH196" s="1204"/>
      <c r="BI196" s="1196"/>
      <c r="BJ196" s="1196"/>
      <c r="BK196" s="1196"/>
      <c r="BL196" s="1196"/>
      <c r="BM196" s="1196"/>
      <c r="BN196" s="1196"/>
      <c r="BO196" s="1196"/>
    </row>
    <row r="197" ht="15.75" customHeight="1">
      <c r="A197" s="1206"/>
      <c r="B197" s="1207" t="s">
        <v>7910</v>
      </c>
      <c r="C197" s="1131" t="s">
        <v>7911</v>
      </c>
      <c r="D197" s="1204" t="s">
        <v>1545</v>
      </c>
      <c r="E197" s="1204"/>
      <c r="F197" s="1069" t="s">
        <v>7912</v>
      </c>
      <c r="G197" s="1040"/>
      <c r="H197" s="1204"/>
      <c r="I197" s="1204"/>
      <c r="J197" s="1204"/>
      <c r="K197" s="1204"/>
      <c r="L197" s="1204"/>
      <c r="M197" s="1204"/>
      <c r="N197" s="1204"/>
      <c r="O197" s="1204"/>
      <c r="P197" s="1054"/>
      <c r="Q197" s="1204"/>
      <c r="R197" s="1204"/>
      <c r="S197" s="1204"/>
      <c r="T197" s="1204"/>
      <c r="U197" s="1204"/>
      <c r="V197" s="1032"/>
      <c r="W197" s="1204"/>
      <c r="X197" s="1204"/>
      <c r="Y197" s="1204" t="s">
        <v>1545</v>
      </c>
      <c r="Z197" s="1204"/>
      <c r="AA197" s="1204"/>
      <c r="AB197" s="1204"/>
      <c r="AC197" s="1204"/>
      <c r="AD197" s="1204" t="s">
        <v>2055</v>
      </c>
      <c r="AE197" s="1204"/>
      <c r="AF197" s="1204"/>
      <c r="AG197" s="1204"/>
      <c r="AH197" s="1204"/>
      <c r="AI197" s="1204"/>
      <c r="AJ197" s="1204"/>
      <c r="AK197" s="1090"/>
      <c r="AL197" s="1204"/>
      <c r="AM197" s="1204"/>
      <c r="AN197" s="1204"/>
      <c r="AO197" s="1204"/>
      <c r="AP197" s="1204"/>
      <c r="AQ197" s="1090"/>
      <c r="AR197" s="1090"/>
      <c r="AS197" s="1204"/>
      <c r="AT197" s="1204"/>
      <c r="AU197" s="1032"/>
      <c r="AV197" s="1204"/>
      <c r="AW197" s="1204"/>
      <c r="AX197" s="1204"/>
      <c r="AY197" s="1204"/>
      <c r="AZ197" s="1204"/>
      <c r="BA197" s="1032"/>
      <c r="BB197" s="1204"/>
      <c r="BC197" s="1204"/>
      <c r="BD197" s="1204"/>
      <c r="BE197" s="1204"/>
      <c r="BF197" s="1204"/>
      <c r="BG197" s="1204"/>
      <c r="BH197" s="1204"/>
      <c r="BI197" s="1032"/>
      <c r="BJ197" s="1032"/>
      <c r="BK197" s="1032"/>
      <c r="BL197" s="1032"/>
      <c r="BM197" s="1032"/>
      <c r="BN197" s="1032"/>
      <c r="BO197" s="1032"/>
    </row>
    <row r="198" ht="15.75" customHeight="1">
      <c r="A198" s="1197"/>
      <c r="B198" s="1198" t="s">
        <v>7913</v>
      </c>
      <c r="C198" s="1131" t="s">
        <v>2169</v>
      </c>
      <c r="D198" s="1072" t="s">
        <v>7914</v>
      </c>
      <c r="E198" s="1204"/>
      <c r="F198" s="1202" t="s">
        <v>588</v>
      </c>
      <c r="G198" s="1040"/>
      <c r="H198" s="1204" t="s">
        <v>3076</v>
      </c>
      <c r="I198" s="1204"/>
      <c r="J198" s="1204"/>
      <c r="K198" s="1204"/>
      <c r="L198" s="1204"/>
      <c r="M198" s="1204"/>
      <c r="N198" s="1204"/>
      <c r="O198" s="1204"/>
      <c r="P198" s="1054"/>
      <c r="Q198" s="1204"/>
      <c r="R198" s="1204"/>
      <c r="S198" s="1204"/>
      <c r="T198" s="1204" t="s">
        <v>2169</v>
      </c>
      <c r="U198" s="1204"/>
      <c r="V198" s="1196"/>
      <c r="W198" s="1204"/>
      <c r="X198" s="1204"/>
      <c r="Y198" s="1204"/>
      <c r="Z198" s="1204"/>
      <c r="AA198" s="1204" t="s">
        <v>687</v>
      </c>
      <c r="AB198" s="1204"/>
      <c r="AC198" s="1132" t="s">
        <v>2169</v>
      </c>
      <c r="AD198" s="1204"/>
      <c r="AE198" s="1204" t="s">
        <v>1406</v>
      </c>
      <c r="AF198" s="1204"/>
      <c r="AG198" s="1204"/>
      <c r="AH198" s="1204"/>
      <c r="AI198" s="1204"/>
      <c r="AJ198" s="1204"/>
      <c r="AK198" s="1090"/>
      <c r="AL198" s="1204"/>
      <c r="AM198" s="1204"/>
      <c r="AN198" s="1204"/>
      <c r="AO198" s="1204"/>
      <c r="AP198" s="1204"/>
      <c r="AQ198" s="1090"/>
      <c r="AR198" s="1090"/>
      <c r="AS198" s="1204"/>
      <c r="AT198" s="1204"/>
      <c r="AU198" s="1196"/>
      <c r="AV198" s="1204"/>
      <c r="AW198" s="1204"/>
      <c r="AX198" s="1204"/>
      <c r="AY198" s="1204"/>
      <c r="AZ198" s="1204"/>
      <c r="BA198" s="1196"/>
      <c r="BB198" s="1204"/>
      <c r="BC198" s="1204"/>
      <c r="BD198" s="1204"/>
      <c r="BE198" s="1204"/>
      <c r="BF198" s="1204"/>
      <c r="BG198" s="1204"/>
      <c r="BH198" s="1204"/>
      <c r="BI198" s="1196"/>
      <c r="BJ198" s="1196"/>
      <c r="BK198" s="1196"/>
      <c r="BL198" s="1196"/>
      <c r="BM198" s="1196"/>
      <c r="BN198" s="1196"/>
      <c r="BO198" s="1196"/>
    </row>
    <row r="199" ht="15.75" customHeight="1">
      <c r="A199" s="1194" t="s">
        <v>7667</v>
      </c>
      <c r="B199" s="1215" t="s">
        <v>7915</v>
      </c>
      <c r="C199" s="1131" t="s">
        <v>5420</v>
      </c>
      <c r="D199" s="1204"/>
      <c r="E199" s="1204"/>
      <c r="F199" s="1021"/>
      <c r="G199" s="1022" t="s">
        <v>3219</v>
      </c>
      <c r="H199" s="1204"/>
      <c r="I199" s="1204"/>
      <c r="J199" s="1204"/>
      <c r="K199" s="1204"/>
      <c r="L199" s="1204"/>
      <c r="M199" s="1204"/>
      <c r="N199" s="1204"/>
      <c r="O199" s="1204"/>
      <c r="P199" s="1054"/>
      <c r="Q199" s="1204"/>
      <c r="R199" s="1204"/>
      <c r="S199" s="1204"/>
      <c r="T199" s="1204"/>
      <c r="U199" s="1204"/>
      <c r="V199" s="1032"/>
      <c r="W199" s="1204"/>
      <c r="X199" s="1204"/>
      <c r="Y199" s="1204"/>
      <c r="Z199" s="1204"/>
      <c r="AA199" s="1204"/>
      <c r="AB199" s="1204"/>
      <c r="AC199" s="1204"/>
      <c r="AD199" s="1204"/>
      <c r="AE199" s="1204"/>
      <c r="AF199" s="1204"/>
      <c r="AG199" s="1204"/>
      <c r="AH199" s="1204"/>
      <c r="AI199" s="1204"/>
      <c r="AJ199" s="1204"/>
      <c r="AK199" s="1090"/>
      <c r="AL199" s="1204"/>
      <c r="AM199" s="1204"/>
      <c r="AN199" s="1204"/>
      <c r="AO199" s="1204"/>
      <c r="AP199" s="1204"/>
      <c r="AQ199" s="1090"/>
      <c r="AR199" s="1090"/>
      <c r="AS199" s="1204"/>
      <c r="AT199" s="1204"/>
      <c r="AU199" s="1032"/>
      <c r="AV199" s="1204"/>
      <c r="AW199" s="1204"/>
      <c r="AX199" s="1204"/>
      <c r="AY199" s="1204"/>
      <c r="AZ199" s="1204"/>
      <c r="BA199" s="1032"/>
      <c r="BB199" s="1204"/>
      <c r="BC199" s="1204"/>
      <c r="BD199" s="1204"/>
      <c r="BE199" s="1204"/>
      <c r="BF199" s="1204"/>
      <c r="BG199" s="1204"/>
      <c r="BH199" s="1204"/>
      <c r="BI199" s="1032"/>
      <c r="BJ199" s="1032"/>
      <c r="BK199" s="1032"/>
      <c r="BL199" s="1032"/>
      <c r="BM199" s="1032"/>
      <c r="BN199" s="1032"/>
      <c r="BO199" s="1032"/>
    </row>
    <row r="200" ht="15.75" customHeight="1">
      <c r="A200" s="1197"/>
      <c r="B200" s="1198" t="s">
        <v>7916</v>
      </c>
      <c r="C200" s="1131" t="s">
        <v>5233</v>
      </c>
      <c r="D200" s="1204" t="s">
        <v>3434</v>
      </c>
      <c r="E200" s="1204"/>
      <c r="F200" s="1202" t="s">
        <v>659</v>
      </c>
      <c r="G200" s="1022" t="s">
        <v>4518</v>
      </c>
      <c r="H200" s="1204"/>
      <c r="I200" s="1204"/>
      <c r="J200" s="1204"/>
      <c r="K200" s="1204" t="s">
        <v>5669</v>
      </c>
      <c r="L200" s="1204" t="s">
        <v>1763</v>
      </c>
      <c r="M200" s="1204"/>
      <c r="N200" s="1204" t="s">
        <v>4658</v>
      </c>
      <c r="O200" s="1204"/>
      <c r="P200" s="1054"/>
      <c r="Q200" s="1204"/>
      <c r="R200" s="1204"/>
      <c r="S200" s="1204"/>
      <c r="T200" s="1204" t="s">
        <v>3504</v>
      </c>
      <c r="U200" s="1204"/>
      <c r="V200" s="1216"/>
      <c r="W200" s="1204" t="s">
        <v>7917</v>
      </c>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196"/>
      <c r="AV200" s="1204"/>
      <c r="AW200" s="1204"/>
      <c r="AX200" s="1204"/>
      <c r="AY200" s="1204"/>
      <c r="AZ200" s="1204"/>
      <c r="BA200" s="1196"/>
      <c r="BB200" s="1204"/>
      <c r="BC200" s="1204"/>
      <c r="BD200" s="1204"/>
      <c r="BE200" s="1204"/>
      <c r="BF200" s="1204"/>
      <c r="BG200" s="1204"/>
      <c r="BH200" s="1204"/>
      <c r="BI200" s="1196"/>
      <c r="BJ200" s="1196"/>
      <c r="BK200" s="1196"/>
      <c r="BL200" s="1196"/>
      <c r="BM200" s="1196"/>
      <c r="BN200" s="1196"/>
      <c r="BO200" s="1196"/>
    </row>
    <row r="201" ht="15.75" customHeight="1">
      <c r="A201" s="1206"/>
      <c r="B201" s="1207" t="s">
        <v>7918</v>
      </c>
      <c r="C201" s="1131" t="s">
        <v>158</v>
      </c>
      <c r="D201" s="1204"/>
      <c r="E201" s="1204"/>
      <c r="F201" s="1021"/>
      <c r="G201" s="1040"/>
      <c r="H201" s="1204"/>
      <c r="I201" s="1204" t="s">
        <v>158</v>
      </c>
      <c r="J201" s="1204"/>
      <c r="K201" s="1204"/>
      <c r="L201" s="1204"/>
      <c r="M201" s="1204"/>
      <c r="N201" s="1204"/>
      <c r="O201" s="1204"/>
      <c r="P201" s="1054"/>
      <c r="Q201" s="1204"/>
      <c r="R201" s="1204"/>
      <c r="S201" s="1204"/>
      <c r="T201" s="1204"/>
      <c r="U201" s="1204"/>
      <c r="V201" s="1032"/>
      <c r="W201" s="1204"/>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032"/>
      <c r="AV201" s="1204"/>
      <c r="AW201" s="1204"/>
      <c r="AX201" s="1204"/>
      <c r="AY201" s="1204"/>
      <c r="AZ201" s="1204"/>
      <c r="BA201" s="1032"/>
      <c r="BB201" s="1204"/>
      <c r="BC201" s="1204"/>
      <c r="BD201" s="1204"/>
      <c r="BE201" s="1204"/>
      <c r="BF201" s="1204"/>
      <c r="BG201" s="1204"/>
      <c r="BH201" s="1204"/>
      <c r="BI201" s="1032"/>
      <c r="BJ201" s="1032"/>
      <c r="BK201" s="1032"/>
      <c r="BL201" s="1032"/>
      <c r="BM201" s="1032"/>
      <c r="BN201" s="1032"/>
      <c r="BO201" s="1032"/>
    </row>
    <row r="202" ht="15.75" customHeight="1">
      <c r="A202" s="1197"/>
      <c r="B202" s="1198" t="s">
        <v>7919</v>
      </c>
      <c r="C202" s="1131" t="s">
        <v>366</v>
      </c>
      <c r="D202" s="1024" t="s">
        <v>5866</v>
      </c>
      <c r="E202" s="1023" t="s">
        <v>366</v>
      </c>
      <c r="F202" s="1208" t="s">
        <v>7920</v>
      </c>
      <c r="G202" s="1040"/>
      <c r="H202" s="1024"/>
      <c r="I202" s="1024"/>
      <c r="J202" s="1023" t="s">
        <v>1763</v>
      </c>
      <c r="K202" s="1024"/>
      <c r="L202" s="1024"/>
      <c r="M202" s="1024"/>
      <c r="N202" s="1024"/>
      <c r="O202" s="1024"/>
      <c r="P202" s="1025"/>
      <c r="Q202" s="1024"/>
      <c r="R202" s="1024"/>
      <c r="S202" s="1024"/>
      <c r="T202" s="1024"/>
      <c r="U202" s="1024"/>
      <c r="V202" s="1196"/>
      <c r="W202" s="102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6"/>
      <c r="AV202" s="1024"/>
      <c r="AW202" s="1024"/>
      <c r="AX202" s="1024"/>
      <c r="AY202" s="1024"/>
      <c r="AZ202" s="1024"/>
      <c r="BA202" s="1196"/>
      <c r="BB202" s="1024"/>
      <c r="BC202" s="1024"/>
      <c r="BD202" s="1024"/>
      <c r="BE202" s="1024"/>
      <c r="BF202" s="1024"/>
      <c r="BG202" s="1024"/>
      <c r="BH202" s="1024"/>
      <c r="BI202" s="1196"/>
      <c r="BJ202" s="1196"/>
      <c r="BK202" s="1196"/>
      <c r="BL202" s="1196"/>
      <c r="BM202" s="1196"/>
      <c r="BN202" s="1196"/>
      <c r="BO202" s="1196"/>
    </row>
    <row r="203" ht="15.75" customHeight="1">
      <c r="A203" s="1206"/>
      <c r="B203" s="1207" t="s">
        <v>7921</v>
      </c>
      <c r="C203" s="1131" t="s">
        <v>940</v>
      </c>
      <c r="D203" s="1029" t="s">
        <v>161</v>
      </c>
      <c r="E203" s="1072"/>
      <c r="F203" s="1055" t="s">
        <v>596</v>
      </c>
      <c r="G203" s="1022" t="s">
        <v>116</v>
      </c>
      <c r="H203" s="1132" t="s">
        <v>7922</v>
      </c>
      <c r="I203" s="1072"/>
      <c r="J203" s="1072"/>
      <c r="K203" s="1072"/>
      <c r="L203" s="1132" t="s">
        <v>940</v>
      </c>
      <c r="M203" s="1072" t="s">
        <v>784</v>
      </c>
      <c r="N203" s="1072"/>
      <c r="O203" s="1072"/>
      <c r="P203" s="1073"/>
      <c r="Q203" s="1072"/>
      <c r="R203" s="1072"/>
      <c r="S203" s="1072"/>
      <c r="T203" s="1072"/>
      <c r="U203" s="1072"/>
      <c r="V203" s="1032"/>
      <c r="W203" s="107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200" t="s">
        <v>7515</v>
      </c>
      <c r="B204" s="1205" t="s">
        <v>7915</v>
      </c>
      <c r="C204" s="1131" t="s">
        <v>1491</v>
      </c>
      <c r="D204" s="1072"/>
      <c r="E204" s="1072"/>
      <c r="F204" s="1199"/>
      <c r="G204" s="1040"/>
      <c r="H204" s="1072"/>
      <c r="I204" s="1072"/>
      <c r="J204" s="1072" t="s">
        <v>6991</v>
      </c>
      <c r="K204" s="1072"/>
      <c r="L204" s="1072"/>
      <c r="M204" s="1072"/>
      <c r="N204" s="1072"/>
      <c r="O204" s="1072"/>
      <c r="P204" s="1073"/>
      <c r="Q204" s="1072"/>
      <c r="R204" s="1072"/>
      <c r="S204" s="1072"/>
      <c r="T204" s="1072"/>
      <c r="U204" s="1072"/>
      <c r="V204" s="1196"/>
      <c r="W204" s="1072"/>
      <c r="X204" s="1072"/>
      <c r="Y204" s="1132" t="s">
        <v>844</v>
      </c>
      <c r="Z204" s="1072"/>
      <c r="AA204" s="1072"/>
      <c r="AB204" s="1072"/>
      <c r="AC204" s="1072"/>
      <c r="AD204" s="1132" t="s">
        <v>7923</v>
      </c>
      <c r="AE204" s="1072"/>
      <c r="AF204" s="1072"/>
      <c r="AG204" s="1072"/>
      <c r="AH204" s="1072"/>
      <c r="AI204" s="1072"/>
      <c r="AJ204" s="1072"/>
      <c r="AK204" s="1090"/>
      <c r="AL204" s="1072"/>
      <c r="AM204" s="1072"/>
      <c r="AN204" s="1072"/>
      <c r="AO204" s="1072"/>
      <c r="AP204" s="1072"/>
      <c r="AQ204" s="1090"/>
      <c r="AR204" s="1090"/>
      <c r="AS204" s="1072"/>
      <c r="AT204" s="1072"/>
      <c r="AU204" s="1196"/>
      <c r="AV204" s="1072"/>
      <c r="AW204" s="1072"/>
      <c r="AX204" s="1072"/>
      <c r="AY204" s="1072"/>
      <c r="AZ204" s="1072"/>
      <c r="BA204" s="1196"/>
      <c r="BB204" s="1072"/>
      <c r="BC204" s="1072"/>
      <c r="BD204" s="1072"/>
      <c r="BE204" s="1072"/>
      <c r="BF204" s="1072"/>
      <c r="BG204" s="1072" t="s">
        <v>7924</v>
      </c>
      <c r="BH204" s="1072"/>
      <c r="BI204" s="1196"/>
      <c r="BJ204" s="1196"/>
      <c r="BK204" s="1196"/>
      <c r="BL204" s="1196"/>
      <c r="BM204" s="1196"/>
      <c r="BN204" s="1196"/>
      <c r="BO204" s="1196"/>
    </row>
    <row r="205" ht="15.75" customHeight="1">
      <c r="A205" s="1197"/>
      <c r="B205" s="1198" t="s">
        <v>7916</v>
      </c>
      <c r="C205" s="1131" t="s">
        <v>7925</v>
      </c>
      <c r="D205" s="1072" t="s">
        <v>328</v>
      </c>
      <c r="E205" s="1072" t="s">
        <v>3828</v>
      </c>
      <c r="F205" s="1202" t="s">
        <v>4975</v>
      </c>
      <c r="G205" s="1022" t="s">
        <v>6546</v>
      </c>
      <c r="H205" s="1072"/>
      <c r="I205" s="1072" t="s">
        <v>7926</v>
      </c>
      <c r="J205" s="1072"/>
      <c r="K205" s="1072"/>
      <c r="L205" s="1072" t="s">
        <v>3828</v>
      </c>
      <c r="M205" s="1072"/>
      <c r="N205" s="1072" t="s">
        <v>7927</v>
      </c>
      <c r="O205" s="1072"/>
      <c r="P205" s="1073" t="s">
        <v>3855</v>
      </c>
      <c r="Q205" s="1072"/>
      <c r="R205" s="1067" t="s">
        <v>7928</v>
      </c>
      <c r="S205" s="1072"/>
      <c r="T205" s="1072"/>
      <c r="U205" s="1072"/>
      <c r="V205" s="1044" t="s">
        <v>7929</v>
      </c>
      <c r="W205" s="1072" t="s">
        <v>3166</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6"/>
      <c r="B206" s="1207" t="s">
        <v>7918</v>
      </c>
      <c r="C206" s="1131" t="s">
        <v>4910</v>
      </c>
      <c r="D206" s="1204"/>
      <c r="E206" s="1204"/>
      <c r="F206" s="1202"/>
      <c r="G206" s="1040"/>
      <c r="H206" s="1204"/>
      <c r="I206" s="1204" t="str">
        <f>HYPERLINK("https://youtu.be/hsc9lXHQpts","23.75")</f>
        <v>23.75</v>
      </c>
      <c r="J206" s="1204"/>
      <c r="K206" s="1204"/>
      <c r="L206" s="1204"/>
      <c r="M206" s="1204"/>
      <c r="N206" s="1204"/>
      <c r="O206" s="1204"/>
      <c r="P206" s="1054"/>
      <c r="Q206" s="1204"/>
      <c r="R206" s="1204"/>
      <c r="S206" s="1204"/>
      <c r="T206" s="1204"/>
      <c r="U206" s="1204"/>
      <c r="V206" s="1196"/>
      <c r="W206" s="1204"/>
      <c r="X206" s="1204"/>
      <c r="Y206" s="1204" t="s">
        <v>4752</v>
      </c>
      <c r="Z206" s="1204"/>
      <c r="AA206" s="1204"/>
      <c r="AB206" s="1204"/>
      <c r="AC206" s="1204"/>
      <c r="AD206" s="1204" t="s">
        <v>543</v>
      </c>
      <c r="AE206" s="1204"/>
      <c r="AF206" s="1204"/>
      <c r="AG206" s="1204"/>
      <c r="AH206" s="1204"/>
      <c r="AI206" s="1204"/>
      <c r="AJ206" s="1204"/>
      <c r="AK206" s="1090"/>
      <c r="AL206" s="1204"/>
      <c r="AM206" s="1204"/>
      <c r="AN206" s="1204"/>
      <c r="AO206" s="1204"/>
      <c r="AP206" s="1204"/>
      <c r="AQ206" s="1090"/>
      <c r="AR206" s="1090"/>
      <c r="AS206" s="1204"/>
      <c r="AT206" s="1204"/>
      <c r="AU206" s="1196"/>
      <c r="AV206" s="1204"/>
      <c r="AW206" s="1204"/>
      <c r="AX206" s="1204"/>
      <c r="AY206" s="1204"/>
      <c r="AZ206" s="1204"/>
      <c r="BA206" s="1196"/>
      <c r="BB206" s="1204"/>
      <c r="BC206" s="1204"/>
      <c r="BD206" s="1204"/>
      <c r="BE206" s="1204"/>
      <c r="BF206" s="1204"/>
      <c r="BG206" s="1204"/>
      <c r="BH206" s="1204"/>
      <c r="BI206" s="1196"/>
      <c r="BJ206" s="1196"/>
      <c r="BK206" s="1196"/>
      <c r="BL206" s="1196"/>
      <c r="BM206" s="1196"/>
      <c r="BN206" s="1196"/>
      <c r="BO206" s="1196"/>
    </row>
    <row r="207" ht="15.75" customHeight="1">
      <c r="A207" s="1197"/>
      <c r="B207" s="1198" t="s">
        <v>7919</v>
      </c>
      <c r="C207" s="1131" t="s">
        <v>2930</v>
      </c>
      <c r="D207" s="1029" t="s">
        <v>543</v>
      </c>
      <c r="E207" s="1029" t="s">
        <v>2930</v>
      </c>
      <c r="F207" s="1049" t="s">
        <v>7930</v>
      </c>
      <c r="G207" s="1040"/>
      <c r="H207" s="1029"/>
      <c r="I207" s="1029" t="s">
        <v>1459</v>
      </c>
      <c r="J207" s="1029" t="s">
        <v>7931</v>
      </c>
      <c r="K207" s="1029" t="s">
        <v>4250</v>
      </c>
      <c r="L207" s="1029"/>
      <c r="M207" s="1029" t="s">
        <v>7932</v>
      </c>
      <c r="N207" s="1029" t="s">
        <v>4493</v>
      </c>
      <c r="O207" s="1029" t="s">
        <v>4833</v>
      </c>
      <c r="P207" s="1023" t="s">
        <v>7933</v>
      </c>
      <c r="Q207" s="1029"/>
      <c r="R207" s="1023" t="s">
        <v>5896</v>
      </c>
      <c r="S207" s="1029"/>
      <c r="T207" s="1029"/>
      <c r="U207" s="1029"/>
      <c r="V207" s="1032"/>
      <c r="W207" s="1029"/>
      <c r="X207" s="1029" t="s">
        <v>2532</v>
      </c>
      <c r="Y207" s="1029" t="s">
        <v>7934</v>
      </c>
      <c r="Z207" s="1029"/>
      <c r="AA207" s="1029"/>
      <c r="AB207" s="1029"/>
      <c r="AC207" s="1029"/>
      <c r="AD207" s="1029"/>
      <c r="AE207" s="1029"/>
      <c r="AF207" s="1029"/>
      <c r="AG207" s="1029"/>
      <c r="AH207" s="1029"/>
      <c r="AI207" s="1029"/>
      <c r="AJ207" s="1029"/>
      <c r="AK207" s="1090"/>
      <c r="AL207" s="1029" t="s">
        <v>4833</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7"/>
      <c r="B208" s="1218" t="s">
        <v>7921</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196"/>
      <c r="W208" s="102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9" t="s">
        <v>496</v>
      </c>
      <c r="AS208" s="1024"/>
      <c r="AT208" s="1024"/>
      <c r="AU208" s="1196"/>
      <c r="AV208" s="1024"/>
      <c r="AW208" s="1024"/>
      <c r="AX208" s="1024"/>
      <c r="AY208" s="1024"/>
      <c r="AZ208" s="1024"/>
      <c r="BA208" s="1196"/>
      <c r="BB208" s="1024"/>
      <c r="BC208" s="1024"/>
      <c r="BD208" s="1024"/>
      <c r="BE208" s="1024"/>
      <c r="BF208" s="1024"/>
      <c r="BG208" s="1024"/>
      <c r="BH208" s="1024"/>
      <c r="BI208" s="1196"/>
      <c r="BJ208" s="1196"/>
      <c r="BK208" s="1196"/>
      <c r="BL208" s="1196"/>
      <c r="BM208" s="1196"/>
      <c r="BN208" s="1196"/>
      <c r="BO208" s="1196"/>
    </row>
    <row r="209" ht="15.75" customHeight="1">
      <c r="A209" s="1200" t="s">
        <v>7522</v>
      </c>
      <c r="B209" s="1205" t="s">
        <v>7501</v>
      </c>
      <c r="C209" s="1131" t="s">
        <v>892</v>
      </c>
      <c r="D209" s="1024" t="s">
        <v>6030</v>
      </c>
      <c r="E209" s="1023" t="s">
        <v>380</v>
      </c>
      <c r="F209" s="1049" t="s">
        <v>1009</v>
      </c>
      <c r="G209" s="1022" t="s">
        <v>7935</v>
      </c>
      <c r="H209" s="1024" t="s">
        <v>2167</v>
      </c>
      <c r="I209" s="1024"/>
      <c r="J209" s="1024"/>
      <c r="K209" s="1024"/>
      <c r="L209" s="1024" t="s">
        <v>7936</v>
      </c>
      <c r="M209" s="1024"/>
      <c r="N209" s="1024"/>
      <c r="O209" s="1024"/>
      <c r="P209" s="1025"/>
      <c r="Q209" s="1024"/>
      <c r="R209" s="1024"/>
      <c r="S209" s="1024"/>
      <c r="T209" s="1024"/>
      <c r="U209" s="1024"/>
      <c r="V209" s="1032"/>
      <c r="W209" s="1024"/>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200" t="s">
        <v>7937</v>
      </c>
      <c r="B210" s="1205" t="s">
        <v>7501</v>
      </c>
      <c r="C210" s="1131" t="s">
        <v>7938</v>
      </c>
      <c r="D210" s="1024"/>
      <c r="E210" s="1023" t="s">
        <v>7938</v>
      </c>
      <c r="F210" s="1208" t="s">
        <v>7939</v>
      </c>
      <c r="G210" s="1040"/>
      <c r="H210" s="1024" t="s">
        <v>7940</v>
      </c>
      <c r="I210" s="1024"/>
      <c r="J210" s="1024" t="s">
        <v>7941</v>
      </c>
      <c r="K210" s="1024"/>
      <c r="L210" s="1024"/>
      <c r="M210" s="1024"/>
      <c r="N210" s="1024"/>
      <c r="O210" s="1023" t="s">
        <v>7938</v>
      </c>
      <c r="P210" s="1025"/>
      <c r="Q210" s="1024"/>
      <c r="R210" s="1024"/>
      <c r="S210" s="1024"/>
      <c r="T210" s="1024"/>
      <c r="U210" s="1024"/>
      <c r="V210" s="1196"/>
      <c r="W210" s="102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6"/>
      <c r="AV210" s="1024"/>
      <c r="AW210" s="1024"/>
      <c r="AX210" s="1024"/>
      <c r="AY210" s="1024"/>
      <c r="AZ210" s="1024"/>
      <c r="BA210" s="1196"/>
      <c r="BB210" s="1024"/>
      <c r="BC210" s="1024"/>
      <c r="BD210" s="1024"/>
      <c r="BE210" s="1024"/>
      <c r="BF210" s="1024"/>
      <c r="BG210" s="1024"/>
      <c r="BH210" s="1024"/>
      <c r="BI210" s="1196"/>
      <c r="BJ210" s="1196"/>
      <c r="BK210" s="1196"/>
      <c r="BL210" s="1196"/>
      <c r="BM210" s="1196"/>
      <c r="BN210" s="1196"/>
      <c r="BO210" s="1196"/>
    </row>
    <row r="211" ht="15.75" customHeight="1">
      <c r="A211" s="1194" t="s">
        <v>7739</v>
      </c>
      <c r="B211" s="1203" t="s">
        <v>7942</v>
      </c>
      <c r="C211" s="1131" t="s">
        <v>7943</v>
      </c>
      <c r="D211" s="1029" t="s">
        <v>1595</v>
      </c>
      <c r="E211" s="1029" t="s">
        <v>7943</v>
      </c>
      <c r="F211" s="1049" t="s">
        <v>2565</v>
      </c>
      <c r="G211" s="1022" t="s">
        <v>1305</v>
      </c>
      <c r="H211" s="1029" t="s">
        <v>1094</v>
      </c>
      <c r="I211" s="1029"/>
      <c r="J211" s="1029"/>
      <c r="K211" s="1029"/>
      <c r="L211" s="1029"/>
      <c r="M211" s="1029"/>
      <c r="N211" s="1029"/>
      <c r="O211" s="1029"/>
      <c r="P211" s="1025"/>
      <c r="Q211" s="1029"/>
      <c r="R211" s="1029"/>
      <c r="S211" s="1029"/>
      <c r="T211" s="1029"/>
      <c r="U211" s="1029"/>
      <c r="V211" s="1196"/>
      <c r="W211" s="1029"/>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6"/>
      <c r="AV211" s="1029"/>
      <c r="AW211" s="1029"/>
      <c r="AX211" s="1029"/>
      <c r="AY211" s="1029"/>
      <c r="AZ211" s="1029"/>
      <c r="BA211" s="1196"/>
      <c r="BB211" s="1029"/>
      <c r="BC211" s="1029"/>
      <c r="BD211" s="1029"/>
      <c r="BE211" s="1029"/>
      <c r="BF211" s="1029"/>
      <c r="BG211" s="1029"/>
      <c r="BH211" s="1029"/>
      <c r="BI211" s="1196"/>
      <c r="BJ211" s="1196"/>
      <c r="BK211" s="1196"/>
      <c r="BL211" s="1196"/>
      <c r="BM211" s="1196"/>
      <c r="BN211" s="1196"/>
      <c r="BO211" s="1196"/>
    </row>
    <row r="212" ht="15.75" customHeight="1">
      <c r="A212" s="1200" t="s">
        <v>7522</v>
      </c>
      <c r="B212" s="1205" t="s">
        <v>7501</v>
      </c>
      <c r="C212" s="1048" t="s">
        <v>7944</v>
      </c>
      <c r="D212" s="1029" t="s">
        <v>3396</v>
      </c>
      <c r="E212" s="1029" t="s">
        <v>4446</v>
      </c>
      <c r="F212" s="1049" t="s">
        <v>7944</v>
      </c>
      <c r="G212" s="1022" t="s">
        <v>965</v>
      </c>
      <c r="H212" s="1029" t="s">
        <v>1049</v>
      </c>
      <c r="I212" s="1029"/>
      <c r="J212" s="1029"/>
      <c r="K212" s="1029"/>
      <c r="L212" s="1029" t="s">
        <v>313</v>
      </c>
      <c r="M212" s="1029"/>
      <c r="N212" s="1029"/>
      <c r="O212" s="1029"/>
      <c r="P212" s="1025"/>
      <c r="Q212" s="1029"/>
      <c r="R212" s="1029"/>
      <c r="S212" s="1029" t="s">
        <v>7945</v>
      </c>
      <c r="T212" s="1029"/>
      <c r="U212" s="1029"/>
      <c r="V212" s="1032"/>
      <c r="W212" s="1029"/>
      <c r="X212" s="1029" t="s">
        <v>7946</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4" t="s">
        <v>7571</v>
      </c>
      <c r="B213" s="1203" t="s">
        <v>7947</v>
      </c>
      <c r="C213" s="1220" t="s">
        <v>5882</v>
      </c>
      <c r="D213" s="1204"/>
      <c r="E213" s="1204"/>
      <c r="F213" s="1208" t="s">
        <v>4790</v>
      </c>
      <c r="G213" s="1040"/>
      <c r="H213" s="1039" t="s">
        <v>4157</v>
      </c>
      <c r="I213" s="1204"/>
      <c r="J213" s="1204"/>
      <c r="K213" s="1204"/>
      <c r="L213" s="1204"/>
      <c r="M213" s="1204"/>
      <c r="N213" s="1204"/>
      <c r="O213" s="1204"/>
      <c r="P213" s="1054"/>
      <c r="Q213" s="1204"/>
      <c r="R213" s="1204"/>
      <c r="S213" s="1204"/>
      <c r="T213" s="1204"/>
      <c r="U213" s="1204"/>
      <c r="V213" s="1196"/>
      <c r="W213" s="1204"/>
      <c r="X213" s="1204"/>
      <c r="Y213" s="1204"/>
      <c r="Z213" s="1204"/>
      <c r="AA213" s="1204"/>
      <c r="AB213" s="1204"/>
      <c r="AC213" s="1204"/>
      <c r="AD213" s="1204"/>
      <c r="AE213" s="1204"/>
      <c r="AF213" s="1204"/>
      <c r="AG213" s="1204"/>
      <c r="AH213" s="1204"/>
      <c r="AI213" s="1204"/>
      <c r="AJ213" s="1204"/>
      <c r="AK213" s="1090"/>
      <c r="AL213" s="1204"/>
      <c r="AM213" s="1204"/>
      <c r="AN213" s="1204"/>
      <c r="AO213" s="1204"/>
      <c r="AP213" s="1204"/>
      <c r="AQ213" s="1090"/>
      <c r="AR213" s="1090"/>
      <c r="AS213" s="1204"/>
      <c r="AT213" s="1204"/>
      <c r="AU213" s="1196"/>
      <c r="AV213" s="1204"/>
      <c r="AW213" s="1204"/>
      <c r="AX213" s="1204"/>
      <c r="AY213" s="1204"/>
      <c r="AZ213" s="1204"/>
      <c r="BA213" s="1196"/>
      <c r="BB213" s="1204"/>
      <c r="BC213" s="1204"/>
      <c r="BD213" s="1204"/>
      <c r="BE213" s="1204"/>
      <c r="BF213" s="1204"/>
      <c r="BG213" s="1204"/>
      <c r="BH213" s="1204"/>
      <c r="BI213" s="1196"/>
      <c r="BJ213" s="1196"/>
      <c r="BK213" s="1196"/>
      <c r="BL213" s="1196"/>
      <c r="BM213" s="1196"/>
      <c r="BN213" s="1196"/>
      <c r="BO213" s="1196"/>
    </row>
    <row r="214" ht="15.75" customHeight="1">
      <c r="A214" s="1197"/>
      <c r="B214" s="1221" t="s">
        <v>7948</v>
      </c>
      <c r="C214" s="1131" t="s">
        <v>526</v>
      </c>
      <c r="D214" s="1204"/>
      <c r="E214" s="1204"/>
      <c r="F214" s="1021"/>
      <c r="G214" s="1040"/>
      <c r="H214" s="1204" t="s">
        <v>526</v>
      </c>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4" t="s">
        <v>7608</v>
      </c>
      <c r="B215" s="1203" t="s">
        <v>7949</v>
      </c>
      <c r="C215" s="1131" t="s">
        <v>1873</v>
      </c>
      <c r="D215" s="1204" t="s">
        <v>4160</v>
      </c>
      <c r="E215" s="1204"/>
      <c r="F215" s="1208" t="s">
        <v>887</v>
      </c>
      <c r="G215" s="1022" t="s">
        <v>3123</v>
      </c>
      <c r="H215" s="1204"/>
      <c r="I215" s="1204"/>
      <c r="J215" s="1204"/>
      <c r="K215" s="1204" t="s">
        <v>1122</v>
      </c>
      <c r="L215" s="1204"/>
      <c r="M215" s="1204"/>
      <c r="N215" s="1204" t="s">
        <v>7950</v>
      </c>
      <c r="O215" s="1132" t="s">
        <v>6827</v>
      </c>
      <c r="P215" s="1054" t="s">
        <v>7951</v>
      </c>
      <c r="Q215" s="1204"/>
      <c r="R215" s="1204" t="s">
        <v>887</v>
      </c>
      <c r="S215" s="1204" t="s">
        <v>7951</v>
      </c>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7"/>
      <c r="B216" s="1198" t="s">
        <v>7952</v>
      </c>
      <c r="C216" s="1131" t="s">
        <v>394</v>
      </c>
      <c r="D216" s="1029" t="s">
        <v>1523</v>
      </c>
      <c r="E216" s="1204"/>
      <c r="F216" s="1035" t="s">
        <v>2567</v>
      </c>
      <c r="G216" s="1022" t="s">
        <v>166</v>
      </c>
      <c r="H216" s="1204"/>
      <c r="I216" s="1204"/>
      <c r="J216" s="1204"/>
      <c r="K216" s="1204"/>
      <c r="L216" s="1132" t="s">
        <v>945</v>
      </c>
      <c r="M216" s="1132" t="s">
        <v>788</v>
      </c>
      <c r="N216" s="1204"/>
      <c r="O216" s="1132" t="s">
        <v>1993</v>
      </c>
      <c r="P216" s="1054" t="s">
        <v>1463</v>
      </c>
      <c r="Q216" s="1204"/>
      <c r="R216" s="1204" t="s">
        <v>2766</v>
      </c>
      <c r="S216" s="1204"/>
      <c r="T216" s="1204" t="s">
        <v>1092</v>
      </c>
      <c r="U216" s="1204"/>
      <c r="V216" s="1032"/>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032"/>
      <c r="AV216" s="1204"/>
      <c r="AW216" s="1204"/>
      <c r="AX216" s="1204"/>
      <c r="AY216" s="1204"/>
      <c r="AZ216" s="1204"/>
      <c r="BA216" s="1032"/>
      <c r="BB216" s="1204"/>
      <c r="BC216" s="1204"/>
      <c r="BD216" s="1204"/>
      <c r="BE216" s="1204"/>
      <c r="BF216" s="1204"/>
      <c r="BG216" s="1204"/>
      <c r="BH216" s="1204"/>
      <c r="BI216" s="1032"/>
      <c r="BJ216" s="1032"/>
      <c r="BK216" s="1032"/>
      <c r="BL216" s="1032"/>
      <c r="BM216" s="1032"/>
      <c r="BN216" s="1032"/>
      <c r="BO216" s="1032"/>
    </row>
    <row r="217" ht="15.75" customHeight="1">
      <c r="A217" s="1194" t="s">
        <v>7612</v>
      </c>
      <c r="B217" s="1203" t="s">
        <v>7953</v>
      </c>
      <c r="C217" s="1131" t="s">
        <v>1464</v>
      </c>
      <c r="D217" s="1075" t="s">
        <v>1598</v>
      </c>
      <c r="E217" s="1204"/>
      <c r="F217" s="1199"/>
      <c r="G217" s="1040"/>
      <c r="H217" s="1204"/>
      <c r="I217" s="1204" t="s">
        <v>1464</v>
      </c>
      <c r="J217" s="1204" t="s">
        <v>7954</v>
      </c>
      <c r="K217" s="1204" t="s">
        <v>7955</v>
      </c>
      <c r="L217" s="1204"/>
      <c r="M217" s="1204"/>
      <c r="N217" s="1204"/>
      <c r="O217" s="1204"/>
      <c r="P217" s="1054"/>
      <c r="Q217" s="1204"/>
      <c r="R217" s="1204"/>
      <c r="S217" s="1204"/>
      <c r="T217" s="1204"/>
      <c r="U217" s="1204"/>
      <c r="V217" s="1196"/>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196"/>
      <c r="AV217" s="1204"/>
      <c r="AW217" s="1204"/>
      <c r="AX217" s="1204"/>
      <c r="AY217" s="1204"/>
      <c r="AZ217" s="1204"/>
      <c r="BA217" s="1196"/>
      <c r="BB217" s="1204"/>
      <c r="BC217" s="1204"/>
      <c r="BD217" s="1204"/>
      <c r="BE217" s="1204"/>
      <c r="BF217" s="1204"/>
      <c r="BG217" s="1204"/>
      <c r="BH217" s="1072" t="s">
        <v>7956</v>
      </c>
      <c r="BI217" s="1196"/>
      <c r="BJ217" s="1196"/>
      <c r="BK217" s="1196"/>
      <c r="BL217" s="1196"/>
      <c r="BM217" s="1196"/>
      <c r="BN217" s="1196"/>
      <c r="BO217" s="1196"/>
    </row>
    <row r="218" ht="15.75" customHeight="1">
      <c r="A218" s="1194" t="s">
        <v>7855</v>
      </c>
      <c r="B218" s="1203" t="s">
        <v>7501</v>
      </c>
      <c r="C218" s="1131" t="str">
        <f>HYPERLINK("https://www.youtube.com/watch?v=_HQgQjbTLjM","1:11.32")</f>
        <v>1:11.32</v>
      </c>
      <c r="D218" s="983" t="s">
        <v>1599</v>
      </c>
      <c r="E218" s="1204"/>
      <c r="F218" s="1199"/>
      <c r="G218" s="1022" t="s">
        <v>1308</v>
      </c>
      <c r="H218" s="1204"/>
      <c r="I218" s="1204" t="s">
        <v>1474</v>
      </c>
      <c r="J218" s="1204" t="s">
        <v>7957</v>
      </c>
      <c r="K218" s="1204" t="s">
        <v>3660</v>
      </c>
      <c r="L218" s="1204" t="s">
        <v>947</v>
      </c>
      <c r="M218" s="1204" t="s">
        <v>867</v>
      </c>
      <c r="N218" s="1204"/>
      <c r="O218" s="1204"/>
      <c r="P218" s="1054"/>
      <c r="Q218" s="1204"/>
      <c r="R218" s="1204"/>
      <c r="S218" s="1204"/>
      <c r="T218" s="1204"/>
      <c r="U218" s="1204"/>
      <c r="V218" s="1032"/>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032"/>
      <c r="AV218" s="1204"/>
      <c r="AW218" s="1204"/>
      <c r="AX218" s="1204"/>
      <c r="AY218" s="1204"/>
      <c r="AZ218" s="1204"/>
      <c r="BA218" s="1032"/>
      <c r="BB218" s="1204"/>
      <c r="BC218" s="1204"/>
      <c r="BD218" s="1204"/>
      <c r="BE218" s="1204"/>
      <c r="BF218" s="1204"/>
      <c r="BG218" s="1204"/>
      <c r="BH218" s="1204"/>
      <c r="BI218" s="1032"/>
      <c r="BJ218" s="1032"/>
      <c r="BK218" s="1032"/>
      <c r="BL218" s="1032"/>
      <c r="BM218" s="1032"/>
      <c r="BN218" s="1032"/>
      <c r="BO218" s="1032"/>
    </row>
    <row r="219" ht="15.75" customHeight="1">
      <c r="A219" s="1200" t="s">
        <v>7617</v>
      </c>
      <c r="B219" s="1205" t="s">
        <v>7501</v>
      </c>
      <c r="C219" s="1038" t="s">
        <v>7958</v>
      </c>
      <c r="D219" s="1023" t="s">
        <v>7958</v>
      </c>
      <c r="E219" s="1204"/>
      <c r="F219" s="1021"/>
      <c r="G219" s="1040"/>
      <c r="H219" s="1204"/>
      <c r="I219" s="1204"/>
      <c r="J219" s="1204" t="s">
        <v>321</v>
      </c>
      <c r="K219" s="1204"/>
      <c r="L219" s="1204"/>
      <c r="M219" s="1204"/>
      <c r="N219" s="1204"/>
      <c r="O219" s="1204"/>
      <c r="P219" s="1054"/>
      <c r="Q219" s="1204"/>
      <c r="R219" s="1204"/>
      <c r="S219" s="1204"/>
      <c r="T219" s="1204"/>
      <c r="U219" s="1204"/>
      <c r="V219" s="1196"/>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196"/>
      <c r="AV219" s="1204"/>
      <c r="AW219" s="1204"/>
      <c r="AX219" s="1204"/>
      <c r="AY219" s="1204"/>
      <c r="AZ219" s="1204"/>
      <c r="BA219" s="1196"/>
      <c r="BB219" s="1204"/>
      <c r="BC219" s="1204"/>
      <c r="BD219" s="1204"/>
      <c r="BE219" s="1204"/>
      <c r="BF219" s="1204"/>
      <c r="BG219" s="1204"/>
      <c r="BH219" s="1204"/>
      <c r="BI219" s="1196"/>
      <c r="BJ219" s="1196"/>
      <c r="BK219" s="1196"/>
      <c r="BL219" s="1196"/>
      <c r="BM219" s="1196"/>
      <c r="BN219" s="1196"/>
      <c r="BO219" s="1196"/>
    </row>
    <row r="220" ht="15.75" customHeight="1">
      <c r="A220" s="1200" t="s">
        <v>7959</v>
      </c>
      <c r="B220" s="1205" t="s">
        <v>7960</v>
      </c>
      <c r="C220" s="1131" t="s">
        <v>7961</v>
      </c>
      <c r="D220" s="1204"/>
      <c r="E220" s="1204"/>
      <c r="F220" s="1199"/>
      <c r="G220" s="1040"/>
      <c r="H220" s="1204"/>
      <c r="I220" s="1204"/>
      <c r="J220" s="1204" t="s">
        <v>7961</v>
      </c>
      <c r="K220" s="1204"/>
      <c r="L220" s="1204"/>
      <c r="M220" s="1204"/>
      <c r="N220" s="1204"/>
      <c r="O220" s="1204"/>
      <c r="P220" s="1054"/>
      <c r="Q220" s="1204"/>
      <c r="R220" s="1204"/>
      <c r="S220" s="1204"/>
      <c r="T220" s="1204"/>
      <c r="U220" s="1204"/>
      <c r="V220" s="1032"/>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032"/>
      <c r="AV220" s="1204"/>
      <c r="AW220" s="1204"/>
      <c r="AX220" s="1204"/>
      <c r="AY220" s="1204"/>
      <c r="AZ220" s="1204"/>
      <c r="BA220" s="1032"/>
      <c r="BB220" s="1204"/>
      <c r="BC220" s="1204"/>
      <c r="BD220" s="1204"/>
      <c r="BE220" s="1204"/>
      <c r="BF220" s="1204"/>
      <c r="BG220" s="1204"/>
      <c r="BH220" s="1204"/>
      <c r="BI220" s="1032"/>
      <c r="BJ220" s="1032"/>
      <c r="BK220" s="1032"/>
      <c r="BL220" s="1032"/>
      <c r="BM220" s="1032"/>
      <c r="BN220" s="1032"/>
      <c r="BO220" s="1032"/>
    </row>
    <row r="221" ht="15.75" customHeight="1">
      <c r="A221" s="1213"/>
      <c r="B221" s="1214" t="s">
        <v>7962</v>
      </c>
      <c r="C221" s="1131" t="s">
        <v>2425</v>
      </c>
      <c r="D221" s="1204"/>
      <c r="E221" s="1204"/>
      <c r="F221" s="1021"/>
      <c r="G221" s="1040"/>
      <c r="H221" s="1204"/>
      <c r="I221" s="1204"/>
      <c r="J221" s="1204" t="s">
        <v>2425</v>
      </c>
      <c r="K221" s="1204"/>
      <c r="L221" s="1204"/>
      <c r="M221" s="1204"/>
      <c r="N221" s="1204"/>
      <c r="O221" s="1204"/>
      <c r="P221" s="1054"/>
      <c r="Q221" s="1204"/>
      <c r="R221" s="1204"/>
      <c r="S221" s="1204"/>
      <c r="T221" s="1204"/>
      <c r="U221" s="1204"/>
      <c r="V221" s="1196"/>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196"/>
      <c r="AV221" s="1204"/>
      <c r="AW221" s="1204"/>
      <c r="AX221" s="1204"/>
      <c r="AY221" s="1204"/>
      <c r="AZ221" s="1204"/>
      <c r="BA221" s="1196"/>
      <c r="BB221" s="1204"/>
      <c r="BC221" s="1204"/>
      <c r="BD221" s="1204"/>
      <c r="BE221" s="1204"/>
      <c r="BF221" s="1204"/>
      <c r="BG221" s="1204"/>
      <c r="BH221" s="1204"/>
      <c r="BI221" s="1196"/>
      <c r="BJ221" s="1196"/>
      <c r="BK221" s="1196"/>
      <c r="BL221" s="1196"/>
      <c r="BM221" s="1196"/>
      <c r="BN221" s="1196"/>
      <c r="BO221" s="1196"/>
    </row>
    <row r="222" ht="15.75" customHeight="1">
      <c r="A222" s="1194" t="s">
        <v>7718</v>
      </c>
      <c r="B222" s="1203" t="s">
        <v>7501</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32"/>
      <c r="W222" s="1029"/>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200" t="s">
        <v>7617</v>
      </c>
      <c r="B223" s="1205" t="s">
        <v>7501</v>
      </c>
      <c r="C223" s="1038" t="s">
        <v>7963</v>
      </c>
      <c r="D223" s="1023" t="s">
        <v>7963</v>
      </c>
      <c r="E223" s="1029"/>
      <c r="F223" s="1021"/>
      <c r="G223" s="1040"/>
      <c r="H223" s="1204" t="s">
        <v>1625</v>
      </c>
      <c r="I223" s="1029"/>
      <c r="J223" s="1029"/>
      <c r="K223" s="1029"/>
      <c r="L223" s="1029"/>
      <c r="M223" s="1029"/>
      <c r="N223" s="1029"/>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7964</v>
      </c>
      <c r="AS223" s="1029"/>
      <c r="AT223" s="1023" t="s">
        <v>7965</v>
      </c>
      <c r="AU223" s="1032"/>
      <c r="AV223" s="1029"/>
      <c r="AW223" s="1029"/>
      <c r="AX223" s="1029"/>
      <c r="AY223" s="1029"/>
      <c r="AZ223" s="1029"/>
      <c r="BA223" s="1032"/>
      <c r="BB223" s="1029"/>
      <c r="BC223" s="1029"/>
      <c r="BD223" s="1029"/>
      <c r="BE223" s="1029"/>
      <c r="BF223" s="1029"/>
      <c r="BG223" s="1029"/>
      <c r="BH223" s="1029"/>
      <c r="BI223" s="1032"/>
      <c r="BJ223" s="1222"/>
      <c r="BK223" s="1032"/>
      <c r="BL223" s="1032"/>
      <c r="BM223" s="1032"/>
      <c r="BN223" s="1032"/>
      <c r="BO223" s="1032"/>
    </row>
    <row r="224" ht="15.75" customHeight="1">
      <c r="A224" s="1194" t="s">
        <v>57</v>
      </c>
      <c r="B224" s="1203" t="s">
        <v>7966</v>
      </c>
      <c r="C224" s="1131" t="s">
        <v>1466</v>
      </c>
      <c r="D224" s="983" t="s">
        <v>7967</v>
      </c>
      <c r="E224" s="1204"/>
      <c r="F224" s="1021"/>
      <c r="G224" s="1022" t="s">
        <v>1309</v>
      </c>
      <c r="H224" s="1204"/>
      <c r="I224" s="1204" t="s">
        <v>1466</v>
      </c>
      <c r="J224" s="1204"/>
      <c r="K224" s="1204"/>
      <c r="L224" s="1132" t="s">
        <v>170</v>
      </c>
      <c r="M224" s="1204"/>
      <c r="N224" s="1204"/>
      <c r="O224" s="1204"/>
      <c r="P224" s="1054"/>
      <c r="Q224" s="1204"/>
      <c r="R224" s="1204"/>
      <c r="S224" s="1204"/>
      <c r="T224" s="1204"/>
      <c r="U224" s="1204"/>
      <c r="V224" s="1032"/>
      <c r="W224" s="1204"/>
      <c r="X224" s="1204"/>
      <c r="Y224" s="1204"/>
      <c r="Z224" s="1204"/>
      <c r="AA224" s="1204"/>
      <c r="AB224" s="1204"/>
      <c r="AC224" s="1204"/>
      <c r="AD224" s="1204"/>
      <c r="AE224" s="1204"/>
      <c r="AF224" s="1204"/>
      <c r="AG224" s="1204"/>
      <c r="AH224" s="1204"/>
      <c r="AI224" s="1204"/>
      <c r="AJ224" s="1204"/>
      <c r="AK224" s="1090"/>
      <c r="AL224" s="1204"/>
      <c r="AM224" s="1204"/>
      <c r="AN224" s="1204"/>
      <c r="AO224" s="1132" t="str">
        <f>HYPERLINK("https://youtu.be/fYWiIA5i7cs","2:29.99")</f>
        <v>2:29.99</v>
      </c>
      <c r="AP224" s="1204"/>
      <c r="AQ224" s="1090"/>
      <c r="AR224" s="1090"/>
      <c r="AS224" s="1204"/>
      <c r="AT224" s="1204"/>
      <c r="AU224" s="1032"/>
      <c r="AV224" s="1204"/>
      <c r="AW224" s="1204"/>
      <c r="AX224" s="1204"/>
      <c r="AY224" s="1204"/>
      <c r="AZ224" s="1204"/>
      <c r="BA224" s="1032"/>
      <c r="BB224" s="1204"/>
      <c r="BC224" s="1204"/>
      <c r="BD224" s="1204"/>
      <c r="BE224" s="1204"/>
      <c r="BF224" s="1204"/>
      <c r="BG224" s="1204"/>
      <c r="BH224" s="1204"/>
      <c r="BI224" s="1032"/>
      <c r="BJ224" s="1032"/>
      <c r="BK224" s="1032"/>
      <c r="BL224" s="1032"/>
      <c r="BM224" s="1032"/>
      <c r="BN224" s="1032"/>
      <c r="BO224" s="1032"/>
    </row>
    <row r="225">
      <c r="A225" s="1223" t="s">
        <v>7968</v>
      </c>
      <c r="D225" s="1224"/>
      <c r="E225" s="1224"/>
      <c r="F225" s="1225"/>
      <c r="G225" s="1226"/>
      <c r="H225" s="1224"/>
      <c r="I225" s="1224"/>
      <c r="J225" s="1224"/>
      <c r="K225" s="1224"/>
      <c r="L225" s="1224"/>
      <c r="M225" s="1224"/>
      <c r="N225" s="1224"/>
      <c r="O225" s="1224"/>
      <c r="P225" s="1227"/>
      <c r="Q225" s="1224"/>
      <c r="R225" s="1224"/>
      <c r="S225" s="1224"/>
      <c r="T225" s="1224"/>
      <c r="U225" s="1224"/>
      <c r="V225" s="1228"/>
      <c r="W225" s="1224"/>
      <c r="X225" s="1224"/>
      <c r="Y225" s="1224"/>
      <c r="Z225" s="1224"/>
      <c r="AA225" s="1224"/>
      <c r="AB225" s="1224"/>
      <c r="AC225" s="1224"/>
      <c r="AD225" s="1224"/>
      <c r="AE225" s="1224"/>
      <c r="AF225" s="1224"/>
      <c r="AG225" s="1224"/>
      <c r="AH225" s="1224"/>
      <c r="AI225" s="1224"/>
      <c r="AJ225" s="1224"/>
      <c r="AK225" s="1224"/>
      <c r="AL225" s="1224"/>
      <c r="AM225" s="1224"/>
      <c r="AN225" s="1224"/>
      <c r="AO225" s="1224"/>
      <c r="AP225" s="1224"/>
      <c r="AQ225" s="1224"/>
      <c r="AR225" s="1224"/>
      <c r="AS225" s="1224"/>
      <c r="AT225" s="1224"/>
      <c r="AU225" s="1228"/>
      <c r="AV225" s="1224"/>
      <c r="AW225" s="1224"/>
      <c r="AX225" s="1224"/>
      <c r="AY225" s="1224"/>
      <c r="AZ225" s="1224"/>
      <c r="BA225" s="1228"/>
      <c r="BB225" s="1224"/>
      <c r="BC225" s="1224"/>
      <c r="BD225" s="1224"/>
      <c r="BE225" s="1224"/>
      <c r="BF225" s="1224"/>
      <c r="BG225" s="1224"/>
      <c r="BH225" s="1224"/>
      <c r="BI225" s="1228"/>
      <c r="BJ225" s="1228"/>
      <c r="BK225" s="1228"/>
      <c r="BL225" s="1228"/>
      <c r="BM225" s="1228"/>
      <c r="BN225" s="1228"/>
      <c r="BO225" s="1228"/>
    </row>
    <row r="226" ht="15.75" customHeight="1">
      <c r="A226" s="1229" t="s">
        <v>7500</v>
      </c>
      <c r="B226" s="1230" t="s">
        <v>7501</v>
      </c>
      <c r="C226" s="1131" t="s">
        <v>117</v>
      </c>
      <c r="D226" s="1029" t="s">
        <v>1601</v>
      </c>
      <c r="E226" s="1138"/>
      <c r="F226" s="1035" t="s">
        <v>2568</v>
      </c>
      <c r="G226" s="1022" t="s">
        <v>1310</v>
      </c>
      <c r="H226" s="1132" t="s">
        <v>1098</v>
      </c>
      <c r="I226" s="1138" t="s">
        <v>7969</v>
      </c>
      <c r="J226" s="1132" t="s">
        <v>4571</v>
      </c>
      <c r="K226" s="1132" t="s">
        <v>1642</v>
      </c>
      <c r="L226" s="1132" t="s">
        <v>949</v>
      </c>
      <c r="M226" s="1132" t="s">
        <v>257</v>
      </c>
      <c r="N226" s="1138" t="s">
        <v>4421</v>
      </c>
      <c r="O226" s="1132" t="s">
        <v>1171</v>
      </c>
      <c r="P226" s="1140" t="s">
        <v>355</v>
      </c>
      <c r="Q226" s="1138"/>
      <c r="R226" s="1138"/>
      <c r="S226" s="1138"/>
      <c r="T226" s="1138"/>
      <c r="U226" s="1138"/>
      <c r="V226" s="1231" t="s">
        <v>7970</v>
      </c>
      <c r="W226" s="1138" t="s">
        <v>4038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2"/>
      <c r="AV226" s="1138"/>
      <c r="AW226" s="1138"/>
      <c r="AX226" s="1138"/>
      <c r="AY226" s="1138"/>
      <c r="AZ226" s="1138"/>
      <c r="BA226" s="1232"/>
      <c r="BB226" s="1138"/>
      <c r="BC226" s="1138"/>
      <c r="BD226" s="1138"/>
      <c r="BE226" s="1138"/>
      <c r="BF226" s="1138"/>
      <c r="BG226" s="1138"/>
      <c r="BH226" s="1138"/>
      <c r="BI226" s="1232"/>
      <c r="BJ226" s="1232"/>
      <c r="BK226" s="1232"/>
      <c r="BL226" s="1232"/>
      <c r="BM226" s="1232"/>
      <c r="BN226" s="1232"/>
      <c r="BO226" s="1232"/>
    </row>
    <row r="227" ht="15.75" customHeight="1">
      <c r="A227" s="1229" t="s">
        <v>7724</v>
      </c>
      <c r="B227" s="1230" t="s">
        <v>7971</v>
      </c>
      <c r="C227" s="1131" t="s">
        <v>1616</v>
      </c>
      <c r="D227" s="1029" t="s">
        <v>1602</v>
      </c>
      <c r="E227" s="1132" t="s">
        <v>1616</v>
      </c>
      <c r="F227" s="1035" t="s">
        <v>2569</v>
      </c>
      <c r="G227" s="1022" t="s">
        <v>2770</v>
      </c>
      <c r="H227" s="1132" t="s">
        <v>2216</v>
      </c>
      <c r="I227" s="1132" t="s">
        <v>1602</v>
      </c>
      <c r="J227" s="1132" t="s">
        <v>7801</v>
      </c>
      <c r="K227" s="1132" t="s">
        <v>2216</v>
      </c>
      <c r="L227" s="1132" t="s">
        <v>950</v>
      </c>
      <c r="M227" s="1132" t="s">
        <v>1240</v>
      </c>
      <c r="N227" s="1132" t="s">
        <v>376</v>
      </c>
      <c r="O227" s="1132" t="s">
        <v>2931</v>
      </c>
      <c r="P227" s="1133" t="s">
        <v>2355</v>
      </c>
      <c r="Q227" s="1132" t="s">
        <v>845</v>
      </c>
      <c r="R227" s="1132"/>
      <c r="S227" s="1132"/>
      <c r="T227" s="1132"/>
      <c r="U227" s="1132"/>
      <c r="V227" s="1044" t="s">
        <v>938</v>
      </c>
      <c r="W227" s="1132" t="s">
        <v>2318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9" t="s">
        <v>7528</v>
      </c>
      <c r="B228" s="1230" t="s">
        <v>7501</v>
      </c>
      <c r="C228" s="1131" t="str">
        <f>HYPERLINK("https://www.youtube.com/watch?v=aWzlUqH0LaM","41.87")</f>
        <v>41.87</v>
      </c>
      <c r="D228" s="1142"/>
      <c r="E228" s="1138"/>
      <c r="F228" s="1021"/>
      <c r="G228" s="1022" t="s">
        <v>7972</v>
      </c>
      <c r="H228" s="1132" t="s">
        <v>310</v>
      </c>
      <c r="I228" s="1132" t="s">
        <v>1728</v>
      </c>
      <c r="J228" s="1138"/>
      <c r="K228" s="1132" t="s">
        <v>6600</v>
      </c>
      <c r="L228" s="1132" t="s">
        <v>4498</v>
      </c>
      <c r="M228" s="1132" t="str">
        <f>HYPERLINK("https://www.youtube.com/watch?v=aWzlUqH0LaM","41.87")</f>
        <v>41.87</v>
      </c>
      <c r="N228" s="1138" t="s">
        <v>2197</v>
      </c>
      <c r="O228" s="1132" t="s">
        <v>1534</v>
      </c>
      <c r="P228" s="1140" t="s">
        <v>3295</v>
      </c>
      <c r="Q228" s="1138"/>
      <c r="R228" s="1138"/>
      <c r="S228" s="1138"/>
      <c r="T228" s="1138"/>
      <c r="U228" s="1138"/>
      <c r="V228" s="1233" t="s">
        <v>659</v>
      </c>
      <c r="W228" s="1138" t="s">
        <v>7973</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2"/>
      <c r="AV228" s="1138"/>
      <c r="AW228" s="1138"/>
      <c r="AX228" s="1138"/>
      <c r="AY228" s="1138"/>
      <c r="AZ228" s="1138"/>
      <c r="BA228" s="1232"/>
      <c r="BB228" s="1138"/>
      <c r="BC228" s="1138"/>
      <c r="BD228" s="1138"/>
      <c r="BE228" s="1138"/>
      <c r="BF228" s="1138"/>
      <c r="BG228" s="1138"/>
      <c r="BH228" s="1138"/>
      <c r="BI228" s="1232"/>
      <c r="BJ228" s="1232"/>
      <c r="BK228" s="1232"/>
      <c r="BL228" s="1232"/>
      <c r="BM228" s="1232"/>
      <c r="BN228" s="1232"/>
      <c r="BO228" s="1232"/>
    </row>
    <row r="229" ht="15.75" customHeight="1">
      <c r="A229" s="1229" t="s">
        <v>7667</v>
      </c>
      <c r="B229" s="1230" t="s">
        <v>7974</v>
      </c>
      <c r="C229" s="1018" t="s">
        <v>7975</v>
      </c>
      <c r="D229" s="1138" t="s">
        <v>7470</v>
      </c>
      <c r="E229" s="1138"/>
      <c r="F229" s="1234"/>
      <c r="G229" s="1022" t="s">
        <v>7976</v>
      </c>
      <c r="H229" s="1138"/>
      <c r="I229" s="1138"/>
      <c r="J229" s="1138"/>
      <c r="K229" s="1138"/>
      <c r="L229" s="1138"/>
      <c r="M229" s="1138"/>
      <c r="N229" s="1138"/>
      <c r="O229" s="1138"/>
      <c r="P229" s="1140"/>
      <c r="Q229" s="1138"/>
      <c r="R229" s="1138"/>
      <c r="S229" s="1138"/>
      <c r="T229" s="1138"/>
      <c r="U229" s="1063" t="s">
        <v>7975</v>
      </c>
      <c r="V229" s="1065" t="s">
        <v>7977</v>
      </c>
      <c r="W229" s="1138"/>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5"/>
      <c r="B230" s="1236" t="s">
        <v>7978</v>
      </c>
      <c r="C230" s="1131" t="s">
        <v>506</v>
      </c>
      <c r="D230" s="1029" t="s">
        <v>7979</v>
      </c>
      <c r="E230" s="1138"/>
      <c r="F230" s="1069" t="s">
        <v>7980</v>
      </c>
      <c r="G230" s="1022" t="s">
        <v>1313</v>
      </c>
      <c r="H230" s="1138" t="s">
        <v>7981</v>
      </c>
      <c r="I230" s="1138"/>
      <c r="J230" s="1132" t="s">
        <v>7982</v>
      </c>
      <c r="K230" s="1138"/>
      <c r="L230" s="1138" t="s">
        <v>951</v>
      </c>
      <c r="M230" s="1132" t="s">
        <v>792</v>
      </c>
      <c r="N230" s="1138"/>
      <c r="O230" s="1138"/>
      <c r="P230" s="1140" t="s">
        <v>4194</v>
      </c>
      <c r="Q230" s="1138"/>
      <c r="R230" s="1138"/>
      <c r="S230" s="1138"/>
      <c r="T230" s="1132" t="s">
        <v>506</v>
      </c>
      <c r="U230" s="1138"/>
      <c r="V230" s="1232"/>
      <c r="W230" s="1138" t="s">
        <v>6341</v>
      </c>
      <c r="X230" s="1138"/>
      <c r="Y230" s="1138"/>
      <c r="Z230" s="1138"/>
      <c r="AA230" s="1138"/>
      <c r="AB230" s="1138"/>
      <c r="AC230" s="1138" t="s">
        <v>7983</v>
      </c>
      <c r="AD230" s="1138" t="s">
        <v>2724</v>
      </c>
      <c r="AE230" s="1138"/>
      <c r="AF230" s="1138"/>
      <c r="AG230" s="1138"/>
      <c r="AH230" s="1138"/>
      <c r="AI230" s="1138"/>
      <c r="AJ230" s="1138"/>
      <c r="AK230" s="1135"/>
      <c r="AL230" s="1138"/>
      <c r="AM230" s="1138"/>
      <c r="AN230" s="1138"/>
      <c r="AO230" s="1138"/>
      <c r="AP230" s="1138"/>
      <c r="AQ230" s="1135"/>
      <c r="AR230" s="1185" t="s">
        <v>7984</v>
      </c>
      <c r="AS230" s="1138"/>
      <c r="AT230" s="1138"/>
      <c r="AU230" s="1232"/>
      <c r="AV230" s="1138"/>
      <c r="AW230" s="1138"/>
      <c r="AX230" s="1138"/>
      <c r="AY230" s="1138"/>
      <c r="AZ230" s="1138"/>
      <c r="BA230" s="1232"/>
      <c r="BB230" s="1138"/>
      <c r="BC230" s="1138"/>
      <c r="BD230" s="1138"/>
      <c r="BE230" s="1138"/>
      <c r="BF230" s="1138"/>
      <c r="BG230" s="1138"/>
      <c r="BH230" s="1138"/>
      <c r="BI230" s="1232"/>
      <c r="BJ230" s="1232"/>
      <c r="BK230" s="1232"/>
      <c r="BL230" s="1232"/>
      <c r="BM230" s="1232"/>
      <c r="BN230" s="1232"/>
      <c r="BO230" s="1232"/>
    </row>
    <row r="231" ht="15.75" customHeight="1">
      <c r="A231" s="1237"/>
      <c r="B231" s="1238" t="s">
        <v>7985</v>
      </c>
      <c r="C231" s="1131" t="s">
        <v>7986</v>
      </c>
      <c r="D231" s="1138"/>
      <c r="E231" s="1138"/>
      <c r="F231" s="1234"/>
      <c r="G231" s="1040"/>
      <c r="H231" s="1138"/>
      <c r="I231" s="1138"/>
      <c r="J231" s="1138"/>
      <c r="K231" s="1138"/>
      <c r="L231" s="1138"/>
      <c r="M231" s="1138"/>
      <c r="N231" s="1138"/>
      <c r="O231" s="1138"/>
      <c r="P231" s="1140"/>
      <c r="Q231" s="1138"/>
      <c r="R231" s="1138"/>
      <c r="S231" s="1138"/>
      <c r="T231" s="1138"/>
      <c r="U231" s="1138"/>
      <c r="V231" s="1032"/>
      <c r="W231" s="1138"/>
      <c r="X231" s="1138"/>
      <c r="Y231" s="1138"/>
      <c r="Z231" s="1138"/>
      <c r="AA231" s="1138"/>
      <c r="AB231" s="1138"/>
      <c r="AC231" s="1132" t="s">
        <v>7986</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5"/>
      <c r="B232" s="1239" t="s">
        <v>7987</v>
      </c>
      <c r="C232" s="1131" t="s">
        <v>3125</v>
      </c>
      <c r="D232" s="1138"/>
      <c r="E232" s="1138"/>
      <c r="F232" s="1055" t="s">
        <v>2571</v>
      </c>
      <c r="G232" s="1040"/>
      <c r="H232" s="1132" t="s">
        <v>6796</v>
      </c>
      <c r="I232" s="1138"/>
      <c r="J232" s="1138"/>
      <c r="K232" s="1138"/>
      <c r="L232" s="1138"/>
      <c r="M232" s="1138"/>
      <c r="N232" s="1138"/>
      <c r="O232" s="1138"/>
      <c r="P232" s="1140"/>
      <c r="Q232" s="1138"/>
      <c r="R232" s="1138"/>
      <c r="S232" s="1138"/>
      <c r="T232" s="1138"/>
      <c r="U232" s="1138"/>
      <c r="V232" s="1232"/>
      <c r="W232" s="1138"/>
      <c r="X232" s="1138"/>
      <c r="Y232" s="1138"/>
      <c r="Z232" s="1138"/>
      <c r="AA232" s="1138"/>
      <c r="AB232" s="1138"/>
      <c r="AC232" s="1132" t="s">
        <v>7988</v>
      </c>
      <c r="AD232" s="1138"/>
      <c r="AE232" s="1138"/>
      <c r="AF232" s="1138"/>
      <c r="AG232" s="1138"/>
      <c r="AH232" s="1138"/>
      <c r="AI232" s="1138"/>
      <c r="AJ232" s="1138"/>
      <c r="AK232" s="1135"/>
      <c r="AL232" s="1138"/>
      <c r="AM232" s="1138"/>
      <c r="AN232" s="1138"/>
      <c r="AO232" s="1138"/>
      <c r="AP232" s="1138"/>
      <c r="AQ232" s="1135"/>
      <c r="AR232" s="1135"/>
      <c r="AS232" s="1138"/>
      <c r="AT232" s="1138"/>
      <c r="AU232" s="1232"/>
      <c r="AV232" s="1138"/>
      <c r="AW232" s="1138"/>
      <c r="AX232" s="1138"/>
      <c r="AY232" s="1138"/>
      <c r="AZ232" s="1138"/>
      <c r="BA232" s="1232"/>
      <c r="BB232" s="1138"/>
      <c r="BC232" s="1138"/>
      <c r="BD232" s="1138"/>
      <c r="BE232" s="1138"/>
      <c r="BF232" s="1138"/>
      <c r="BG232" s="1138"/>
      <c r="BH232" s="1138"/>
      <c r="BI232" s="1232"/>
      <c r="BJ232" s="1232"/>
      <c r="BK232" s="1232"/>
      <c r="BL232" s="1232"/>
      <c r="BM232" s="1232"/>
      <c r="BN232" s="1232"/>
      <c r="BO232" s="1232"/>
    </row>
    <row r="233" ht="15.75" customHeight="1">
      <c r="A233" s="1240" t="s">
        <v>7515</v>
      </c>
      <c r="B233" s="1241" t="s">
        <v>7974</v>
      </c>
      <c r="C233" s="1131"/>
      <c r="D233" s="1242"/>
      <c r="E233" s="1242"/>
      <c r="F233" s="1234"/>
      <c r="G233" s="1040"/>
      <c r="H233" s="1242"/>
      <c r="I233" s="1242"/>
      <c r="J233" s="1242"/>
      <c r="K233" s="1242"/>
      <c r="L233" s="1242"/>
      <c r="M233" s="1242"/>
      <c r="N233" s="1242"/>
      <c r="O233" s="1242"/>
      <c r="P233" s="1243"/>
      <c r="Q233" s="1242"/>
      <c r="R233" s="1242"/>
      <c r="S233" s="1242"/>
      <c r="T233" s="1242"/>
      <c r="U233" s="1242"/>
      <c r="V233" s="1044" t="s">
        <v>7989</v>
      </c>
      <c r="W233" s="1242"/>
      <c r="X233" s="1242"/>
      <c r="Y233" s="1242"/>
      <c r="Z233" s="1242"/>
      <c r="AA233" s="1242"/>
      <c r="AB233" s="1242"/>
      <c r="AC233" s="1242"/>
      <c r="AD233" s="1242"/>
      <c r="AE233" s="1242"/>
      <c r="AF233" s="1242"/>
      <c r="AG233" s="1242"/>
      <c r="AH233" s="1242"/>
      <c r="AI233" s="1242"/>
      <c r="AJ233" s="1242"/>
      <c r="AK233" s="1135"/>
      <c r="AL233" s="1242"/>
      <c r="AM233" s="1242"/>
      <c r="AN233" s="1242"/>
      <c r="AO233" s="1242"/>
      <c r="AP233" s="1242"/>
      <c r="AQ233" s="1135"/>
      <c r="AR233" s="1135"/>
      <c r="AS233" s="1242"/>
      <c r="AT233" s="1242"/>
      <c r="AU233" s="1032"/>
      <c r="AV233" s="1242"/>
      <c r="AW233" s="1242"/>
      <c r="AX233" s="1242"/>
      <c r="AY233" s="1242"/>
      <c r="AZ233" s="1242"/>
      <c r="BA233" s="1032"/>
      <c r="BB233" s="1242"/>
      <c r="BC233" s="1242"/>
      <c r="BD233" s="1242"/>
      <c r="BE233" s="1242"/>
      <c r="BF233" s="1242"/>
      <c r="BG233" s="1242"/>
      <c r="BH233" s="1242"/>
      <c r="BI233" s="1032"/>
      <c r="BJ233" s="1032"/>
      <c r="BK233" s="1032"/>
      <c r="BL233" s="1032"/>
      <c r="BM233" s="1032"/>
      <c r="BN233" s="1032"/>
      <c r="BO233" s="1032"/>
    </row>
    <row r="234" ht="15.75" customHeight="1">
      <c r="A234" s="1235"/>
      <c r="B234" s="1236" t="s">
        <v>7978</v>
      </c>
      <c r="C234" s="1244" t="s">
        <v>7990</v>
      </c>
      <c r="D234" s="1245" t="s">
        <v>7990</v>
      </c>
      <c r="E234" s="1242"/>
      <c r="F234" s="1021"/>
      <c r="G234" s="1040"/>
      <c r="H234" s="1242"/>
      <c r="I234" s="1242"/>
      <c r="J234" s="1242"/>
      <c r="K234" s="1242"/>
      <c r="L234" s="1242"/>
      <c r="M234" s="1242"/>
      <c r="N234" s="1242"/>
      <c r="O234" s="1242"/>
      <c r="P234" s="1243"/>
      <c r="Q234" s="1242"/>
      <c r="R234" s="1242"/>
      <c r="S234" s="1242"/>
      <c r="T234" s="1242"/>
      <c r="U234" s="1242"/>
      <c r="V234" s="1032"/>
      <c r="W234" s="1242"/>
      <c r="X234" s="1242"/>
      <c r="Y234" s="1242"/>
      <c r="Z234" s="1242"/>
      <c r="AA234" s="1242"/>
      <c r="AB234" s="1242"/>
      <c r="AC234" s="1242"/>
      <c r="AD234" s="1242"/>
      <c r="AE234" s="1242"/>
      <c r="AF234" s="1242"/>
      <c r="AG234" s="1242"/>
      <c r="AH234" s="1242"/>
      <c r="AI234" s="1242"/>
      <c r="AJ234" s="1242"/>
      <c r="AK234" s="1135"/>
      <c r="AL234" s="1242"/>
      <c r="AM234" s="1242"/>
      <c r="AN234" s="1242"/>
      <c r="AO234" s="1242"/>
      <c r="AP234" s="1242"/>
      <c r="AQ234" s="1135"/>
      <c r="AR234" s="1135"/>
      <c r="AS234" s="1242"/>
      <c r="AT234" s="1242"/>
      <c r="AU234" s="1032"/>
      <c r="AV234" s="1242"/>
      <c r="AW234" s="1242"/>
      <c r="AX234" s="1242"/>
      <c r="AY234" s="1242"/>
      <c r="AZ234" s="1242"/>
      <c r="BA234" s="1032"/>
      <c r="BB234" s="1242"/>
      <c r="BC234" s="1242"/>
      <c r="BD234" s="1242"/>
      <c r="BE234" s="1242"/>
      <c r="BF234" s="1242"/>
      <c r="BG234" s="1242"/>
      <c r="BH234" s="1242"/>
      <c r="BI234" s="1032"/>
      <c r="BJ234" s="1032"/>
      <c r="BK234" s="1032"/>
      <c r="BL234" s="1032"/>
      <c r="BM234" s="1032"/>
      <c r="BN234" s="1032"/>
      <c r="BO234" s="1032"/>
    </row>
    <row r="235" ht="15.75" customHeight="1">
      <c r="A235" s="1237"/>
      <c r="B235" s="1238" t="s">
        <v>7985</v>
      </c>
      <c r="C235" s="1131"/>
      <c r="D235" s="1242"/>
      <c r="E235" s="1242"/>
      <c r="F235" s="1234"/>
      <c r="G235" s="1040"/>
      <c r="H235" s="1242"/>
      <c r="I235" s="1242"/>
      <c r="J235" s="1242"/>
      <c r="K235" s="1242"/>
      <c r="L235" s="1242"/>
      <c r="M235" s="1242"/>
      <c r="N235" s="1242"/>
      <c r="O235" s="1242"/>
      <c r="P235" s="1243"/>
      <c r="Q235" s="1242"/>
      <c r="R235" s="1242"/>
      <c r="S235" s="1242"/>
      <c r="T235" s="1242"/>
      <c r="U235" s="1242"/>
      <c r="V235" s="1032"/>
      <c r="W235" s="1242"/>
      <c r="X235" s="1242"/>
      <c r="Y235" s="1242"/>
      <c r="Z235" s="1242"/>
      <c r="AA235" s="1242"/>
      <c r="AB235" s="1242"/>
      <c r="AC235" s="1242"/>
      <c r="AD235" s="1242"/>
      <c r="AE235" s="1242"/>
      <c r="AF235" s="1242"/>
      <c r="AG235" s="1242"/>
      <c r="AH235" s="1242"/>
      <c r="AI235" s="1242"/>
      <c r="AJ235" s="1242"/>
      <c r="AK235" s="1135"/>
      <c r="AL235" s="1242"/>
      <c r="AM235" s="1242"/>
      <c r="AN235" s="1242"/>
      <c r="AO235" s="1242"/>
      <c r="AP235" s="1242"/>
      <c r="AQ235" s="1135"/>
      <c r="AR235" s="1135"/>
      <c r="AS235" s="1242"/>
      <c r="AT235" s="1242"/>
      <c r="AU235" s="1032"/>
      <c r="AV235" s="1242"/>
      <c r="AW235" s="1242"/>
      <c r="AX235" s="1242"/>
      <c r="AY235" s="1242"/>
      <c r="AZ235" s="1242"/>
      <c r="BA235" s="1032"/>
      <c r="BB235" s="1242"/>
      <c r="BC235" s="1242"/>
      <c r="BD235" s="1242"/>
      <c r="BE235" s="1242"/>
      <c r="BF235" s="1242"/>
      <c r="BG235" s="1242"/>
      <c r="BH235" s="1242"/>
      <c r="BI235" s="1032"/>
      <c r="BJ235" s="1032"/>
      <c r="BK235" s="1032"/>
      <c r="BL235" s="1032"/>
      <c r="BM235" s="1032"/>
      <c r="BN235" s="1032"/>
      <c r="BO235" s="1032"/>
    </row>
    <row r="236" ht="15.75" customHeight="1">
      <c r="A236" s="1235"/>
      <c r="B236" s="1239" t="s">
        <v>7987</v>
      </c>
      <c r="C236" s="1018" t="s">
        <v>764</v>
      </c>
      <c r="D236" s="1242"/>
      <c r="E236" s="1242"/>
      <c r="F236" s="1049" t="s">
        <v>2572</v>
      </c>
      <c r="G236" s="1040"/>
      <c r="H236" s="1018" t="s">
        <v>764</v>
      </c>
      <c r="I236" s="1242"/>
      <c r="J236" s="1242"/>
      <c r="K236" s="1242"/>
      <c r="L236" s="1242"/>
      <c r="M236" s="1242"/>
      <c r="N236" s="1242"/>
      <c r="O236" s="1242"/>
      <c r="P236" s="1243"/>
      <c r="Q236" s="1242"/>
      <c r="R236" s="1242"/>
      <c r="S236" s="1242"/>
      <c r="T236" s="1242"/>
      <c r="U236" s="1242"/>
      <c r="V236" s="1032"/>
      <c r="W236" s="1242"/>
      <c r="X236" s="1242"/>
      <c r="Y236" s="1242"/>
      <c r="Z236" s="1242"/>
      <c r="AA236" s="1242"/>
      <c r="AB236" s="1242"/>
      <c r="AC236" s="1242"/>
      <c r="AD236" s="1242"/>
      <c r="AE236" s="1242"/>
      <c r="AF236" s="1242"/>
      <c r="AG236" s="1242"/>
      <c r="AH236" s="1242"/>
      <c r="AI236" s="1242"/>
      <c r="AJ236" s="1242"/>
      <c r="AK236" s="1135"/>
      <c r="AL236" s="1242"/>
      <c r="AM236" s="1242"/>
      <c r="AN236" s="1242"/>
      <c r="AO236" s="1242"/>
      <c r="AP236" s="1242"/>
      <c r="AQ236" s="1135"/>
      <c r="AR236" s="1135"/>
      <c r="AS236" s="1242"/>
      <c r="AT236" s="1242"/>
      <c r="AU236" s="1032"/>
      <c r="AV236" s="1242"/>
      <c r="AW236" s="1242"/>
      <c r="AX236" s="1242"/>
      <c r="AY236" s="1242"/>
      <c r="AZ236" s="1242"/>
      <c r="BA236" s="1032"/>
      <c r="BB236" s="1242"/>
      <c r="BC236" s="1242"/>
      <c r="BD236" s="1242"/>
      <c r="BE236" s="1242"/>
      <c r="BF236" s="1242"/>
      <c r="BG236" s="1242"/>
      <c r="BH236" s="1242"/>
      <c r="BI236" s="1032"/>
      <c r="BJ236" s="1032"/>
      <c r="BK236" s="1032"/>
      <c r="BL236" s="1032"/>
      <c r="BM236" s="1032"/>
      <c r="BN236" s="1032"/>
      <c r="BO236" s="1032"/>
    </row>
    <row r="237" ht="15.75" customHeight="1">
      <c r="A237" s="1240" t="s">
        <v>7522</v>
      </c>
      <c r="B237" s="1241" t="s">
        <v>7991</v>
      </c>
      <c r="C237" s="1131" t="s">
        <v>7992</v>
      </c>
      <c r="D237" s="1246">
        <v>13.23</v>
      </c>
      <c r="E237" s="1242"/>
      <c r="F237" s="1247" t="s">
        <v>7993</v>
      </c>
      <c r="G237" s="1022" t="s">
        <v>7994</v>
      </c>
      <c r="H237" s="1242"/>
      <c r="I237" s="1242"/>
      <c r="J237" s="1248" t="s">
        <v>3589</v>
      </c>
      <c r="K237" s="1242"/>
      <c r="L237" s="1242"/>
      <c r="M237" s="1242"/>
      <c r="N237" s="1242"/>
      <c r="O237" s="1242"/>
      <c r="P237" s="1243"/>
      <c r="Q237" s="1242"/>
      <c r="R237" s="1248" t="s">
        <v>7834</v>
      </c>
      <c r="S237" s="1242"/>
      <c r="T237" s="1242"/>
      <c r="U237" s="1242"/>
      <c r="V237" s="1232"/>
      <c r="W237" s="1242"/>
      <c r="X237" s="1248" t="s">
        <v>2609</v>
      </c>
      <c r="Y237" s="1242"/>
      <c r="Z237" s="1242"/>
      <c r="AA237" s="1242"/>
      <c r="AB237" s="1242"/>
      <c r="AC237" s="1248" t="s">
        <v>7992</v>
      </c>
      <c r="AD237" s="1242"/>
      <c r="AE237" s="1242"/>
      <c r="AF237" s="1242"/>
      <c r="AG237" s="1242"/>
      <c r="AH237" s="1242"/>
      <c r="AI237" s="1242"/>
      <c r="AJ237" s="1242"/>
      <c r="AK237" s="1135"/>
      <c r="AL237" s="1242"/>
      <c r="AM237" s="1242" t="s">
        <v>7848</v>
      </c>
      <c r="AN237" s="1242"/>
      <c r="AO237" s="1242"/>
      <c r="AP237" s="1242"/>
      <c r="AQ237" s="1135"/>
      <c r="AR237" s="1135"/>
      <c r="AS237" s="1242"/>
      <c r="AT237" s="1242"/>
      <c r="AU237" s="1232"/>
      <c r="AV237" s="1242"/>
      <c r="AW237" s="1242"/>
      <c r="AX237" s="1242"/>
      <c r="AY237" s="1242"/>
      <c r="AZ237" s="1242"/>
      <c r="BA237" s="1232"/>
      <c r="BB237" s="1242"/>
      <c r="BC237" s="1242"/>
      <c r="BD237" s="1242"/>
      <c r="BE237" s="1242"/>
      <c r="BF237" s="1242"/>
      <c r="BG237" s="1242"/>
      <c r="BH237" s="1242"/>
      <c r="BI237" s="1232"/>
      <c r="BJ237" s="1232"/>
      <c r="BK237" s="1232"/>
      <c r="BL237" s="1232"/>
      <c r="BM237" s="1232"/>
      <c r="BN237" s="1232"/>
      <c r="BO237" s="1232"/>
    </row>
    <row r="238" ht="15.75" customHeight="1">
      <c r="A238" s="1235"/>
      <c r="B238" s="1239" t="s">
        <v>7995</v>
      </c>
      <c r="C238" s="1131" t="s">
        <v>486</v>
      </c>
      <c r="D238" s="1132"/>
      <c r="E238" s="1132" t="s">
        <v>799</v>
      </c>
      <c r="F238" s="1049" t="s">
        <v>1471</v>
      </c>
      <c r="G238" s="1022" t="s">
        <v>7996</v>
      </c>
      <c r="H238" s="1132" t="s">
        <v>486</v>
      </c>
      <c r="I238" s="1132"/>
      <c r="J238" s="1132"/>
      <c r="K238" s="1132"/>
      <c r="L238" s="1132" t="s">
        <v>7992</v>
      </c>
      <c r="M238" s="1132"/>
      <c r="N238" s="1132"/>
      <c r="O238" s="1132"/>
      <c r="P238" s="1133"/>
      <c r="Q238" s="1132"/>
      <c r="R238" s="1132"/>
      <c r="S238" s="1132" t="s">
        <v>7997</v>
      </c>
      <c r="T238" s="1132"/>
      <c r="U238" s="1132"/>
      <c r="V238" s="1032"/>
      <c r="W238" s="1132"/>
      <c r="X238" s="1132"/>
      <c r="Y238" s="1132"/>
      <c r="Z238" s="1132" t="s">
        <v>7834</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9" t="s">
        <v>7739</v>
      </c>
      <c r="B239" s="1230" t="s">
        <v>7501</v>
      </c>
      <c r="C239" s="1249" t="s">
        <v>961</v>
      </c>
      <c r="D239" s="1138"/>
      <c r="E239" s="1138"/>
      <c r="F239" s="1247" t="s">
        <v>961</v>
      </c>
      <c r="G239" s="1040"/>
      <c r="H239" s="1138"/>
      <c r="I239" s="1138"/>
      <c r="J239" s="1138"/>
      <c r="K239" s="1138"/>
      <c r="L239" s="1138"/>
      <c r="M239" s="1138"/>
      <c r="N239" s="1138"/>
      <c r="O239" s="1138"/>
      <c r="P239" s="1140"/>
      <c r="Q239" s="1138"/>
      <c r="R239" s="1138"/>
      <c r="S239" s="1138"/>
      <c r="T239" s="1138"/>
      <c r="U239" s="1138"/>
      <c r="V239" s="1232"/>
      <c r="W239" s="1138"/>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3" t="s">
        <v>5603</v>
      </c>
      <c r="AV239" s="1138"/>
      <c r="AW239" s="1138"/>
      <c r="AX239" s="1138"/>
      <c r="AY239" s="1138"/>
      <c r="AZ239" s="1138"/>
      <c r="BA239" s="1232"/>
      <c r="BB239" s="1138"/>
      <c r="BC239" s="1138"/>
      <c r="BD239" s="1138"/>
      <c r="BE239" s="1138"/>
      <c r="BF239" s="1138"/>
      <c r="BG239" s="1138"/>
      <c r="BH239" s="1138"/>
      <c r="BI239" s="1232"/>
      <c r="BJ239" s="1232"/>
      <c r="BK239" s="1232"/>
      <c r="BL239" s="1232"/>
      <c r="BM239" s="1232"/>
      <c r="BN239" s="1232"/>
      <c r="BO239" s="1232"/>
    </row>
    <row r="240" ht="15.75" customHeight="1">
      <c r="A240" s="1250" t="s">
        <v>7998</v>
      </c>
      <c r="B240" s="1251" t="s">
        <v>7501</v>
      </c>
      <c r="C240" s="1048" t="s">
        <v>7999</v>
      </c>
      <c r="D240" s="1022" t="s">
        <v>8000</v>
      </c>
      <c r="E240" s="1138"/>
      <c r="F240" s="1049" t="s">
        <v>8001</v>
      </c>
      <c r="G240" s="1040"/>
      <c r="H240" s="1142" t="s">
        <v>426</v>
      </c>
      <c r="I240" s="1138"/>
      <c r="J240" s="1138"/>
      <c r="K240" s="1138"/>
      <c r="L240" s="1138"/>
      <c r="M240" s="1138"/>
      <c r="N240" s="1138"/>
      <c r="O240" s="1138"/>
      <c r="P240" s="1140"/>
      <c r="Q240" s="1138"/>
      <c r="R240" s="1138"/>
      <c r="S240" s="1138"/>
      <c r="T240" s="1138"/>
      <c r="U240" s="1138"/>
      <c r="V240" s="1032"/>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9" t="s">
        <v>7571</v>
      </c>
      <c r="B241" s="1230" t="s">
        <v>8002</v>
      </c>
      <c r="C241" s="1131" t="s">
        <v>8003</v>
      </c>
      <c r="D241" s="1138" t="s">
        <v>4189</v>
      </c>
      <c r="E241" s="1138"/>
      <c r="F241" s="1234"/>
      <c r="G241" s="1040"/>
      <c r="H241" s="1138"/>
      <c r="I241" s="1138"/>
      <c r="J241" s="1138"/>
      <c r="K241" s="1132" t="s">
        <v>5432</v>
      </c>
      <c r="L241" s="1138"/>
      <c r="M241" s="1138"/>
      <c r="N241" s="1138"/>
      <c r="O241" s="1138"/>
      <c r="P241" s="1140"/>
      <c r="Q241" s="1138"/>
      <c r="R241" s="1138"/>
      <c r="S241" s="1132" t="s">
        <v>4633</v>
      </c>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2"/>
      <c r="B242" s="1236" t="s">
        <v>8004</v>
      </c>
      <c r="C242" s="1180" t="s">
        <v>2213</v>
      </c>
      <c r="D242" s="1029" t="s">
        <v>2000</v>
      </c>
      <c r="E242" s="1138"/>
      <c r="F242" s="1055" t="s">
        <v>2213</v>
      </c>
      <c r="G242" s="1022" t="s">
        <v>1314</v>
      </c>
      <c r="H242" s="1138"/>
      <c r="I242" s="1138" t="s">
        <v>4379</v>
      </c>
      <c r="J242" s="1132" t="s">
        <v>6182</v>
      </c>
      <c r="K242" s="1132" t="s">
        <v>3513</v>
      </c>
      <c r="L242" s="1138"/>
      <c r="M242" s="1138"/>
      <c r="N242" s="1138" t="s">
        <v>4362</v>
      </c>
      <c r="O242" s="1132" t="s">
        <v>1314</v>
      </c>
      <c r="P242" s="1140" t="s">
        <v>2145</v>
      </c>
      <c r="Q242" s="1138" t="s">
        <v>2000</v>
      </c>
      <c r="R242" s="1022" t="s">
        <v>1763</v>
      </c>
      <c r="S242" s="1022" t="s">
        <v>122</v>
      </c>
      <c r="T242" s="1132" t="s">
        <v>4044</v>
      </c>
      <c r="U242" s="1138"/>
      <c r="V242" s="1232"/>
      <c r="W242" s="1138" t="s">
        <v>4426</v>
      </c>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2"/>
      <c r="AV242" s="1138"/>
      <c r="AW242" s="1138"/>
      <c r="AX242" s="1138"/>
      <c r="AY242" s="1138"/>
      <c r="AZ242" s="1138"/>
      <c r="BA242" s="1232"/>
      <c r="BB242" s="1138"/>
      <c r="BC242" s="1138"/>
      <c r="BD242" s="1138"/>
      <c r="BE242" s="1138"/>
      <c r="BF242" s="1138"/>
      <c r="BG242" s="1138"/>
      <c r="BH242" s="1138"/>
      <c r="BI242" s="1232"/>
      <c r="BJ242" s="1232"/>
      <c r="BK242" s="1232"/>
      <c r="BL242" s="1232"/>
      <c r="BM242" s="1232"/>
      <c r="BN242" s="1232"/>
      <c r="BO242" s="1232"/>
    </row>
    <row r="243" ht="15.75" customHeight="1">
      <c r="A243" s="1237"/>
      <c r="B243" s="1238" t="s">
        <v>8005</v>
      </c>
      <c r="C243" s="1048" t="s">
        <v>2573</v>
      </c>
      <c r="D243" s="1132"/>
      <c r="E243" s="1132" t="s">
        <v>402</v>
      </c>
      <c r="F243" s="1035" t="s">
        <v>2573</v>
      </c>
      <c r="G243" s="1040"/>
      <c r="H243" s="1138" t="s">
        <v>7636</v>
      </c>
      <c r="I243" s="1132"/>
      <c r="J243" s="1132"/>
      <c r="K243" s="1132"/>
      <c r="L243" s="1132" t="s">
        <v>177</v>
      </c>
      <c r="M243" s="1132" t="str">
        <f>HYPERLINK("https://youtu.be/gxCMrXIu1MU","52.20")</f>
        <v>52.20</v>
      </c>
      <c r="N243" s="1132"/>
      <c r="O243" s="1132"/>
      <c r="P243" s="1133"/>
      <c r="Q243" s="1132"/>
      <c r="R243" s="1132"/>
      <c r="S243" s="1132"/>
      <c r="T243" s="1132"/>
      <c r="U243" s="1132"/>
      <c r="V243" s="1032"/>
      <c r="W243" s="11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3" t="s">
        <v>8006</v>
      </c>
      <c r="BC243" s="1132"/>
      <c r="BD243" s="1132"/>
      <c r="BE243" s="1132"/>
      <c r="BF243" s="1132"/>
      <c r="BG243" s="1132"/>
      <c r="BH243" s="1132"/>
      <c r="BI243" s="1032"/>
      <c r="BJ243" s="1032"/>
      <c r="BK243" s="1032"/>
      <c r="BL243" s="1032"/>
      <c r="BM243" s="1032"/>
      <c r="BN243" s="1032"/>
      <c r="BO243" s="1032"/>
    </row>
    <row r="244" ht="15.75" customHeight="1">
      <c r="A244" s="1240" t="s">
        <v>7515</v>
      </c>
      <c r="B244" s="1253" t="s">
        <v>8007</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232"/>
      <c r="W244" s="1138"/>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2"/>
      <c r="AV244" s="1138"/>
      <c r="AW244" s="1138"/>
      <c r="AX244" s="1138"/>
      <c r="AY244" s="1138"/>
      <c r="AZ244" s="1138"/>
      <c r="BA244" s="1232"/>
      <c r="BB244" s="1138"/>
      <c r="BC244" s="1138"/>
      <c r="BD244" s="1138"/>
      <c r="BE244" s="1138"/>
      <c r="BF244" s="1138"/>
      <c r="BG244" s="1138"/>
      <c r="BH244" s="1138"/>
      <c r="BI244" s="1232"/>
      <c r="BJ244" s="1232"/>
      <c r="BK244" s="1232"/>
      <c r="BL244" s="1232"/>
      <c r="BM244" s="1232"/>
      <c r="BN244" s="1232"/>
      <c r="BO244" s="1232"/>
    </row>
    <row r="245" ht="15.75" customHeight="1">
      <c r="A245" s="1252"/>
      <c r="B245" s="1236" t="s">
        <v>8008</v>
      </c>
      <c r="C245" s="1042" t="s">
        <v>1694</v>
      </c>
      <c r="D245" s="1132"/>
      <c r="E245" s="1132" t="s">
        <v>4246</v>
      </c>
      <c r="F245" s="1247" t="s">
        <v>2356</v>
      </c>
      <c r="G245" s="1040"/>
      <c r="H245" s="1132"/>
      <c r="I245" s="1132"/>
      <c r="J245" s="1132"/>
      <c r="K245" s="1132"/>
      <c r="L245" s="1132"/>
      <c r="M245" s="1132"/>
      <c r="N245" s="1132"/>
      <c r="O245" s="1132"/>
      <c r="P245" s="1133"/>
      <c r="Q245" s="1132"/>
      <c r="R245" s="1132" t="s">
        <v>2172</v>
      </c>
      <c r="S245" s="1132"/>
      <c r="T245" s="1132"/>
      <c r="U245" s="1132"/>
      <c r="V245" s="1031" t="s">
        <v>8009</v>
      </c>
      <c r="W245" s="1132"/>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4"/>
      <c r="B246" s="1238" t="s">
        <v>8010</v>
      </c>
      <c r="C246" s="1131" t="s">
        <v>5362</v>
      </c>
      <c r="D246" s="1138" t="s">
        <v>1624</v>
      </c>
      <c r="E246" s="1138"/>
      <c r="H246" s="1138"/>
      <c r="I246" s="1138" t="s">
        <v>2415</v>
      </c>
      <c r="J246" s="1138"/>
      <c r="L246" s="1138"/>
      <c r="M246" s="1138"/>
      <c r="N246" s="1138" t="s">
        <v>3232</v>
      </c>
      <c r="O246" s="1138"/>
      <c r="P246" s="1140" t="s">
        <v>8011</v>
      </c>
      <c r="Q246" s="1138"/>
      <c r="R246" s="1138" t="s">
        <v>5362</v>
      </c>
      <c r="S246" s="1138"/>
      <c r="T246" s="1138"/>
      <c r="U246" s="1022" t="s">
        <v>3038</v>
      </c>
      <c r="V246" s="1232"/>
      <c r="W246" s="1138" t="s">
        <v>3766</v>
      </c>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2"/>
      <c r="AV246" s="1138"/>
      <c r="AW246" s="1138"/>
      <c r="AX246" s="1138"/>
      <c r="AY246" s="1138"/>
      <c r="AZ246" s="1138"/>
      <c r="BA246" s="1232"/>
      <c r="BB246" s="1138"/>
      <c r="BC246" s="1138"/>
      <c r="BD246" s="1138"/>
      <c r="BE246" s="1138"/>
      <c r="BF246" s="1138"/>
      <c r="BG246" s="1138"/>
      <c r="BH246" s="1138"/>
      <c r="BI246" s="1232"/>
      <c r="BJ246" s="1232"/>
      <c r="BK246" s="1232"/>
      <c r="BL246" s="1232"/>
      <c r="BM246" s="1232"/>
      <c r="BN246" s="1232"/>
      <c r="BO246" s="1232"/>
    </row>
    <row r="247" ht="15.75" customHeight="1">
      <c r="A247" s="1252"/>
      <c r="B247" s="1236" t="s">
        <v>8012</v>
      </c>
      <c r="C247" s="1131" t="s">
        <v>425</v>
      </c>
      <c r="D247" s="1255"/>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032"/>
      <c r="W247" s="1138"/>
      <c r="X247" s="1138"/>
      <c r="Y247" s="1138"/>
      <c r="Z247" s="1138"/>
      <c r="AA247" s="1138"/>
      <c r="AB247" s="1138"/>
      <c r="AC247" s="1138"/>
      <c r="AD247" s="1138"/>
      <c r="AE247" s="1138"/>
      <c r="AF247" s="1132" t="s">
        <v>425</v>
      </c>
      <c r="AG247" s="1132" t="s">
        <v>425</v>
      </c>
      <c r="AH247" s="1138"/>
      <c r="AI247" s="1040"/>
      <c r="AJ247" s="1138"/>
      <c r="AK247" s="1135"/>
      <c r="AL247" s="1138"/>
      <c r="AM247" s="1132" t="s">
        <v>4846</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4"/>
      <c r="B248" s="1238" t="s">
        <v>8013</v>
      </c>
      <c r="C248" s="1131" t="s">
        <v>8014</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8015</v>
      </c>
      <c r="R248" s="1022" t="s">
        <v>2146</v>
      </c>
      <c r="S248" s="1138"/>
      <c r="T248" s="1138"/>
      <c r="U248" s="1138"/>
      <c r="V248" s="1032"/>
      <c r="W248" s="1138"/>
      <c r="X248" s="1138"/>
      <c r="Y248" s="1138"/>
      <c r="Z248" s="1138"/>
      <c r="AA248" s="1138"/>
      <c r="AB248" s="1138"/>
      <c r="AC248" s="1138"/>
      <c r="AD248" s="1138"/>
      <c r="AE248" s="1138"/>
      <c r="AF248" s="1138"/>
      <c r="AG248" s="1138"/>
      <c r="AH248" s="1138"/>
      <c r="AI248" s="1022" t="s">
        <v>8014</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40" t="s">
        <v>7522</v>
      </c>
      <c r="B249" s="1253" t="s">
        <v>8016</v>
      </c>
      <c r="C249" s="1131" t="s">
        <v>5017</v>
      </c>
      <c r="D249" s="1256"/>
      <c r="E249" s="1132" t="s">
        <v>5851</v>
      </c>
      <c r="F249" s="1021"/>
      <c r="G249" s="1040"/>
      <c r="H249" s="1256"/>
      <c r="I249" s="1256"/>
      <c r="J249" s="1256"/>
      <c r="K249" s="1256"/>
      <c r="L249" s="1256"/>
      <c r="M249" s="1256"/>
      <c r="N249" s="1256"/>
      <c r="O249" s="1256"/>
      <c r="P249" s="1133"/>
      <c r="Q249" s="1256"/>
      <c r="R249" s="1256"/>
      <c r="S249" s="1256"/>
      <c r="T249" s="1256"/>
      <c r="U249" s="1256"/>
      <c r="V249" s="1233" t="s">
        <v>1902</v>
      </c>
      <c r="W249" s="1256"/>
      <c r="X249" s="1256"/>
      <c r="Y249" s="1132" t="s">
        <v>824</v>
      </c>
      <c r="Z249" s="1256"/>
      <c r="AA249" s="1256"/>
      <c r="AB249" s="1256"/>
      <c r="AC249" s="1256"/>
      <c r="AD249" s="1256" t="s">
        <v>8017</v>
      </c>
      <c r="AE249" s="1256"/>
      <c r="AF249" s="1256"/>
      <c r="AG249" s="1256"/>
      <c r="AH249" s="1256"/>
      <c r="AI249" s="1256"/>
      <c r="AJ249" s="1256"/>
      <c r="AK249" s="1135"/>
      <c r="AL249" s="1256"/>
      <c r="AM249" s="1256"/>
      <c r="AN249" s="1256"/>
      <c r="AO249" s="1256"/>
      <c r="AP249" s="1256"/>
      <c r="AQ249" s="1135"/>
      <c r="AR249" s="1135"/>
      <c r="AS249" s="1256"/>
      <c r="AT249" s="1256"/>
      <c r="AU249" s="1232"/>
      <c r="AV249" s="1256"/>
      <c r="AW249" s="1256"/>
      <c r="AX249" s="1256"/>
      <c r="AY249" s="1256"/>
      <c r="AZ249" s="1256"/>
      <c r="BA249" s="1232"/>
      <c r="BB249" s="1256"/>
      <c r="BC249" s="1256"/>
      <c r="BD249" s="1256"/>
      <c r="BE249" s="1256"/>
      <c r="BF249" s="1256"/>
      <c r="BG249" s="1256"/>
      <c r="BH249" s="1256"/>
      <c r="BI249" s="1232"/>
      <c r="BJ249" s="1232"/>
      <c r="BK249" s="1232"/>
      <c r="BL249" s="1232"/>
      <c r="BM249" s="1232"/>
      <c r="BN249" s="1232"/>
      <c r="BO249" s="1232"/>
    </row>
    <row r="250" ht="15.75" customHeight="1">
      <c r="A250" s="1235"/>
      <c r="B250" s="1236" t="s">
        <v>8018</v>
      </c>
      <c r="C250" s="1131" t="s">
        <v>1342</v>
      </c>
      <c r="D250" s="1132" t="s">
        <v>1304</v>
      </c>
      <c r="E250" s="1132" t="s">
        <v>1342</v>
      </c>
      <c r="F250" s="1234"/>
      <c r="G250" s="1022" t="s">
        <v>3247</v>
      </c>
      <c r="H250" s="1022" t="s">
        <v>5492</v>
      </c>
      <c r="I250" s="1132"/>
      <c r="J250" s="1132" t="s">
        <v>1707</v>
      </c>
      <c r="K250" s="1132" t="s">
        <v>735</v>
      </c>
      <c r="L250" s="1132" t="s">
        <v>530</v>
      </c>
      <c r="M250" s="1132"/>
      <c r="N250" s="1132"/>
      <c r="O250" s="1132"/>
      <c r="P250" s="1133"/>
      <c r="Q250" s="1132"/>
      <c r="R250" s="1022" t="s">
        <v>810</v>
      </c>
      <c r="S250" s="1132" t="s">
        <v>1340</v>
      </c>
      <c r="T250" s="1132"/>
      <c r="U250" s="1132"/>
      <c r="V250" s="1032"/>
      <c r="W250" s="1132"/>
      <c r="X250" s="1132" t="s">
        <v>4446</v>
      </c>
      <c r="Y250" s="1132"/>
      <c r="Z250" s="1132"/>
      <c r="AA250" s="1132"/>
      <c r="AB250" s="1132"/>
      <c r="AC250" s="1132"/>
      <c r="AD250" s="1132"/>
      <c r="AE250" s="1132"/>
      <c r="AF250" s="1132"/>
      <c r="AG250" s="1132" t="s">
        <v>8019</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7"/>
      <c r="B251" s="1238" t="s">
        <v>8020</v>
      </c>
      <c r="C251" s="1048" t="s">
        <v>5407</v>
      </c>
      <c r="D251" s="1257" t="s">
        <v>4607</v>
      </c>
      <c r="E251" s="1132"/>
      <c r="F251" s="1049" t="s">
        <v>5407</v>
      </c>
      <c r="G251" s="1040"/>
      <c r="H251" s="1132"/>
      <c r="I251" s="1132"/>
      <c r="J251" s="1132"/>
      <c r="K251" s="1132"/>
      <c r="L251" s="1132"/>
      <c r="M251" s="1132"/>
      <c r="N251" s="1132"/>
      <c r="O251" s="1132"/>
      <c r="P251" s="1133"/>
      <c r="Q251" s="1132"/>
      <c r="R251" s="1132"/>
      <c r="S251" s="1132"/>
      <c r="T251" s="1132"/>
      <c r="U251" s="1022" t="s">
        <v>8021</v>
      </c>
      <c r="V251" s="1232"/>
      <c r="W251" s="1132"/>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2"/>
      <c r="AV251" s="1132"/>
      <c r="AW251" s="1132"/>
      <c r="AX251" s="1132"/>
      <c r="AY251" s="1132"/>
      <c r="AZ251" s="1132"/>
      <c r="BA251" s="1232"/>
      <c r="BB251" s="1132"/>
      <c r="BC251" s="1132"/>
      <c r="BD251" s="1132"/>
      <c r="BE251" s="1132"/>
      <c r="BF251" s="1132"/>
      <c r="BG251" s="1132"/>
      <c r="BH251" s="1132"/>
      <c r="BI251" s="1232"/>
      <c r="BJ251" s="1232"/>
      <c r="BK251" s="1232"/>
      <c r="BL251" s="1232"/>
      <c r="BM251" s="1232"/>
      <c r="BN251" s="1232"/>
      <c r="BO251" s="1232"/>
    </row>
    <row r="252" ht="15.75" customHeight="1">
      <c r="A252" s="1229" t="s">
        <v>7608</v>
      </c>
      <c r="B252" s="1230" t="s">
        <v>7949</v>
      </c>
      <c r="C252" s="1131" t="s">
        <v>5484</v>
      </c>
      <c r="D252" s="1132" t="s">
        <v>1411</v>
      </c>
      <c r="E252" s="1132" t="s">
        <v>2600</v>
      </c>
      <c r="F252" s="1069" t="s">
        <v>3608</v>
      </c>
      <c r="G252" s="1040"/>
      <c r="H252" s="1132" t="s">
        <v>5484</v>
      </c>
      <c r="I252" s="1132"/>
      <c r="J252" s="1132"/>
      <c r="K252" s="1132" t="s">
        <v>5659</v>
      </c>
      <c r="L252" s="1132"/>
      <c r="M252" s="1132"/>
      <c r="N252" s="1132" t="s">
        <v>5270</v>
      </c>
      <c r="O252" s="1132" t="s">
        <v>3608</v>
      </c>
      <c r="P252" s="1133" t="s">
        <v>5592</v>
      </c>
      <c r="Q252" s="1132"/>
      <c r="R252" s="1132" t="s">
        <v>5484</v>
      </c>
      <c r="S252" s="1132"/>
      <c r="T252" s="1132"/>
      <c r="U252" s="1132"/>
      <c r="V252" s="1258"/>
      <c r="W252" s="1132" t="s">
        <v>4275</v>
      </c>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2"/>
      <c r="AV252" s="1132"/>
      <c r="AW252" s="1132"/>
      <c r="AX252" s="1132"/>
      <c r="AY252" s="1132"/>
      <c r="AZ252" s="1132"/>
      <c r="BA252" s="1232"/>
      <c r="BB252" s="1132"/>
      <c r="BC252" s="1132"/>
      <c r="BD252" s="1132"/>
      <c r="BE252" s="1132"/>
      <c r="BF252" s="1132"/>
      <c r="BG252" s="1132"/>
      <c r="BH252" s="1132"/>
      <c r="BI252" s="1232"/>
      <c r="BJ252" s="1232"/>
      <c r="BK252" s="1232"/>
      <c r="BL252" s="1232"/>
      <c r="BM252" s="1232"/>
      <c r="BN252" s="1232"/>
      <c r="BO252" s="1232"/>
    </row>
    <row r="253" ht="15.75" customHeight="1">
      <c r="A253" s="1252"/>
      <c r="B253" s="1236" t="s">
        <v>7712</v>
      </c>
      <c r="C253" s="1131" t="s">
        <v>3071</v>
      </c>
      <c r="D253" s="1132"/>
      <c r="E253" s="1132" t="s">
        <v>4266</v>
      </c>
      <c r="F253" s="1247" t="s">
        <v>8022</v>
      </c>
      <c r="G253" s="1040"/>
      <c r="H253" s="1132" t="s">
        <v>3071</v>
      </c>
      <c r="I253" s="1132" t="str">
        <f>HYPERLINK("https://youtu.be/yGR2akJEjQQ","19.18")</f>
        <v>19.18</v>
      </c>
      <c r="J253" s="1132"/>
      <c r="K253" s="1132"/>
      <c r="L253" s="1132"/>
      <c r="M253" s="1132"/>
      <c r="N253" s="1132"/>
      <c r="O253" s="1132"/>
      <c r="P253" s="1133"/>
      <c r="Q253" s="1132"/>
      <c r="R253" s="1022" t="s">
        <v>5445</v>
      </c>
      <c r="S253" s="1132"/>
      <c r="T253" s="1132" t="s">
        <v>2419</v>
      </c>
      <c r="U253" s="1132"/>
      <c r="V253" s="1032"/>
      <c r="W253" s="11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4"/>
      <c r="B254" s="1238" t="s">
        <v>8023</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232"/>
      <c r="W254" s="1132"/>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2"/>
      <c r="AV254" s="1132"/>
      <c r="AW254" s="1132"/>
      <c r="AX254" s="1132"/>
      <c r="AY254" s="1132"/>
      <c r="AZ254" s="1132"/>
      <c r="BA254" s="1232"/>
      <c r="BB254" s="1132"/>
      <c r="BC254" s="1132"/>
      <c r="BD254" s="1132"/>
      <c r="BE254" s="1132"/>
      <c r="BF254" s="1132"/>
      <c r="BG254" s="1132"/>
      <c r="BH254" s="1132"/>
      <c r="BI254" s="1232"/>
      <c r="BJ254" s="1232"/>
      <c r="BK254" s="1232"/>
      <c r="BL254" s="1232"/>
      <c r="BM254" s="1232"/>
      <c r="BN254" s="1232"/>
      <c r="BO254" s="1232"/>
    </row>
    <row r="255" ht="15.75" customHeight="1">
      <c r="A255" s="1252"/>
      <c r="B255" s="1236" t="s">
        <v>8024</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32"/>
      <c r="W255" s="1040"/>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4"/>
      <c r="B256" s="1238" t="s">
        <v>8025</v>
      </c>
      <c r="C256" s="1018" t="s">
        <v>5032</v>
      </c>
      <c r="D256" s="1138"/>
      <c r="E256" s="1138"/>
      <c r="F256" s="1049" t="s">
        <v>2068</v>
      </c>
      <c r="G256" s="1040"/>
      <c r="H256" s="1022" t="s">
        <v>5032</v>
      </c>
      <c r="I256" s="1138"/>
      <c r="J256" s="1138"/>
      <c r="K256" s="1138"/>
      <c r="L256" s="1138"/>
      <c r="M256" s="1138"/>
      <c r="N256" s="1138"/>
      <c r="O256" s="1138"/>
      <c r="P256" s="1140"/>
      <c r="Q256" s="1138"/>
      <c r="R256" s="1138"/>
      <c r="S256" s="1138"/>
      <c r="T256" s="1138"/>
      <c r="U256" s="1138"/>
      <c r="V256" s="1232"/>
      <c r="W256" s="1138"/>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2"/>
      <c r="AV256" s="1138"/>
      <c r="AW256" s="1138"/>
      <c r="AX256" s="1138"/>
      <c r="AY256" s="1138"/>
      <c r="AZ256" s="1138"/>
      <c r="BA256" s="1232"/>
      <c r="BB256" s="1138"/>
      <c r="BC256" s="1138"/>
      <c r="BD256" s="1138"/>
      <c r="BE256" s="1138"/>
      <c r="BF256" s="1138"/>
      <c r="BG256" s="1138"/>
      <c r="BH256" s="1138"/>
      <c r="BI256" s="1232"/>
      <c r="BJ256" s="1232"/>
      <c r="BK256" s="1232"/>
      <c r="BL256" s="1232"/>
      <c r="BM256" s="1232"/>
      <c r="BN256" s="1232"/>
      <c r="BO256" s="1232"/>
    </row>
    <row r="257" ht="15.75" customHeight="1">
      <c r="A257" s="1229" t="s">
        <v>8026</v>
      </c>
      <c r="B257" s="1230" t="s">
        <v>7501</v>
      </c>
      <c r="C257" s="1131" t="s">
        <v>953</v>
      </c>
      <c r="D257" s="983" t="s">
        <v>1609</v>
      </c>
      <c r="E257" s="1138"/>
      <c r="F257" s="1234"/>
      <c r="G257" s="1022" t="s">
        <v>1316</v>
      </c>
      <c r="H257" s="1138"/>
      <c r="I257" s="1138"/>
      <c r="J257" s="1138"/>
      <c r="K257" s="1138"/>
      <c r="L257" s="1132" t="s">
        <v>953</v>
      </c>
      <c r="M257" s="1132" t="s">
        <v>796</v>
      </c>
      <c r="N257" s="1138"/>
      <c r="O257" s="1138"/>
      <c r="P257" s="1140"/>
      <c r="Q257" s="1138"/>
      <c r="R257" s="1138"/>
      <c r="S257" s="1138"/>
      <c r="T257" s="1138"/>
      <c r="U257" s="1138"/>
      <c r="V257" s="1232"/>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5" t="s">
        <v>8027</v>
      </c>
      <c r="AS257" s="1138"/>
      <c r="AT257" s="1138"/>
      <c r="AU257" s="1232"/>
      <c r="AV257" s="1138"/>
      <c r="AW257" s="1138"/>
      <c r="AX257" s="1138"/>
      <c r="AY257" s="1138"/>
      <c r="AZ257" s="1138"/>
      <c r="BA257" s="1232"/>
      <c r="BB257" s="1138"/>
      <c r="BC257" s="1138"/>
      <c r="BD257" s="1138"/>
      <c r="BE257" s="1138"/>
      <c r="BF257" s="1138"/>
      <c r="BG257" s="1138"/>
      <c r="BH257" s="1138"/>
      <c r="BI257" s="1232"/>
      <c r="BJ257" s="1232"/>
      <c r="BK257" s="1232"/>
      <c r="BL257" s="1232"/>
      <c r="BM257" s="1232"/>
      <c r="BN257" s="1232"/>
      <c r="BO257" s="1232"/>
    </row>
    <row r="258" ht="15.75" customHeight="1">
      <c r="A258" s="1229" t="s">
        <v>7620</v>
      </c>
      <c r="B258" s="1230" t="s">
        <v>7615</v>
      </c>
      <c r="C258" s="1131" t="s">
        <v>8028</v>
      </c>
      <c r="D258" s="983" t="s">
        <v>1611</v>
      </c>
      <c r="E258" s="1138"/>
      <c r="F258" s="1234"/>
      <c r="G258" s="1040"/>
      <c r="H258" s="1138"/>
      <c r="I258" s="1138" t="s">
        <v>1858</v>
      </c>
      <c r="J258" s="1132" t="s">
        <v>1465</v>
      </c>
      <c r="K258" s="1138" t="s">
        <v>5724</v>
      </c>
      <c r="L258" s="1138" t="s">
        <v>6046</v>
      </c>
      <c r="M258" s="1138"/>
      <c r="N258" s="1138"/>
      <c r="O258" s="1138"/>
      <c r="P258" s="1140"/>
      <c r="Q258" s="1138"/>
      <c r="R258" s="1138"/>
      <c r="S258" s="1138"/>
      <c r="T258" s="1138"/>
      <c r="U258" s="1138"/>
      <c r="V258" s="1032"/>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40" t="s">
        <v>7617</v>
      </c>
      <c r="B259" s="1259" t="s">
        <v>7615</v>
      </c>
      <c r="C259" s="1074" t="s">
        <v>8029</v>
      </c>
      <c r="D259" s="1075" t="s">
        <v>8029</v>
      </c>
      <c r="E259" s="1138"/>
      <c r="F259" s="1234"/>
      <c r="G259" s="1040"/>
      <c r="H259" s="1138"/>
      <c r="I259" s="1138"/>
      <c r="J259" s="1132"/>
      <c r="K259" s="1138"/>
      <c r="L259" s="1138"/>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9" t="s">
        <v>75</v>
      </c>
      <c r="B260" s="1230" t="s">
        <v>8030</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032"/>
      <c r="W260" s="11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2"/>
      <c r="B261" s="1236" t="s">
        <v>8031</v>
      </c>
      <c r="C261" s="1131" t="s">
        <v>296</v>
      </c>
      <c r="D261" s="983" t="s">
        <v>1610</v>
      </c>
      <c r="E261" s="1022" t="s">
        <v>406</v>
      </c>
      <c r="F261" s="1234"/>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232"/>
      <c r="W261" s="104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2"/>
      <c r="AV261" s="1040"/>
      <c r="AW261" s="1040"/>
      <c r="AX261" s="1040"/>
      <c r="AY261" s="1040"/>
      <c r="AZ261" s="1040"/>
      <c r="BA261" s="1232"/>
      <c r="BB261" s="1040"/>
      <c r="BC261" s="1040"/>
      <c r="BD261" s="1040"/>
      <c r="BE261" s="1040"/>
      <c r="BF261" s="1040"/>
      <c r="BG261" s="1040"/>
      <c r="BH261" s="1040"/>
      <c r="BI261" s="1232"/>
      <c r="BJ261" s="1232"/>
      <c r="BK261" s="1232"/>
      <c r="BL261" s="1232"/>
      <c r="BM261" s="1232"/>
      <c r="BN261" s="1232"/>
      <c r="BO261" s="1232"/>
    </row>
    <row r="262" ht="15.75" customHeight="1">
      <c r="A262" s="1229" t="s">
        <v>57</v>
      </c>
      <c r="B262" s="1230" t="s">
        <v>8032</v>
      </c>
      <c r="C262" s="1018" t="s">
        <v>613</v>
      </c>
      <c r="D262" s="983" t="s">
        <v>1612</v>
      </c>
      <c r="G262" s="1022" t="s">
        <v>1319</v>
      </c>
      <c r="L262" s="1132" t="s">
        <v>955</v>
      </c>
      <c r="T262" s="1022" t="s">
        <v>514</v>
      </c>
      <c r="X262" s="1022" t="s">
        <v>613</v>
      </c>
      <c r="BL262" s="1032"/>
      <c r="BM262" s="1032"/>
      <c r="BN262" s="1032"/>
      <c r="BO262" s="1032"/>
    </row>
    <row r="263" ht="15.75" customHeight="1">
      <c r="A263" s="1252"/>
      <c r="B263" s="1236" t="s">
        <v>8033</v>
      </c>
      <c r="C263" s="1018" t="s">
        <v>4257</v>
      </c>
      <c r="E263" s="1138"/>
      <c r="F263" s="1021"/>
      <c r="H263" s="1138"/>
      <c r="I263" s="1138"/>
      <c r="J263" s="1138"/>
      <c r="K263" s="1138"/>
      <c r="M263" s="1138"/>
      <c r="N263" s="1138"/>
      <c r="O263" s="1138"/>
      <c r="P263" s="1140"/>
      <c r="Q263" s="1138"/>
      <c r="R263" s="1138"/>
      <c r="S263" s="1138"/>
      <c r="U263" s="1138"/>
      <c r="V263" s="1032"/>
      <c r="W263" s="1138"/>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60" t="s">
        <v>8034</v>
      </c>
      <c r="D264" s="1261"/>
      <c r="E264" s="1261"/>
      <c r="F264" s="1262"/>
      <c r="G264" s="1263"/>
      <c r="H264" s="1261"/>
      <c r="I264" s="1261"/>
      <c r="J264" s="1261"/>
      <c r="K264" s="1261"/>
      <c r="L264" s="1261"/>
      <c r="M264" s="1261"/>
      <c r="N264" s="1261"/>
      <c r="O264" s="1261"/>
      <c r="P264" s="1264"/>
      <c r="Q264" s="1261"/>
      <c r="R264" s="1261"/>
      <c r="S264" s="1261"/>
      <c r="T264" s="1261"/>
      <c r="U264" s="1261"/>
      <c r="V264" s="1265"/>
      <c r="W264" s="1261"/>
      <c r="X264" s="1261"/>
      <c r="Y264" s="1261"/>
      <c r="Z264" s="1261"/>
      <c r="AA264" s="1261"/>
      <c r="AB264" s="1261"/>
      <c r="AC264" s="1261"/>
      <c r="AD264" s="1261"/>
      <c r="AE264" s="1261"/>
      <c r="AF264" s="1261"/>
      <c r="AG264" s="1261"/>
      <c r="AH264" s="1261"/>
      <c r="AI264" s="1261"/>
      <c r="AJ264" s="1261"/>
      <c r="AK264" s="1261"/>
      <c r="AL264" s="1261"/>
      <c r="AM264" s="1261"/>
      <c r="AN264" s="1261"/>
      <c r="AO264" s="1261"/>
      <c r="AP264" s="1261"/>
      <c r="AQ264" s="1261"/>
      <c r="AR264" s="1261"/>
      <c r="AS264" s="1261"/>
      <c r="AT264" s="1261"/>
      <c r="AU264" s="1265"/>
      <c r="AV264" s="1261"/>
      <c r="AW264" s="1261"/>
      <c r="AX264" s="1261"/>
      <c r="AY264" s="1261"/>
      <c r="AZ264" s="1261"/>
      <c r="BA264" s="1265"/>
      <c r="BB264" s="1261"/>
      <c r="BC264" s="1261"/>
      <c r="BD264" s="1261"/>
      <c r="BE264" s="1261"/>
      <c r="BF264" s="1261"/>
      <c r="BG264" s="1261"/>
      <c r="BH264" s="1261"/>
      <c r="BI264" s="1265"/>
      <c r="BJ264" s="1265"/>
      <c r="BK264" s="1265"/>
      <c r="BL264" s="1265"/>
      <c r="BM264" s="1265"/>
      <c r="BN264" s="1265"/>
      <c r="BO264" s="1265"/>
    </row>
    <row r="265" ht="15.75" customHeight="1">
      <c r="A265" s="1266" t="s">
        <v>7500</v>
      </c>
      <c r="B265" s="1267" t="s">
        <v>8035</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268" t="s">
        <v>8036</v>
      </c>
      <c r="W265" s="1138"/>
      <c r="X265" s="1138"/>
      <c r="Y265" s="1138" t="s">
        <v>6761</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9"/>
      <c r="AV265" s="1138"/>
      <c r="AW265" s="1138"/>
      <c r="AX265" s="1138"/>
      <c r="AY265" s="1138"/>
      <c r="AZ265" s="1138"/>
      <c r="BA265" s="1269"/>
      <c r="BB265" s="1138"/>
      <c r="BC265" s="1138"/>
      <c r="BD265" s="1138"/>
      <c r="BE265" s="1138"/>
      <c r="BF265" s="1138"/>
      <c r="BG265" s="1138"/>
      <c r="BH265" s="1138"/>
      <c r="BI265" s="1269"/>
      <c r="BJ265" s="1269"/>
      <c r="BK265" s="1269"/>
      <c r="BL265" s="1269"/>
      <c r="BM265" s="1269"/>
      <c r="BN265" s="1269"/>
      <c r="BO265" s="1269"/>
    </row>
    <row r="266" ht="15.75" customHeight="1">
      <c r="A266" s="1270"/>
      <c r="B266" s="1271" t="s">
        <v>8037</v>
      </c>
      <c r="C266" s="1131" t="s">
        <v>4550</v>
      </c>
      <c r="D266" s="1138"/>
      <c r="E266" s="1138"/>
      <c r="F266" s="1272" t="s">
        <v>3773</v>
      </c>
      <c r="G266" s="1040"/>
      <c r="H266" s="1138"/>
      <c r="I266" s="1132" t="str">
        <f>HYPERLINK("https://youtu.be/K8Egs0-qumI","48.41")</f>
        <v>48.41</v>
      </c>
      <c r="J266" s="1138"/>
      <c r="K266" s="1138"/>
      <c r="L266" s="1138"/>
      <c r="M266" s="1138"/>
      <c r="N266" s="1138"/>
      <c r="O266" s="1138"/>
      <c r="P266" s="1140"/>
      <c r="Q266" s="1138"/>
      <c r="R266" s="1022" t="s">
        <v>8038</v>
      </c>
      <c r="S266" s="1138"/>
      <c r="T266" s="1132" t="s">
        <v>4550</v>
      </c>
      <c r="U266" s="1138"/>
      <c r="V266" s="1032"/>
      <c r="W266" s="1138"/>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3"/>
      <c r="B267" s="1274" t="s">
        <v>8039</v>
      </c>
      <c r="C267" s="1131" t="s">
        <v>428</v>
      </c>
      <c r="D267" s="1138" t="s">
        <v>4550</v>
      </c>
      <c r="E267" s="1138"/>
      <c r="F267" s="1021"/>
      <c r="G267" s="1040"/>
      <c r="H267" s="1138"/>
      <c r="I267" s="1138" t="s">
        <v>8040</v>
      </c>
      <c r="J267" s="1132" t="s">
        <v>4839</v>
      </c>
      <c r="K267" s="1138"/>
      <c r="L267" s="1138"/>
      <c r="M267" s="1138"/>
      <c r="N267" s="1138"/>
      <c r="O267" s="1138"/>
      <c r="P267" s="1140"/>
      <c r="Q267" s="1138"/>
      <c r="R267" s="1138"/>
      <c r="S267" s="1138"/>
      <c r="T267" s="1138"/>
      <c r="U267" s="1138"/>
      <c r="V267" s="1268" t="s">
        <v>8041</v>
      </c>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9"/>
      <c r="AV267" s="1138"/>
      <c r="AW267" s="1138"/>
      <c r="AX267" s="1138"/>
      <c r="AY267" s="1138"/>
      <c r="AZ267" s="1138"/>
      <c r="BA267" s="1269"/>
      <c r="BB267" s="1138"/>
      <c r="BC267" s="1138"/>
      <c r="BD267" s="1138"/>
      <c r="BE267" s="1138"/>
      <c r="BF267" s="1138"/>
      <c r="BG267" s="1138"/>
      <c r="BH267" s="1138"/>
      <c r="BI267" s="1269"/>
      <c r="BJ267" s="1269"/>
      <c r="BK267" s="1269"/>
      <c r="BL267" s="1269"/>
      <c r="BM267" s="1269"/>
      <c r="BN267" s="1269"/>
      <c r="BO267" s="1269"/>
    </row>
    <row r="268" ht="15.75" customHeight="1">
      <c r="A268" s="1270"/>
      <c r="B268" s="1271" t="s">
        <v>8042</v>
      </c>
      <c r="C268" s="1131" t="s">
        <v>3878</v>
      </c>
      <c r="D268" s="1138"/>
      <c r="E268" s="1138"/>
      <c r="F268" s="1275"/>
      <c r="G268" s="1022" t="s">
        <v>6486</v>
      </c>
      <c r="H268" s="1138"/>
      <c r="I268" s="1132" t="s">
        <v>8043</v>
      </c>
      <c r="J268" s="1138"/>
      <c r="K268" s="1138"/>
      <c r="L268" s="1138"/>
      <c r="M268" s="1138"/>
      <c r="N268" s="1138"/>
      <c r="O268" s="1138"/>
      <c r="P268" s="1140"/>
      <c r="Q268" s="1138" t="s">
        <v>569</v>
      </c>
      <c r="R268" s="1138"/>
      <c r="S268" s="1138"/>
      <c r="T268" s="1138"/>
      <c r="U268" s="1138"/>
      <c r="V268" s="1032"/>
      <c r="W268" s="1138"/>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3"/>
      <c r="B269" s="1274" t="s">
        <v>8044</v>
      </c>
      <c r="C269" s="1048" t="s">
        <v>2924</v>
      </c>
      <c r="D269" s="1132"/>
      <c r="E269" s="1132" t="s">
        <v>1534</v>
      </c>
      <c r="F269" s="1049" t="s">
        <v>2924</v>
      </c>
      <c r="G269" s="1040"/>
      <c r="H269" s="1132" t="s">
        <v>2070</v>
      </c>
      <c r="I269" s="1132"/>
      <c r="J269" s="1132" t="s">
        <v>2204</v>
      </c>
      <c r="K269" s="1132"/>
      <c r="L269" s="1133" t="s">
        <v>8045</v>
      </c>
      <c r="M269" s="1132"/>
      <c r="N269" s="1132"/>
      <c r="O269" s="1132" t="s">
        <v>1395</v>
      </c>
      <c r="P269" s="1133" t="s">
        <v>8046</v>
      </c>
      <c r="Q269" s="1132"/>
      <c r="R269" s="1132"/>
      <c r="S269" s="1132"/>
      <c r="T269" s="1132" t="s">
        <v>2194</v>
      </c>
      <c r="U269" s="1132"/>
      <c r="V269" s="1269"/>
      <c r="W269" s="1132"/>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9"/>
      <c r="AV269" s="1132"/>
      <c r="AW269" s="1132"/>
      <c r="AX269" s="1132"/>
      <c r="AY269" s="1132"/>
      <c r="AZ269" s="1132"/>
      <c r="BA269" s="1269"/>
      <c r="BB269" s="1132"/>
      <c r="BC269" s="1132"/>
      <c r="BD269" s="1132"/>
      <c r="BE269" s="1132"/>
      <c r="BF269" s="1132"/>
      <c r="BG269" s="1132"/>
      <c r="BH269" s="1132"/>
      <c r="BI269" s="1269"/>
      <c r="BJ269" s="1269"/>
      <c r="BK269" s="1269"/>
      <c r="BL269" s="1269"/>
      <c r="BM269" s="1269"/>
      <c r="BN269" s="1269"/>
      <c r="BO269" s="1269"/>
    </row>
    <row r="270" ht="15.75" customHeight="1">
      <c r="A270" s="1270"/>
      <c r="B270" s="1271" t="s">
        <v>8047</v>
      </c>
      <c r="C270" s="1131" t="s">
        <v>2204</v>
      </c>
      <c r="D270" s="1132"/>
      <c r="E270" s="1132" t="s">
        <v>2204</v>
      </c>
      <c r="F270" s="1272" t="s">
        <v>8048</v>
      </c>
      <c r="G270" s="1040"/>
      <c r="H270" s="1133" t="s">
        <v>3128</v>
      </c>
      <c r="I270" s="1132"/>
      <c r="J270" s="1132"/>
      <c r="K270" s="1132"/>
      <c r="L270" s="1132"/>
      <c r="M270" s="1132"/>
      <c r="N270" s="1132"/>
      <c r="O270" s="1132"/>
      <c r="P270" s="1133"/>
      <c r="Q270" s="1022" t="s">
        <v>3295</v>
      </c>
      <c r="R270" s="1132"/>
      <c r="S270" s="1132"/>
      <c r="T270" s="1132"/>
      <c r="U270" s="1132"/>
      <c r="V270" s="1032"/>
      <c r="W270" s="11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3"/>
      <c r="B271" s="1274" t="s">
        <v>8049</v>
      </c>
      <c r="C271" s="1276" t="s">
        <v>5715</v>
      </c>
      <c r="D271" s="1132"/>
      <c r="E271" s="1132" t="s">
        <v>800</v>
      </c>
      <c r="F271" s="1049" t="s">
        <v>1395</v>
      </c>
      <c r="G271" s="1040"/>
      <c r="H271" s="1133" t="s">
        <v>5610</v>
      </c>
      <c r="I271" s="1132"/>
      <c r="J271" s="1132"/>
      <c r="K271" s="1132"/>
      <c r="L271" s="1132"/>
      <c r="M271" s="1132"/>
      <c r="N271" s="1132"/>
      <c r="O271" s="1132" t="s">
        <v>5809</v>
      </c>
      <c r="P271" s="1133"/>
      <c r="Q271" s="1132"/>
      <c r="R271" s="1132"/>
      <c r="S271" s="1132"/>
      <c r="T271" s="1132"/>
      <c r="U271" s="1132"/>
      <c r="V271" s="1269"/>
      <c r="W271" s="1132"/>
      <c r="X271" s="1133" t="s">
        <v>8050</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8" t="s">
        <v>5715</v>
      </c>
      <c r="AV271" s="1132"/>
      <c r="AW271" s="1132"/>
      <c r="AX271" s="1132"/>
      <c r="AY271" s="1132"/>
      <c r="AZ271" s="1132"/>
      <c r="BA271" s="1269"/>
      <c r="BB271" s="1132"/>
      <c r="BC271" s="1132"/>
      <c r="BD271" s="1132"/>
      <c r="BE271" s="1132"/>
      <c r="BF271" s="1132"/>
      <c r="BG271" s="1132"/>
      <c r="BH271" s="1132"/>
      <c r="BI271" s="1269"/>
      <c r="BJ271" s="1269"/>
      <c r="BK271" s="1269"/>
      <c r="BL271" s="1269"/>
      <c r="BM271" s="1269"/>
      <c r="BN271" s="1269"/>
      <c r="BO271" s="1269"/>
    </row>
    <row r="272" ht="15.75" customHeight="1">
      <c r="A272" s="1270"/>
      <c r="B272" s="1271" t="s">
        <v>8051</v>
      </c>
      <c r="C272" s="1048" t="s">
        <v>2574</v>
      </c>
      <c r="D272" s="1132" t="s">
        <v>846</v>
      </c>
      <c r="E272" s="1132" t="s">
        <v>8052</v>
      </c>
      <c r="F272" s="1049" t="s">
        <v>2574</v>
      </c>
      <c r="G272" s="1022" t="s">
        <v>2722</v>
      </c>
      <c r="H272" s="1132"/>
      <c r="I272" s="1132"/>
      <c r="J272" s="1132"/>
      <c r="K272" s="1132"/>
      <c r="L272" s="1132"/>
      <c r="M272" s="1132"/>
      <c r="N272" s="1132"/>
      <c r="O272" s="1132" t="s">
        <v>8053</v>
      </c>
      <c r="P272" s="1133"/>
      <c r="Q272" s="1132"/>
      <c r="R272" s="1132"/>
      <c r="S272" s="1132"/>
      <c r="T272" s="1132"/>
      <c r="U272" s="1022" t="s">
        <v>651</v>
      </c>
      <c r="V272" s="1032"/>
      <c r="W272" s="11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6" t="s">
        <v>7502</v>
      </c>
      <c r="B273" s="1267" t="s">
        <v>7501</v>
      </c>
      <c r="C273" s="1048" t="s">
        <v>8054</v>
      </c>
      <c r="D273" s="1138"/>
      <c r="E273" s="1138"/>
      <c r="F273" s="1049" t="s">
        <v>8054</v>
      </c>
      <c r="G273" s="1040"/>
      <c r="H273" s="1138"/>
      <c r="I273" s="1138"/>
      <c r="J273" s="1138"/>
      <c r="K273" s="1138"/>
      <c r="L273" s="1138"/>
      <c r="M273" s="1138"/>
      <c r="N273" s="1138"/>
      <c r="O273" s="1138"/>
      <c r="P273" s="1140"/>
      <c r="Q273" s="1138"/>
      <c r="R273" s="1138"/>
      <c r="S273" s="1138"/>
      <c r="T273" s="1138"/>
      <c r="U273" s="1138"/>
      <c r="V273" s="1269"/>
      <c r="W273" s="1138"/>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9"/>
      <c r="AV273" s="1138"/>
      <c r="AW273" s="1138"/>
      <c r="AX273" s="1138"/>
      <c r="AY273" s="1138"/>
      <c r="AZ273" s="1138"/>
      <c r="BA273" s="1269"/>
      <c r="BB273" s="1138"/>
      <c r="BC273" s="1138"/>
      <c r="BD273" s="1138"/>
      <c r="BE273" s="1138"/>
      <c r="BF273" s="1138"/>
      <c r="BG273" s="1138"/>
      <c r="BH273" s="1138"/>
      <c r="BI273" s="1269"/>
      <c r="BJ273" s="1269"/>
      <c r="BK273" s="1269"/>
      <c r="BL273" s="1269"/>
      <c r="BM273" s="1269"/>
      <c r="BN273" s="1269"/>
      <c r="BO273" s="1269"/>
    </row>
    <row r="274" ht="15.75" customHeight="1">
      <c r="A274" s="1266" t="s">
        <v>7659</v>
      </c>
      <c r="B274" s="1267" t="s">
        <v>8055</v>
      </c>
      <c r="C274" s="1131" t="s">
        <v>1624</v>
      </c>
      <c r="D274" s="1138" t="s">
        <v>1671</v>
      </c>
      <c r="E274" s="1138"/>
      <c r="F274" s="1275"/>
      <c r="G274" s="1022" t="s">
        <v>4233</v>
      </c>
      <c r="H274" s="1138"/>
      <c r="I274" s="1132" t="str">
        <f>HYPERLINK("https://youtu.be/_GZXmZdCc5s","31.80")</f>
        <v>31.80</v>
      </c>
      <c r="J274" s="1138"/>
      <c r="K274" s="1132" t="s">
        <v>8056</v>
      </c>
      <c r="L274" s="1138"/>
      <c r="M274" s="1132" t="s">
        <v>1624</v>
      </c>
      <c r="N274" s="1132" t="str">
        <f>HYPERLINK("https://youtu.be/kUsh0nBBuMY","32.45")</f>
        <v>32.45</v>
      </c>
      <c r="O274" s="1138"/>
      <c r="P274" s="1140" t="s">
        <v>2258</v>
      </c>
      <c r="Q274" s="1138"/>
      <c r="R274" s="1138" t="s">
        <v>1082</v>
      </c>
      <c r="S274" s="1138"/>
      <c r="T274" s="1138"/>
      <c r="U274" s="1182" t="s">
        <v>3950</v>
      </c>
      <c r="V274" s="1277" t="s">
        <v>859</v>
      </c>
      <c r="W274" s="1138" t="s">
        <v>817</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9"/>
      <c r="AV274" s="1138"/>
      <c r="AW274" s="1138"/>
      <c r="AX274" s="1138"/>
      <c r="AY274" s="1138" t="s">
        <v>1114</v>
      </c>
      <c r="AZ274" s="1138"/>
      <c r="BA274" s="1269"/>
      <c r="BB274" s="1138"/>
      <c r="BC274" s="1138"/>
      <c r="BD274" s="1138"/>
      <c r="BE274" s="1138"/>
      <c r="BF274" s="1138"/>
      <c r="BG274" s="1138"/>
      <c r="BH274" s="1138"/>
      <c r="BI274" s="1269"/>
      <c r="BJ274" s="1269"/>
      <c r="BK274" s="1269"/>
      <c r="BL274" s="1269"/>
      <c r="BM274" s="1269"/>
      <c r="BN274" s="1269"/>
      <c r="BO274" s="1269"/>
    </row>
    <row r="275" ht="15.75" customHeight="1">
      <c r="A275" s="1270"/>
      <c r="B275" s="1271" t="s">
        <v>8057</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032"/>
      <c r="W275" s="1138" t="s">
        <v>4089</v>
      </c>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3"/>
      <c r="B276" s="1274" t="s">
        <v>8058</v>
      </c>
      <c r="C276" s="1131" t="s">
        <v>5021</v>
      </c>
      <c r="D276" s="1138" t="s">
        <v>3435</v>
      </c>
      <c r="E276" s="1138"/>
      <c r="F276" s="1275"/>
      <c r="G276" s="1040"/>
      <c r="H276" s="1138"/>
      <c r="I276" s="1138"/>
      <c r="J276" s="1138"/>
      <c r="K276" s="1022" t="s">
        <v>968</v>
      </c>
      <c r="L276" s="1138"/>
      <c r="M276" s="1138"/>
      <c r="N276" s="1138"/>
      <c r="O276" s="1138"/>
      <c r="P276" s="1140"/>
      <c r="Q276" s="1138"/>
      <c r="R276" s="1138"/>
      <c r="S276" s="1138"/>
      <c r="T276" s="1138"/>
      <c r="U276" s="1138"/>
      <c r="V276" s="1269"/>
      <c r="W276" s="1138"/>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9"/>
      <c r="AV276" s="1138"/>
      <c r="AW276" s="1138"/>
      <c r="AX276" s="1138"/>
      <c r="AY276" s="1138"/>
      <c r="AZ276" s="1138"/>
      <c r="BA276" s="1269"/>
      <c r="BB276" s="1138"/>
      <c r="BC276" s="1138"/>
      <c r="BD276" s="1138"/>
      <c r="BE276" s="1138"/>
      <c r="BF276" s="1138"/>
      <c r="BG276" s="1138"/>
      <c r="BH276" s="1138"/>
      <c r="BI276" s="1269"/>
      <c r="BJ276" s="1269"/>
      <c r="BK276" s="1269"/>
      <c r="BL276" s="1269"/>
      <c r="BM276" s="1269"/>
      <c r="BN276" s="1269"/>
      <c r="BO276" s="1269"/>
    </row>
    <row r="277" ht="15.75" customHeight="1">
      <c r="A277" s="1270"/>
      <c r="B277" s="1271" t="s">
        <v>8059</v>
      </c>
      <c r="C277" s="1131" t="s">
        <v>3646</v>
      </c>
      <c r="D277" s="1132" t="s">
        <v>243</v>
      </c>
      <c r="E277" s="1132" t="s">
        <v>3646</v>
      </c>
      <c r="F277" s="1055" t="s">
        <v>2526</v>
      </c>
      <c r="G277" s="1022" t="s">
        <v>1322</v>
      </c>
      <c r="H277" s="1132" t="s">
        <v>1536</v>
      </c>
      <c r="I277" s="1132" t="s">
        <v>2188</v>
      </c>
      <c r="J277" s="1132" t="s">
        <v>2146</v>
      </c>
      <c r="K277" s="1132" t="s">
        <v>5282</v>
      </c>
      <c r="L277" s="1132" t="s">
        <v>911</v>
      </c>
      <c r="M277" s="1132" t="s">
        <v>278</v>
      </c>
      <c r="N277" s="1132" t="s">
        <v>5869</v>
      </c>
      <c r="O277" s="1132" t="s">
        <v>716</v>
      </c>
      <c r="P277" s="1133" t="s">
        <v>425</v>
      </c>
      <c r="Q277" s="1132" t="s">
        <v>4089</v>
      </c>
      <c r="R277" s="1132"/>
      <c r="S277" s="1132"/>
      <c r="T277" s="1132"/>
      <c r="U277" s="1278" t="s">
        <v>1567</v>
      </c>
      <c r="V277" s="1032"/>
      <c r="W277" s="1132" t="s">
        <v>8060</v>
      </c>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6" t="s">
        <v>7548</v>
      </c>
      <c r="B278" s="1267" t="s">
        <v>8061</v>
      </c>
      <c r="C278" s="1131" t="s">
        <v>8062</v>
      </c>
      <c r="D278" s="1132" t="s">
        <v>7674</v>
      </c>
      <c r="E278" s="1132" t="s">
        <v>4157</v>
      </c>
      <c r="F278" s="1272" t="s">
        <v>2524</v>
      </c>
      <c r="G278" s="1022" t="s">
        <v>8063</v>
      </c>
      <c r="H278" s="1132"/>
      <c r="I278" s="1132" t="str">
        <f>HYPERLINK("https://youtu.be/fNmQmNF7N9I","46.93")</f>
        <v>46.93</v>
      </c>
      <c r="J278" s="1132" t="s">
        <v>8062</v>
      </c>
      <c r="K278" s="1132" t="s">
        <v>536</v>
      </c>
      <c r="L278" s="1132" t="s">
        <v>8064</v>
      </c>
      <c r="M278" s="1132" t="s">
        <v>1571</v>
      </c>
      <c r="N278" s="1132"/>
      <c r="O278" s="1132"/>
      <c r="P278" s="1133"/>
      <c r="Q278" s="1132"/>
      <c r="R278" s="1132"/>
      <c r="S278" s="1132" t="s">
        <v>3992</v>
      </c>
      <c r="T278" s="1132" t="s">
        <v>8040</v>
      </c>
      <c r="U278" s="1132"/>
      <c r="V278" s="1269"/>
      <c r="W278" s="1132" t="s">
        <v>8065</v>
      </c>
      <c r="X278" s="1132" t="s">
        <v>4393</v>
      </c>
      <c r="Y278" s="1132" t="s">
        <v>8066</v>
      </c>
      <c r="Z278" s="1132"/>
      <c r="AA278" s="1132"/>
      <c r="AB278" s="1132" t="s">
        <v>8067</v>
      </c>
      <c r="AC278" s="1132" t="s">
        <v>8068</v>
      </c>
      <c r="AD278" s="1132"/>
      <c r="AE278" s="1132"/>
      <c r="AF278" s="1132"/>
      <c r="AG278" s="1132"/>
      <c r="AH278" s="1132"/>
      <c r="AI278" s="1132"/>
      <c r="AJ278" s="1132"/>
      <c r="AK278" s="1135"/>
      <c r="AL278" s="1132"/>
      <c r="AM278" s="1132"/>
      <c r="AN278" s="1132"/>
      <c r="AO278" s="1132"/>
      <c r="AP278" s="1132"/>
      <c r="AQ278" s="1135"/>
      <c r="AR278" s="1135"/>
      <c r="AS278" s="1132" t="s">
        <v>8069</v>
      </c>
      <c r="AT278" s="1132"/>
      <c r="AU278" s="1269"/>
      <c r="AV278" s="1132"/>
      <c r="AW278" s="1132"/>
      <c r="AX278" s="1132"/>
      <c r="AY278" s="1132"/>
      <c r="AZ278" s="1132"/>
      <c r="BA278" s="1269"/>
      <c r="BB278" s="1132"/>
      <c r="BC278" s="1132"/>
      <c r="BD278" s="1132"/>
      <c r="BE278" s="1132"/>
      <c r="BF278" s="1132"/>
      <c r="BG278" s="1132"/>
      <c r="BH278" s="1132"/>
      <c r="BI278" s="1269"/>
      <c r="BJ278" s="1269"/>
      <c r="BK278" s="1269"/>
      <c r="BL278" s="1269"/>
      <c r="BM278" s="1269"/>
      <c r="BN278" s="1269"/>
      <c r="BO278" s="1269"/>
    </row>
    <row r="279" ht="15.75" customHeight="1">
      <c r="A279" s="1270"/>
      <c r="B279" s="1271" t="s">
        <v>8070</v>
      </c>
      <c r="C279" s="1131" t="s">
        <v>3977</v>
      </c>
      <c r="D279" s="1132" t="s">
        <v>5174</v>
      </c>
      <c r="E279" s="1132" t="s">
        <v>3436</v>
      </c>
      <c r="F279" s="1069" t="s">
        <v>8071</v>
      </c>
      <c r="G279" s="1022" t="s">
        <v>8072</v>
      </c>
      <c r="H279" s="1132"/>
      <c r="I279" s="1132" t="str">
        <f>HYPERLINK(" https://youtu.be/dsDcBzsPA5s","45.74")</f>
        <v>45.74</v>
      </c>
      <c r="J279" s="1132" t="s">
        <v>3977</v>
      </c>
      <c r="K279" s="1132" t="s">
        <v>8073</v>
      </c>
      <c r="L279" s="1132" t="s">
        <v>3905</v>
      </c>
      <c r="M279" s="1132" t="s">
        <v>1787</v>
      </c>
      <c r="N279" s="1132" t="s">
        <v>2071</v>
      </c>
      <c r="O279" s="1132" t="s">
        <v>4041</v>
      </c>
      <c r="P279" s="1133" t="s">
        <v>3524</v>
      </c>
      <c r="Q279" s="1132" t="s">
        <v>8074</v>
      </c>
      <c r="R279" s="1132"/>
      <c r="S279" s="1132" t="s">
        <v>8075</v>
      </c>
      <c r="T279" s="1132" t="s">
        <v>286</v>
      </c>
      <c r="U279" s="1132"/>
      <c r="V279" s="1032"/>
      <c r="W279" s="1132" t="s">
        <v>8050</v>
      </c>
      <c r="X279" s="1132" t="s">
        <v>704</v>
      </c>
      <c r="Y279" s="1132" t="s">
        <v>8076</v>
      </c>
      <c r="Z279" s="1132"/>
      <c r="AA279" s="1132"/>
      <c r="AB279" s="1132"/>
      <c r="AC279" s="1132" t="s">
        <v>7734</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3"/>
      <c r="B280" s="1274" t="s">
        <v>8077</v>
      </c>
      <c r="C280" s="1131" t="s">
        <v>1041</v>
      </c>
      <c r="D280" s="1132" t="s">
        <v>4637</v>
      </c>
      <c r="E280" s="1132" t="s">
        <v>410</v>
      </c>
      <c r="F280" s="1049" t="s">
        <v>565</v>
      </c>
      <c r="G280" s="1022" t="s">
        <v>1323</v>
      </c>
      <c r="H280" s="1132" t="s">
        <v>1910</v>
      </c>
      <c r="I280" s="1132" t="str">
        <f>HYPERLINK("https://youtu.be/9O9oqhlyCxY","45.20")</f>
        <v>45.20</v>
      </c>
      <c r="J280" s="1132" t="s">
        <v>8078</v>
      </c>
      <c r="K280" s="1022" t="s">
        <v>3669</v>
      </c>
      <c r="L280" s="1132" t="s">
        <v>321</v>
      </c>
      <c r="M280" s="1132" t="s">
        <v>1396</v>
      </c>
      <c r="N280" s="1132" t="s">
        <v>8043</v>
      </c>
      <c r="O280" s="1132" t="s">
        <v>1041</v>
      </c>
      <c r="P280" s="1133"/>
      <c r="Q280" s="1132" t="s">
        <v>1861</v>
      </c>
      <c r="R280" s="1132"/>
      <c r="S280" s="1132" t="s">
        <v>428</v>
      </c>
      <c r="T280" s="1132" t="s">
        <v>518</v>
      </c>
      <c r="U280" s="1132"/>
      <c r="V280" s="1269"/>
      <c r="W280" s="1132"/>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9"/>
      <c r="AV280" s="1132"/>
      <c r="AW280" s="1132"/>
      <c r="AX280" s="1132"/>
      <c r="AY280" s="1132"/>
      <c r="AZ280" s="1132"/>
      <c r="BA280" s="1269"/>
      <c r="BB280" s="1132"/>
      <c r="BC280" s="1132"/>
      <c r="BD280" s="1132"/>
      <c r="BE280" s="1132"/>
      <c r="BF280" s="1132"/>
      <c r="BG280" s="1132"/>
      <c r="BH280" s="1132"/>
      <c r="BI280" s="1269"/>
      <c r="BJ280" s="1269"/>
      <c r="BK280" s="1269"/>
      <c r="BL280" s="1269"/>
      <c r="BM280" s="1269"/>
      <c r="BN280" s="1269"/>
      <c r="BO280" s="1269"/>
    </row>
    <row r="281" ht="15.75" customHeight="1">
      <c r="A281" s="1279" t="s">
        <v>7739</v>
      </c>
      <c r="B281" s="1280" t="s">
        <v>8079</v>
      </c>
      <c r="C281" s="1131" t="s">
        <v>881</v>
      </c>
      <c r="D281" s="983" t="s">
        <v>1615</v>
      </c>
      <c r="E281" s="1281" t="s">
        <v>411</v>
      </c>
      <c r="F281" s="1035" t="s">
        <v>2575</v>
      </c>
      <c r="G281" s="1022" t="s">
        <v>1324</v>
      </c>
      <c r="H281" s="1281" t="s">
        <v>4548</v>
      </c>
      <c r="I281" s="1281"/>
      <c r="J281" s="1281"/>
      <c r="K281" s="1281"/>
      <c r="L281" s="1281"/>
      <c r="M281" s="1281"/>
      <c r="N281" s="1281"/>
      <c r="O281" s="1281" t="s">
        <v>1042</v>
      </c>
      <c r="P281" s="1282"/>
      <c r="Q281" s="1281"/>
      <c r="R281" s="1281"/>
      <c r="S281" s="1281"/>
      <c r="T281" s="1281"/>
      <c r="U281" s="1281"/>
      <c r="V281" s="1032"/>
      <c r="W281" s="1281"/>
      <c r="X281" s="1281"/>
      <c r="Y281" s="1281"/>
      <c r="Z281" s="1281"/>
      <c r="AA281" s="1281"/>
      <c r="AB281" s="1281"/>
      <c r="AC281" s="1281"/>
      <c r="AD281" s="1281"/>
      <c r="AE281" s="1281"/>
      <c r="AF281" s="1281"/>
      <c r="AG281" s="1281"/>
      <c r="AH281" s="1281"/>
      <c r="AI281" s="1281"/>
      <c r="AJ281" s="1281"/>
      <c r="AK281" s="1135"/>
      <c r="AL281" s="1281"/>
      <c r="AM281" s="1281"/>
      <c r="AN281" s="1281"/>
      <c r="AO281" s="1281"/>
      <c r="AP281" s="1281"/>
      <c r="AQ281" s="1135"/>
      <c r="AR281" s="1135"/>
      <c r="AS281" s="1281"/>
      <c r="AT281" s="1281"/>
      <c r="AU281" s="1032"/>
      <c r="AV281" s="1281"/>
      <c r="AW281" s="1281"/>
      <c r="AX281" s="1281"/>
      <c r="AY281" s="1281"/>
      <c r="AZ281" s="1281"/>
      <c r="BA281" s="1032"/>
      <c r="BB281" s="1281"/>
      <c r="BC281" s="1281"/>
      <c r="BD281" s="1281"/>
      <c r="BE281" s="1281"/>
      <c r="BF281" s="1281"/>
      <c r="BG281" s="1281"/>
      <c r="BH281" s="1281"/>
      <c r="BI281" s="1032"/>
      <c r="BJ281" s="1032"/>
      <c r="BK281" s="1032"/>
      <c r="BL281" s="1032"/>
      <c r="BM281" s="1032"/>
      <c r="BN281" s="1032"/>
      <c r="BO281" s="1032"/>
    </row>
    <row r="282" ht="15.75" customHeight="1">
      <c r="A282" s="1283" t="s">
        <v>7515</v>
      </c>
      <c r="B282" s="1284" t="s">
        <v>8079</v>
      </c>
      <c r="C282" s="1131" t="s">
        <v>8080</v>
      </c>
      <c r="D282" s="1281" t="s">
        <v>1616</v>
      </c>
      <c r="E282" s="1281" t="s">
        <v>412</v>
      </c>
      <c r="F282" s="1035" t="s">
        <v>1578</v>
      </c>
      <c r="G282" s="1040"/>
      <c r="H282" s="1281" t="s">
        <v>8080</v>
      </c>
      <c r="I282" s="1281"/>
      <c r="J282" s="1281"/>
      <c r="K282" s="1281"/>
      <c r="L282" s="1281" t="s">
        <v>957</v>
      </c>
      <c r="M282" s="1281" t="s">
        <v>191</v>
      </c>
      <c r="N282" s="1281"/>
      <c r="O282" s="1281" t="s">
        <v>1043</v>
      </c>
      <c r="P282" s="1282"/>
      <c r="Q282" s="1281"/>
      <c r="R282" s="1281"/>
      <c r="S282" s="1281"/>
      <c r="T282" s="1281" t="s">
        <v>3094</v>
      </c>
      <c r="U282" s="1281"/>
      <c r="V282" s="1269"/>
      <c r="W282" s="1281"/>
      <c r="X282" s="1281"/>
      <c r="Y282" s="1281"/>
      <c r="Z282" s="1281"/>
      <c r="AA282" s="1281"/>
      <c r="AB282" s="1281"/>
      <c r="AC282" s="1281"/>
      <c r="AD282" s="1281"/>
      <c r="AE282" s="1281"/>
      <c r="AF282" s="1281"/>
      <c r="AG282" s="1281"/>
      <c r="AH282" s="1281"/>
      <c r="AI282" s="1281"/>
      <c r="AJ282" s="1281"/>
      <c r="AK282" s="1135"/>
      <c r="AL282" s="1281"/>
      <c r="AM282" s="1281"/>
      <c r="AN282" s="1281"/>
      <c r="AO282" s="1281"/>
      <c r="AP282" s="1281"/>
      <c r="AQ282" s="1135"/>
      <c r="AR282" s="1135"/>
      <c r="AS282" s="1281"/>
      <c r="AT282" s="1281"/>
      <c r="AU282" s="1269"/>
      <c r="AV282" s="1281"/>
      <c r="AW282" s="1281"/>
      <c r="AX282" s="1281"/>
      <c r="AY282" s="1281"/>
      <c r="AZ282" s="1281"/>
      <c r="BA282" s="1269"/>
      <c r="BB282" s="1281"/>
      <c r="BC282" s="1281"/>
      <c r="BD282" s="1281"/>
      <c r="BE282" s="1281"/>
      <c r="BF282" s="1281"/>
      <c r="BG282" s="1281"/>
      <c r="BH282" s="1281"/>
      <c r="BI282" s="1269"/>
      <c r="BJ282" s="1269"/>
      <c r="BK282" s="1269"/>
      <c r="BL282" s="1269"/>
      <c r="BM282" s="1269"/>
      <c r="BN282" s="1269"/>
      <c r="BO282" s="1269"/>
    </row>
    <row r="283" ht="15.75" customHeight="1">
      <c r="A283" s="1285" t="s">
        <v>7522</v>
      </c>
      <c r="B283" s="1286" t="s">
        <v>7501</v>
      </c>
      <c r="C283" s="1131" t="s">
        <v>5856</v>
      </c>
      <c r="D283" s="1132" t="s">
        <v>5790</v>
      </c>
      <c r="E283" s="1132" t="s">
        <v>2952</v>
      </c>
      <c r="F283" s="1049" t="s">
        <v>432</v>
      </c>
      <c r="G283" s="1022" t="s">
        <v>5763</v>
      </c>
      <c r="H283" s="1132" t="s">
        <v>5856</v>
      </c>
      <c r="I283" s="1132"/>
      <c r="J283" s="1132" t="s">
        <v>5270</v>
      </c>
      <c r="K283" s="1132"/>
      <c r="L283" s="1132" t="s">
        <v>8081</v>
      </c>
      <c r="M283" s="1132"/>
      <c r="N283" s="1132"/>
      <c r="O283" s="1132" t="s">
        <v>5856</v>
      </c>
      <c r="P283" s="1133"/>
      <c r="Q283" s="1132"/>
      <c r="R283" s="1022" t="s">
        <v>8082</v>
      </c>
      <c r="S283" s="1132"/>
      <c r="T283" s="1132" t="s">
        <v>5856</v>
      </c>
      <c r="U283" s="1132"/>
      <c r="V283" s="1032"/>
      <c r="W283" s="1132"/>
      <c r="X283" s="1132" t="s">
        <v>3608</v>
      </c>
      <c r="Y283" s="1132" t="s">
        <v>3595</v>
      </c>
      <c r="Z283" s="1132" t="s">
        <v>8083</v>
      </c>
      <c r="AA283" s="1132" t="s">
        <v>6247</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6" t="s">
        <v>7693</v>
      </c>
      <c r="B284" s="1287" t="s">
        <v>8084</v>
      </c>
      <c r="C284" s="1131" t="s">
        <v>8085</v>
      </c>
      <c r="D284" s="1029" t="s">
        <v>1478</v>
      </c>
      <c r="E284" s="1132" t="s">
        <v>4419</v>
      </c>
      <c r="F284" s="1035" t="s">
        <v>3844</v>
      </c>
      <c r="G284" s="1022" t="s">
        <v>1326</v>
      </c>
      <c r="H284" s="1132" t="s">
        <v>8085</v>
      </c>
      <c r="I284" s="1132" t="s">
        <v>1478</v>
      </c>
      <c r="J284" s="1132" t="s">
        <v>3836</v>
      </c>
      <c r="K284" s="1132"/>
      <c r="L284" s="1132" t="s">
        <v>958</v>
      </c>
      <c r="M284" s="1132"/>
      <c r="N284" s="1132"/>
      <c r="O284" s="1132" t="s">
        <v>8086</v>
      </c>
      <c r="P284" s="1133"/>
      <c r="Q284" s="1132" t="s">
        <v>192</v>
      </c>
      <c r="R284" s="1132"/>
      <c r="S284" s="1132"/>
      <c r="T284" s="1132" t="s">
        <v>521</v>
      </c>
      <c r="U284" s="1132"/>
      <c r="V284" s="1269"/>
      <c r="W284" s="1132"/>
      <c r="X284" s="1132" t="s">
        <v>8087</v>
      </c>
      <c r="Y284" s="1132"/>
      <c r="Z284" s="1132"/>
      <c r="AA284" s="1132"/>
      <c r="AB284" s="1132"/>
      <c r="AC284" s="1132"/>
      <c r="AD284" s="1132"/>
      <c r="AE284" s="1132"/>
      <c r="AF284" s="1132"/>
      <c r="AG284" s="1132" t="s">
        <v>8088</v>
      </c>
      <c r="AH284" s="1132"/>
      <c r="AI284" s="1132"/>
      <c r="AJ284" s="1132"/>
      <c r="AK284" s="1135"/>
      <c r="AL284" s="1132"/>
      <c r="AM284" s="1132"/>
      <c r="AN284" s="1132"/>
      <c r="AO284" s="1132"/>
      <c r="AP284" s="1132"/>
      <c r="AQ284" s="1135"/>
      <c r="AR284" s="1135"/>
      <c r="AS284" s="1132"/>
      <c r="AT284" s="1132"/>
      <c r="AU284" s="1269"/>
      <c r="AV284" s="1132"/>
      <c r="AW284" s="1132"/>
      <c r="AX284" s="1132"/>
      <c r="AY284" s="1132"/>
      <c r="AZ284" s="1132"/>
      <c r="BA284" s="1269"/>
      <c r="BB284" s="1132"/>
      <c r="BC284" s="1132"/>
      <c r="BD284" s="1132"/>
      <c r="BE284" s="1132"/>
      <c r="BF284" s="1132"/>
      <c r="BG284" s="1132"/>
      <c r="BH284" s="1132"/>
      <c r="BI284" s="1269"/>
      <c r="BJ284" s="1269"/>
      <c r="BK284" s="1269"/>
      <c r="BL284" s="1269"/>
      <c r="BM284" s="1269"/>
      <c r="BN284" s="1269"/>
      <c r="BO284" s="1269"/>
    </row>
    <row r="285" ht="15.75" customHeight="1">
      <c r="A285" s="1288" t="s">
        <v>7703</v>
      </c>
      <c r="B285" s="1286" t="s">
        <v>8084</v>
      </c>
      <c r="C285" s="1018" t="s">
        <v>8089</v>
      </c>
      <c r="D285" s="1132" t="s">
        <v>8090</v>
      </c>
      <c r="E285" s="1132"/>
      <c r="F285" s="1035" t="s">
        <v>7735</v>
      </c>
      <c r="G285" s="1040"/>
      <c r="H285" s="1022" t="s">
        <v>7406</v>
      </c>
      <c r="I285" s="1132"/>
      <c r="J285" s="1132"/>
      <c r="K285" s="1132"/>
      <c r="L285" s="1132"/>
      <c r="M285" s="1132"/>
      <c r="N285" s="1132"/>
      <c r="O285" s="1132"/>
      <c r="P285" s="1133"/>
      <c r="Q285" s="1132"/>
      <c r="R285" s="1132"/>
      <c r="S285" s="1132"/>
      <c r="T285" s="1132"/>
      <c r="U285" s="1132"/>
      <c r="V285" s="1269"/>
      <c r="W285" s="1132"/>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9" t="s">
        <v>8091</v>
      </c>
      <c r="AV285" s="1132"/>
      <c r="AW285" s="1132"/>
      <c r="AX285" s="1132"/>
      <c r="AY285" s="1132"/>
      <c r="AZ285" s="1132"/>
      <c r="BA285" s="1269"/>
      <c r="BB285" s="1132"/>
      <c r="BC285" s="1132"/>
      <c r="BD285" s="1132"/>
      <c r="BE285" s="1132"/>
      <c r="BF285" s="1132"/>
      <c r="BG285" s="1132"/>
      <c r="BH285" s="1132"/>
      <c r="BI285" s="1269"/>
      <c r="BJ285" s="1269"/>
      <c r="BK285" s="1269"/>
      <c r="BL285" s="1269"/>
      <c r="BM285" s="1269"/>
      <c r="BN285" s="1269"/>
      <c r="BO285" s="1269"/>
    </row>
    <row r="286" ht="15.75" customHeight="1">
      <c r="A286" s="1266" t="s">
        <v>7608</v>
      </c>
      <c r="B286" s="1267" t="s">
        <v>8092</v>
      </c>
      <c r="C286" s="1131" t="s">
        <v>4214</v>
      </c>
      <c r="D286" s="1040"/>
      <c r="E286" s="1022" t="s">
        <v>4352</v>
      </c>
      <c r="F286" s="1275"/>
      <c r="G286" s="1022" t="s">
        <v>3248</v>
      </c>
      <c r="H286" s="1022" t="s">
        <v>4214</v>
      </c>
      <c r="I286" s="1040"/>
      <c r="J286" s="1040"/>
      <c r="K286" s="1040"/>
      <c r="L286" s="1040"/>
      <c r="M286" s="1040"/>
      <c r="N286" s="1040" t="s">
        <v>4332</v>
      </c>
      <c r="O286" s="1040"/>
      <c r="P286" s="1133" t="s">
        <v>8093</v>
      </c>
      <c r="Q286" s="1040"/>
      <c r="R286" s="1040"/>
      <c r="S286" s="1040"/>
      <c r="T286" s="1040"/>
      <c r="U286" s="1022" t="s">
        <v>8022</v>
      </c>
      <c r="V286" s="1032"/>
      <c r="W286" s="1040"/>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70"/>
      <c r="B287" s="1271" t="s">
        <v>8094</v>
      </c>
      <c r="C287" s="1131" t="s">
        <v>4502</v>
      </c>
      <c r="D287" s="1132" t="s">
        <v>1617</v>
      </c>
      <c r="E287" s="1132" t="s">
        <v>2734</v>
      </c>
      <c r="F287" s="1049" t="s">
        <v>4099</v>
      </c>
      <c r="G287" s="1040"/>
      <c r="H287" s="1133" t="s">
        <v>1365</v>
      </c>
      <c r="I287" s="1132"/>
      <c r="J287" s="1132"/>
      <c r="K287" s="1132"/>
      <c r="L287" s="1132"/>
      <c r="M287" s="1132"/>
      <c r="N287" s="1132"/>
      <c r="O287" s="1132"/>
      <c r="P287" s="1133" t="s">
        <v>5273</v>
      </c>
      <c r="Q287" s="1132" t="s">
        <v>2633</v>
      </c>
      <c r="R287" s="1132" t="s">
        <v>1617</v>
      </c>
      <c r="S287" s="1132"/>
      <c r="T287" s="1132" t="s">
        <v>4502</v>
      </c>
      <c r="U287" s="1132"/>
      <c r="V287" s="1268" t="s">
        <v>6237</v>
      </c>
      <c r="W287" s="1132"/>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9"/>
      <c r="AV287" s="1132"/>
      <c r="AW287" s="1132"/>
      <c r="AX287" s="1132"/>
      <c r="AY287" s="1132"/>
      <c r="AZ287" s="1132"/>
      <c r="BA287" s="1269"/>
      <c r="BB287" s="1132"/>
      <c r="BC287" s="1132"/>
      <c r="BD287" s="1132"/>
      <c r="BE287" s="1132"/>
      <c r="BF287" s="1132"/>
      <c r="BG287" s="1132"/>
      <c r="BH287" s="1132"/>
      <c r="BI287" s="1269"/>
      <c r="BJ287" s="1269"/>
      <c r="BK287" s="1269"/>
      <c r="BL287" s="1269"/>
      <c r="BM287" s="1269"/>
      <c r="BN287" s="1269"/>
      <c r="BO287" s="1269"/>
    </row>
    <row r="288" ht="15.75" customHeight="1">
      <c r="A288" s="1273"/>
      <c r="B288" s="1274" t="s">
        <v>8095</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032"/>
      <c r="W288" s="11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6" t="s">
        <v>7612</v>
      </c>
      <c r="B289" s="1267" t="s">
        <v>7501</v>
      </c>
      <c r="C289" s="1131" t="s">
        <v>8096</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269"/>
      <c r="W289" s="1138"/>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9"/>
      <c r="AV289" s="1138"/>
      <c r="AW289" s="1138"/>
      <c r="AX289" s="1138"/>
      <c r="AY289" s="1138"/>
      <c r="AZ289" s="1138"/>
      <c r="BA289" s="1269"/>
      <c r="BB289" s="1138"/>
      <c r="BC289" s="1138"/>
      <c r="BD289" s="1138"/>
      <c r="BE289" s="1138"/>
      <c r="BF289" s="1138"/>
      <c r="BG289" s="1138"/>
      <c r="BH289" s="1138"/>
      <c r="BI289" s="1269"/>
      <c r="BJ289" s="1269"/>
      <c r="BK289" s="1269"/>
      <c r="BL289" s="1269"/>
      <c r="BM289" s="1269"/>
      <c r="BN289" s="1269"/>
      <c r="BO289" s="1269"/>
    </row>
    <row r="290" ht="15.75" customHeight="1">
      <c r="A290" s="1266" t="s">
        <v>8097</v>
      </c>
      <c r="B290" s="1267" t="s">
        <v>7501</v>
      </c>
      <c r="C290" s="1131"/>
      <c r="E290" s="1132"/>
      <c r="F290" s="1102"/>
      <c r="G290" s="1040"/>
      <c r="H290" s="1132"/>
      <c r="I290" s="1132"/>
      <c r="J290" s="1132"/>
      <c r="K290" s="1132"/>
      <c r="L290" s="1132"/>
      <c r="M290" s="1132"/>
      <c r="N290" s="1132"/>
      <c r="O290" s="1132"/>
      <c r="P290" s="1133"/>
      <c r="Q290" s="1132"/>
      <c r="R290" s="1040"/>
      <c r="S290" s="1132"/>
      <c r="T290" s="1132"/>
      <c r="U290" s="1132"/>
      <c r="V290" s="1032"/>
      <c r="W290" s="11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5" t="s">
        <v>7617</v>
      </c>
      <c r="B291" s="1286" t="s">
        <v>7501</v>
      </c>
      <c r="C291" s="1018" t="s">
        <v>8098</v>
      </c>
      <c r="D291" s="1022" t="s">
        <v>8098</v>
      </c>
      <c r="E291" s="1132"/>
      <c r="F291" s="1102"/>
      <c r="G291" s="1040"/>
      <c r="H291" s="1132"/>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6" t="s">
        <v>6657</v>
      </c>
      <c r="B292" s="1267" t="s">
        <v>7725</v>
      </c>
      <c r="C292" s="1131" t="s">
        <v>4171</v>
      </c>
      <c r="D292" s="980" t="s">
        <v>1618</v>
      </c>
      <c r="E292" s="1138"/>
      <c r="F292" s="1275"/>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032"/>
      <c r="W292" s="1138"/>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70"/>
      <c r="B293" s="1271" t="s">
        <v>7728</v>
      </c>
      <c r="C293" s="1131" t="s">
        <v>4831</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269"/>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9"/>
      <c r="AV293" s="1138"/>
      <c r="AW293" s="1138"/>
      <c r="AX293" s="1138"/>
      <c r="AY293" s="1138"/>
      <c r="AZ293" s="1138"/>
      <c r="BA293" s="1269"/>
      <c r="BB293" s="1138"/>
      <c r="BC293" s="1138"/>
      <c r="BD293" s="1138"/>
      <c r="BE293" s="1138"/>
      <c r="BF293" s="1138"/>
      <c r="BG293" s="1138"/>
      <c r="BH293" s="1138"/>
      <c r="BI293" s="1269"/>
      <c r="BJ293" s="1269"/>
      <c r="BK293" s="1269"/>
      <c r="BL293" s="1269"/>
      <c r="BM293" s="1269"/>
      <c r="BN293" s="1269"/>
      <c r="BO293" s="1269"/>
    </row>
    <row r="294" ht="15.75" customHeight="1">
      <c r="A294" s="1266" t="s">
        <v>57</v>
      </c>
      <c r="B294" s="1290" t="s">
        <v>7501</v>
      </c>
      <c r="C294" s="1131" t="s">
        <v>6835</v>
      </c>
      <c r="D294" s="1138" t="s">
        <v>8099</v>
      </c>
      <c r="E294" s="1138"/>
      <c r="F294" s="1275"/>
      <c r="G294" s="1022" t="s">
        <v>1330</v>
      </c>
      <c r="H294" s="1138"/>
      <c r="I294" s="1138"/>
      <c r="J294" s="1138"/>
      <c r="K294" s="1138"/>
      <c r="L294" s="1138" t="s">
        <v>962</v>
      </c>
      <c r="M294" s="1138"/>
      <c r="N294" s="1138"/>
      <c r="O294" s="1138"/>
      <c r="P294" s="1140"/>
      <c r="Q294" s="1138"/>
      <c r="R294" s="1138"/>
      <c r="S294" s="1138"/>
      <c r="T294" s="1138"/>
      <c r="U294" s="1138"/>
      <c r="V294" s="103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91" t="s">
        <v>8100</v>
      </c>
      <c r="D295" s="1292"/>
      <c r="E295" s="1292"/>
      <c r="F295" s="1293"/>
      <c r="G295" s="1294"/>
      <c r="H295" s="1292"/>
      <c r="I295" s="1292"/>
      <c r="J295" s="1292"/>
      <c r="K295" s="1292"/>
      <c r="L295" s="1292"/>
      <c r="M295" s="1292"/>
      <c r="N295" s="1292"/>
      <c r="O295" s="1292"/>
      <c r="P295" s="1295"/>
      <c r="Q295" s="1292"/>
      <c r="R295" s="1292"/>
      <c r="S295" s="1292"/>
      <c r="T295" s="1292"/>
      <c r="U295" s="1292"/>
      <c r="V295" s="1296"/>
      <c r="W295" s="1292"/>
      <c r="X295" s="1292"/>
      <c r="Y295" s="1292"/>
      <c r="Z295" s="1292"/>
      <c r="AA295" s="1292"/>
      <c r="AB295" s="1292"/>
      <c r="AC295" s="1292"/>
      <c r="AD295" s="1292"/>
      <c r="AE295" s="1292"/>
      <c r="AF295" s="1292"/>
      <c r="AG295" s="1292"/>
      <c r="AH295" s="1292"/>
      <c r="AI295" s="1292"/>
      <c r="AJ295" s="1292"/>
      <c r="AK295" s="1292"/>
      <c r="AL295" s="1292"/>
      <c r="AM295" s="1292"/>
      <c r="AN295" s="1292"/>
      <c r="AO295" s="1292"/>
      <c r="AP295" s="1292"/>
      <c r="AQ295" s="1292"/>
      <c r="AR295" s="1292"/>
      <c r="AS295" s="1292"/>
      <c r="AT295" s="1292"/>
      <c r="AU295" s="1296"/>
      <c r="AV295" s="1292"/>
      <c r="AW295" s="1292"/>
      <c r="AX295" s="1292"/>
      <c r="AY295" s="1292"/>
      <c r="AZ295" s="1292"/>
      <c r="BA295" s="1296"/>
      <c r="BB295" s="1292"/>
      <c r="BC295" s="1292"/>
      <c r="BD295" s="1292"/>
      <c r="BE295" s="1292"/>
      <c r="BF295" s="1292"/>
      <c r="BG295" s="1292"/>
      <c r="BH295" s="1292"/>
      <c r="BI295" s="1296"/>
      <c r="BJ295" s="1296"/>
      <c r="BK295" s="1296"/>
      <c r="BL295" s="1296"/>
      <c r="BM295" s="1296"/>
      <c r="BN295" s="1296"/>
      <c r="BO295" s="1296"/>
    </row>
    <row r="296" ht="15.75" customHeight="1">
      <c r="A296" s="1297" t="s">
        <v>8101</v>
      </c>
      <c r="B296" s="1298" t="s">
        <v>8102</v>
      </c>
      <c r="C296" s="1018" t="s">
        <v>8103</v>
      </c>
      <c r="D296" s="1255"/>
      <c r="E296" s="1040"/>
      <c r="F296" s="1299"/>
      <c r="G296" s="1022" t="s">
        <v>4848</v>
      </c>
      <c r="H296" s="1040"/>
      <c r="I296" s="1040"/>
      <c r="J296" s="1040"/>
      <c r="K296" s="1040"/>
      <c r="L296" s="1040"/>
      <c r="M296" s="1040"/>
      <c r="N296" s="1040"/>
      <c r="O296" s="1040"/>
      <c r="P296" s="1133"/>
      <c r="Q296" s="1040"/>
      <c r="R296" s="1040"/>
      <c r="S296" s="1040"/>
      <c r="T296" s="1040"/>
      <c r="U296" s="1022" t="s">
        <v>8103</v>
      </c>
      <c r="V296" s="1032"/>
      <c r="W296" s="1040"/>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8104</v>
      </c>
      <c r="C297" s="1131" t="s">
        <v>7164</v>
      </c>
      <c r="D297" s="1132" t="s">
        <v>8105</v>
      </c>
      <c r="E297" s="1132" t="s">
        <v>7164</v>
      </c>
      <c r="F297" s="1021"/>
      <c r="H297" s="1132"/>
      <c r="I297" s="1132"/>
      <c r="J297" s="1132"/>
      <c r="K297" s="1133" t="s">
        <v>8106</v>
      </c>
      <c r="L297" s="1132"/>
      <c r="M297" s="1132"/>
      <c r="N297" s="1132"/>
      <c r="O297" s="1132"/>
      <c r="P297" s="1133" t="s">
        <v>8107</v>
      </c>
      <c r="Q297" s="1132"/>
      <c r="R297" s="1132"/>
      <c r="S297" s="1132"/>
      <c r="T297" s="1132"/>
      <c r="U297" s="1040"/>
      <c r="V297" s="1300"/>
      <c r="W297" s="1132"/>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300"/>
      <c r="AV297" s="1132"/>
      <c r="AW297" s="1132"/>
      <c r="AX297" s="1132"/>
      <c r="AY297" s="1132"/>
      <c r="AZ297" s="1132"/>
      <c r="BA297" s="1300"/>
      <c r="BB297" s="1132"/>
      <c r="BC297" s="1132"/>
      <c r="BD297" s="1132"/>
      <c r="BE297" s="1132"/>
      <c r="BF297" s="1132"/>
      <c r="BG297" s="1132"/>
      <c r="BH297" s="1132"/>
      <c r="BI297" s="1300"/>
      <c r="BJ297" s="1300"/>
      <c r="BK297" s="1300"/>
      <c r="BL297" s="1300"/>
      <c r="BM297" s="1300"/>
      <c r="BN297" s="1300"/>
      <c r="BO297" s="1300"/>
    </row>
    <row r="298" ht="15.75" customHeight="1">
      <c r="A298" s="1095"/>
      <c r="B298" s="1096" t="s">
        <v>8108</v>
      </c>
      <c r="C298" s="1131" t="s">
        <v>424</v>
      </c>
      <c r="D298" s="1029" t="s">
        <v>1623</v>
      </c>
      <c r="E298" s="1022" t="s">
        <v>424</v>
      </c>
      <c r="F298" s="1055" t="s">
        <v>270</v>
      </c>
      <c r="G298" s="1022" t="s">
        <v>1337</v>
      </c>
      <c r="H298" s="1022" t="s">
        <v>8109</v>
      </c>
      <c r="I298" s="1022" t="str">
        <f>HYPERLINK("https://youtu.be/ZpzmhXUsVhA","1:19.38")</f>
        <v>1:19.38</v>
      </c>
      <c r="J298" s="1040"/>
      <c r="K298" s="1022" t="s">
        <v>3675</v>
      </c>
      <c r="L298" s="1040" t="s">
        <v>967</v>
      </c>
      <c r="M298" s="1040" t="s">
        <v>6113</v>
      </c>
      <c r="N298" s="1040" t="s">
        <v>8110</v>
      </c>
      <c r="O298" s="1022" t="s">
        <v>8111</v>
      </c>
      <c r="P298" s="1133" t="s">
        <v>8112</v>
      </c>
      <c r="Q298" s="1040"/>
      <c r="R298" s="1040"/>
      <c r="S298" s="1040"/>
      <c r="T298" s="1040"/>
      <c r="U298" s="1278" t="s">
        <v>8113</v>
      </c>
      <c r="V298" s="1032"/>
      <c r="W298" s="1040"/>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301" t="s">
        <v>8114</v>
      </c>
      <c r="B299" s="1302" t="s">
        <v>8102</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3" t="s">
        <v>2603</v>
      </c>
      <c r="V299" s="1300"/>
      <c r="W299" s="1132"/>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300"/>
      <c r="AV299" s="1132"/>
      <c r="AW299" s="1132"/>
      <c r="AX299" s="1132"/>
      <c r="AY299" s="1132"/>
      <c r="AZ299" s="1132"/>
      <c r="BA299" s="1300"/>
      <c r="BB299" s="1132"/>
      <c r="BC299" s="1132"/>
      <c r="BD299" s="1132"/>
      <c r="BE299" s="1132"/>
      <c r="BF299" s="1132"/>
      <c r="BG299" s="1132"/>
      <c r="BH299" s="1132"/>
      <c r="BI299" s="1300"/>
      <c r="BJ299" s="1300"/>
      <c r="BK299" s="1300"/>
      <c r="BL299" s="1300"/>
      <c r="BM299" s="1300"/>
      <c r="BN299" s="1300"/>
      <c r="BO299" s="1300"/>
    </row>
    <row r="300" ht="15.75" customHeight="1">
      <c r="A300" s="1092"/>
      <c r="B300" s="1303" t="s">
        <v>8104</v>
      </c>
      <c r="C300" s="1131" t="s">
        <v>5511</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300"/>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0"/>
      <c r="AV300" s="1132"/>
      <c r="AW300" s="1132"/>
      <c r="AX300" s="1132"/>
      <c r="AY300" s="1132"/>
      <c r="AZ300" s="1132"/>
      <c r="BA300" s="1300"/>
      <c r="BB300" s="1132"/>
      <c r="BC300" s="1132"/>
      <c r="BD300" s="1132"/>
      <c r="BE300" s="1132"/>
      <c r="BF300" s="1132"/>
      <c r="BG300" s="1132"/>
      <c r="BH300" s="1132"/>
      <c r="BI300" s="1300"/>
      <c r="BJ300" s="1300"/>
      <c r="BK300" s="1300"/>
      <c r="BL300" s="1300"/>
      <c r="BM300" s="1300"/>
      <c r="BN300" s="1300"/>
      <c r="BO300" s="1300"/>
    </row>
    <row r="301" ht="15.75" customHeight="1">
      <c r="A301" s="1095"/>
      <c r="B301" s="1096" t="s">
        <v>8108</v>
      </c>
      <c r="C301" s="1131" t="s">
        <v>2221</v>
      </c>
      <c r="D301" s="1304" t="s">
        <v>8115</v>
      </c>
      <c r="E301" s="1132" t="s">
        <v>3586</v>
      </c>
      <c r="F301" s="1103" t="s">
        <v>683</v>
      </c>
      <c r="G301" s="1022" t="s">
        <v>2837</v>
      </c>
      <c r="H301" s="1177" t="s">
        <v>4682</v>
      </c>
      <c r="I301" s="1132"/>
      <c r="J301" s="1132"/>
      <c r="K301" s="1132"/>
      <c r="L301" s="1132"/>
      <c r="M301" s="1132"/>
      <c r="N301" s="1132"/>
      <c r="O301" s="1132" t="s">
        <v>2221</v>
      </c>
      <c r="P301" s="1133"/>
      <c r="Q301" s="1132"/>
      <c r="R301" s="1132"/>
      <c r="S301" s="1132"/>
      <c r="T301" s="1132"/>
      <c r="U301" s="1022" t="s">
        <v>1649</v>
      </c>
      <c r="V301" s="1032"/>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301" t="s">
        <v>8116</v>
      </c>
      <c r="B302" s="1305" t="s">
        <v>8117</v>
      </c>
      <c r="C302" s="1131" t="s">
        <v>2578</v>
      </c>
      <c r="D302" s="1257" t="s">
        <v>1711</v>
      </c>
      <c r="E302" s="1132" t="s">
        <v>2578</v>
      </c>
      <c r="F302" s="1021"/>
      <c r="G302" s="1040"/>
      <c r="H302" s="1132"/>
      <c r="I302" s="1132"/>
      <c r="J302" s="1132"/>
      <c r="K302" s="1132" t="s">
        <v>2338</v>
      </c>
      <c r="L302" s="1132"/>
      <c r="M302" s="1132"/>
      <c r="N302" s="1132"/>
      <c r="O302" s="1132"/>
      <c r="P302" s="1133" t="s">
        <v>8118</v>
      </c>
      <c r="Q302" s="1132"/>
      <c r="R302" s="1132"/>
      <c r="S302" s="1132" t="s">
        <v>2635</v>
      </c>
      <c r="T302" s="1132"/>
      <c r="U302" s="1132"/>
      <c r="V302" s="1300"/>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300"/>
      <c r="AV302" s="1132"/>
      <c r="AW302" s="1132"/>
      <c r="AX302" s="1132"/>
      <c r="AY302" s="1132"/>
      <c r="AZ302" s="1132"/>
      <c r="BA302" s="1300"/>
      <c r="BB302" s="1132"/>
      <c r="BC302" s="1132"/>
      <c r="BD302" s="1132"/>
      <c r="BE302" s="1132"/>
      <c r="BF302" s="1132"/>
      <c r="BG302" s="1132"/>
      <c r="BH302" s="1132"/>
      <c r="BI302" s="1300"/>
      <c r="BJ302" s="1300"/>
      <c r="BK302" s="1300"/>
      <c r="BL302" s="1300"/>
      <c r="BM302" s="1300"/>
      <c r="BN302" s="1300"/>
      <c r="BO302" s="1300"/>
    </row>
    <row r="303" ht="15.75" customHeight="1">
      <c r="A303" s="1092"/>
      <c r="B303" s="1093" t="s">
        <v>8119</v>
      </c>
      <c r="C303" s="1131" t="s">
        <v>8060</v>
      </c>
      <c r="D303" s="1029" t="s">
        <v>1624</v>
      </c>
      <c r="E303" s="1022" t="s">
        <v>425</v>
      </c>
      <c r="F303" s="1055" t="s">
        <v>2578</v>
      </c>
      <c r="G303" s="1022" t="s">
        <v>1338</v>
      </c>
      <c r="H303" s="1022" t="s">
        <v>1939</v>
      </c>
      <c r="I303" s="1040"/>
      <c r="J303" s="1040"/>
      <c r="K303" s="1040"/>
      <c r="L303" s="1022" t="s">
        <v>968</v>
      </c>
      <c r="M303" s="1040" t="s">
        <v>815</v>
      </c>
      <c r="N303" s="1040"/>
      <c r="O303" s="1022" t="s">
        <v>8060</v>
      </c>
      <c r="P303" s="1133" t="s">
        <v>1443</v>
      </c>
      <c r="Q303" s="1040"/>
      <c r="R303" s="1040"/>
      <c r="S303" s="1040"/>
      <c r="T303" s="1040" t="s">
        <v>1607</v>
      </c>
      <c r="U303" s="1040"/>
      <c r="V303" s="1032"/>
      <c r="W303" s="1040"/>
      <c r="X303" s="1040"/>
      <c r="Y303" s="1040"/>
      <c r="Z303" s="1040"/>
      <c r="AA303" s="1022" t="s">
        <v>5362</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7" t="s">
        <v>8120</v>
      </c>
      <c r="B304" s="1298" t="s">
        <v>8121</v>
      </c>
      <c r="C304" s="1131" t="s">
        <v>6319</v>
      </c>
      <c r="D304" s="1132"/>
      <c r="E304" s="1132" t="s">
        <v>6319</v>
      </c>
      <c r="F304" s="1021"/>
      <c r="G304" s="1040"/>
      <c r="H304" s="1132"/>
      <c r="I304" s="1132" t="s">
        <v>7992</v>
      </c>
      <c r="J304" s="1132"/>
      <c r="K304" s="1132"/>
      <c r="L304" s="1132"/>
      <c r="M304" s="1132"/>
      <c r="N304" s="1132"/>
      <c r="O304" s="1132"/>
      <c r="P304" s="1133"/>
      <c r="Q304" s="1132"/>
      <c r="R304" s="1132"/>
      <c r="S304" s="1132"/>
      <c r="T304" s="1132"/>
      <c r="U304" s="1132"/>
      <c r="V304" s="1300"/>
      <c r="W304" s="1132"/>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300"/>
      <c r="AV304" s="1132"/>
      <c r="AW304" s="1132"/>
      <c r="AX304" s="1132"/>
      <c r="AY304" s="1132"/>
      <c r="AZ304" s="1132"/>
      <c r="BA304" s="1300"/>
      <c r="BB304" s="1132"/>
      <c r="BC304" s="1132"/>
      <c r="BD304" s="1132"/>
      <c r="BE304" s="1132"/>
      <c r="BF304" s="1132"/>
      <c r="BG304" s="1132"/>
      <c r="BH304" s="1132"/>
      <c r="BI304" s="1300"/>
      <c r="BJ304" s="1300"/>
      <c r="BK304" s="1300"/>
      <c r="BL304" s="1300"/>
      <c r="BM304" s="1300"/>
      <c r="BN304" s="1300"/>
      <c r="BO304" s="1300"/>
    </row>
    <row r="305" ht="15.75" customHeight="1">
      <c r="A305" s="1108"/>
      <c r="B305" s="1303" t="s">
        <v>8122</v>
      </c>
      <c r="C305" s="1131" t="s">
        <v>7911</v>
      </c>
      <c r="D305" s="1132"/>
      <c r="E305" s="1132" t="s">
        <v>1406</v>
      </c>
      <c r="F305" s="1094"/>
      <c r="G305" s="1040"/>
      <c r="H305" s="1132"/>
      <c r="I305" s="1132" t="s">
        <v>7911</v>
      </c>
      <c r="J305" s="1132"/>
      <c r="K305" s="1132"/>
      <c r="L305" s="1132"/>
      <c r="M305" s="1132"/>
      <c r="N305" s="1132"/>
      <c r="O305" s="1132"/>
      <c r="P305" s="1133"/>
      <c r="Q305" s="1132"/>
      <c r="R305" s="1132"/>
      <c r="S305" s="1132"/>
      <c r="T305" s="1132"/>
      <c r="U305" s="1132"/>
      <c r="V305" s="1032"/>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7" t="s">
        <v>74</v>
      </c>
      <c r="B306" s="1306" t="s">
        <v>8123</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300"/>
      <c r="W306" s="113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300"/>
      <c r="AV306" s="1138"/>
      <c r="AW306" s="1138"/>
      <c r="AX306" s="1138"/>
      <c r="AY306" s="1138"/>
      <c r="AZ306" s="1138"/>
      <c r="BA306" s="1300"/>
      <c r="BB306" s="1138"/>
      <c r="BC306" s="1138"/>
      <c r="BD306" s="1138"/>
      <c r="BE306" s="1138"/>
      <c r="BF306" s="1138"/>
      <c r="BG306" s="1138"/>
      <c r="BH306" s="1138"/>
      <c r="BI306" s="1300"/>
      <c r="BJ306" s="1300"/>
      <c r="BK306" s="1300"/>
      <c r="BL306" s="1300"/>
      <c r="BM306" s="1300"/>
      <c r="BN306" s="1300"/>
      <c r="BO306" s="1300"/>
    </row>
    <row r="307" ht="15.75" customHeight="1">
      <c r="A307" s="1092"/>
      <c r="B307" s="1093" t="s">
        <v>8124</v>
      </c>
      <c r="C307" s="1131" t="s">
        <v>2609</v>
      </c>
      <c r="D307" s="1182"/>
      <c r="E307" s="1182"/>
      <c r="F307" s="1094"/>
      <c r="G307" s="1040"/>
      <c r="H307" s="1182"/>
      <c r="I307" s="1182" t="s">
        <v>2609</v>
      </c>
      <c r="J307" s="1182"/>
      <c r="K307" s="1182"/>
      <c r="L307" s="1182"/>
      <c r="M307" s="1182"/>
      <c r="N307" s="1182"/>
      <c r="O307" s="1182"/>
      <c r="P307" s="1133"/>
      <c r="Q307" s="1182"/>
      <c r="R307" s="1182"/>
      <c r="S307" s="1182"/>
      <c r="T307" s="1182"/>
      <c r="U307" s="1182"/>
      <c r="V307" s="1032"/>
      <c r="W307" s="1182"/>
      <c r="X307" s="1182"/>
      <c r="Y307" s="1182"/>
      <c r="Z307" s="1182"/>
      <c r="AA307" s="1182"/>
      <c r="AB307" s="1182"/>
      <c r="AC307" s="1182"/>
      <c r="AD307" s="1182"/>
      <c r="AE307" s="1182"/>
      <c r="AF307" s="1182"/>
      <c r="AG307" s="1182"/>
      <c r="AH307" s="1182"/>
      <c r="AI307" s="1182"/>
      <c r="AJ307" s="1182"/>
      <c r="AK307" s="1135"/>
      <c r="AL307" s="1182"/>
      <c r="AM307" s="1182"/>
      <c r="AN307" s="1182"/>
      <c r="AO307" s="1182"/>
      <c r="AP307" s="1182"/>
      <c r="AQ307" s="1135"/>
      <c r="AR307" s="1135"/>
      <c r="AS307" s="1182"/>
      <c r="AT307" s="1182"/>
      <c r="AU307" s="1032"/>
      <c r="AV307" s="1182"/>
      <c r="AW307" s="1182"/>
      <c r="AX307" s="1182"/>
      <c r="AY307" s="1182"/>
      <c r="AZ307" s="1182"/>
      <c r="BA307" s="1032"/>
      <c r="BB307" s="1182"/>
      <c r="BC307" s="1182"/>
      <c r="BD307" s="1182"/>
      <c r="BE307" s="1182"/>
      <c r="BF307" s="1182"/>
      <c r="BG307" s="1182"/>
      <c r="BH307" s="1182"/>
      <c r="BI307" s="1032"/>
      <c r="BJ307" s="1032"/>
      <c r="BK307" s="1032"/>
      <c r="BL307" s="1032"/>
      <c r="BM307" s="1032"/>
      <c r="BN307" s="1032"/>
      <c r="BO307" s="1032"/>
    </row>
    <row r="308" ht="15.75" customHeight="1">
      <c r="A308" s="1095"/>
      <c r="B308" s="1096" t="s">
        <v>8125</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300"/>
      <c r="W308" s="113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300"/>
      <c r="AV308" s="1138"/>
      <c r="AW308" s="1138"/>
      <c r="AX308" s="1138"/>
      <c r="AY308" s="1138"/>
      <c r="AZ308" s="1138"/>
      <c r="BA308" s="1300"/>
      <c r="BB308" s="1138"/>
      <c r="BC308" s="1138"/>
      <c r="BD308" s="1138"/>
      <c r="BE308" s="1138"/>
      <c r="BF308" s="1138"/>
      <c r="BG308" s="1138"/>
      <c r="BH308" s="1138"/>
      <c r="BI308" s="1300"/>
      <c r="BJ308" s="1300"/>
      <c r="BK308" s="1300"/>
      <c r="BL308" s="1300"/>
      <c r="BM308" s="1300"/>
      <c r="BN308" s="1300"/>
      <c r="BO308" s="1300"/>
    </row>
    <row r="309" ht="15.75" customHeight="1">
      <c r="A309" s="1297" t="s">
        <v>8126</v>
      </c>
      <c r="B309" s="1306"/>
      <c r="C309" s="1131"/>
      <c r="D309" s="1138"/>
      <c r="E309" s="1138"/>
      <c r="F309" s="1094"/>
      <c r="G309" s="1040"/>
      <c r="H309" s="1138"/>
      <c r="I309" s="1138"/>
      <c r="J309" s="1138"/>
      <c r="K309" s="1138"/>
      <c r="L309" s="1138"/>
      <c r="M309" s="1138"/>
      <c r="N309" s="1138"/>
      <c r="O309" s="1138"/>
      <c r="P309" s="1140"/>
      <c r="Q309" s="1138"/>
      <c r="R309" s="1138"/>
      <c r="S309" s="1138"/>
      <c r="T309" s="1138"/>
      <c r="U309" s="1138"/>
      <c r="V309" s="1300"/>
      <c r="W309" s="113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300"/>
      <c r="AV309" s="1138"/>
      <c r="AW309" s="1138"/>
      <c r="AX309" s="1138"/>
      <c r="AY309" s="1138"/>
      <c r="AZ309" s="1138"/>
      <c r="BA309" s="1300"/>
      <c r="BB309" s="1138"/>
      <c r="BC309" s="1138"/>
      <c r="BD309" s="1138"/>
      <c r="BE309" s="1138"/>
      <c r="BF309" s="1138"/>
      <c r="BG309" s="1138"/>
      <c r="BH309" s="1138"/>
      <c r="BI309" s="1300"/>
      <c r="BJ309" s="1300"/>
      <c r="BK309" s="1300"/>
      <c r="BL309" s="1300"/>
      <c r="BM309" s="1300"/>
      <c r="BN309" s="1300"/>
      <c r="BO309" s="1300"/>
    </row>
    <row r="310" ht="15.75" customHeight="1">
      <c r="A310" s="1301" t="s">
        <v>7515</v>
      </c>
      <c r="B310" s="1305" t="s">
        <v>7615</v>
      </c>
      <c r="C310" s="1131" t="s">
        <v>3356</v>
      </c>
      <c r="D310" s="1132"/>
      <c r="E310" s="1132" t="s">
        <v>3766</v>
      </c>
      <c r="F310" s="1021"/>
      <c r="G310" s="1040"/>
      <c r="H310" s="1132" t="s">
        <v>3356</v>
      </c>
      <c r="I310" s="1132" t="s">
        <v>6856</v>
      </c>
      <c r="J310" s="1132"/>
      <c r="K310" s="1132"/>
      <c r="L310" s="1132"/>
      <c r="M310" s="1132"/>
      <c r="N310" s="1132"/>
      <c r="O310" s="1132"/>
      <c r="P310" s="1133"/>
      <c r="Q310" s="1132"/>
      <c r="R310" s="1132"/>
      <c r="S310" s="1132"/>
      <c r="T310" s="1132"/>
      <c r="U310" s="1132"/>
      <c r="V310" s="1300"/>
      <c r="W310" s="1132"/>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300"/>
      <c r="AV310" s="1132"/>
      <c r="AW310" s="1132"/>
      <c r="AX310" s="1132"/>
      <c r="AY310" s="1132"/>
      <c r="AZ310" s="1132"/>
      <c r="BA310" s="1300"/>
      <c r="BB310" s="1132"/>
      <c r="BC310" s="1132"/>
      <c r="BD310" s="1132"/>
      <c r="BE310" s="1132"/>
      <c r="BF310" s="1132"/>
      <c r="BG310" s="1132"/>
      <c r="BH310" s="1132"/>
      <c r="BI310" s="1300"/>
      <c r="BJ310" s="1300"/>
      <c r="BK310" s="1300"/>
      <c r="BL310" s="1300"/>
      <c r="BM310" s="1300"/>
      <c r="BN310" s="1300"/>
      <c r="BO310" s="1300"/>
    </row>
    <row r="311" ht="15.75" customHeight="1">
      <c r="A311" s="1297" t="s">
        <v>8127</v>
      </c>
      <c r="B311" s="1307"/>
      <c r="C311" s="1018" t="s">
        <v>8128</v>
      </c>
      <c r="D311" s="1138"/>
      <c r="E311" s="1138"/>
      <c r="F311" s="1094"/>
      <c r="G311" s="1040"/>
      <c r="H311" s="1022" t="s">
        <v>8128</v>
      </c>
      <c r="I311" s="1138"/>
      <c r="J311" s="1138"/>
      <c r="K311" s="1138"/>
      <c r="L311" s="1138"/>
      <c r="M311" s="1138"/>
      <c r="N311" s="1138"/>
      <c r="O311" s="1138"/>
      <c r="P311" s="1140"/>
      <c r="Q311" s="1138"/>
      <c r="R311" s="1138"/>
      <c r="S311" s="1138"/>
      <c r="T311" s="1138"/>
      <c r="U311" s="1138"/>
      <c r="V311" s="1032"/>
      <c r="W311" s="1138"/>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301" t="s">
        <v>8129</v>
      </c>
      <c r="B312" s="1305" t="s">
        <v>8130</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300"/>
      <c r="W312" s="113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300"/>
      <c r="AV312" s="1138"/>
      <c r="AW312" s="1138"/>
      <c r="AX312" s="1138"/>
      <c r="AY312" s="1138"/>
      <c r="AZ312" s="1138"/>
      <c r="BA312" s="1300"/>
      <c r="BB312" s="1138"/>
      <c r="BC312" s="1138"/>
      <c r="BD312" s="1138"/>
      <c r="BE312" s="1138"/>
      <c r="BF312" s="1138"/>
      <c r="BG312" s="1138"/>
      <c r="BH312" s="1138"/>
      <c r="BI312" s="1300"/>
      <c r="BJ312" s="1300"/>
      <c r="BK312" s="1300"/>
      <c r="BL312" s="1300"/>
      <c r="BM312" s="1300"/>
      <c r="BN312" s="1300"/>
      <c r="BO312" s="1300"/>
    </row>
    <row r="313" ht="15.75" customHeight="1">
      <c r="A313" s="1092"/>
      <c r="B313" s="1303" t="s">
        <v>8131</v>
      </c>
      <c r="C313" s="1131" t="s">
        <v>3942</v>
      </c>
      <c r="D313" s="1179"/>
      <c r="E313" s="1179" t="s">
        <v>4180</v>
      </c>
      <c r="F313" s="1094"/>
      <c r="G313" s="1040"/>
      <c r="H313" s="1179"/>
      <c r="I313" s="1022" t="s">
        <v>3942</v>
      </c>
      <c r="J313" s="1179"/>
      <c r="K313" s="1179"/>
      <c r="L313" s="1179"/>
      <c r="M313" s="1179" t="s">
        <v>7554</v>
      </c>
      <c r="N313" s="1179"/>
      <c r="O313" s="1179"/>
      <c r="P313" s="1177"/>
      <c r="Q313" s="1179"/>
      <c r="R313" s="1179"/>
      <c r="S313" s="1179"/>
      <c r="T313" s="1179"/>
      <c r="U313" s="1179"/>
      <c r="V313" s="1032"/>
      <c r="W313" s="1179"/>
      <c r="X313" s="1179"/>
      <c r="Y313" s="1179"/>
      <c r="Z313" s="1179"/>
      <c r="AA313" s="1179"/>
      <c r="AB313" s="1179"/>
      <c r="AC313" s="1179"/>
      <c r="AD313" s="1179"/>
      <c r="AE313" s="1179"/>
      <c r="AF313" s="1179"/>
      <c r="AG313" s="1179"/>
      <c r="AH313" s="1179"/>
      <c r="AI313" s="1179"/>
      <c r="AJ313" s="1179"/>
      <c r="AK313" s="1135"/>
      <c r="AL313" s="1179"/>
      <c r="AM313" s="1179"/>
      <c r="AN313" s="1179"/>
      <c r="AO313" s="1179"/>
      <c r="AP313" s="1179"/>
      <c r="AQ313" s="1135"/>
      <c r="AR313" s="1135"/>
      <c r="AS313" s="1179"/>
      <c r="AT313" s="1179"/>
      <c r="AU313" s="1032"/>
      <c r="AV313" s="1179"/>
      <c r="AW313" s="1179"/>
      <c r="AX313" s="1179"/>
      <c r="AY313" s="1179"/>
      <c r="AZ313" s="1179"/>
      <c r="BA313" s="1032"/>
      <c r="BB313" s="1179"/>
      <c r="BC313" s="1179"/>
      <c r="BD313" s="1179"/>
      <c r="BE313" s="1179"/>
      <c r="BF313" s="1179"/>
      <c r="BG313" s="1179"/>
      <c r="BH313" s="1179"/>
      <c r="BI313" s="1032"/>
      <c r="BJ313" s="1032"/>
      <c r="BK313" s="1032"/>
      <c r="BL313" s="1032"/>
      <c r="BM313" s="1032"/>
      <c r="BN313" s="1032"/>
      <c r="BO313" s="1032"/>
    </row>
    <row r="314" ht="15.75" customHeight="1">
      <c r="A314" s="1297" t="s">
        <v>8132</v>
      </c>
      <c r="B314" s="1306" t="s">
        <v>8133</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300"/>
      <c r="W314" s="113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300"/>
      <c r="AV314" s="1138"/>
      <c r="AW314" s="1138"/>
      <c r="AX314" s="1138"/>
      <c r="AY314" s="1138"/>
      <c r="AZ314" s="1138"/>
      <c r="BA314" s="1300"/>
      <c r="BB314" s="1138"/>
      <c r="BC314" s="1138"/>
      <c r="BD314" s="1138"/>
      <c r="BE314" s="1138"/>
      <c r="BF314" s="1138"/>
      <c r="BG314" s="1138"/>
      <c r="BH314" s="1138"/>
      <c r="BI314" s="1300"/>
      <c r="BJ314" s="1300"/>
      <c r="BK314" s="1300"/>
      <c r="BL314" s="1300"/>
      <c r="BM314" s="1300"/>
      <c r="BN314" s="1300"/>
      <c r="BO314" s="1300"/>
    </row>
    <row r="315" ht="15.75" customHeight="1">
      <c r="A315" s="1092"/>
      <c r="B315" s="1093" t="s">
        <v>8134</v>
      </c>
      <c r="C315" s="1131" t="s">
        <v>5299</v>
      </c>
      <c r="D315" s="1138"/>
      <c r="E315" s="1138"/>
      <c r="F315" s="1094"/>
      <c r="G315" s="1040"/>
      <c r="H315" s="1138"/>
      <c r="I315" s="1138"/>
      <c r="J315" s="1138"/>
      <c r="K315" s="1138"/>
      <c r="L315" s="1138"/>
      <c r="M315" s="1138"/>
      <c r="N315" s="1138" t="s">
        <v>5299</v>
      </c>
      <c r="O315" s="1138"/>
      <c r="P315" s="1140"/>
      <c r="Q315" s="1138"/>
      <c r="R315" s="1138"/>
      <c r="S315" s="1138"/>
      <c r="T315" s="1138"/>
      <c r="U315" s="1138"/>
      <c r="V315" s="1032"/>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7" t="s">
        <v>8135</v>
      </c>
      <c r="B316" s="1306" t="s">
        <v>8136</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3" t="s">
        <v>8137</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8138</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7" t="s">
        <v>70</v>
      </c>
      <c r="B319" s="1306" t="s">
        <v>8139</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300"/>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300"/>
      <c r="AV319" s="1138"/>
      <c r="AW319" s="1138"/>
      <c r="AX319" s="1138"/>
      <c r="AY319" s="1138"/>
      <c r="AZ319" s="1138"/>
      <c r="BA319" s="1300"/>
      <c r="BB319" s="1138"/>
      <c r="BC319" s="1138"/>
      <c r="BD319" s="1138"/>
      <c r="BE319" s="1138"/>
      <c r="BF319" s="1138"/>
      <c r="BG319" s="1138"/>
      <c r="BH319" s="1138"/>
      <c r="BI319" s="1300"/>
      <c r="BJ319" s="1300"/>
      <c r="BK319" s="1300"/>
      <c r="BL319" s="1300"/>
      <c r="BM319" s="1300"/>
      <c r="BN319" s="1300"/>
      <c r="BO319" s="1300"/>
    </row>
    <row r="320" ht="15.75" customHeight="1">
      <c r="A320" s="1297" t="s">
        <v>71</v>
      </c>
      <c r="B320" s="1306" t="s">
        <v>8139</v>
      </c>
      <c r="C320" s="1131" t="s">
        <v>6539</v>
      </c>
      <c r="D320" s="1138"/>
      <c r="E320" s="1138"/>
      <c r="F320" s="1021"/>
      <c r="G320" s="1040"/>
      <c r="H320" s="1138"/>
      <c r="I320" s="1022" t="s">
        <v>6539</v>
      </c>
      <c r="J320" s="1138"/>
      <c r="K320" s="1138"/>
      <c r="L320" s="1138"/>
      <c r="M320" s="1138"/>
      <c r="N320" s="1138" t="s">
        <v>5915</v>
      </c>
      <c r="O320" s="1138"/>
      <c r="P320" s="1140"/>
      <c r="Q320" s="1138"/>
      <c r="R320" s="1138"/>
      <c r="S320" s="1138"/>
      <c r="T320" s="1138"/>
      <c r="U320" s="1138"/>
      <c r="V320" s="1032"/>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91" t="s">
        <v>8140</v>
      </c>
      <c r="D321" s="1296"/>
      <c r="E321" s="1296"/>
      <c r="F321" s="1293"/>
      <c r="G321" s="1294"/>
      <c r="H321" s="1296"/>
      <c r="I321" s="1296"/>
      <c r="J321" s="1296"/>
      <c r="K321" s="1296"/>
      <c r="L321" s="1296"/>
      <c r="M321" s="1296"/>
      <c r="N321" s="1296"/>
      <c r="O321" s="1296"/>
      <c r="P321" s="1308"/>
      <c r="Q321" s="1296"/>
      <c r="R321" s="1296"/>
      <c r="S321" s="1296"/>
      <c r="T321" s="1296"/>
      <c r="U321" s="1296"/>
      <c r="V321" s="1296"/>
      <c r="W321" s="1296"/>
      <c r="X321" s="1296"/>
      <c r="Y321" s="1296"/>
      <c r="Z321" s="1296"/>
      <c r="AA321" s="1296"/>
      <c r="AB321" s="1296"/>
      <c r="AC321" s="1296"/>
      <c r="AD321" s="1296"/>
      <c r="AE321" s="1296"/>
      <c r="AF321" s="1296"/>
      <c r="AG321" s="1296"/>
      <c r="AH321" s="1296"/>
      <c r="AI321" s="1296"/>
      <c r="AJ321" s="1296"/>
      <c r="AK321" s="1296"/>
      <c r="AL321" s="1296"/>
      <c r="AM321" s="1296"/>
      <c r="AN321" s="1296"/>
      <c r="AO321" s="1296"/>
      <c r="AP321" s="1296"/>
      <c r="AQ321" s="1296"/>
      <c r="AR321" s="1296"/>
      <c r="AS321" s="1296"/>
      <c r="AT321" s="1296"/>
      <c r="AU321" s="1296"/>
      <c r="AV321" s="1296"/>
      <c r="AW321" s="1296"/>
      <c r="AX321" s="1296"/>
      <c r="AY321" s="1296"/>
      <c r="AZ321" s="1296"/>
      <c r="BA321" s="1296"/>
      <c r="BB321" s="1296"/>
      <c r="BC321" s="1296"/>
      <c r="BD321" s="1296"/>
      <c r="BE321" s="1296"/>
      <c r="BF321" s="1296"/>
      <c r="BG321" s="1296"/>
      <c r="BH321" s="1296"/>
      <c r="BI321" s="1296"/>
      <c r="BJ321" s="1296"/>
      <c r="BK321" s="1296"/>
      <c r="BL321" s="1296"/>
      <c r="BM321" s="1296"/>
      <c r="BN321" s="1296"/>
      <c r="BO321" s="1296"/>
    </row>
    <row r="322" ht="15.75" customHeight="1">
      <c r="A322" s="1087" t="s">
        <v>8141</v>
      </c>
      <c r="B322" s="1309" t="s">
        <v>8142</v>
      </c>
      <c r="C322" s="1131" t="s">
        <v>533</v>
      </c>
      <c r="D322" s="1142" t="s">
        <v>3435</v>
      </c>
      <c r="E322" s="1142"/>
      <c r="F322" s="1021"/>
      <c r="G322" s="1040"/>
      <c r="H322" s="1142"/>
      <c r="I322" s="1142"/>
      <c r="J322" s="1142"/>
      <c r="K322" s="1142"/>
      <c r="L322" s="1142"/>
      <c r="M322" s="1142"/>
      <c r="N322" s="1142"/>
      <c r="O322" s="1142"/>
      <c r="P322" s="1310"/>
      <c r="Q322" s="1142"/>
      <c r="R322" s="1142"/>
      <c r="S322" s="1142"/>
      <c r="T322" s="1142"/>
      <c r="U322" s="1142"/>
      <c r="V322" s="1032"/>
      <c r="W322" s="114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3" t="s">
        <v>8143</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300"/>
      <c r="W323" s="1040"/>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300"/>
      <c r="AV323" s="1040"/>
      <c r="AW323" s="1040"/>
      <c r="AX323" s="1040"/>
      <c r="AY323" s="1040"/>
      <c r="AZ323" s="1040"/>
      <c r="BA323" s="1300"/>
      <c r="BB323" s="1040"/>
      <c r="BC323" s="1040"/>
      <c r="BD323" s="1040"/>
      <c r="BE323" s="1040"/>
      <c r="BF323" s="1040"/>
      <c r="BG323" s="1040"/>
      <c r="BH323" s="1040"/>
      <c r="BI323" s="1300"/>
      <c r="BJ323" s="1300"/>
      <c r="BK323" s="1300"/>
      <c r="BL323" s="1300"/>
      <c r="BM323" s="1300"/>
      <c r="BN323" s="1300"/>
      <c r="BO323" s="1300"/>
    </row>
    <row r="324" ht="15.75" customHeight="1">
      <c r="A324" s="1095"/>
      <c r="B324" s="1099" t="s">
        <v>8144</v>
      </c>
      <c r="C324" s="1131" t="s">
        <v>3031</v>
      </c>
      <c r="D324" s="1022" t="s">
        <v>406</v>
      </c>
      <c r="E324" s="1022" t="s">
        <v>5348</v>
      </c>
      <c r="F324" s="1049" t="s">
        <v>4693</v>
      </c>
      <c r="G324" s="1040"/>
      <c r="H324" s="1040" t="s">
        <v>1905</v>
      </c>
      <c r="I324" s="1040"/>
      <c r="J324" s="1040"/>
      <c r="K324" s="1040"/>
      <c r="L324" s="1040"/>
      <c r="M324" s="1040"/>
      <c r="N324" s="1040"/>
      <c r="O324" s="1040"/>
      <c r="P324" s="1133"/>
      <c r="Q324" s="1040"/>
      <c r="R324" s="1022" t="s">
        <v>5348</v>
      </c>
      <c r="S324" s="1040"/>
      <c r="T324" s="1022" t="s">
        <v>3031</v>
      </c>
      <c r="U324" s="1040"/>
      <c r="V324" s="1032"/>
      <c r="W324" s="1040"/>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8145</v>
      </c>
      <c r="B325" s="1309" t="s">
        <v>7609</v>
      </c>
      <c r="C325" s="1131" t="s">
        <v>5470</v>
      </c>
      <c r="D325" s="1040"/>
      <c r="E325" s="1022" t="s">
        <v>5470</v>
      </c>
      <c r="F325" s="1110"/>
      <c r="G325" s="1040"/>
      <c r="H325" s="1040"/>
      <c r="I325" s="1040"/>
      <c r="J325" s="1040"/>
      <c r="K325" s="1040"/>
      <c r="L325" s="1040"/>
      <c r="M325" s="1040"/>
      <c r="N325" s="1040"/>
      <c r="O325" s="1040"/>
      <c r="P325" s="1133"/>
      <c r="Q325" s="1040"/>
      <c r="R325" s="1040"/>
      <c r="S325" s="1040"/>
      <c r="T325" s="1040"/>
      <c r="U325" s="1040"/>
      <c r="V325" s="1300"/>
      <c r="W325" s="1040"/>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300"/>
      <c r="AV325" s="1040"/>
      <c r="AW325" s="1040"/>
      <c r="AX325" s="1040"/>
      <c r="AY325" s="1040"/>
      <c r="AZ325" s="1040"/>
      <c r="BA325" s="1300"/>
      <c r="BB325" s="1040"/>
      <c r="BC325" s="1040"/>
      <c r="BD325" s="1040"/>
      <c r="BE325" s="1040"/>
      <c r="BF325" s="1040"/>
      <c r="BG325" s="1040"/>
      <c r="BH325" s="1040"/>
      <c r="BI325" s="1300"/>
      <c r="BJ325" s="1300"/>
      <c r="BK325" s="1300"/>
      <c r="BL325" s="1300"/>
      <c r="BM325" s="1300"/>
      <c r="BN325" s="1300"/>
      <c r="BO325" s="1300"/>
    </row>
    <row r="326" ht="15.75" customHeight="1">
      <c r="A326" s="1092"/>
      <c r="B326" s="1303" t="s">
        <v>7611</v>
      </c>
      <c r="C326" s="1131" t="s">
        <v>4720</v>
      </c>
      <c r="D326" s="1040" t="s">
        <v>5100</v>
      </c>
      <c r="E326" s="1022" t="s">
        <v>4472</v>
      </c>
      <c r="F326" s="1049" t="s">
        <v>7008</v>
      </c>
      <c r="G326" s="1040"/>
      <c r="H326" s="1022" t="s">
        <v>4720</v>
      </c>
      <c r="I326" s="1040"/>
      <c r="J326" s="1040"/>
      <c r="K326" s="1040"/>
      <c r="L326" s="1040"/>
      <c r="M326" s="1040"/>
      <c r="N326" s="1040"/>
      <c r="O326" s="1040"/>
      <c r="P326" s="1133"/>
      <c r="Q326" s="1040"/>
      <c r="R326" s="1022" t="s">
        <v>7781</v>
      </c>
      <c r="S326" s="1040"/>
      <c r="T326" s="1040"/>
      <c r="U326" s="1040"/>
      <c r="V326" s="1032"/>
      <c r="W326" s="1040"/>
      <c r="X326" s="1022" t="s">
        <v>6105</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7781</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8146</v>
      </c>
      <c r="B327" s="1309" t="s">
        <v>7501</v>
      </c>
      <c r="C327" s="1107" t="s">
        <v>3529</v>
      </c>
      <c r="D327" s="1062"/>
      <c r="E327" s="1061" t="s">
        <v>1698</v>
      </c>
      <c r="F327" s="1103" t="s">
        <v>3529</v>
      </c>
      <c r="G327" s="1040"/>
      <c r="H327" s="1061" t="s">
        <v>2388</v>
      </c>
      <c r="I327" s="1062"/>
      <c r="J327" s="1061" t="s">
        <v>1698</v>
      </c>
      <c r="K327" s="1062"/>
      <c r="L327" s="1061" t="s">
        <v>8147</v>
      </c>
      <c r="M327" s="1061" t="s">
        <v>8148</v>
      </c>
      <c r="N327" s="1062"/>
      <c r="O327" s="1062"/>
      <c r="P327" s="1060"/>
      <c r="Q327" s="1062"/>
      <c r="R327" s="1062"/>
      <c r="S327" s="1062"/>
      <c r="T327" s="1062"/>
      <c r="U327" s="1062"/>
      <c r="V327" s="1300"/>
      <c r="W327" s="1062"/>
      <c r="X327" s="1061" t="s">
        <v>2837</v>
      </c>
      <c r="Y327" s="1062"/>
      <c r="Z327" s="1061" t="s">
        <v>1432</v>
      </c>
      <c r="AA327" s="1062"/>
      <c r="AB327" s="1062"/>
      <c r="AC327" s="1062"/>
      <c r="AD327" s="1062"/>
      <c r="AE327" s="1062"/>
      <c r="AF327" s="1062"/>
      <c r="AG327" s="1062"/>
      <c r="AH327" s="1062"/>
      <c r="AI327" s="1062"/>
      <c r="AJ327" s="1062"/>
      <c r="AK327" s="1060"/>
      <c r="AL327" s="1062"/>
      <c r="AM327" s="1062"/>
      <c r="AN327" s="1062"/>
      <c r="AO327" s="1062"/>
      <c r="AP327" s="1062"/>
      <c r="AQ327" s="1060"/>
      <c r="AR327" s="1060"/>
      <c r="AS327" s="1062"/>
      <c r="AT327" s="1062"/>
      <c r="AU327" s="1300"/>
      <c r="AV327" s="1062"/>
      <c r="AW327" s="1062"/>
      <c r="AX327" s="1062"/>
      <c r="AY327" s="1062"/>
      <c r="AZ327" s="1062"/>
      <c r="BA327" s="1300"/>
      <c r="BB327" s="1062"/>
      <c r="BC327" s="1062"/>
      <c r="BD327" s="1062"/>
      <c r="BE327" s="1062"/>
      <c r="BF327" s="1062"/>
      <c r="BG327" s="1062"/>
      <c r="BH327" s="1062"/>
      <c r="BI327" s="1300"/>
      <c r="BJ327" s="1300"/>
      <c r="BK327" s="1300"/>
      <c r="BL327" s="1300"/>
      <c r="BM327" s="1300"/>
      <c r="BN327" s="1300"/>
      <c r="BO327" s="1300"/>
    </row>
    <row r="328" ht="15.75" customHeight="1">
      <c r="A328" s="1087" t="s">
        <v>8149</v>
      </c>
      <c r="B328" s="1309" t="s">
        <v>8150</v>
      </c>
      <c r="C328" s="1131" t="s">
        <v>8151</v>
      </c>
      <c r="D328" s="1040"/>
      <c r="E328" s="1022" t="s">
        <v>8151</v>
      </c>
      <c r="F328" s="1021"/>
      <c r="G328" s="1040"/>
      <c r="H328" s="1040"/>
      <c r="I328" s="1040"/>
      <c r="J328" s="1040"/>
      <c r="K328" s="1040"/>
      <c r="L328" s="1040"/>
      <c r="M328" s="1040"/>
      <c r="N328" s="1040"/>
      <c r="O328" s="1040"/>
      <c r="P328" s="1133"/>
      <c r="Q328" s="1040"/>
      <c r="R328" s="1040"/>
      <c r="S328" s="1040"/>
      <c r="T328" s="1040"/>
      <c r="U328" s="1040"/>
      <c r="V328" s="1032"/>
      <c r="W328" s="1040"/>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8152</v>
      </c>
      <c r="C329" s="1107" t="s">
        <v>8153</v>
      </c>
      <c r="D329" s="1040"/>
      <c r="E329" s="1022" t="s">
        <v>8154</v>
      </c>
      <c r="F329" s="1103" t="s">
        <v>8153</v>
      </c>
      <c r="G329" s="1040"/>
      <c r="H329" s="1040" t="s">
        <v>1422</v>
      </c>
      <c r="I329" s="1040"/>
      <c r="J329" s="1040"/>
      <c r="K329" s="1040"/>
      <c r="L329" s="1040"/>
      <c r="M329" s="1040"/>
      <c r="N329" s="1040"/>
      <c r="O329" s="1040"/>
      <c r="P329" s="1133"/>
      <c r="Q329" s="1040"/>
      <c r="R329" s="1040"/>
      <c r="S329" s="1040"/>
      <c r="T329" s="1040"/>
      <c r="U329" s="1040"/>
      <c r="V329" s="1300"/>
      <c r="W329" s="1040"/>
      <c r="X329" s="1040"/>
      <c r="Y329" s="1040"/>
      <c r="Z329" s="1022" t="s">
        <v>8155</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300"/>
      <c r="AV329" s="1040"/>
      <c r="AW329" s="1040"/>
      <c r="AX329" s="1040"/>
      <c r="AY329" s="1040"/>
      <c r="AZ329" s="1040"/>
      <c r="BA329" s="1300"/>
      <c r="BB329" s="1040"/>
      <c r="BC329" s="1040"/>
      <c r="BD329" s="1040"/>
      <c r="BE329" s="1040"/>
      <c r="BF329" s="1040"/>
      <c r="BG329" s="1040"/>
      <c r="BH329" s="1040"/>
      <c r="BI329" s="1300"/>
      <c r="BJ329" s="1300"/>
      <c r="BK329" s="1300"/>
      <c r="BL329" s="1300"/>
      <c r="BM329" s="1300"/>
      <c r="BN329" s="1300"/>
      <c r="BO329" s="1300"/>
    </row>
    <row r="330" ht="15.75" customHeight="1">
      <c r="A330" s="1297" t="s">
        <v>8156</v>
      </c>
      <c r="B330" s="1298" t="s">
        <v>8157</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32"/>
      <c r="W330" s="1040"/>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3" t="s">
        <v>8158</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300"/>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300"/>
      <c r="AV331" s="1040"/>
      <c r="AW331" s="1040"/>
      <c r="AX331" s="1040"/>
      <c r="AY331" s="1040"/>
      <c r="AZ331" s="1040"/>
      <c r="BA331" s="1300"/>
      <c r="BB331" s="1040"/>
      <c r="BC331" s="1040"/>
      <c r="BD331" s="1040"/>
      <c r="BE331" s="1040"/>
      <c r="BF331" s="1040"/>
      <c r="BG331" s="1040"/>
      <c r="BH331" s="1040"/>
      <c r="BI331" s="1300"/>
      <c r="BJ331" s="1300"/>
      <c r="BK331" s="1300"/>
      <c r="BL331" s="1300"/>
      <c r="BM331" s="1300"/>
      <c r="BN331" s="1300"/>
      <c r="BO331" s="1300"/>
    </row>
    <row r="332" ht="15.75" customHeight="1">
      <c r="A332" s="1095"/>
      <c r="B332" s="1099" t="s">
        <v>8159</v>
      </c>
      <c r="C332" s="1131" t="s">
        <v>8160</v>
      </c>
      <c r="D332" s="1040"/>
      <c r="E332" s="1022" t="s">
        <v>8160</v>
      </c>
      <c r="F332" s="1021"/>
      <c r="G332" s="1040"/>
      <c r="H332" s="1040"/>
      <c r="I332" s="1040"/>
      <c r="J332" s="1040"/>
      <c r="K332" s="1040"/>
      <c r="L332" s="1040"/>
      <c r="M332" s="1040"/>
      <c r="N332" s="1040"/>
      <c r="O332" s="1040"/>
      <c r="P332" s="1133"/>
      <c r="Q332" s="1040"/>
      <c r="R332" s="1040"/>
      <c r="S332" s="1040"/>
      <c r="T332" s="1040"/>
      <c r="U332" s="1040"/>
      <c r="V332" s="1032"/>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3" t="s">
        <v>8161</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300"/>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300"/>
      <c r="AV333" s="1040"/>
      <c r="AW333" s="1040"/>
      <c r="AX333" s="1040"/>
      <c r="AY333" s="1040"/>
      <c r="AZ333" s="1040"/>
      <c r="BA333" s="1300"/>
      <c r="BB333" s="1040"/>
      <c r="BC333" s="1040"/>
      <c r="BD333" s="1040"/>
      <c r="BE333" s="1040"/>
      <c r="BF333" s="1040"/>
      <c r="BG333" s="1040"/>
      <c r="BH333" s="1040"/>
      <c r="BI333" s="1300"/>
      <c r="BJ333" s="1300"/>
      <c r="BK333" s="1300"/>
      <c r="BL333" s="1300"/>
      <c r="BM333" s="1300"/>
      <c r="BN333" s="1300"/>
      <c r="BO333" s="1300"/>
    </row>
    <row r="334" ht="15.75" customHeight="1">
      <c r="A334" s="1095"/>
      <c r="B334" s="1099" t="s">
        <v>8162</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32"/>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3" t="s">
        <v>8163</v>
      </c>
      <c r="C335" s="1131" t="s">
        <v>8164</v>
      </c>
      <c r="D335" s="1040"/>
      <c r="E335" s="1022" t="s">
        <v>3921</v>
      </c>
      <c r="F335" s="1103" t="s">
        <v>1102</v>
      </c>
      <c r="G335" s="1040"/>
      <c r="H335" s="1022" t="s">
        <v>8164</v>
      </c>
      <c r="I335" s="1040"/>
      <c r="J335" s="1040"/>
      <c r="K335" s="1040"/>
      <c r="L335" s="1040"/>
      <c r="M335" s="1040"/>
      <c r="N335" s="1040"/>
      <c r="O335" s="1040"/>
      <c r="P335" s="1133"/>
      <c r="Q335" s="1040"/>
      <c r="R335" s="1040"/>
      <c r="S335" s="1040"/>
      <c r="T335" s="1040"/>
      <c r="U335" s="1040"/>
      <c r="V335" s="1300"/>
      <c r="W335" s="1040"/>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300"/>
      <c r="AV335" s="1040"/>
      <c r="AW335" s="1040"/>
      <c r="AX335" s="1040"/>
      <c r="AY335" s="1040"/>
      <c r="AZ335" s="1040"/>
      <c r="BA335" s="1300"/>
      <c r="BB335" s="1040"/>
      <c r="BC335" s="1040"/>
      <c r="BD335" s="1040"/>
      <c r="BE335" s="1040"/>
      <c r="BF335" s="1040"/>
      <c r="BG335" s="1040"/>
      <c r="BH335" s="1040"/>
      <c r="BI335" s="1300"/>
      <c r="BJ335" s="1300"/>
      <c r="BK335" s="1300"/>
      <c r="BL335" s="1300"/>
      <c r="BM335" s="1300"/>
      <c r="BN335" s="1300"/>
      <c r="BO335" s="1300"/>
    </row>
    <row r="336" ht="15.75" customHeight="1">
      <c r="A336" s="1095"/>
      <c r="B336" s="1099" t="s">
        <v>8165</v>
      </c>
      <c r="C336" s="1131" t="s">
        <v>8166</v>
      </c>
      <c r="D336" s="1138" t="s">
        <v>8167</v>
      </c>
      <c r="E336" s="1138"/>
      <c r="F336" s="1049" t="s">
        <v>8168</v>
      </c>
      <c r="G336" s="1040"/>
      <c r="H336" s="1022" t="s">
        <v>8169</v>
      </c>
      <c r="I336" s="1138"/>
      <c r="J336" s="1138"/>
      <c r="K336" s="1138"/>
      <c r="L336" s="1138"/>
      <c r="M336" s="1138"/>
      <c r="N336" s="1138"/>
      <c r="O336" s="1138"/>
      <c r="P336" s="1140"/>
      <c r="Q336" s="1138"/>
      <c r="R336" s="1022" t="s">
        <v>8170</v>
      </c>
      <c r="S336" s="1138"/>
      <c r="T336" s="1022" t="s">
        <v>8171</v>
      </c>
      <c r="U336" s="1138"/>
      <c r="V336" s="1032"/>
      <c r="W336" s="1138"/>
      <c r="X336" s="1138"/>
      <c r="Y336" s="1138"/>
      <c r="Z336" s="1022" t="s">
        <v>8166</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7" t="s">
        <v>8172</v>
      </c>
      <c r="B337" s="1298" t="s">
        <v>8173</v>
      </c>
      <c r="C337" s="1131"/>
      <c r="D337" s="1142"/>
      <c r="E337" s="1138"/>
      <c r="F337" s="1311"/>
      <c r="G337" s="1040"/>
      <c r="H337" s="1040"/>
      <c r="I337" s="1138"/>
      <c r="J337" s="1040"/>
      <c r="K337" s="1138"/>
      <c r="L337" s="1138"/>
      <c r="M337" s="1138"/>
      <c r="N337" s="1138"/>
      <c r="O337" s="1138"/>
      <c r="P337" s="1140"/>
      <c r="Q337" s="1138"/>
      <c r="R337" s="1138"/>
      <c r="S337" s="1138"/>
      <c r="T337" s="1138"/>
      <c r="U337" s="1138"/>
      <c r="V337" s="1300"/>
      <c r="W337" s="113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300"/>
      <c r="AV337" s="1138"/>
      <c r="AW337" s="1138"/>
      <c r="AX337" s="1138"/>
      <c r="AY337" s="1138"/>
      <c r="AZ337" s="1138"/>
      <c r="BA337" s="1300"/>
      <c r="BB337" s="1138"/>
      <c r="BC337" s="1138"/>
      <c r="BD337" s="1138"/>
      <c r="BE337" s="1138"/>
      <c r="BF337" s="1138"/>
      <c r="BG337" s="1138"/>
      <c r="BH337" s="1138"/>
      <c r="BI337" s="1300"/>
      <c r="BJ337" s="1300"/>
      <c r="BK337" s="1300"/>
      <c r="BL337" s="1300"/>
      <c r="BM337" s="1300"/>
      <c r="BN337" s="1300"/>
      <c r="BO337" s="1300"/>
    </row>
    <row r="338" ht="15.75" customHeight="1">
      <c r="A338" s="1092"/>
      <c r="B338" s="1303" t="s">
        <v>8174</v>
      </c>
      <c r="C338" s="1131"/>
      <c r="D338" s="1142"/>
      <c r="E338" s="1138"/>
      <c r="F338" s="1311"/>
      <c r="G338" s="1040"/>
      <c r="H338" s="1040"/>
      <c r="I338" s="1138"/>
      <c r="J338" s="1040"/>
      <c r="K338" s="1138"/>
      <c r="L338" s="1138"/>
      <c r="M338" s="1138"/>
      <c r="N338" s="1138"/>
      <c r="O338" s="1138"/>
      <c r="P338" s="1140"/>
      <c r="Q338" s="1138"/>
      <c r="R338" s="1138"/>
      <c r="S338" s="1138"/>
      <c r="T338" s="1138"/>
      <c r="U338" s="1138"/>
      <c r="V338" s="1300"/>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0"/>
      <c r="AV338" s="1138"/>
      <c r="AW338" s="1138"/>
      <c r="AX338" s="1138"/>
      <c r="AY338" s="1138"/>
      <c r="AZ338" s="1138"/>
      <c r="BA338" s="1300"/>
      <c r="BB338" s="1138"/>
      <c r="BC338" s="1138"/>
      <c r="BD338" s="1138"/>
      <c r="BE338" s="1138"/>
      <c r="BF338" s="1138"/>
      <c r="BG338" s="1138"/>
      <c r="BH338" s="1138"/>
      <c r="BI338" s="1300"/>
      <c r="BJ338" s="1300"/>
      <c r="BK338" s="1300"/>
      <c r="BL338" s="1300"/>
      <c r="BM338" s="1300"/>
      <c r="BN338" s="1300"/>
      <c r="BO338" s="1300"/>
    </row>
    <row r="339" ht="15.75" customHeight="1">
      <c r="A339" s="1297" t="s">
        <v>8175</v>
      </c>
      <c r="B339" s="1298" t="s">
        <v>7501</v>
      </c>
      <c r="C339" s="1131" t="s">
        <v>530</v>
      </c>
      <c r="D339" s="1142" t="s">
        <v>5508</v>
      </c>
      <c r="E339" s="1138"/>
      <c r="F339" s="1103" t="s">
        <v>5492</v>
      </c>
      <c r="G339" s="1040"/>
      <c r="H339" s="1022" t="s">
        <v>530</v>
      </c>
      <c r="I339" s="1138"/>
      <c r="J339" s="1022" t="s">
        <v>3958</v>
      </c>
      <c r="K339" s="1138"/>
      <c r="L339" s="1138"/>
      <c r="M339" s="1138"/>
      <c r="N339" s="1138"/>
      <c r="O339" s="1138"/>
      <c r="P339" s="1140"/>
      <c r="Q339" s="1138"/>
      <c r="R339" s="1138" t="s">
        <v>7153</v>
      </c>
      <c r="S339" s="1138"/>
      <c r="T339" s="1138"/>
      <c r="U339" s="1138"/>
      <c r="V339" s="1300"/>
      <c r="W339" s="1138"/>
      <c r="X339" s="1138" t="s">
        <v>6446</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300"/>
      <c r="AV339" s="1138"/>
      <c r="AW339" s="1138"/>
      <c r="AX339" s="1138"/>
      <c r="AY339" s="1138"/>
      <c r="AZ339" s="1138"/>
      <c r="BA339" s="1300"/>
      <c r="BB339" s="1138"/>
      <c r="BC339" s="1138"/>
      <c r="BD339" s="1138"/>
      <c r="BE339" s="1138"/>
      <c r="BF339" s="1138"/>
      <c r="BG339" s="1138"/>
      <c r="BH339" s="1138"/>
      <c r="BI339" s="1300"/>
      <c r="BJ339" s="1300"/>
      <c r="BK339" s="1300"/>
      <c r="BL339" s="1300"/>
      <c r="BM339" s="1300"/>
      <c r="BN339" s="1300"/>
      <c r="BO339" s="1300"/>
    </row>
    <row r="340" ht="15.75" customHeight="1">
      <c r="A340" s="1297" t="s">
        <v>8176</v>
      </c>
      <c r="B340" s="1298" t="s">
        <v>8177</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32"/>
      <c r="W340" s="1040"/>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3" t="s">
        <v>8178</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32"/>
      <c r="W341" s="1040"/>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8179</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7" t="s">
        <v>8180</v>
      </c>
      <c r="B343" s="1298" t="s">
        <v>8181</v>
      </c>
      <c r="C343" s="1131" t="s">
        <v>4742</v>
      </c>
      <c r="D343" s="1040"/>
      <c r="E343" s="1022" t="s">
        <v>4742</v>
      </c>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3" t="s">
        <v>8182</v>
      </c>
      <c r="C344" s="1018" t="s">
        <v>8183</v>
      </c>
      <c r="D344" s="1040" t="s">
        <v>1006</v>
      </c>
      <c r="E344" s="1022" t="s">
        <v>8184</v>
      </c>
      <c r="F344" s="1110" t="s">
        <v>8185</v>
      </c>
      <c r="G344" s="1040"/>
      <c r="H344" s="1040"/>
      <c r="I344" s="1040"/>
      <c r="J344" s="1022" t="s">
        <v>8186</v>
      </c>
      <c r="K344" s="1040"/>
      <c r="L344" s="1040"/>
      <c r="M344" s="1040"/>
      <c r="N344" s="1040"/>
      <c r="O344" s="1040"/>
      <c r="P344" s="1133"/>
      <c r="Q344" s="1040"/>
      <c r="R344" s="1040"/>
      <c r="S344" s="1040"/>
      <c r="T344" s="1040"/>
      <c r="U344" s="1040"/>
      <c r="V344" s="1300"/>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300"/>
      <c r="AV344" s="1040"/>
      <c r="AW344" s="1040"/>
      <c r="AX344" s="1040"/>
      <c r="AY344" s="1040"/>
      <c r="AZ344" s="1040"/>
      <c r="BA344" s="1300"/>
      <c r="BB344" s="1040"/>
      <c r="BC344" s="1040"/>
      <c r="BD344" s="1040"/>
      <c r="BE344" s="1040"/>
      <c r="BF344" s="1040"/>
      <c r="BG344" s="1040"/>
      <c r="BH344" s="1040"/>
      <c r="BI344" s="1300"/>
      <c r="BJ344" s="1300"/>
      <c r="BK344" s="1300"/>
      <c r="BL344" s="1300"/>
      <c r="BM344" s="1300"/>
      <c r="BN344" s="1300"/>
      <c r="BO344" s="1300"/>
    </row>
    <row r="345" ht="15.75" customHeight="1">
      <c r="A345" s="1095"/>
      <c r="B345" s="1099" t="s">
        <v>8187</v>
      </c>
      <c r="C345" s="1018" t="s">
        <v>8188</v>
      </c>
      <c r="D345" s="1040"/>
      <c r="E345" s="1040"/>
      <c r="F345" s="1102"/>
      <c r="G345" s="1040"/>
      <c r="H345" s="1040" t="s">
        <v>8189</v>
      </c>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3" t="s">
        <v>8188</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7" t="s">
        <v>8190</v>
      </c>
      <c r="B346" s="1306" t="s">
        <v>8191</v>
      </c>
      <c r="C346" s="1131" t="s">
        <v>5790</v>
      </c>
      <c r="D346" s="1312"/>
      <c r="E346" s="1312"/>
      <c r="F346" s="1103" t="s">
        <v>8082</v>
      </c>
      <c r="G346" s="1040"/>
      <c r="H346" s="1022" t="s">
        <v>1386</v>
      </c>
      <c r="I346" s="1312"/>
      <c r="J346" s="1022" t="s">
        <v>5790</v>
      </c>
      <c r="K346" s="1312"/>
      <c r="L346" s="1312"/>
      <c r="M346" s="1312"/>
      <c r="N346" s="1312"/>
      <c r="O346" s="1312"/>
      <c r="P346" s="1133"/>
      <c r="Q346" s="1312"/>
      <c r="R346" s="1312"/>
      <c r="S346" s="1312"/>
      <c r="T346" s="1312"/>
      <c r="U346" s="1312"/>
      <c r="V346" s="1300"/>
      <c r="W346" s="1312"/>
      <c r="X346" s="1312"/>
      <c r="Y346" s="1312"/>
      <c r="Z346" s="1022" t="s">
        <v>4473</v>
      </c>
      <c r="AA346" s="1312"/>
      <c r="AB346" s="1312"/>
      <c r="AC346" s="1312"/>
      <c r="AD346" s="1312"/>
      <c r="AE346" s="1312"/>
      <c r="AF346" s="1312"/>
      <c r="AG346" s="1312"/>
      <c r="AH346" s="1312"/>
      <c r="AI346" s="1312"/>
      <c r="AJ346" s="1312"/>
      <c r="AK346" s="1135"/>
      <c r="AL346" s="1312"/>
      <c r="AM346" s="1312"/>
      <c r="AN346" s="1312"/>
      <c r="AO346" s="1312"/>
      <c r="AP346" s="1312"/>
      <c r="AQ346" s="1135"/>
      <c r="AR346" s="1135"/>
      <c r="AS346" s="1312"/>
      <c r="AT346" s="1312"/>
      <c r="AU346" s="1300"/>
      <c r="AV346" s="1312"/>
      <c r="AW346" s="1312"/>
      <c r="AX346" s="1312"/>
      <c r="AY346" s="1312"/>
      <c r="AZ346" s="1312"/>
      <c r="BA346" s="1300"/>
      <c r="BB346" s="1312"/>
      <c r="BC346" s="1312"/>
      <c r="BD346" s="1312"/>
      <c r="BE346" s="1312"/>
      <c r="BF346" s="1312"/>
      <c r="BG346" s="1312"/>
      <c r="BH346" s="1312"/>
      <c r="BI346" s="1300"/>
      <c r="BJ346" s="1300"/>
      <c r="BK346" s="1300"/>
      <c r="BL346" s="1300"/>
      <c r="BM346" s="1300"/>
      <c r="BN346" s="1300"/>
      <c r="BO346" s="1300"/>
    </row>
    <row r="347" ht="15.75" customHeight="1">
      <c r="A347" s="1092"/>
      <c r="B347" s="1117" t="s">
        <v>8192</v>
      </c>
      <c r="C347" s="1131" t="s">
        <v>4607</v>
      </c>
      <c r="D347" s="1040"/>
      <c r="E347" s="1022" t="s">
        <v>5832</v>
      </c>
      <c r="F347" s="1069" t="s">
        <v>965</v>
      </c>
      <c r="G347" s="1040"/>
      <c r="H347" s="1040"/>
      <c r="I347" s="1040"/>
      <c r="J347" s="1040"/>
      <c r="K347" s="1040"/>
      <c r="L347" s="1040"/>
      <c r="M347" s="1040"/>
      <c r="N347" s="1040"/>
      <c r="O347" s="1040"/>
      <c r="P347" s="1133"/>
      <c r="Q347" s="1040"/>
      <c r="R347" s="1022" t="s">
        <v>1796</v>
      </c>
      <c r="S347" s="1040"/>
      <c r="T347" s="1040"/>
      <c r="U347" s="1040"/>
      <c r="V347" s="1032"/>
      <c r="W347" s="1040"/>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7" t="s">
        <v>8193</v>
      </c>
      <c r="B348" s="1298" t="s">
        <v>8173</v>
      </c>
      <c r="C348" s="1131"/>
      <c r="D348" s="1178"/>
      <c r="E348" s="1178"/>
      <c r="F348" s="1094"/>
      <c r="G348" s="1040"/>
      <c r="H348" s="1040"/>
      <c r="I348" s="1178"/>
      <c r="J348" s="1178"/>
      <c r="K348" s="1178"/>
      <c r="L348" s="1178"/>
      <c r="M348" s="1040"/>
      <c r="N348" s="1178"/>
      <c r="O348" s="1178"/>
      <c r="P348" s="1133"/>
      <c r="Q348" s="1178"/>
      <c r="R348" s="1178"/>
      <c r="S348" s="1178"/>
      <c r="T348" s="1178"/>
      <c r="U348" s="1178"/>
      <c r="V348" s="1300"/>
      <c r="W348" s="1178"/>
      <c r="X348" s="1178"/>
      <c r="Y348" s="1178"/>
      <c r="Z348" s="1178"/>
      <c r="AA348" s="1178"/>
      <c r="AB348" s="1178"/>
      <c r="AC348" s="1178"/>
      <c r="AD348" s="1178"/>
      <c r="AE348" s="1178"/>
      <c r="AF348" s="1178"/>
      <c r="AG348" s="1178"/>
      <c r="AH348" s="1178"/>
      <c r="AI348" s="1178"/>
      <c r="AJ348" s="1178"/>
      <c r="AK348" s="1135"/>
      <c r="AL348" s="1178"/>
      <c r="AM348" s="1178"/>
      <c r="AN348" s="1178"/>
      <c r="AO348" s="1178"/>
      <c r="AP348" s="1178"/>
      <c r="AQ348" s="1135"/>
      <c r="AR348" s="1135"/>
      <c r="AS348" s="1178"/>
      <c r="AT348" s="1178"/>
      <c r="AU348" s="1300"/>
      <c r="AV348" s="1178"/>
      <c r="AW348" s="1178"/>
      <c r="AX348" s="1178"/>
      <c r="AY348" s="1178"/>
      <c r="AZ348" s="1178"/>
      <c r="BA348" s="1300"/>
      <c r="BB348" s="1178"/>
      <c r="BC348" s="1178"/>
      <c r="BD348" s="1178"/>
      <c r="BE348" s="1178"/>
      <c r="BF348" s="1178"/>
      <c r="BG348" s="1178"/>
      <c r="BH348" s="1178"/>
      <c r="BI348" s="1300"/>
      <c r="BJ348" s="1300"/>
      <c r="BK348" s="1300"/>
      <c r="BL348" s="1300"/>
      <c r="BM348" s="1300"/>
      <c r="BN348" s="1300"/>
      <c r="BO348" s="1300"/>
    </row>
    <row r="349" ht="15.75" customHeight="1">
      <c r="A349" s="1092"/>
      <c r="B349" s="1303" t="s">
        <v>8194</v>
      </c>
      <c r="C349" s="1131"/>
      <c r="D349" s="1178"/>
      <c r="E349" s="1178"/>
      <c r="F349" s="1094"/>
      <c r="G349" s="1040"/>
      <c r="H349" s="1040"/>
      <c r="I349" s="1178"/>
      <c r="J349" s="1178"/>
      <c r="K349" s="1178"/>
      <c r="L349" s="1178"/>
      <c r="M349" s="1040"/>
      <c r="N349" s="1178"/>
      <c r="O349" s="1178"/>
      <c r="P349" s="1133"/>
      <c r="Q349" s="1178"/>
      <c r="R349" s="1178"/>
      <c r="S349" s="1178"/>
      <c r="T349" s="1178"/>
      <c r="U349" s="1178"/>
      <c r="V349" s="1300"/>
      <c r="W349" s="1178"/>
      <c r="X349" s="1178"/>
      <c r="Y349" s="1178"/>
      <c r="Z349" s="1178"/>
      <c r="AA349" s="1178"/>
      <c r="AB349" s="1178"/>
      <c r="AC349" s="1178"/>
      <c r="AD349" s="1178"/>
      <c r="AE349" s="1178"/>
      <c r="AF349" s="1178"/>
      <c r="AG349" s="1178"/>
      <c r="AH349" s="1178"/>
      <c r="AI349" s="1178"/>
      <c r="AJ349" s="1178"/>
      <c r="AK349" s="1135"/>
      <c r="AL349" s="1178"/>
      <c r="AM349" s="1178"/>
      <c r="AN349" s="1178"/>
      <c r="AO349" s="1178"/>
      <c r="AP349" s="1178"/>
      <c r="AQ349" s="1135"/>
      <c r="AR349" s="1135"/>
      <c r="AS349" s="1178"/>
      <c r="AT349" s="1178"/>
      <c r="AU349" s="1300"/>
      <c r="AV349" s="1178"/>
      <c r="AW349" s="1178"/>
      <c r="AX349" s="1178"/>
      <c r="AY349" s="1178"/>
      <c r="AZ349" s="1178"/>
      <c r="BA349" s="1300"/>
      <c r="BB349" s="1178"/>
      <c r="BC349" s="1178"/>
      <c r="BD349" s="1178"/>
      <c r="BE349" s="1178"/>
      <c r="BF349" s="1178"/>
      <c r="BG349" s="1178"/>
      <c r="BH349" s="1178"/>
      <c r="BI349" s="1300"/>
      <c r="BJ349" s="1300"/>
      <c r="BK349" s="1300"/>
      <c r="BL349" s="1300"/>
      <c r="BM349" s="1300"/>
      <c r="BN349" s="1300"/>
      <c r="BO349" s="1300"/>
    </row>
    <row r="350" ht="15.75" customHeight="1">
      <c r="A350" s="1297" t="s">
        <v>8195</v>
      </c>
      <c r="B350" s="1298" t="s">
        <v>7501</v>
      </c>
      <c r="C350" s="1131" t="s">
        <v>8196</v>
      </c>
      <c r="D350" s="1178"/>
      <c r="E350" s="1178"/>
      <c r="F350" s="1094"/>
      <c r="G350" s="1040"/>
      <c r="H350" s="1022" t="s">
        <v>8196</v>
      </c>
      <c r="I350" s="1178"/>
      <c r="J350" s="1178"/>
      <c r="K350" s="1178"/>
      <c r="L350" s="1178"/>
      <c r="M350" s="1022" t="s">
        <v>8197</v>
      </c>
      <c r="N350" s="1178"/>
      <c r="O350" s="1178"/>
      <c r="P350" s="1133"/>
      <c r="Q350" s="1178"/>
      <c r="R350" s="1178"/>
      <c r="S350" s="1178"/>
      <c r="T350" s="1178"/>
      <c r="U350" s="1178"/>
      <c r="V350" s="1300"/>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0"/>
      <c r="AV350" s="1178"/>
      <c r="AW350" s="1178"/>
      <c r="AX350" s="1178"/>
      <c r="AY350" s="1178"/>
      <c r="AZ350" s="1178"/>
      <c r="BA350" s="1300"/>
      <c r="BB350" s="1178"/>
      <c r="BC350" s="1178"/>
      <c r="BD350" s="1178"/>
      <c r="BE350" s="1178"/>
      <c r="BF350" s="1178"/>
      <c r="BG350" s="1178"/>
      <c r="BH350" s="1178"/>
      <c r="BI350" s="1300"/>
      <c r="BJ350" s="1300"/>
      <c r="BK350" s="1300"/>
      <c r="BL350" s="1300"/>
      <c r="BM350" s="1300"/>
      <c r="BN350" s="1300"/>
      <c r="BO350" s="1300"/>
    </row>
    <row r="351" ht="15.75" customHeight="1">
      <c r="A351" s="1297" t="s">
        <v>8198</v>
      </c>
      <c r="B351" s="1298" t="s">
        <v>8199</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032"/>
      <c r="W351" s="1133"/>
      <c r="X351" s="1133"/>
      <c r="Y351" s="1133"/>
      <c r="Z351" s="1133"/>
      <c r="AA351" s="1133"/>
      <c r="AB351" s="1133"/>
      <c r="AC351" s="1133"/>
      <c r="AD351" s="1313" t="s">
        <v>3239</v>
      </c>
      <c r="AE351" s="1133"/>
      <c r="AF351" s="1133"/>
      <c r="AG351" s="1133"/>
      <c r="AH351" s="1133"/>
      <c r="AI351" s="1133"/>
      <c r="AJ351" s="1133"/>
      <c r="AK351" s="1173"/>
      <c r="AL351" s="1133"/>
      <c r="AM351" s="1133"/>
      <c r="AN351" s="1133"/>
      <c r="AO351" s="1133"/>
      <c r="AP351" s="1133"/>
      <c r="AQ351" s="1173"/>
      <c r="AR351" s="1173"/>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3" t="s">
        <v>8200</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032"/>
      <c r="W352" s="1133"/>
      <c r="X352" s="1133"/>
      <c r="Y352" s="1133" t="s">
        <v>889</v>
      </c>
      <c r="Z352" s="1313" t="s">
        <v>6151</v>
      </c>
      <c r="AA352" s="1133"/>
      <c r="AB352" s="1133"/>
      <c r="AC352" s="1133"/>
      <c r="AD352" s="1133"/>
      <c r="AE352" s="1133"/>
      <c r="AF352" s="1133"/>
      <c r="AG352" s="1133"/>
      <c r="AH352" s="1133"/>
      <c r="AI352" s="1133"/>
      <c r="AJ352" s="1133"/>
      <c r="AK352" s="1173"/>
      <c r="AL352" s="1133"/>
      <c r="AM352" s="1133"/>
      <c r="AN352" s="1133"/>
      <c r="AO352" s="1133"/>
      <c r="AP352" s="1133"/>
      <c r="AQ352" s="1173"/>
      <c r="AR352" s="1173"/>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8201</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300"/>
      <c r="W353" s="1040"/>
      <c r="X353" s="1040"/>
      <c r="Y353" s="1040"/>
      <c r="Z353" s="1040"/>
      <c r="AA353" s="1040"/>
      <c r="AB353" s="1040"/>
      <c r="AC353" s="1040"/>
      <c r="AD353" s="1040"/>
      <c r="AE353" s="1040"/>
      <c r="AF353" s="1040"/>
      <c r="AG353" s="1040"/>
      <c r="AH353" s="1040"/>
      <c r="AI353" s="1040"/>
      <c r="AJ353" s="1040"/>
      <c r="AK353" s="1173"/>
      <c r="AL353" s="1040"/>
      <c r="AM353" s="1040"/>
      <c r="AN353" s="1040"/>
      <c r="AO353" s="1040"/>
      <c r="AP353" s="1040"/>
      <c r="AQ353" s="1173"/>
      <c r="AR353" s="1173"/>
      <c r="AS353" s="1040"/>
      <c r="AT353" s="1040"/>
      <c r="AU353" s="1300"/>
      <c r="AV353" s="1040"/>
      <c r="AW353" s="1040"/>
      <c r="AX353" s="1040"/>
      <c r="AY353" s="1040"/>
      <c r="AZ353" s="1040"/>
      <c r="BA353" s="1300"/>
      <c r="BB353" s="1040"/>
      <c r="BC353" s="1040"/>
      <c r="BD353" s="1040"/>
      <c r="BE353" s="1040"/>
      <c r="BF353" s="1040"/>
      <c r="BG353" s="1040"/>
      <c r="BH353" s="1040"/>
      <c r="BI353" s="1300"/>
      <c r="BJ353" s="1300"/>
      <c r="BK353" s="1300"/>
      <c r="BL353" s="1300"/>
      <c r="BM353" s="1300"/>
      <c r="BN353" s="1300"/>
      <c r="BO353" s="1300"/>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C258"/>
    <hyperlink r:id="rId1208" ref="D258"/>
    <hyperlink r:id="rId1209" ref="J258"/>
    <hyperlink r:id="rId1210" ref="C259"/>
    <hyperlink r:id="rId1211" ref="D259"/>
    <hyperlink r:id="rId1212" ref="C260"/>
    <hyperlink r:id="rId1213" ref="E260"/>
    <hyperlink r:id="rId1214" ref="C261"/>
    <hyperlink r:id="rId1215" ref="D261"/>
    <hyperlink r:id="rId1216" ref="E261"/>
    <hyperlink r:id="rId1217" ref="G261"/>
    <hyperlink r:id="rId1218" ref="H261"/>
    <hyperlink r:id="rId1219" ref="J261"/>
    <hyperlink r:id="rId1220" ref="M261"/>
    <hyperlink r:id="rId1221" ref="O261"/>
    <hyperlink r:id="rId1222" ref="C262"/>
    <hyperlink r:id="rId1223" ref="D262"/>
    <hyperlink r:id="rId1224" ref="G262"/>
    <hyperlink r:id="rId1225" ref="L262"/>
    <hyperlink r:id="rId1226" ref="T262"/>
    <hyperlink r:id="rId1227" ref="X262"/>
    <hyperlink r:id="rId1228" ref="C263"/>
    <hyperlink r:id="rId1229" ref="AT263"/>
    <hyperlink r:id="rId1230" ref="C265"/>
    <hyperlink r:id="rId1231" ref="J265"/>
    <hyperlink r:id="rId1232" ref="V265"/>
    <hyperlink r:id="rId1233" ref="C266"/>
    <hyperlink r:id="rId1234" ref="F266"/>
    <hyperlink r:id="rId1235" ref="R266"/>
    <hyperlink r:id="rId1236" ref="T266"/>
    <hyperlink r:id="rId1237" ref="C267"/>
    <hyperlink r:id="rId1238" ref="J267"/>
    <hyperlink r:id="rId1239" ref="V267"/>
    <hyperlink r:id="rId1240" ref="C268"/>
    <hyperlink r:id="rId1241" ref="G268"/>
    <hyperlink r:id="rId1242" ref="I268"/>
    <hyperlink r:id="rId1243" ref="C269"/>
    <hyperlink r:id="rId1244" ref="E269"/>
    <hyperlink r:id="rId1245" ref="F269"/>
    <hyperlink r:id="rId1246" ref="H269"/>
    <hyperlink r:id="rId1247" ref="J269"/>
    <hyperlink r:id="rId1248" ref="O269"/>
    <hyperlink r:id="rId1249" ref="Z269"/>
    <hyperlink r:id="rId1250" ref="C270"/>
    <hyperlink r:id="rId1251" ref="E270"/>
    <hyperlink r:id="rId1252" ref="F270"/>
    <hyperlink r:id="rId1253" ref="Q270"/>
    <hyperlink r:id="rId1254" ref="C271"/>
    <hyperlink r:id="rId1255" ref="E271"/>
    <hyperlink r:id="rId1256" ref="F271"/>
    <hyperlink r:id="rId1257" ref="O271"/>
    <hyperlink r:id="rId1258" ref="AU271"/>
    <hyperlink r:id="rId1259" ref="C272"/>
    <hyperlink r:id="rId1260" ref="D272"/>
    <hyperlink r:id="rId1261" ref="E272"/>
    <hyperlink r:id="rId1262" ref="F272"/>
    <hyperlink r:id="rId1263" ref="G272"/>
    <hyperlink r:id="rId1264" ref="O272"/>
    <hyperlink r:id="rId1265" ref="U272"/>
    <hyperlink r:id="rId1266" ref="C273"/>
    <hyperlink r:id="rId1267" ref="F273"/>
    <hyperlink r:id="rId1268" ref="C274"/>
    <hyperlink r:id="rId1269" ref="G274"/>
    <hyperlink r:id="rId1270" ref="K274"/>
    <hyperlink r:id="rId1271" ref="M274"/>
    <hyperlink r:id="rId1272" ref="R274"/>
    <hyperlink r:id="rId1273" ref="C275"/>
    <hyperlink r:id="rId1274" ref="K275"/>
    <hyperlink r:id="rId1275" ref="T275"/>
    <hyperlink r:id="rId1276" ref="C276"/>
    <hyperlink r:id="rId1277" ref="K276"/>
    <hyperlink r:id="rId1278" ref="C277"/>
    <hyperlink r:id="rId1279" ref="D277"/>
    <hyperlink r:id="rId1280" ref="E277"/>
    <hyperlink r:id="rId1281" ref="F277"/>
    <hyperlink r:id="rId1282" ref="G277"/>
    <hyperlink r:id="rId1283" ref="H277"/>
    <hyperlink r:id="rId1284" ref="J277"/>
    <hyperlink r:id="rId1285" ref="K277"/>
    <hyperlink r:id="rId1286" ref="M277"/>
    <hyperlink r:id="rId1287" ref="O277"/>
    <hyperlink r:id="rId1288" ref="U277"/>
    <hyperlink r:id="rId1289" ref="C278"/>
    <hyperlink r:id="rId1290" ref="E278"/>
    <hyperlink r:id="rId1291" ref="F278"/>
    <hyperlink r:id="rId1292" ref="G278"/>
    <hyperlink r:id="rId1293" ref="J278"/>
    <hyperlink r:id="rId1294" ref="K278"/>
    <hyperlink r:id="rId1295" ref="AS278"/>
    <hyperlink r:id="rId1296" ref="C279"/>
    <hyperlink r:id="rId1297" ref="E279"/>
    <hyperlink r:id="rId1298" ref="F279"/>
    <hyperlink r:id="rId1299" ref="G279"/>
    <hyperlink r:id="rId1300" ref="J279"/>
    <hyperlink r:id="rId1301" ref="K279"/>
    <hyperlink r:id="rId1302" ref="O279"/>
    <hyperlink r:id="rId1303" ref="AS279"/>
    <hyperlink r:id="rId1304" ref="C280"/>
    <hyperlink r:id="rId1305" ref="D280"/>
    <hyperlink r:id="rId1306" ref="E280"/>
    <hyperlink r:id="rId1307" ref="F280"/>
    <hyperlink r:id="rId1308" ref="G280"/>
    <hyperlink r:id="rId1309" ref="J280"/>
    <hyperlink r:id="rId1310" ref="K280"/>
    <hyperlink r:id="rId1311" ref="O280"/>
    <hyperlink r:id="rId1312" ref="X280"/>
    <hyperlink r:id="rId1313" ref="AB280"/>
    <hyperlink r:id="rId1314" ref="C281"/>
    <hyperlink r:id="rId1315" ref="D281"/>
    <hyperlink r:id="rId1316" ref="E281"/>
    <hyperlink r:id="rId1317" ref="F281"/>
    <hyperlink r:id="rId1318" ref="G281"/>
    <hyperlink r:id="rId1319" ref="H281"/>
    <hyperlink r:id="rId1320" ref="O281"/>
    <hyperlink r:id="rId1321" ref="C282"/>
    <hyperlink r:id="rId1322" ref="D282"/>
    <hyperlink r:id="rId1323" ref="E282"/>
    <hyperlink r:id="rId1324" ref="F282"/>
    <hyperlink r:id="rId1325" ref="H282"/>
    <hyperlink r:id="rId1326" ref="L282"/>
    <hyperlink r:id="rId1327" ref="M282"/>
    <hyperlink r:id="rId1328" ref="O282"/>
    <hyperlink r:id="rId1329" ref="C283"/>
    <hyperlink r:id="rId1330" ref="E283"/>
    <hyperlink r:id="rId1331" ref="F283"/>
    <hyperlink r:id="rId1332" ref="G283"/>
    <hyperlink r:id="rId1333" ref="J283"/>
    <hyperlink r:id="rId1334" ref="O283"/>
    <hyperlink r:id="rId1335" ref="R283"/>
    <hyperlink r:id="rId1336" ref="T283"/>
    <hyperlink r:id="rId1337" ref="X283"/>
    <hyperlink r:id="rId1338" ref="Z283"/>
    <hyperlink r:id="rId1339" ref="AF283"/>
    <hyperlink r:id="rId1340" ref="C284"/>
    <hyperlink r:id="rId1341" ref="D284"/>
    <hyperlink r:id="rId1342" ref="E284"/>
    <hyperlink r:id="rId1343" ref="F284"/>
    <hyperlink r:id="rId1344" ref="G284"/>
    <hyperlink r:id="rId1345" ref="H284"/>
    <hyperlink r:id="rId1346" ref="I284"/>
    <hyperlink r:id="rId1347" ref="J284"/>
    <hyperlink r:id="rId1348" ref="O284"/>
    <hyperlink r:id="rId1349" ref="T284"/>
    <hyperlink r:id="rId1350" ref="X284"/>
    <hyperlink r:id="rId1351" ref="AG284"/>
    <hyperlink r:id="rId1352" ref="C285"/>
    <hyperlink r:id="rId1353" ref="F285"/>
    <hyperlink r:id="rId1354" ref="H285"/>
    <hyperlink r:id="rId1355" ref="C286"/>
    <hyperlink r:id="rId1356" ref="E286"/>
    <hyperlink r:id="rId1357" ref="G286"/>
    <hyperlink r:id="rId1358" ref="H286"/>
    <hyperlink r:id="rId1359" ref="U286"/>
    <hyperlink r:id="rId1360" ref="C287"/>
    <hyperlink r:id="rId1361" ref="D287"/>
    <hyperlink r:id="rId1362" ref="E287"/>
    <hyperlink r:id="rId1363" ref="F287"/>
    <hyperlink r:id="rId1364" ref="R287"/>
    <hyperlink r:id="rId1365" ref="T287"/>
    <hyperlink r:id="rId1366" ref="V287"/>
    <hyperlink r:id="rId1367" ref="AB287"/>
    <hyperlink r:id="rId1368" ref="C288"/>
    <hyperlink r:id="rId1369" ref="E288"/>
    <hyperlink r:id="rId1370" ref="F288"/>
    <hyperlink r:id="rId1371" ref="G288"/>
    <hyperlink r:id="rId1372" ref="J288"/>
    <hyperlink r:id="rId1373" ref="M288"/>
    <hyperlink r:id="rId1374" ref="O288"/>
    <hyperlink r:id="rId1375" ref="T288"/>
    <hyperlink r:id="rId1376" ref="X288"/>
    <hyperlink r:id="rId1377" ref="C289"/>
    <hyperlink r:id="rId1378" ref="D289"/>
    <hyperlink r:id="rId1379" ref="G289"/>
    <hyperlink r:id="rId1380" ref="C291"/>
    <hyperlink r:id="rId1381" ref="D291"/>
    <hyperlink r:id="rId1382" ref="C292"/>
    <hyperlink r:id="rId1383" ref="G292"/>
    <hyperlink r:id="rId1384" ref="I292"/>
    <hyperlink r:id="rId1385" ref="C293"/>
    <hyperlink r:id="rId1386" ref="G293"/>
    <hyperlink r:id="rId1387" ref="S293"/>
    <hyperlink r:id="rId1388" ref="C294"/>
    <hyperlink r:id="rId1389" ref="D294"/>
    <hyperlink r:id="rId1390" ref="G294"/>
    <hyperlink r:id="rId1391" ref="L294"/>
    <hyperlink r:id="rId1392" ref="C296"/>
    <hyperlink r:id="rId1393" ref="G296"/>
    <hyperlink r:id="rId1394" ref="U296"/>
    <hyperlink r:id="rId1395" ref="C297"/>
    <hyperlink r:id="rId1396" ref="E297"/>
    <hyperlink r:id="rId1397" ref="C298"/>
    <hyperlink r:id="rId1398" ref="D298"/>
    <hyperlink r:id="rId1399" ref="E298"/>
    <hyperlink r:id="rId1400" ref="F298"/>
    <hyperlink r:id="rId1401" ref="G298"/>
    <hyperlink r:id="rId1402" ref="H298"/>
    <hyperlink r:id="rId1403" ref="K298"/>
    <hyperlink r:id="rId1404" ref="O298"/>
    <hyperlink r:id="rId1405" ref="U298"/>
    <hyperlink r:id="rId1406" ref="C299"/>
    <hyperlink r:id="rId1407" ref="U299"/>
    <hyperlink r:id="rId1408" ref="C300"/>
    <hyperlink r:id="rId1409" ref="E300"/>
    <hyperlink r:id="rId1410" ref="C301"/>
    <hyperlink r:id="rId1411" ref="E301"/>
    <hyperlink r:id="rId1412" ref="F301"/>
    <hyperlink r:id="rId1413" ref="G301"/>
    <hyperlink r:id="rId1414" ref="O301"/>
    <hyperlink r:id="rId1415" ref="U301"/>
    <hyperlink r:id="rId1416" ref="C302"/>
    <hyperlink r:id="rId1417" ref="E302"/>
    <hyperlink r:id="rId1418" ref="K302"/>
    <hyperlink r:id="rId1419" ref="C303"/>
    <hyperlink r:id="rId1420" ref="D303"/>
    <hyperlink r:id="rId1421" ref="E303"/>
    <hyperlink r:id="rId1422" ref="F303"/>
    <hyperlink r:id="rId1423" ref="G303"/>
    <hyperlink r:id="rId1424" ref="H303"/>
    <hyperlink r:id="rId1425" ref="L303"/>
    <hyperlink r:id="rId1426" ref="O303"/>
    <hyperlink r:id="rId1427" ref="AA303"/>
    <hyperlink r:id="rId1428" ref="C304"/>
    <hyperlink r:id="rId1429" ref="E304"/>
    <hyperlink r:id="rId1430" ref="I304"/>
    <hyperlink r:id="rId1431" ref="C305"/>
    <hyperlink r:id="rId1432" ref="E305"/>
    <hyperlink r:id="rId1433" ref="I305"/>
    <hyperlink r:id="rId1434" ref="C308"/>
    <hyperlink r:id="rId1435" ref="I308"/>
    <hyperlink r:id="rId1436" ref="AG308"/>
    <hyperlink r:id="rId1437" ref="C310"/>
    <hyperlink r:id="rId1438" ref="E310"/>
    <hyperlink r:id="rId1439" ref="H310"/>
    <hyperlink r:id="rId1440" ref="AT310"/>
    <hyperlink r:id="rId1441" ref="C311"/>
    <hyperlink r:id="rId1442" ref="H311"/>
    <hyperlink r:id="rId1443" ref="C312"/>
    <hyperlink r:id="rId1444" ref="D312"/>
    <hyperlink r:id="rId1445" ref="I312"/>
    <hyperlink r:id="rId1446" ref="C313"/>
    <hyperlink r:id="rId1447" ref="I313"/>
    <hyperlink r:id="rId1448" ref="C320"/>
    <hyperlink r:id="rId1449" ref="I320"/>
    <hyperlink r:id="rId1450" ref="C322"/>
    <hyperlink r:id="rId1451" ref="C323"/>
    <hyperlink r:id="rId1452" ref="E323"/>
    <hyperlink r:id="rId1453" ref="C324"/>
    <hyperlink r:id="rId1454" ref="D324"/>
    <hyperlink r:id="rId1455" ref="E324"/>
    <hyperlink r:id="rId1456" ref="F324"/>
    <hyperlink r:id="rId1457" ref="R324"/>
    <hyperlink r:id="rId1458" ref="T324"/>
    <hyperlink r:id="rId1459" ref="Z324"/>
    <hyperlink r:id="rId1460" ref="AS324"/>
    <hyperlink r:id="rId1461" ref="C325"/>
    <hyperlink r:id="rId1462" ref="E325"/>
    <hyperlink r:id="rId1463" ref="C326"/>
    <hyperlink r:id="rId1464" ref="E326"/>
    <hyperlink r:id="rId1465" ref="F326"/>
    <hyperlink r:id="rId1466" ref="H326"/>
    <hyperlink r:id="rId1467" ref="R326"/>
    <hyperlink r:id="rId1468" ref="X326"/>
    <hyperlink r:id="rId1469" ref="Z326"/>
    <hyperlink r:id="rId1470" ref="AS326"/>
    <hyperlink r:id="rId1471" ref="C327"/>
    <hyperlink r:id="rId1472" ref="E327"/>
    <hyperlink r:id="rId1473" ref="F327"/>
    <hyperlink r:id="rId1474" ref="H327"/>
    <hyperlink r:id="rId1475" ref="J327"/>
    <hyperlink r:id="rId1476" ref="L327"/>
    <hyperlink r:id="rId1477" ref="M327"/>
    <hyperlink r:id="rId1478" ref="X327"/>
    <hyperlink r:id="rId1479" ref="Z327"/>
    <hyperlink r:id="rId1480" ref="C328"/>
    <hyperlink r:id="rId1481" ref="E328"/>
    <hyperlink r:id="rId1482" ref="C329"/>
    <hyperlink r:id="rId1483" ref="E329"/>
    <hyperlink r:id="rId1484" ref="F329"/>
    <hyperlink r:id="rId1485" ref="Z329"/>
    <hyperlink r:id="rId1486" ref="C330"/>
    <hyperlink r:id="rId1487" ref="E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F335"/>
    <hyperlink r:id="rId1499" ref="H335"/>
    <hyperlink r:id="rId1500" ref="C336"/>
    <hyperlink r:id="rId1501" ref="F336"/>
    <hyperlink r:id="rId1502" ref="H336"/>
    <hyperlink r:id="rId1503" ref="R336"/>
    <hyperlink r:id="rId1504" ref="T336"/>
    <hyperlink r:id="rId1505" ref="Z336"/>
    <hyperlink r:id="rId1506" ref="C339"/>
    <hyperlink r:id="rId1507" ref="F339"/>
    <hyperlink r:id="rId1508" ref="H339"/>
    <hyperlink r:id="rId1509" ref="J339"/>
    <hyperlink r:id="rId1510" ref="AD339"/>
    <hyperlink r:id="rId1511" ref="AJ339"/>
    <hyperlink r:id="rId1512" ref="C343"/>
    <hyperlink r:id="rId1513" ref="E343"/>
    <hyperlink r:id="rId1514" ref="C344"/>
    <hyperlink r:id="rId1515" ref="E344"/>
    <hyperlink r:id="rId1516" ref="F344"/>
    <hyperlink r:id="rId1517" ref="J344"/>
    <hyperlink r:id="rId1518" ref="C345"/>
    <hyperlink r:id="rId1519" ref="AQ345"/>
    <hyperlink r:id="rId1520" ref="C346"/>
    <hyperlink r:id="rId1521" ref="F346"/>
    <hyperlink r:id="rId1522" ref="H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8202</v>
      </c>
      <c r="C1" s="23" t="s">
        <v>10</v>
      </c>
      <c r="F1" s="23" t="s">
        <v>34</v>
      </c>
      <c r="H1" s="24" t="s">
        <v>35</v>
      </c>
      <c r="K1" s="26" t="s">
        <v>36</v>
      </c>
      <c r="O1" s="28" t="s">
        <v>7723</v>
      </c>
      <c r="R1" s="29" t="s">
        <v>38</v>
      </c>
      <c r="U1" s="30" t="s">
        <v>39</v>
      </c>
      <c r="X1" s="32" t="s">
        <v>7968</v>
      </c>
      <c r="AA1" s="33" t="s">
        <v>8034</v>
      </c>
      <c r="AD1" s="34" t="s">
        <v>42</v>
      </c>
      <c r="AG1" s="1314"/>
      <c r="AH1" s="1314"/>
    </row>
    <row r="2" ht="38.25" customHeight="1">
      <c r="A2" s="35" t="s">
        <v>43</v>
      </c>
      <c r="B2" s="36" t="s">
        <v>44</v>
      </c>
      <c r="C2" s="36" t="s">
        <v>45</v>
      </c>
      <c r="F2" s="36" t="s">
        <v>8203</v>
      </c>
      <c r="H2" s="1315" t="s">
        <v>8204</v>
      </c>
      <c r="I2" s="1316"/>
      <c r="J2" s="1316"/>
      <c r="K2" s="1317" t="s">
        <v>8205</v>
      </c>
      <c r="L2" s="1318" t="s">
        <v>8206</v>
      </c>
      <c r="M2" s="1317" t="s">
        <v>8207</v>
      </c>
      <c r="N2" s="1317" t="s">
        <v>8208</v>
      </c>
      <c r="O2" s="1319" t="s">
        <v>8209</v>
      </c>
      <c r="P2" s="1319" t="s">
        <v>8210</v>
      </c>
      <c r="Q2" s="1319"/>
      <c r="R2" s="42" t="s">
        <v>48</v>
      </c>
      <c r="S2" s="42" t="s">
        <v>8211</v>
      </c>
      <c r="T2" s="42"/>
      <c r="U2" s="44" t="s">
        <v>50</v>
      </c>
      <c r="V2" s="44" t="s">
        <v>54</v>
      </c>
      <c r="W2" s="44" t="s">
        <v>62</v>
      </c>
      <c r="X2" s="45" t="s">
        <v>52</v>
      </c>
      <c r="Y2" s="45"/>
      <c r="Z2" s="45"/>
      <c r="AA2" s="47" t="s">
        <v>51</v>
      </c>
      <c r="AB2" s="1320" t="s">
        <v>8212</v>
      </c>
      <c r="AC2" s="47"/>
      <c r="AD2" s="1321" t="s">
        <v>8213</v>
      </c>
      <c r="AE2" s="1321"/>
      <c r="AF2" s="1321"/>
      <c r="AG2" s="1322"/>
      <c r="AH2" s="1322"/>
    </row>
    <row r="3">
      <c r="A3" s="1323" t="s">
        <v>4258</v>
      </c>
      <c r="B3" s="1324" t="s">
        <v>6313</v>
      </c>
      <c r="C3" s="1325" t="s">
        <v>546</v>
      </c>
      <c r="D3" s="1326" t="s">
        <v>546</v>
      </c>
      <c r="E3" s="1327" t="s">
        <v>437</v>
      </c>
      <c r="F3" s="1328" t="s">
        <v>332</v>
      </c>
      <c r="G3" s="1324" t="s">
        <v>332</v>
      </c>
      <c r="H3" s="1329"/>
      <c r="I3" s="1330"/>
      <c r="J3" s="1331"/>
      <c r="K3" s="1332"/>
      <c r="L3" s="981"/>
      <c r="M3" s="981"/>
      <c r="N3" s="981"/>
      <c r="O3" s="981"/>
      <c r="P3" s="981"/>
      <c r="Q3" s="1333"/>
      <c r="R3" s="1334" t="s">
        <v>6307</v>
      </c>
      <c r="S3" s="1329"/>
      <c r="T3" s="1329"/>
      <c r="U3" s="1335" t="s">
        <v>7961</v>
      </c>
      <c r="V3" s="1333"/>
      <c r="W3" s="1333"/>
      <c r="X3" s="1335" t="s">
        <v>8214</v>
      </c>
      <c r="Y3" s="1333"/>
      <c r="Z3" s="1333"/>
      <c r="AA3" s="1336" t="s">
        <v>8215</v>
      </c>
      <c r="AB3" s="1333"/>
      <c r="AC3" s="981"/>
      <c r="AD3" s="1333"/>
      <c r="AE3" s="1333"/>
      <c r="AF3" s="1333"/>
      <c r="AG3" s="1337"/>
      <c r="AH3" s="1337"/>
    </row>
    <row r="4">
      <c r="A4" s="1338" t="s">
        <v>5226</v>
      </c>
      <c r="B4" s="1324" t="s">
        <v>2680</v>
      </c>
      <c r="C4" s="1325" t="s">
        <v>546</v>
      </c>
      <c r="D4" s="1326" t="s">
        <v>546</v>
      </c>
      <c r="E4" s="1327" t="s">
        <v>546</v>
      </c>
      <c r="F4" s="1328" t="s">
        <v>332</v>
      </c>
      <c r="G4" s="1324" t="s">
        <v>332</v>
      </c>
      <c r="H4" s="981"/>
      <c r="I4" s="97"/>
      <c r="J4" s="92"/>
      <c r="K4" s="981"/>
      <c r="L4" s="981"/>
      <c r="M4" s="981"/>
      <c r="N4" s="981"/>
      <c r="O4" s="981"/>
      <c r="P4" s="981"/>
      <c r="Q4" s="1333"/>
      <c r="R4" s="1339" t="s">
        <v>6100</v>
      </c>
      <c r="S4" s="981"/>
      <c r="T4" s="981"/>
      <c r="U4" s="1340" t="s">
        <v>2116</v>
      </c>
      <c r="V4" s="1333"/>
      <c r="W4" s="1333"/>
      <c r="X4" s="1334" t="s">
        <v>8216</v>
      </c>
      <c r="Y4" s="1333"/>
      <c r="Z4" s="1333"/>
      <c r="AA4" s="983" t="s">
        <v>1243</v>
      </c>
      <c r="AB4" s="1333"/>
      <c r="AC4" s="981"/>
      <c r="AD4" s="1333"/>
      <c r="AE4" s="1333"/>
      <c r="AF4" s="1333"/>
      <c r="AG4" s="1337"/>
      <c r="AH4" s="1337"/>
    </row>
    <row r="5">
      <c r="A5" s="1323" t="s">
        <v>4048</v>
      </c>
      <c r="B5" s="1324" t="s">
        <v>333</v>
      </c>
      <c r="C5" s="1325" t="s">
        <v>1256</v>
      </c>
      <c r="D5" s="1326" t="s">
        <v>546</v>
      </c>
      <c r="E5" s="1327" t="s">
        <v>1256</v>
      </c>
      <c r="F5" s="1328" t="s">
        <v>647</v>
      </c>
      <c r="G5" s="1324" t="s">
        <v>334</v>
      </c>
      <c r="H5" s="981"/>
      <c r="I5" s="97"/>
      <c r="J5" s="92"/>
      <c r="K5" s="981"/>
      <c r="L5" s="981"/>
      <c r="M5" s="981"/>
      <c r="N5" s="981"/>
      <c r="O5" s="981"/>
      <c r="P5" s="981"/>
      <c r="Q5" s="1333"/>
      <c r="R5" s="1340" t="s">
        <v>4512</v>
      </c>
      <c r="S5" s="1341" t="s">
        <v>1750</v>
      </c>
      <c r="T5" s="981"/>
      <c r="U5" s="983" t="s">
        <v>1037</v>
      </c>
      <c r="V5" s="1333"/>
      <c r="W5" s="1333"/>
      <c r="X5" s="983" t="s">
        <v>8217</v>
      </c>
      <c r="Y5" s="1333"/>
      <c r="Z5" s="1333"/>
      <c r="AA5" s="1342" t="s">
        <v>8218</v>
      </c>
      <c r="AB5" s="1333"/>
      <c r="AC5" s="981"/>
      <c r="AD5" s="1333"/>
      <c r="AE5" s="1333"/>
      <c r="AF5" s="1333"/>
      <c r="AG5" s="1337"/>
      <c r="AH5" s="1337"/>
    </row>
    <row r="6">
      <c r="A6" s="1323" t="s">
        <v>2460</v>
      </c>
      <c r="B6" s="1324" t="s">
        <v>333</v>
      </c>
      <c r="C6" s="1325" t="s">
        <v>546</v>
      </c>
      <c r="D6" s="1326" t="s">
        <v>546</v>
      </c>
      <c r="E6" s="1327" t="s">
        <v>1256</v>
      </c>
      <c r="F6" s="1328" t="s">
        <v>647</v>
      </c>
      <c r="G6" s="1324" t="s">
        <v>647</v>
      </c>
      <c r="H6" s="981"/>
      <c r="I6" s="97"/>
      <c r="J6" s="1331"/>
      <c r="K6" s="981"/>
      <c r="L6" s="981"/>
      <c r="M6" s="981"/>
      <c r="N6" s="981"/>
      <c r="O6" s="981"/>
      <c r="P6" s="981"/>
      <c r="Q6" s="1333"/>
      <c r="R6" s="1333"/>
      <c r="S6" s="981"/>
      <c r="T6" s="981"/>
      <c r="U6" s="1343" t="s">
        <v>1648</v>
      </c>
      <c r="V6" s="97"/>
      <c r="W6" s="1059" t="s">
        <v>7310</v>
      </c>
      <c r="X6" s="981"/>
      <c r="Y6" s="1333"/>
      <c r="Z6" s="1333"/>
      <c r="AA6" s="981"/>
      <c r="AB6" s="1333"/>
      <c r="AC6" s="981"/>
      <c r="AD6" s="983" t="s">
        <v>217</v>
      </c>
      <c r="AE6" s="1333"/>
      <c r="AF6" s="1333"/>
      <c r="AG6" s="1337"/>
      <c r="AH6" s="1337"/>
    </row>
    <row r="7">
      <c r="A7" s="1323" t="s">
        <v>979</v>
      </c>
      <c r="B7" s="1324" t="s">
        <v>3291</v>
      </c>
      <c r="C7" s="1325" t="s">
        <v>437</v>
      </c>
      <c r="D7" s="1326" t="s">
        <v>546</v>
      </c>
      <c r="E7" s="1327" t="s">
        <v>1256</v>
      </c>
      <c r="F7" s="1328" t="s">
        <v>647</v>
      </c>
      <c r="G7" s="1324" t="s">
        <v>647</v>
      </c>
      <c r="H7" s="981"/>
      <c r="I7" s="97"/>
      <c r="J7" s="92"/>
      <c r="K7" s="1329"/>
      <c r="L7" s="1329"/>
      <c r="M7" s="1329"/>
      <c r="N7" s="980"/>
      <c r="O7" s="1344"/>
      <c r="P7" s="981"/>
      <c r="Q7" s="1333"/>
      <c r="R7" s="1333"/>
      <c r="S7" s="1340" t="s">
        <v>8219</v>
      </c>
      <c r="T7" s="981"/>
      <c r="U7" s="1333"/>
      <c r="V7" s="1333"/>
      <c r="W7" s="1333"/>
      <c r="X7" s="981"/>
      <c r="Y7" s="1333"/>
      <c r="Z7" s="1333"/>
      <c r="AA7" s="1334" t="s">
        <v>8220</v>
      </c>
      <c r="AB7" s="1334" t="s">
        <v>6439</v>
      </c>
      <c r="AC7" s="981"/>
      <c r="AD7" s="1333"/>
      <c r="AE7" s="1333"/>
      <c r="AF7" s="1333"/>
      <c r="AG7" s="1337"/>
      <c r="AH7" s="1337"/>
    </row>
    <row r="8">
      <c r="A8" s="1323" t="s">
        <v>1056</v>
      </c>
      <c r="B8" s="1324" t="s">
        <v>3291</v>
      </c>
      <c r="C8" s="1325" t="s">
        <v>546</v>
      </c>
      <c r="D8" s="1326" t="s">
        <v>437</v>
      </c>
      <c r="E8" s="1327" t="s">
        <v>546</v>
      </c>
      <c r="F8" s="1328" t="s">
        <v>332</v>
      </c>
      <c r="G8" s="1324" t="s">
        <v>332</v>
      </c>
      <c r="H8" s="981"/>
      <c r="I8" s="97"/>
      <c r="J8" s="92"/>
      <c r="K8" s="1340" t="s">
        <v>8221</v>
      </c>
      <c r="L8" s="1339" t="s">
        <v>6271</v>
      </c>
      <c r="M8" s="981"/>
      <c r="N8" s="981"/>
      <c r="O8" s="981"/>
      <c r="P8" s="1340" t="s">
        <v>8222</v>
      </c>
      <c r="Q8" s="1333"/>
      <c r="R8" s="1333"/>
      <c r="S8" s="981"/>
      <c r="T8" s="981"/>
      <c r="U8" s="1333"/>
      <c r="V8" s="1333"/>
      <c r="W8" s="1333"/>
      <c r="X8" s="1334" t="s">
        <v>8216</v>
      </c>
      <c r="Y8" s="1333"/>
      <c r="Z8" s="1333"/>
      <c r="AA8" s="981"/>
      <c r="AB8" s="1333"/>
      <c r="AC8" s="981"/>
      <c r="AD8" s="1333"/>
      <c r="AE8" s="1333"/>
      <c r="AF8" s="1333"/>
      <c r="AG8" s="1337"/>
      <c r="AH8" s="1337"/>
    </row>
    <row r="9">
      <c r="A9" s="987" t="s">
        <v>7450</v>
      </c>
      <c r="B9" s="1324" t="s">
        <v>981</v>
      </c>
      <c r="C9" s="1325" t="s">
        <v>1256</v>
      </c>
      <c r="D9" s="1326" t="s">
        <v>1256</v>
      </c>
      <c r="E9" s="1327" t="s">
        <v>1256</v>
      </c>
      <c r="F9" s="1328" t="s">
        <v>332</v>
      </c>
      <c r="G9" s="1324" t="s">
        <v>332</v>
      </c>
      <c r="H9" s="1329"/>
      <c r="I9" s="1330"/>
      <c r="J9" s="1331"/>
      <c r="K9" s="1332"/>
      <c r="L9" s="1332"/>
      <c r="M9" s="1332"/>
      <c r="N9" s="1345"/>
      <c r="O9" s="1345"/>
      <c r="P9" s="1345"/>
      <c r="Q9" s="1346"/>
      <c r="R9" s="983" t="s">
        <v>358</v>
      </c>
      <c r="S9" s="1329"/>
      <c r="T9" s="1329"/>
      <c r="U9" s="1347" t="s">
        <v>1779</v>
      </c>
      <c r="V9" s="1333"/>
      <c r="W9" s="1333"/>
      <c r="X9" s="1347" t="s">
        <v>643</v>
      </c>
      <c r="Y9" s="1346"/>
      <c r="Z9" s="1346"/>
      <c r="AA9" s="1347" t="s">
        <v>7845</v>
      </c>
      <c r="AB9" s="1346"/>
      <c r="AC9" s="1345"/>
      <c r="AD9" s="1333"/>
      <c r="AE9" s="1346"/>
      <c r="AF9" s="1346"/>
      <c r="AG9" s="1348"/>
      <c r="AH9" s="1348"/>
    </row>
    <row r="10">
      <c r="A10" s="865" t="s">
        <v>897</v>
      </c>
      <c r="B10" s="1324" t="s">
        <v>1197</v>
      </c>
      <c r="C10" s="1325" t="s">
        <v>1256</v>
      </c>
      <c r="D10" s="1326" t="s">
        <v>546</v>
      </c>
      <c r="E10" s="1327" t="s">
        <v>1256</v>
      </c>
      <c r="F10" s="1328" t="s">
        <v>437</v>
      </c>
      <c r="G10" s="1324" t="s">
        <v>437</v>
      </c>
      <c r="H10" s="1349"/>
      <c r="I10" s="97"/>
      <c r="J10" s="92"/>
      <c r="K10" s="981"/>
      <c r="L10" s="981"/>
      <c r="M10" s="981"/>
      <c r="N10" s="981"/>
      <c r="O10" s="981"/>
      <c r="P10" s="981"/>
      <c r="Q10" s="1333"/>
      <c r="R10" s="1350"/>
      <c r="S10" s="1349"/>
      <c r="T10" s="1349"/>
      <c r="U10" s="1351"/>
      <c r="V10" s="97"/>
      <c r="W10" s="1340" t="s">
        <v>3196</v>
      </c>
      <c r="X10" s="981"/>
      <c r="Y10" s="1333"/>
      <c r="Z10" s="1333"/>
      <c r="AA10" s="981"/>
      <c r="AB10" s="1333"/>
      <c r="AC10" s="981"/>
      <c r="AD10" s="1340" t="s">
        <v>8223</v>
      </c>
      <c r="AE10" s="1333"/>
      <c r="AF10" s="1333"/>
      <c r="AG10" s="1337"/>
      <c r="AH10" s="1337"/>
    </row>
    <row r="11">
      <c r="A11" s="865" t="s">
        <v>435</v>
      </c>
      <c r="B11" s="1324" t="s">
        <v>438</v>
      </c>
      <c r="C11" s="1325" t="s">
        <v>546</v>
      </c>
      <c r="D11" s="1326" t="s">
        <v>1256</v>
      </c>
      <c r="E11" s="1327" t="s">
        <v>1256</v>
      </c>
      <c r="F11" s="1328" t="s">
        <v>546</v>
      </c>
      <c r="G11" s="1324" t="s">
        <v>546</v>
      </c>
      <c r="H11" s="981"/>
      <c r="I11" s="97"/>
      <c r="J11" s="92"/>
      <c r="K11" s="981"/>
      <c r="L11" s="981"/>
      <c r="M11" s="981"/>
      <c r="N11" s="981"/>
      <c r="O11" s="981"/>
      <c r="P11" s="981"/>
      <c r="Q11" s="1333"/>
      <c r="R11" s="1333"/>
      <c r="S11" s="981"/>
      <c r="T11" s="981"/>
      <c r="U11" s="1333"/>
      <c r="V11" s="97"/>
      <c r="W11" s="1333"/>
      <c r="X11" s="981"/>
      <c r="Y11" s="1333"/>
      <c r="Z11" s="1333"/>
      <c r="AA11" s="981"/>
      <c r="AB11" s="1333"/>
      <c r="AC11" s="981"/>
      <c r="AD11" s="1352" t="s">
        <v>7880</v>
      </c>
      <c r="AE11" s="1333"/>
      <c r="AF11" s="1333"/>
      <c r="AG11" s="1337"/>
      <c r="AH11" s="1337"/>
    </row>
    <row r="12">
      <c r="A12" s="987" t="s">
        <v>4539</v>
      </c>
      <c r="B12" s="1324" t="s">
        <v>438</v>
      </c>
      <c r="C12" s="1325" t="s">
        <v>546</v>
      </c>
      <c r="D12" s="1326" t="s">
        <v>1256</v>
      </c>
      <c r="E12" s="1327" t="s">
        <v>1256</v>
      </c>
      <c r="F12" s="1328" t="s">
        <v>546</v>
      </c>
      <c r="G12" s="1324" t="s">
        <v>546</v>
      </c>
      <c r="H12" s="981"/>
      <c r="I12" s="97"/>
      <c r="J12" s="92"/>
      <c r="K12" s="981"/>
      <c r="L12" s="981"/>
      <c r="M12" s="981"/>
      <c r="N12" s="981"/>
      <c r="O12" s="981"/>
      <c r="P12" s="981"/>
      <c r="Q12" s="1333"/>
      <c r="R12" s="1333"/>
      <c r="S12" s="981"/>
      <c r="T12" s="981"/>
      <c r="U12" s="1351"/>
      <c r="V12" s="1333"/>
      <c r="W12" s="983" t="s">
        <v>8224</v>
      </c>
      <c r="X12" s="981"/>
      <c r="Y12" s="1333"/>
      <c r="Z12" s="1333"/>
      <c r="AA12" s="981"/>
      <c r="AB12" s="1333"/>
      <c r="AC12" s="981"/>
      <c r="AD12" s="1333"/>
      <c r="AE12" s="1333"/>
      <c r="AF12" s="1333"/>
      <c r="AG12" s="1337"/>
      <c r="AH12" s="1337"/>
    </row>
    <row r="13">
      <c r="A13" s="1323" t="s">
        <v>8225</v>
      </c>
      <c r="B13" s="1324" t="s">
        <v>438</v>
      </c>
      <c r="C13" s="1325" t="s">
        <v>647</v>
      </c>
      <c r="D13" s="1326" t="s">
        <v>1256</v>
      </c>
      <c r="E13" s="1327" t="s">
        <v>1256</v>
      </c>
      <c r="F13" s="1328" t="s">
        <v>647</v>
      </c>
      <c r="G13" s="1324" t="s">
        <v>647</v>
      </c>
      <c r="H13" s="981"/>
      <c r="I13" s="97"/>
      <c r="J13" s="92"/>
      <c r="K13" s="1334" t="s">
        <v>8226</v>
      </c>
      <c r="L13" s="1334" t="s">
        <v>8227</v>
      </c>
      <c r="M13" s="1334" t="s">
        <v>639</v>
      </c>
      <c r="N13" s="981"/>
      <c r="O13" s="981"/>
      <c r="P13" s="981"/>
      <c r="Q13" s="1333"/>
      <c r="R13" s="1333"/>
      <c r="S13" s="981"/>
      <c r="T13" s="981"/>
      <c r="U13" s="1333"/>
      <c r="V13" s="1333"/>
      <c r="W13" s="1333"/>
      <c r="X13" s="981"/>
      <c r="Y13" s="1333"/>
      <c r="Z13" s="1333"/>
      <c r="AA13" s="941"/>
      <c r="AB13" s="1333"/>
      <c r="AC13" s="981"/>
      <c r="AD13" s="1333"/>
      <c r="AE13" s="1333"/>
      <c r="AF13" s="1333"/>
      <c r="AG13" s="1337"/>
      <c r="AH13" s="1337"/>
    </row>
    <row r="14">
      <c r="A14" s="1323" t="s">
        <v>2713</v>
      </c>
      <c r="B14" s="1324" t="s">
        <v>334</v>
      </c>
      <c r="C14" s="1325" t="s">
        <v>1256</v>
      </c>
      <c r="D14" s="1326" t="s">
        <v>1256</v>
      </c>
      <c r="E14" s="1327" t="s">
        <v>546</v>
      </c>
      <c r="F14" s="1328" t="s">
        <v>437</v>
      </c>
      <c r="G14" s="1324" t="s">
        <v>437</v>
      </c>
      <c r="H14" s="981"/>
      <c r="I14" s="97"/>
      <c r="J14" s="92"/>
      <c r="K14" s="981"/>
      <c r="L14" s="983" t="s">
        <v>6827</v>
      </c>
      <c r="M14" s="981"/>
      <c r="N14" s="981"/>
      <c r="O14" s="981"/>
      <c r="P14" s="981"/>
      <c r="Q14" s="1333"/>
      <c r="R14" s="1333"/>
      <c r="S14" s="981"/>
      <c r="T14" s="981"/>
      <c r="U14" s="1333"/>
      <c r="V14" s="1333"/>
      <c r="W14" s="1333"/>
      <c r="X14" s="981"/>
      <c r="Y14" s="1333"/>
      <c r="Z14" s="1333"/>
      <c r="AA14" s="1339" t="s">
        <v>1102</v>
      </c>
      <c r="AB14" s="1333"/>
      <c r="AC14" s="981"/>
      <c r="AD14" s="1333"/>
      <c r="AE14" s="1333"/>
      <c r="AF14" s="1333"/>
      <c r="AG14" s="1337"/>
      <c r="AH14" s="1337"/>
    </row>
    <row r="15">
      <c r="A15" s="1323" t="s">
        <v>1124</v>
      </c>
      <c r="B15" s="1324" t="s">
        <v>332</v>
      </c>
      <c r="C15" s="1325" t="s">
        <v>1256</v>
      </c>
      <c r="D15" s="1326" t="s">
        <v>1256</v>
      </c>
      <c r="E15" s="1327" t="s">
        <v>546</v>
      </c>
      <c r="F15" s="1328" t="s">
        <v>546</v>
      </c>
      <c r="G15" s="1324" t="s">
        <v>546</v>
      </c>
      <c r="H15" s="981"/>
      <c r="I15" s="97"/>
      <c r="J15" s="92"/>
      <c r="K15" s="1329"/>
      <c r="L15" s="980"/>
      <c r="M15" s="980"/>
      <c r="N15" s="1344"/>
      <c r="O15" s="981"/>
      <c r="P15" s="981"/>
      <c r="Q15" s="1333"/>
      <c r="R15" s="1333"/>
      <c r="S15" s="981"/>
      <c r="T15" s="981"/>
      <c r="U15" s="1333"/>
      <c r="V15" s="97"/>
      <c r="W15" s="1333"/>
      <c r="X15" s="981"/>
      <c r="Y15" s="1333"/>
      <c r="Z15" s="1333"/>
      <c r="AA15" s="981"/>
      <c r="AB15" s="1333"/>
      <c r="AC15" s="981"/>
      <c r="AD15" s="1339" t="s">
        <v>8228</v>
      </c>
      <c r="AE15" s="1333"/>
      <c r="AF15" s="1333"/>
      <c r="AG15" s="1337"/>
      <c r="AH15" s="1337"/>
    </row>
    <row r="16">
      <c r="A16" s="1323" t="s">
        <v>644</v>
      </c>
      <c r="B16" s="1324" t="s">
        <v>332</v>
      </c>
      <c r="C16" s="1325" t="s">
        <v>1256</v>
      </c>
      <c r="D16" s="1326" t="s">
        <v>1256</v>
      </c>
      <c r="E16" s="1327" t="s">
        <v>546</v>
      </c>
      <c r="F16" s="1328" t="s">
        <v>546</v>
      </c>
      <c r="G16" s="1324" t="s">
        <v>546</v>
      </c>
      <c r="H16" s="981"/>
      <c r="I16" s="97"/>
      <c r="J16" s="92"/>
      <c r="K16" s="981"/>
      <c r="L16" s="981"/>
      <c r="M16" s="981"/>
      <c r="N16" s="981"/>
      <c r="O16" s="981"/>
      <c r="P16" s="981"/>
      <c r="Q16" s="1333"/>
      <c r="R16" s="1333"/>
      <c r="S16" s="981"/>
      <c r="T16" s="981"/>
      <c r="U16" s="1351"/>
      <c r="V16" s="97"/>
      <c r="W16" s="983" t="s">
        <v>5712</v>
      </c>
      <c r="X16" s="981"/>
      <c r="Y16" s="1333"/>
      <c r="Z16" s="1333"/>
      <c r="AA16" s="981"/>
      <c r="AB16" s="1333"/>
      <c r="AC16" s="981"/>
      <c r="AD16" s="1333"/>
      <c r="AE16" s="1333"/>
      <c r="AF16" s="1333"/>
      <c r="AG16" s="1337"/>
      <c r="AH16" s="1337"/>
    </row>
    <row r="17">
      <c r="A17" s="1323" t="s">
        <v>8229</v>
      </c>
      <c r="B17" s="1324" t="s">
        <v>332</v>
      </c>
      <c r="C17" s="1325" t="s">
        <v>546</v>
      </c>
      <c r="D17" s="1326" t="s">
        <v>1256</v>
      </c>
      <c r="E17" s="1327" t="s">
        <v>1256</v>
      </c>
      <c r="F17" s="1328" t="s">
        <v>546</v>
      </c>
      <c r="G17" s="1324" t="s">
        <v>546</v>
      </c>
      <c r="H17" s="981"/>
      <c r="I17" s="97"/>
      <c r="J17" s="92"/>
      <c r="K17" s="981"/>
      <c r="L17" s="981"/>
      <c r="M17" s="981"/>
      <c r="N17" s="981"/>
      <c r="O17" s="981"/>
      <c r="P17" s="981"/>
      <c r="Q17" s="1333"/>
      <c r="R17" s="1333"/>
      <c r="S17" s="1334" t="s">
        <v>5284</v>
      </c>
      <c r="T17" s="981"/>
      <c r="U17" s="1333"/>
      <c r="V17" s="1333"/>
      <c r="W17" s="1333"/>
      <c r="X17" s="981"/>
      <c r="Y17" s="1333"/>
      <c r="Z17" s="1333"/>
      <c r="AA17" s="981"/>
      <c r="AB17" s="1333"/>
      <c r="AC17" s="981"/>
      <c r="AD17" s="1333"/>
      <c r="AE17" s="1333"/>
      <c r="AF17" s="1333"/>
      <c r="AG17" s="1337"/>
      <c r="AH17" s="1337"/>
    </row>
    <row r="18">
      <c r="A18" s="1323" t="s">
        <v>8230</v>
      </c>
      <c r="B18" s="1324" t="s">
        <v>647</v>
      </c>
      <c r="C18" s="1325" t="s">
        <v>546</v>
      </c>
      <c r="D18" s="1326" t="s">
        <v>1256</v>
      </c>
      <c r="E18" s="1327" t="s">
        <v>1256</v>
      </c>
      <c r="F18" s="1328" t="s">
        <v>546</v>
      </c>
      <c r="G18" s="1324" t="s">
        <v>546</v>
      </c>
      <c r="H18" s="981"/>
      <c r="I18" s="97"/>
      <c r="J18" s="92"/>
      <c r="K18" s="981"/>
      <c r="L18" s="1334" t="s">
        <v>8227</v>
      </c>
      <c r="M18" s="981"/>
      <c r="N18" s="981"/>
      <c r="O18" s="981"/>
      <c r="P18" s="981"/>
      <c r="Q18" s="1333"/>
      <c r="R18" s="1333"/>
      <c r="S18" s="981"/>
      <c r="T18" s="981"/>
      <c r="U18" s="1333"/>
      <c r="V18" s="1333"/>
      <c r="W18" s="1333"/>
      <c r="X18" s="981"/>
      <c r="Y18" s="1333"/>
      <c r="Z18" s="1333"/>
      <c r="AA18" s="981"/>
      <c r="AB18" s="1333"/>
      <c r="AC18" s="981"/>
      <c r="AD18" s="1333"/>
      <c r="AE18" s="1333"/>
      <c r="AF18" s="1333"/>
      <c r="AG18" s="1337"/>
      <c r="AH18" s="1337"/>
    </row>
    <row r="19">
      <c r="A19" s="987" t="s">
        <v>5274</v>
      </c>
      <c r="B19" s="1324" t="s">
        <v>647</v>
      </c>
      <c r="C19" s="1325" t="s">
        <v>1256</v>
      </c>
      <c r="D19" s="1326" t="s">
        <v>1256</v>
      </c>
      <c r="E19" s="1327" t="s">
        <v>1256</v>
      </c>
      <c r="F19" s="1328" t="s">
        <v>647</v>
      </c>
      <c r="G19" s="1324" t="s">
        <v>647</v>
      </c>
      <c r="H19" s="1329"/>
      <c r="I19" s="1331"/>
      <c r="J19" s="1331"/>
      <c r="K19" s="1332"/>
      <c r="L19" s="1332"/>
      <c r="M19" s="1332"/>
      <c r="N19" s="1332"/>
      <c r="O19" s="1332"/>
      <c r="P19" s="1332"/>
      <c r="Q19" s="1332"/>
      <c r="R19" s="983" t="s">
        <v>3741</v>
      </c>
      <c r="S19" s="1329"/>
      <c r="T19" s="1329"/>
      <c r="U19" s="1347" t="s">
        <v>7610</v>
      </c>
      <c r="V19" s="981"/>
      <c r="W19" s="981"/>
      <c r="X19" s="1347" t="s">
        <v>1344</v>
      </c>
      <c r="Y19" s="1332"/>
      <c r="Z19" s="1332"/>
      <c r="AA19" s="1345"/>
      <c r="AB19" s="1332"/>
      <c r="AC19" s="1332"/>
      <c r="AD19" s="980"/>
      <c r="AE19" s="1353"/>
      <c r="AF19" s="1353"/>
      <c r="AG19" s="1354"/>
      <c r="AH19" s="1355"/>
    </row>
    <row r="20">
      <c r="A20" s="865" t="s">
        <v>1413</v>
      </c>
      <c r="B20" s="1324" t="s">
        <v>647</v>
      </c>
      <c r="C20" s="1325" t="s">
        <v>1256</v>
      </c>
      <c r="D20" s="1326" t="s">
        <v>1256</v>
      </c>
      <c r="E20" s="1327" t="s">
        <v>1256</v>
      </c>
      <c r="F20" s="1328" t="s">
        <v>546</v>
      </c>
      <c r="G20" s="1324" t="s">
        <v>546</v>
      </c>
      <c r="H20" s="981"/>
      <c r="I20" s="97"/>
      <c r="J20" s="92"/>
      <c r="K20" s="981"/>
      <c r="L20" s="1329"/>
      <c r="M20" s="1329"/>
      <c r="N20" s="1329"/>
      <c r="O20" s="1329"/>
      <c r="P20" s="981"/>
      <c r="Q20" s="1333"/>
      <c r="R20" s="1333"/>
      <c r="S20" s="981"/>
      <c r="T20" s="981"/>
      <c r="U20" s="1333"/>
      <c r="V20" s="97"/>
      <c r="W20" s="1333"/>
      <c r="X20" s="981"/>
      <c r="Y20" s="1333"/>
      <c r="Z20" s="1333"/>
      <c r="AA20" s="981"/>
      <c r="AB20" s="1342"/>
      <c r="AC20" s="981"/>
      <c r="AD20" s="1059" t="s">
        <v>8231</v>
      </c>
      <c r="AE20" s="1333"/>
      <c r="AF20" s="1333"/>
      <c r="AG20" s="1337"/>
      <c r="AH20" s="1337"/>
    </row>
    <row r="21">
      <c r="A21" s="865" t="s">
        <v>6614</v>
      </c>
      <c r="B21" s="1324" t="s">
        <v>647</v>
      </c>
      <c r="C21" s="1325" t="s">
        <v>1256</v>
      </c>
      <c r="D21" s="1326" t="s">
        <v>1256</v>
      </c>
      <c r="E21" s="1327" t="s">
        <v>1256</v>
      </c>
      <c r="F21" s="1328" t="s">
        <v>546</v>
      </c>
      <c r="G21" s="1324" t="s">
        <v>546</v>
      </c>
      <c r="H21" s="981"/>
      <c r="I21" s="97"/>
      <c r="J21" s="1331"/>
      <c r="K21" s="1329"/>
      <c r="L21" s="980"/>
      <c r="M21" s="980"/>
      <c r="N21" s="1344"/>
      <c r="O21" s="981"/>
      <c r="P21" s="981"/>
      <c r="Q21" s="1333"/>
      <c r="R21" s="1333"/>
      <c r="S21" s="981"/>
      <c r="T21" s="981"/>
      <c r="U21" s="1351"/>
      <c r="V21" s="97"/>
      <c r="W21" s="1339" t="s">
        <v>8232</v>
      </c>
      <c r="X21" s="981"/>
      <c r="Y21" s="1333"/>
      <c r="Z21" s="1333"/>
      <c r="AA21" s="981"/>
      <c r="AB21" s="1333"/>
      <c r="AC21" s="981"/>
      <c r="AD21" s="1333"/>
      <c r="AE21" s="1333"/>
      <c r="AF21" s="1333"/>
      <c r="AG21" s="1337"/>
      <c r="AH21" s="1337"/>
    </row>
    <row r="22">
      <c r="A22" s="1323" t="s">
        <v>4911</v>
      </c>
      <c r="B22" s="1324" t="s">
        <v>647</v>
      </c>
      <c r="C22" s="1325" t="s">
        <v>546</v>
      </c>
      <c r="D22" s="1326" t="s">
        <v>1256</v>
      </c>
      <c r="E22" s="1327" t="s">
        <v>1256</v>
      </c>
      <c r="F22" s="1328" t="s">
        <v>546</v>
      </c>
      <c r="G22" s="1324" t="s">
        <v>546</v>
      </c>
      <c r="H22" s="981"/>
      <c r="I22" s="97"/>
      <c r="J22" s="92"/>
      <c r="K22" s="981"/>
      <c r="L22" s="981"/>
      <c r="M22" s="981"/>
      <c r="N22" s="981"/>
      <c r="O22" s="981"/>
      <c r="P22" s="1334" t="s">
        <v>8233</v>
      </c>
      <c r="Q22" s="1333"/>
      <c r="R22" s="1333"/>
      <c r="S22" s="981"/>
      <c r="T22" s="981"/>
      <c r="U22" s="1333"/>
      <c r="V22" s="1333"/>
      <c r="W22" s="1333"/>
      <c r="X22" s="981"/>
      <c r="Y22" s="1333"/>
      <c r="Z22" s="1333"/>
      <c r="AA22" s="981"/>
      <c r="AB22" s="1333"/>
      <c r="AC22" s="981"/>
      <c r="AD22" s="1333"/>
      <c r="AE22" s="1333"/>
      <c r="AF22" s="1333"/>
      <c r="AG22" s="1337"/>
      <c r="AH22" s="1337"/>
    </row>
    <row r="23">
      <c r="A23" s="1323" t="s">
        <v>2026</v>
      </c>
      <c r="B23" s="1324" t="s">
        <v>437</v>
      </c>
      <c r="C23" s="1325" t="s">
        <v>1256</v>
      </c>
      <c r="D23" s="1326" t="s">
        <v>1256</v>
      </c>
      <c r="E23" s="1327" t="s">
        <v>1256</v>
      </c>
      <c r="F23" s="1328" t="s">
        <v>546</v>
      </c>
      <c r="G23" s="1324" t="s">
        <v>546</v>
      </c>
      <c r="H23" s="981"/>
      <c r="I23" s="97"/>
      <c r="J23" s="92"/>
      <c r="K23" s="981"/>
      <c r="L23" s="981"/>
      <c r="M23" s="981"/>
      <c r="N23" s="981"/>
      <c r="O23" s="981"/>
      <c r="P23" s="981"/>
      <c r="Q23" s="1333"/>
      <c r="R23" s="1333"/>
      <c r="S23" s="981"/>
      <c r="T23" s="981"/>
      <c r="U23" s="1333"/>
      <c r="V23" s="97"/>
      <c r="W23" s="1333"/>
      <c r="X23" s="981"/>
      <c r="Y23" s="1333"/>
      <c r="Z23" s="1333"/>
      <c r="AA23" s="981"/>
      <c r="AB23" s="1333"/>
      <c r="AC23" s="981"/>
      <c r="AD23" s="1059" t="s">
        <v>8234</v>
      </c>
      <c r="AE23" s="1333"/>
      <c r="AF23" s="1333"/>
      <c r="AG23" s="1337"/>
      <c r="AH23" s="1337"/>
    </row>
    <row r="24">
      <c r="A24" s="1323" t="s">
        <v>7013</v>
      </c>
      <c r="B24" s="1324" t="s">
        <v>437</v>
      </c>
      <c r="C24" s="1325" t="s">
        <v>1256</v>
      </c>
      <c r="D24" s="1326" t="s">
        <v>1256</v>
      </c>
      <c r="E24" s="1327" t="s">
        <v>546</v>
      </c>
      <c r="F24" s="1328" t="s">
        <v>546</v>
      </c>
      <c r="G24" s="1324" t="s">
        <v>546</v>
      </c>
      <c r="H24" s="981"/>
      <c r="I24" s="97"/>
      <c r="J24" s="92"/>
      <c r="K24" s="981"/>
      <c r="L24" s="981"/>
      <c r="M24" s="981"/>
      <c r="N24" s="981"/>
      <c r="O24" s="981"/>
      <c r="P24" s="981"/>
      <c r="Q24" s="1333"/>
      <c r="R24" s="1333"/>
      <c r="S24" s="1339" t="s">
        <v>193</v>
      </c>
      <c r="T24" s="981"/>
      <c r="U24" s="1333"/>
      <c r="V24" s="1333"/>
      <c r="W24" s="1333"/>
      <c r="X24" s="981"/>
      <c r="Y24" s="1333"/>
      <c r="Z24" s="1333"/>
      <c r="AA24" s="981"/>
      <c r="AB24" s="1333"/>
      <c r="AC24" s="981"/>
      <c r="AD24" s="1333"/>
      <c r="AE24" s="1333"/>
      <c r="AF24" s="1333"/>
      <c r="AG24" s="1337"/>
      <c r="AH24" s="1337"/>
    </row>
    <row r="25">
      <c r="A25" s="1323" t="s">
        <v>218</v>
      </c>
      <c r="B25" s="1324" t="s">
        <v>546</v>
      </c>
      <c r="C25" s="1325" t="s">
        <v>1256</v>
      </c>
      <c r="D25" s="1326" t="s">
        <v>1256</v>
      </c>
      <c r="E25" s="1327" t="s">
        <v>1256</v>
      </c>
      <c r="F25" s="1328" t="s">
        <v>546</v>
      </c>
      <c r="G25" s="1324" t="s">
        <v>546</v>
      </c>
      <c r="H25" s="1349"/>
      <c r="I25" s="97"/>
      <c r="J25" s="92"/>
      <c r="K25" s="981"/>
      <c r="L25" s="981"/>
      <c r="M25" s="981"/>
      <c r="N25" s="981"/>
      <c r="O25" s="981"/>
      <c r="P25" s="981"/>
      <c r="Q25" s="1333"/>
      <c r="R25" s="1350"/>
      <c r="S25" s="1349"/>
      <c r="T25" s="1349"/>
      <c r="U25" s="1356"/>
      <c r="V25" s="97"/>
      <c r="W25" s="1343" t="s">
        <v>8235</v>
      </c>
      <c r="X25" s="981"/>
      <c r="Y25" s="1333"/>
      <c r="Z25" s="1333"/>
      <c r="AA25" s="981"/>
      <c r="AB25" s="1333"/>
      <c r="AC25" s="981"/>
      <c r="AD25" s="1333"/>
      <c r="AE25" s="1333"/>
      <c r="AF25" s="1333"/>
      <c r="AG25" s="1337"/>
      <c r="AH25" s="1337"/>
    </row>
    <row r="26">
      <c r="A26" s="1323" t="s">
        <v>2579</v>
      </c>
      <c r="B26" s="1324" t="s">
        <v>546</v>
      </c>
      <c r="C26" s="1325" t="s">
        <v>546</v>
      </c>
      <c r="D26" s="1326" t="s">
        <v>1256</v>
      </c>
      <c r="E26" s="1327" t="s">
        <v>1256</v>
      </c>
      <c r="F26" s="1328" t="s">
        <v>546</v>
      </c>
      <c r="G26" s="1324" t="s">
        <v>546</v>
      </c>
      <c r="H26" s="981"/>
      <c r="I26" s="97"/>
      <c r="J26" s="92"/>
      <c r="K26" s="981"/>
      <c r="L26" s="981"/>
      <c r="M26" s="981"/>
      <c r="N26" s="981"/>
      <c r="O26" s="981"/>
      <c r="P26" s="981"/>
      <c r="Q26" s="1333"/>
      <c r="R26" s="1333"/>
      <c r="S26" s="981"/>
      <c r="T26" s="981"/>
      <c r="U26" s="1333"/>
      <c r="V26" s="1334" t="s">
        <v>8236</v>
      </c>
      <c r="W26" s="1333"/>
      <c r="X26" s="981"/>
      <c r="Y26" s="1333"/>
      <c r="Z26" s="1333"/>
      <c r="AA26" s="981"/>
      <c r="AB26" s="1333"/>
      <c r="AC26" s="981"/>
      <c r="AD26" s="1333"/>
      <c r="AE26" s="1333"/>
      <c r="AF26" s="1333"/>
      <c r="AG26" s="1337"/>
      <c r="AH26" s="1337"/>
    </row>
    <row r="27">
      <c r="A27" s="1357" t="s">
        <v>5753</v>
      </c>
      <c r="B27" s="1324" t="s">
        <v>546</v>
      </c>
      <c r="C27" s="1325" t="s">
        <v>1256</v>
      </c>
      <c r="D27" s="1326" t="s">
        <v>1256</v>
      </c>
      <c r="E27" s="1327" t="s">
        <v>546</v>
      </c>
      <c r="F27" s="1328" t="s">
        <v>546</v>
      </c>
      <c r="G27" s="1324" t="s">
        <v>546</v>
      </c>
      <c r="H27" s="981"/>
      <c r="I27" s="97"/>
      <c r="J27" s="92"/>
      <c r="K27" s="981"/>
      <c r="L27" s="981"/>
      <c r="M27" s="981"/>
      <c r="N27" s="981"/>
      <c r="O27" s="981"/>
      <c r="P27" s="1339" t="s">
        <v>710</v>
      </c>
      <c r="Q27" s="1333"/>
      <c r="R27" s="1333"/>
      <c r="S27" s="981"/>
      <c r="T27" s="981"/>
      <c r="U27" s="1333"/>
      <c r="V27" s="1333"/>
      <c r="W27" s="1333"/>
      <c r="X27" s="981"/>
      <c r="Y27" s="1333"/>
      <c r="Z27" s="1333"/>
      <c r="AA27" s="981"/>
      <c r="AB27" s="1333"/>
      <c r="AC27" s="981"/>
      <c r="AD27" s="1333"/>
      <c r="AE27" s="1333"/>
      <c r="AF27" s="1333"/>
      <c r="AG27" s="1337"/>
      <c r="AH27" s="1337"/>
    </row>
    <row r="28">
      <c r="A28" s="987" t="s">
        <v>6402</v>
      </c>
      <c r="B28" s="1324" t="s">
        <v>1256</v>
      </c>
      <c r="C28" s="1325" t="s">
        <v>1256</v>
      </c>
      <c r="D28" s="1326" t="s">
        <v>1256</v>
      </c>
      <c r="E28" s="1327" t="s">
        <v>1256</v>
      </c>
      <c r="F28" s="1328" t="s">
        <v>1256</v>
      </c>
      <c r="G28" s="1324" t="s">
        <v>1256</v>
      </c>
      <c r="H28" s="981"/>
      <c r="I28" s="97"/>
      <c r="J28" s="92"/>
      <c r="K28" s="981"/>
      <c r="L28" s="981"/>
      <c r="M28" s="981"/>
      <c r="N28" s="981"/>
      <c r="O28" s="1329"/>
      <c r="P28" s="981"/>
      <c r="Q28" s="1333"/>
      <c r="R28" s="1333"/>
      <c r="S28" s="981"/>
      <c r="T28" s="981"/>
      <c r="U28" s="1333"/>
      <c r="V28" s="1333"/>
      <c r="W28" s="1333"/>
      <c r="X28" s="981"/>
      <c r="Y28" s="1333"/>
      <c r="Z28" s="1333"/>
      <c r="AA28" s="981"/>
      <c r="AB28" s="1333"/>
      <c r="AC28" s="981"/>
      <c r="AD28" s="1333"/>
      <c r="AE28" s="1333"/>
      <c r="AF28" s="1333"/>
      <c r="AG28" s="1337"/>
      <c r="AH28" s="1337"/>
    </row>
    <row r="29">
      <c r="A29" s="1323"/>
      <c r="B29" s="1324" t="s">
        <v>1256</v>
      </c>
      <c r="C29" s="1325" t="s">
        <v>1256</v>
      </c>
      <c r="D29" s="1326" t="s">
        <v>1256</v>
      </c>
      <c r="E29" s="1327" t="s">
        <v>1256</v>
      </c>
      <c r="F29" s="1328" t="s">
        <v>1256</v>
      </c>
      <c r="G29" s="1324" t="s">
        <v>1256</v>
      </c>
      <c r="H29" s="981"/>
      <c r="I29" s="97"/>
      <c r="J29" s="92"/>
      <c r="K29" s="981"/>
      <c r="L29" s="981"/>
      <c r="M29" s="981"/>
      <c r="N29" s="981"/>
      <c r="O29" s="981"/>
      <c r="P29" s="981"/>
      <c r="Q29" s="1333"/>
      <c r="R29" s="1333"/>
      <c r="S29" s="981"/>
      <c r="T29" s="981"/>
      <c r="U29" s="1333"/>
      <c r="V29" s="1333"/>
      <c r="W29" s="1333"/>
      <c r="X29" s="981"/>
      <c r="Y29" s="1333"/>
      <c r="Z29" s="1333"/>
      <c r="AA29" s="981"/>
      <c r="AB29" s="1333"/>
      <c r="AC29" s="981"/>
      <c r="AD29" s="1333"/>
      <c r="AE29" s="1333"/>
      <c r="AF29" s="1333"/>
      <c r="AG29" s="1337"/>
      <c r="AH29" s="1337"/>
    </row>
    <row r="30">
      <c r="A30" s="1323"/>
      <c r="B30" s="1324" t="s">
        <v>1256</v>
      </c>
      <c r="C30" s="1325" t="s">
        <v>1256</v>
      </c>
      <c r="D30" s="1326" t="s">
        <v>1256</v>
      </c>
      <c r="E30" s="1327" t="s">
        <v>1256</v>
      </c>
      <c r="F30" s="1328" t="s">
        <v>1256</v>
      </c>
      <c r="G30" s="1324" t="s">
        <v>1256</v>
      </c>
      <c r="H30" s="981"/>
      <c r="I30" s="97"/>
      <c r="J30" s="92"/>
      <c r="K30" s="981"/>
      <c r="L30" s="981"/>
      <c r="M30" s="981"/>
      <c r="N30" s="981"/>
      <c r="O30" s="981"/>
      <c r="P30" s="981"/>
      <c r="Q30" s="1333"/>
      <c r="R30" s="1333"/>
      <c r="S30" s="981"/>
      <c r="T30" s="981"/>
      <c r="U30" s="1333"/>
      <c r="V30" s="1333"/>
      <c r="W30" s="1333"/>
      <c r="X30" s="981"/>
      <c r="Y30" s="1333"/>
      <c r="Z30" s="1333"/>
      <c r="AA30" s="981"/>
      <c r="AB30" s="1333"/>
      <c r="AC30" s="981"/>
      <c r="AD30" s="1333"/>
      <c r="AE30" s="1333"/>
      <c r="AF30" s="1333"/>
      <c r="AG30" s="1337"/>
      <c r="AH30" s="1337"/>
    </row>
    <row r="31">
      <c r="A31" s="1323"/>
      <c r="B31" s="1324" t="s">
        <v>1256</v>
      </c>
      <c r="C31" s="1325" t="s">
        <v>1256</v>
      </c>
      <c r="D31" s="1326" t="s">
        <v>1256</v>
      </c>
      <c r="E31" s="1327" t="s">
        <v>1256</v>
      </c>
      <c r="F31" s="1328" t="s">
        <v>1256</v>
      </c>
      <c r="G31" s="1324" t="s">
        <v>1256</v>
      </c>
      <c r="H31" s="981"/>
      <c r="I31" s="97"/>
      <c r="J31" s="92"/>
      <c r="K31" s="981"/>
      <c r="L31" s="981"/>
      <c r="M31" s="981"/>
      <c r="N31" s="981"/>
      <c r="O31" s="981"/>
      <c r="P31" s="981"/>
      <c r="Q31" s="1333"/>
      <c r="R31" s="1333"/>
      <c r="S31" s="981"/>
      <c r="T31" s="981"/>
      <c r="U31" s="1333"/>
      <c r="V31" s="1333"/>
      <c r="W31" s="1333"/>
      <c r="X31" s="981"/>
      <c r="Y31" s="1333"/>
      <c r="Z31" s="1333"/>
      <c r="AA31" s="981"/>
      <c r="AB31" s="1333"/>
      <c r="AC31" s="981"/>
      <c r="AD31" s="1333"/>
      <c r="AE31" s="1333"/>
      <c r="AF31" s="1333"/>
      <c r="AG31" s="1337"/>
      <c r="AH31" s="1337"/>
    </row>
    <row r="32">
      <c r="A32" s="1323"/>
      <c r="B32" s="1324" t="s">
        <v>1256</v>
      </c>
      <c r="C32" s="1325" t="s">
        <v>1256</v>
      </c>
      <c r="D32" s="1326" t="s">
        <v>1256</v>
      </c>
      <c r="E32" s="1327" t="s">
        <v>1256</v>
      </c>
      <c r="F32" s="1328" t="s">
        <v>1256</v>
      </c>
      <c r="G32" s="1324" t="s">
        <v>1256</v>
      </c>
      <c r="H32" s="981"/>
      <c r="I32" s="97"/>
      <c r="J32" s="92"/>
      <c r="K32" s="981"/>
      <c r="L32" s="981"/>
      <c r="M32" s="981"/>
      <c r="N32" s="981"/>
      <c r="O32" s="981"/>
      <c r="P32" s="981"/>
      <c r="Q32" s="1333"/>
      <c r="R32" s="1333"/>
      <c r="S32" s="981"/>
      <c r="T32" s="981"/>
      <c r="U32" s="1333"/>
      <c r="V32" s="1333"/>
      <c r="W32" s="1333"/>
      <c r="X32" s="981"/>
      <c r="Y32" s="1333"/>
      <c r="Z32" s="1333"/>
      <c r="AA32" s="981"/>
      <c r="AB32" s="1333"/>
      <c r="AC32" s="981"/>
      <c r="AD32" s="1333"/>
      <c r="AE32" s="1333"/>
      <c r="AF32" s="1333"/>
      <c r="AG32" s="1337"/>
      <c r="AH32" s="1337"/>
    </row>
    <row r="33">
      <c r="A33" s="1323"/>
      <c r="B33" s="1324" t="s">
        <v>1256</v>
      </c>
      <c r="C33" s="1325" t="s">
        <v>1256</v>
      </c>
      <c r="D33" s="1326" t="s">
        <v>1256</v>
      </c>
      <c r="E33" s="1327" t="s">
        <v>1256</v>
      </c>
      <c r="F33" s="1328" t="s">
        <v>1256</v>
      </c>
      <c r="G33" s="1324" t="s">
        <v>1256</v>
      </c>
      <c r="H33" s="981"/>
      <c r="I33" s="97"/>
      <c r="J33" s="92"/>
      <c r="K33" s="981"/>
      <c r="L33" s="981"/>
      <c r="M33" s="981"/>
      <c r="N33" s="981"/>
      <c r="O33" s="981"/>
      <c r="P33" s="981"/>
      <c r="Q33" s="1333"/>
      <c r="R33" s="1333"/>
      <c r="S33" s="981"/>
      <c r="T33" s="981"/>
      <c r="U33" s="1333"/>
      <c r="V33" s="1333"/>
      <c r="W33" s="1333"/>
      <c r="X33" s="981"/>
      <c r="Y33" s="1333"/>
      <c r="Z33" s="1333"/>
      <c r="AA33" s="981"/>
      <c r="AB33" s="1333"/>
      <c r="AC33" s="981"/>
      <c r="AD33" s="1333"/>
      <c r="AE33" s="1333"/>
      <c r="AF33" s="1333"/>
      <c r="AG33" s="1337"/>
      <c r="AH33" s="1337"/>
    </row>
    <row r="34">
      <c r="A34" s="1323"/>
      <c r="B34" s="1324" t="s">
        <v>1256</v>
      </c>
      <c r="C34" s="1325" t="s">
        <v>1256</v>
      </c>
      <c r="D34" s="1326" t="s">
        <v>1256</v>
      </c>
      <c r="E34" s="1327" t="s">
        <v>1256</v>
      </c>
      <c r="F34" s="1328" t="s">
        <v>1256</v>
      </c>
      <c r="G34" s="1324" t="s">
        <v>1256</v>
      </c>
      <c r="H34" s="981"/>
      <c r="I34" s="97"/>
      <c r="J34" s="92"/>
      <c r="K34" s="981"/>
      <c r="L34" s="981"/>
      <c r="M34" s="981"/>
      <c r="N34" s="981"/>
      <c r="O34" s="981"/>
      <c r="P34" s="981"/>
      <c r="Q34" s="1333"/>
      <c r="R34" s="1333"/>
      <c r="S34" s="981"/>
      <c r="T34" s="981"/>
      <c r="U34" s="1333"/>
      <c r="V34" s="1333"/>
      <c r="W34" s="1333"/>
      <c r="X34" s="981"/>
      <c r="Y34" s="1333"/>
      <c r="Z34" s="1333"/>
      <c r="AA34" s="981"/>
      <c r="AB34" s="1333"/>
      <c r="AC34" s="981"/>
      <c r="AD34" s="1333"/>
      <c r="AE34" s="1333"/>
      <c r="AF34" s="1333"/>
      <c r="AG34" s="1337"/>
      <c r="AH34" s="1337"/>
    </row>
    <row r="35">
      <c r="A35" s="1323"/>
      <c r="B35" s="1324" t="s">
        <v>1256</v>
      </c>
      <c r="C35" s="1325" t="s">
        <v>1256</v>
      </c>
      <c r="D35" s="1326" t="s">
        <v>1256</v>
      </c>
      <c r="E35" s="1327" t="s">
        <v>1256</v>
      </c>
      <c r="F35" s="1328" t="s">
        <v>1256</v>
      </c>
      <c r="G35" s="1324" t="s">
        <v>1256</v>
      </c>
      <c r="H35" s="981"/>
      <c r="I35" s="97"/>
      <c r="J35" s="92"/>
      <c r="K35" s="981"/>
      <c r="L35" s="981"/>
      <c r="M35" s="981"/>
      <c r="N35" s="981"/>
      <c r="O35" s="981"/>
      <c r="P35" s="981"/>
      <c r="Q35" s="1333"/>
      <c r="R35" s="1333"/>
      <c r="S35" s="981"/>
      <c r="T35" s="981"/>
      <c r="U35" s="1333"/>
      <c r="V35" s="1333"/>
      <c r="W35" s="1333"/>
      <c r="X35" s="981"/>
      <c r="Y35" s="1333"/>
      <c r="Z35" s="1333"/>
      <c r="AA35" s="981"/>
      <c r="AB35" s="1333"/>
      <c r="AC35" s="981"/>
      <c r="AD35" s="1333"/>
      <c r="AE35" s="1333"/>
      <c r="AF35" s="1333"/>
      <c r="AG35" s="1337"/>
      <c r="AH35" s="1337"/>
    </row>
    <row r="36">
      <c r="A36" s="1323"/>
      <c r="B36" s="1324" t="s">
        <v>1256</v>
      </c>
      <c r="C36" s="1325" t="s">
        <v>1256</v>
      </c>
      <c r="D36" s="1326" t="s">
        <v>1256</v>
      </c>
      <c r="E36" s="1327" t="s">
        <v>1256</v>
      </c>
      <c r="F36" s="1328" t="s">
        <v>1256</v>
      </c>
      <c r="G36" s="1324" t="s">
        <v>1256</v>
      </c>
      <c r="H36" s="981"/>
      <c r="I36" s="97"/>
      <c r="J36" s="92"/>
      <c r="K36" s="981"/>
      <c r="L36" s="981"/>
      <c r="M36" s="981"/>
      <c r="N36" s="981"/>
      <c r="O36" s="981"/>
      <c r="P36" s="981"/>
      <c r="Q36" s="1333"/>
      <c r="R36" s="1333"/>
      <c r="S36" s="981"/>
      <c r="T36" s="981"/>
      <c r="U36" s="1333"/>
      <c r="V36" s="1333"/>
      <c r="W36" s="1333"/>
      <c r="X36" s="981"/>
      <c r="Y36" s="1333"/>
      <c r="Z36" s="1333"/>
      <c r="AA36" s="981"/>
      <c r="AB36" s="1333"/>
      <c r="AC36" s="981"/>
      <c r="AD36" s="1333"/>
      <c r="AE36" s="1333"/>
      <c r="AF36" s="1333"/>
      <c r="AG36" s="1337"/>
      <c r="AH36" s="1337"/>
    </row>
    <row r="37">
      <c r="A37" s="1323"/>
      <c r="B37" s="1324" t="s">
        <v>1256</v>
      </c>
      <c r="C37" s="1325" t="s">
        <v>1256</v>
      </c>
      <c r="D37" s="1326" t="s">
        <v>1256</v>
      </c>
      <c r="E37" s="1327" t="s">
        <v>1256</v>
      </c>
      <c r="F37" s="1328" t="s">
        <v>1256</v>
      </c>
      <c r="G37" s="1324" t="s">
        <v>1256</v>
      </c>
      <c r="H37" s="981"/>
      <c r="I37" s="97"/>
      <c r="J37" s="92"/>
      <c r="K37" s="981"/>
      <c r="L37" s="981"/>
      <c r="M37" s="981"/>
      <c r="N37" s="981"/>
      <c r="O37" s="981"/>
      <c r="P37" s="981"/>
      <c r="Q37" s="1333"/>
      <c r="R37" s="1333"/>
      <c r="S37" s="981"/>
      <c r="T37" s="981"/>
      <c r="U37" s="1333"/>
      <c r="V37" s="1333"/>
      <c r="W37" s="1333"/>
      <c r="X37" s="981"/>
      <c r="Y37" s="1333"/>
      <c r="Z37" s="1333"/>
      <c r="AA37" s="981"/>
      <c r="AB37" s="1333"/>
      <c r="AC37" s="981"/>
      <c r="AD37" s="1333"/>
      <c r="AE37" s="1333"/>
      <c r="AF37" s="1333"/>
      <c r="AG37" s="1337"/>
      <c r="AH37" s="1337"/>
    </row>
    <row r="38">
      <c r="A38" s="1323"/>
      <c r="B38" s="1324" t="s">
        <v>1256</v>
      </c>
      <c r="C38" s="1325" t="s">
        <v>1256</v>
      </c>
      <c r="D38" s="1326" t="s">
        <v>1256</v>
      </c>
      <c r="E38" s="1327" t="s">
        <v>1256</v>
      </c>
      <c r="F38" s="1328" t="s">
        <v>1256</v>
      </c>
      <c r="G38" s="1324" t="s">
        <v>1256</v>
      </c>
      <c r="H38" s="981"/>
      <c r="I38" s="97"/>
      <c r="J38" s="92"/>
      <c r="K38" s="981"/>
      <c r="L38" s="981"/>
      <c r="M38" s="981"/>
      <c r="N38" s="981"/>
      <c r="O38" s="981"/>
      <c r="P38" s="981"/>
      <c r="Q38" s="1333"/>
      <c r="R38" s="1333"/>
      <c r="S38" s="981"/>
      <c r="T38" s="981"/>
      <c r="U38" s="1333"/>
      <c r="V38" s="1333"/>
      <c r="W38" s="1333"/>
      <c r="X38" s="981"/>
      <c r="Y38" s="1333"/>
      <c r="Z38" s="1333"/>
      <c r="AA38" s="981"/>
      <c r="AB38" s="1333"/>
      <c r="AC38" s="981"/>
      <c r="AD38" s="1333"/>
      <c r="AE38" s="1333"/>
      <c r="AF38" s="1333"/>
      <c r="AG38" s="1337"/>
      <c r="AH38" s="1337"/>
    </row>
    <row r="39">
      <c r="A39" s="1323"/>
      <c r="B39" s="1324" t="s">
        <v>1256</v>
      </c>
      <c r="C39" s="1325" t="s">
        <v>1256</v>
      </c>
      <c r="D39" s="1326" t="s">
        <v>1256</v>
      </c>
      <c r="E39" s="1327" t="s">
        <v>1256</v>
      </c>
      <c r="F39" s="1328" t="s">
        <v>1256</v>
      </c>
      <c r="G39" s="1324" t="s">
        <v>1256</v>
      </c>
      <c r="H39" s="981"/>
      <c r="I39" s="97"/>
      <c r="J39" s="92"/>
      <c r="K39" s="981"/>
      <c r="L39" s="981"/>
      <c r="M39" s="981"/>
      <c r="N39" s="981"/>
      <c r="O39" s="981"/>
      <c r="P39" s="981"/>
      <c r="Q39" s="1333"/>
      <c r="R39" s="1333"/>
      <c r="S39" s="981"/>
      <c r="T39" s="981"/>
      <c r="U39" s="1333"/>
      <c r="V39" s="1333"/>
      <c r="W39" s="1333"/>
      <c r="X39" s="981"/>
      <c r="Y39" s="1333"/>
      <c r="Z39" s="1333"/>
      <c r="AA39" s="981"/>
      <c r="AB39" s="1333"/>
      <c r="AC39" s="981"/>
      <c r="AD39" s="1333"/>
      <c r="AE39" s="1333"/>
      <c r="AF39" s="1333"/>
      <c r="AG39" s="1337"/>
      <c r="AH39" s="1337"/>
    </row>
    <row r="40">
      <c r="A40" s="1323"/>
      <c r="B40" s="1324" t="s">
        <v>1256</v>
      </c>
      <c r="C40" s="1325" t="s">
        <v>1256</v>
      </c>
      <c r="D40" s="1326" t="s">
        <v>1256</v>
      </c>
      <c r="E40" s="1327" t="s">
        <v>1256</v>
      </c>
      <c r="F40" s="1328" t="s">
        <v>1256</v>
      </c>
      <c r="G40" s="1324" t="s">
        <v>1256</v>
      </c>
      <c r="H40" s="981"/>
      <c r="I40" s="97"/>
      <c r="J40" s="92"/>
      <c r="K40" s="981"/>
      <c r="L40" s="981"/>
      <c r="M40" s="981"/>
      <c r="N40" s="981"/>
      <c r="O40" s="981"/>
      <c r="P40" s="981"/>
      <c r="Q40" s="1333"/>
      <c r="R40" s="1333"/>
      <c r="S40" s="981"/>
      <c r="T40" s="981"/>
      <c r="U40" s="1333"/>
      <c r="V40" s="1333"/>
      <c r="W40" s="1333"/>
      <c r="X40" s="981"/>
      <c r="Y40" s="1333"/>
      <c r="Z40" s="1333"/>
      <c r="AA40" s="981"/>
      <c r="AB40" s="1333"/>
      <c r="AC40" s="981"/>
      <c r="AD40" s="1333"/>
      <c r="AE40" s="1333"/>
      <c r="AF40" s="1333"/>
      <c r="AG40" s="1337"/>
      <c r="AH40" s="1337"/>
    </row>
    <row r="41">
      <c r="A41" s="1323"/>
      <c r="B41" s="1324" t="s">
        <v>1256</v>
      </c>
      <c r="C41" s="1325" t="s">
        <v>1256</v>
      </c>
      <c r="D41" s="1326" t="s">
        <v>1256</v>
      </c>
      <c r="E41" s="1327" t="s">
        <v>1256</v>
      </c>
      <c r="F41" s="1328" t="s">
        <v>1256</v>
      </c>
      <c r="G41" s="1324" t="s">
        <v>1256</v>
      </c>
      <c r="H41" s="981"/>
      <c r="I41" s="97"/>
      <c r="J41" s="92"/>
      <c r="K41" s="981"/>
      <c r="L41" s="981"/>
      <c r="M41" s="981"/>
      <c r="N41" s="981"/>
      <c r="O41" s="981"/>
      <c r="P41" s="981"/>
      <c r="Q41" s="1333"/>
      <c r="R41" s="1333"/>
      <c r="S41" s="981"/>
      <c r="T41" s="981"/>
      <c r="U41" s="1333"/>
      <c r="V41" s="1333"/>
      <c r="W41" s="1333"/>
      <c r="X41" s="981"/>
      <c r="Y41" s="1333"/>
      <c r="Z41" s="1333"/>
      <c r="AA41" s="981"/>
      <c r="AB41" s="1333"/>
      <c r="AC41" s="981"/>
      <c r="AD41" s="1333"/>
      <c r="AE41" s="1333"/>
      <c r="AF41" s="1333"/>
      <c r="AG41" s="1337"/>
      <c r="AH41" s="1337"/>
    </row>
    <row r="42">
      <c r="A42" s="1323"/>
      <c r="B42" s="1324" t="s">
        <v>1256</v>
      </c>
      <c r="C42" s="1325" t="s">
        <v>1256</v>
      </c>
      <c r="D42" s="1326" t="s">
        <v>1256</v>
      </c>
      <c r="E42" s="1327" t="s">
        <v>1256</v>
      </c>
      <c r="F42" s="1328" t="s">
        <v>1256</v>
      </c>
      <c r="G42" s="1324" t="s">
        <v>1256</v>
      </c>
      <c r="H42" s="981"/>
      <c r="I42" s="97"/>
      <c r="J42" s="92"/>
      <c r="K42" s="981"/>
      <c r="L42" s="981"/>
      <c r="M42" s="981"/>
      <c r="N42" s="981"/>
      <c r="O42" s="981"/>
      <c r="P42" s="981"/>
      <c r="Q42" s="1333"/>
      <c r="R42" s="1333"/>
      <c r="S42" s="981"/>
      <c r="T42" s="981"/>
      <c r="U42" s="1333"/>
      <c r="V42" s="1333"/>
      <c r="W42" s="1333"/>
      <c r="X42" s="981"/>
      <c r="Y42" s="1333"/>
      <c r="Z42" s="1333"/>
      <c r="AA42" s="981"/>
      <c r="AB42" s="1333"/>
      <c r="AC42" s="981"/>
      <c r="AD42" s="1333"/>
      <c r="AE42" s="1333"/>
      <c r="AF42" s="1333"/>
      <c r="AG42" s="1337"/>
      <c r="AH42" s="1337"/>
    </row>
    <row r="43">
      <c r="A43" s="1323"/>
      <c r="B43" s="1324" t="s">
        <v>1256</v>
      </c>
      <c r="C43" s="1325" t="s">
        <v>1256</v>
      </c>
      <c r="D43" s="1326" t="s">
        <v>1256</v>
      </c>
      <c r="E43" s="1327" t="s">
        <v>1256</v>
      </c>
      <c r="F43" s="1328" t="s">
        <v>1256</v>
      </c>
      <c r="G43" s="1324" t="s">
        <v>1256</v>
      </c>
      <c r="H43" s="981"/>
      <c r="I43" s="97"/>
      <c r="J43" s="92"/>
      <c r="K43" s="981"/>
      <c r="L43" s="981"/>
      <c r="M43" s="981"/>
      <c r="N43" s="981"/>
      <c r="O43" s="981"/>
      <c r="P43" s="981"/>
      <c r="Q43" s="1333"/>
      <c r="R43" s="1333"/>
      <c r="S43" s="981"/>
      <c r="T43" s="981"/>
      <c r="U43" s="1333"/>
      <c r="V43" s="1333"/>
      <c r="W43" s="1333"/>
      <c r="X43" s="981"/>
      <c r="Y43" s="1333"/>
      <c r="Z43" s="1333"/>
      <c r="AA43" s="981"/>
      <c r="AB43" s="1333"/>
      <c r="AC43" s="981"/>
      <c r="AD43" s="1333"/>
      <c r="AE43" s="1333"/>
      <c r="AF43" s="1333"/>
      <c r="AG43" s="1337"/>
      <c r="AH43" s="1337"/>
    </row>
    <row r="44">
      <c r="A44" s="1323"/>
      <c r="B44" s="1324" t="s">
        <v>1256</v>
      </c>
      <c r="C44" s="1325" t="s">
        <v>1256</v>
      </c>
      <c r="D44" s="1326" t="s">
        <v>1256</v>
      </c>
      <c r="E44" s="1327" t="s">
        <v>1256</v>
      </c>
      <c r="F44" s="1328" t="s">
        <v>1256</v>
      </c>
      <c r="G44" s="1324" t="s">
        <v>1256</v>
      </c>
      <c r="H44" s="981"/>
      <c r="I44" s="97"/>
      <c r="J44" s="92"/>
      <c r="K44" s="981"/>
      <c r="L44" s="981"/>
      <c r="M44" s="981"/>
      <c r="N44" s="981"/>
      <c r="O44" s="981"/>
      <c r="P44" s="981"/>
      <c r="Q44" s="1333"/>
      <c r="R44" s="1333"/>
      <c r="S44" s="981"/>
      <c r="T44" s="981"/>
      <c r="U44" s="1333"/>
      <c r="V44" s="1333"/>
      <c r="W44" s="1333"/>
      <c r="X44" s="981"/>
      <c r="Y44" s="1333"/>
      <c r="Z44" s="1333"/>
      <c r="AA44" s="981"/>
      <c r="AB44" s="1333"/>
      <c r="AC44" s="981"/>
      <c r="AD44" s="1333"/>
      <c r="AE44" s="1333"/>
      <c r="AF44" s="1333"/>
      <c r="AG44" s="1337"/>
      <c r="AH44" s="1337"/>
    </row>
    <row r="45">
      <c r="A45" s="1323"/>
      <c r="B45" s="1324" t="s">
        <v>1256</v>
      </c>
      <c r="C45" s="1325" t="s">
        <v>1256</v>
      </c>
      <c r="D45" s="1326" t="s">
        <v>1256</v>
      </c>
      <c r="E45" s="1327" t="s">
        <v>1256</v>
      </c>
      <c r="F45" s="1328" t="s">
        <v>1256</v>
      </c>
      <c r="G45" s="1324" t="s">
        <v>1256</v>
      </c>
      <c r="H45" s="981"/>
      <c r="I45" s="97"/>
      <c r="J45" s="92"/>
      <c r="K45" s="981"/>
      <c r="L45" s="981"/>
      <c r="M45" s="981"/>
      <c r="N45" s="981"/>
      <c r="O45" s="981"/>
      <c r="P45" s="981"/>
      <c r="Q45" s="1333"/>
      <c r="R45" s="1333"/>
      <c r="S45" s="981"/>
      <c r="T45" s="981"/>
      <c r="U45" s="1333"/>
      <c r="V45" s="1333"/>
      <c r="W45" s="1333"/>
      <c r="X45" s="981"/>
      <c r="Y45" s="1333"/>
      <c r="Z45" s="1333"/>
      <c r="AA45" s="981"/>
      <c r="AB45" s="1333"/>
      <c r="AC45" s="981"/>
      <c r="AD45" s="1333"/>
      <c r="AE45" s="1333"/>
      <c r="AF45" s="1333"/>
      <c r="AG45" s="1337"/>
      <c r="AH45" s="1337"/>
    </row>
    <row r="46">
      <c r="A46" s="1323"/>
      <c r="B46" s="1324" t="s">
        <v>1256</v>
      </c>
      <c r="C46" s="1325" t="s">
        <v>1256</v>
      </c>
      <c r="D46" s="1326" t="s">
        <v>1256</v>
      </c>
      <c r="E46" s="1327" t="s">
        <v>1256</v>
      </c>
      <c r="F46" s="1328" t="s">
        <v>1256</v>
      </c>
      <c r="G46" s="1324" t="s">
        <v>1256</v>
      </c>
      <c r="H46" s="981"/>
      <c r="I46" s="97"/>
      <c r="J46" s="92"/>
      <c r="K46" s="981"/>
      <c r="L46" s="981"/>
      <c r="M46" s="981"/>
      <c r="N46" s="981"/>
      <c r="O46" s="981"/>
      <c r="P46" s="981"/>
      <c r="Q46" s="1333"/>
      <c r="R46" s="1333"/>
      <c r="S46" s="981"/>
      <c r="T46" s="981"/>
      <c r="U46" s="1333"/>
      <c r="V46" s="1333"/>
      <c r="W46" s="1333"/>
      <c r="X46" s="981"/>
      <c r="Y46" s="1333"/>
      <c r="Z46" s="1333"/>
      <c r="AA46" s="981"/>
      <c r="AB46" s="1333"/>
      <c r="AC46" s="981"/>
      <c r="AD46" s="1333"/>
      <c r="AE46" s="1333"/>
      <c r="AF46" s="1333"/>
      <c r="AG46" s="1337"/>
      <c r="AH46" s="1337"/>
    </row>
    <row r="47">
      <c r="A47" s="1323"/>
      <c r="B47" s="1324" t="s">
        <v>1256</v>
      </c>
      <c r="C47" s="1325" t="s">
        <v>1256</v>
      </c>
      <c r="D47" s="1326" t="s">
        <v>1256</v>
      </c>
      <c r="E47" s="1327" t="s">
        <v>1256</v>
      </c>
      <c r="F47" s="1328" t="s">
        <v>1256</v>
      </c>
      <c r="G47" s="1324" t="s">
        <v>1256</v>
      </c>
      <c r="H47" s="981"/>
      <c r="I47" s="97"/>
      <c r="J47" s="92"/>
      <c r="K47" s="981"/>
      <c r="L47" s="981"/>
      <c r="M47" s="981"/>
      <c r="N47" s="981"/>
      <c r="O47" s="981"/>
      <c r="P47" s="981"/>
      <c r="Q47" s="1333"/>
      <c r="R47" s="1333"/>
      <c r="S47" s="981"/>
      <c r="T47" s="981"/>
      <c r="U47" s="1333"/>
      <c r="V47" s="1333"/>
      <c r="W47" s="1333"/>
      <c r="X47" s="981"/>
      <c r="Y47" s="1333"/>
      <c r="Z47" s="1333"/>
      <c r="AA47" s="981"/>
      <c r="AB47" s="1333"/>
      <c r="AC47" s="981"/>
      <c r="AD47" s="1333"/>
      <c r="AE47" s="1333"/>
      <c r="AF47" s="1333"/>
      <c r="AG47" s="1337"/>
      <c r="AH47" s="1337"/>
    </row>
    <row r="48">
      <c r="A48" s="1323"/>
      <c r="B48" s="1324" t="s">
        <v>1256</v>
      </c>
      <c r="C48" s="1325" t="s">
        <v>1256</v>
      </c>
      <c r="D48" s="1326" t="s">
        <v>1256</v>
      </c>
      <c r="E48" s="1327" t="s">
        <v>1256</v>
      </c>
      <c r="F48" s="1328" t="s">
        <v>1256</v>
      </c>
      <c r="G48" s="1324" t="s">
        <v>1256</v>
      </c>
      <c r="H48" s="981"/>
      <c r="I48" s="97"/>
      <c r="J48" s="92"/>
      <c r="K48" s="981"/>
      <c r="L48" s="981"/>
      <c r="M48" s="981"/>
      <c r="N48" s="981"/>
      <c r="O48" s="981"/>
      <c r="P48" s="981"/>
      <c r="Q48" s="1333"/>
      <c r="R48" s="1333"/>
      <c r="S48" s="981"/>
      <c r="T48" s="981"/>
      <c r="U48" s="1333"/>
      <c r="V48" s="1333"/>
      <c r="W48" s="1333"/>
      <c r="X48" s="981"/>
      <c r="Y48" s="1333"/>
      <c r="Z48" s="1333"/>
      <c r="AA48" s="981"/>
      <c r="AB48" s="1333"/>
      <c r="AC48" s="981"/>
      <c r="AD48" s="1333"/>
      <c r="AE48" s="1333"/>
      <c r="AF48" s="1333"/>
      <c r="AG48" s="1337"/>
      <c r="AH48" s="1337"/>
    </row>
    <row r="49">
      <c r="A49" s="1323"/>
      <c r="B49" s="1324" t="s">
        <v>1256</v>
      </c>
      <c r="C49" s="1325" t="s">
        <v>1256</v>
      </c>
      <c r="D49" s="1326" t="s">
        <v>1256</v>
      </c>
      <c r="E49" s="1327" t="s">
        <v>1256</v>
      </c>
      <c r="F49" s="1328" t="s">
        <v>1256</v>
      </c>
      <c r="G49" s="1324" t="s">
        <v>1256</v>
      </c>
      <c r="H49" s="981"/>
      <c r="I49" s="97"/>
      <c r="J49" s="92"/>
      <c r="K49" s="981"/>
      <c r="L49" s="981"/>
      <c r="M49" s="981"/>
      <c r="N49" s="981"/>
      <c r="O49" s="981"/>
      <c r="P49" s="981"/>
      <c r="Q49" s="1333"/>
      <c r="R49" s="1333"/>
      <c r="S49" s="981"/>
      <c r="T49" s="981"/>
      <c r="U49" s="1333"/>
      <c r="V49" s="1333"/>
      <c r="W49" s="1333"/>
      <c r="X49" s="981"/>
      <c r="Y49" s="1333"/>
      <c r="Z49" s="1333"/>
      <c r="AA49" s="981"/>
      <c r="AB49" s="1333"/>
      <c r="AC49" s="981"/>
      <c r="AD49" s="1333"/>
      <c r="AE49" s="1333"/>
      <c r="AF49" s="1333"/>
      <c r="AG49" s="1337"/>
      <c r="AH49" s="1337"/>
    </row>
    <row r="50">
      <c r="A50" s="1323"/>
      <c r="B50" s="1324" t="s">
        <v>1256</v>
      </c>
      <c r="C50" s="1325" t="s">
        <v>1256</v>
      </c>
      <c r="D50" s="1326" t="s">
        <v>1256</v>
      </c>
      <c r="E50" s="1327" t="s">
        <v>1256</v>
      </c>
      <c r="F50" s="1328" t="s">
        <v>1256</v>
      </c>
      <c r="G50" s="1324" t="s">
        <v>1256</v>
      </c>
      <c r="H50" s="981"/>
      <c r="I50" s="97"/>
      <c r="J50" s="92"/>
      <c r="K50" s="981"/>
      <c r="L50" s="981"/>
      <c r="M50" s="981"/>
      <c r="N50" s="981"/>
      <c r="O50" s="981"/>
      <c r="P50" s="981"/>
      <c r="Q50" s="1333"/>
      <c r="R50" s="1333"/>
      <c r="S50" s="981"/>
      <c r="T50" s="981"/>
      <c r="U50" s="1333"/>
      <c r="V50" s="1333"/>
      <c r="W50" s="1333"/>
      <c r="X50" s="981"/>
      <c r="Y50" s="1333"/>
      <c r="Z50" s="1333"/>
      <c r="AA50" s="981"/>
      <c r="AB50" s="1333"/>
      <c r="AC50" s="981"/>
      <c r="AD50" s="1333"/>
      <c r="AE50" s="1333"/>
      <c r="AF50" s="1333"/>
      <c r="AG50" s="1337"/>
      <c r="AH50" s="1337"/>
    </row>
    <row r="51">
      <c r="A51" s="1323"/>
      <c r="B51" s="1324" t="s">
        <v>1256</v>
      </c>
      <c r="C51" s="1325" t="s">
        <v>1256</v>
      </c>
      <c r="D51" s="1326" t="s">
        <v>1256</v>
      </c>
      <c r="E51" s="1327" t="s">
        <v>1256</v>
      </c>
      <c r="F51" s="1328" t="s">
        <v>1256</v>
      </c>
      <c r="G51" s="1324" t="s">
        <v>1256</v>
      </c>
      <c r="H51" s="981"/>
      <c r="I51" s="97"/>
      <c r="J51" s="92"/>
      <c r="K51" s="981"/>
      <c r="L51" s="981"/>
      <c r="M51" s="981"/>
      <c r="N51" s="981"/>
      <c r="O51" s="981"/>
      <c r="P51" s="981"/>
      <c r="Q51" s="1333"/>
      <c r="R51" s="1333"/>
      <c r="S51" s="981"/>
      <c r="T51" s="981"/>
      <c r="U51" s="1333"/>
      <c r="V51" s="1333"/>
      <c r="W51" s="1333"/>
      <c r="X51" s="981"/>
      <c r="Y51" s="1333"/>
      <c r="Z51" s="1333"/>
      <c r="AA51" s="981"/>
      <c r="AB51" s="1333"/>
      <c r="AC51" s="981"/>
      <c r="AD51" s="1333"/>
      <c r="AE51" s="1333"/>
      <c r="AF51" s="1333"/>
      <c r="AG51" s="1337"/>
      <c r="AH51" s="1337"/>
    </row>
    <row r="52">
      <c r="A52" s="1323"/>
      <c r="B52" s="1324"/>
      <c r="C52" s="1325"/>
      <c r="D52" s="1326"/>
      <c r="E52" s="1327"/>
      <c r="F52" s="1328"/>
      <c r="G52" s="1324"/>
      <c r="H52" s="1333"/>
      <c r="I52" s="97"/>
      <c r="J52" s="97"/>
      <c r="K52" s="1333"/>
      <c r="L52" s="1333"/>
      <c r="M52" s="1333"/>
      <c r="N52" s="1333"/>
      <c r="O52" s="1333"/>
      <c r="P52" s="1333"/>
      <c r="Q52" s="1333"/>
      <c r="R52" s="1333"/>
      <c r="S52" s="981"/>
      <c r="T52" s="1333"/>
      <c r="U52" s="1333"/>
      <c r="V52" s="1333"/>
      <c r="W52" s="1333"/>
      <c r="X52" s="1333"/>
      <c r="Y52" s="1333"/>
      <c r="Z52" s="1333"/>
      <c r="AA52" s="1333"/>
      <c r="AB52" s="1333"/>
      <c r="AC52" s="1333"/>
      <c r="AD52" s="1333"/>
      <c r="AE52" s="1333"/>
      <c r="AF52" s="1333"/>
      <c r="AG52" s="1337"/>
      <c r="AH52" s="1337"/>
    </row>
    <row r="53">
      <c r="A53" s="1323"/>
      <c r="B53" s="1324"/>
      <c r="C53" s="1325"/>
      <c r="D53" s="1326"/>
      <c r="E53" s="1327"/>
      <c r="F53" s="1328"/>
      <c r="G53" s="1324"/>
      <c r="H53" s="1333"/>
      <c r="I53" s="97"/>
      <c r="J53" s="97"/>
      <c r="K53" s="1333"/>
      <c r="L53" s="1333"/>
      <c r="M53" s="1333"/>
      <c r="N53" s="1333"/>
      <c r="O53" s="1333"/>
      <c r="P53" s="1333"/>
      <c r="Q53" s="1333"/>
      <c r="R53" s="1333"/>
      <c r="S53" s="981"/>
      <c r="T53" s="1333"/>
      <c r="U53" s="1333"/>
      <c r="V53" s="1333"/>
      <c r="W53" s="1333"/>
      <c r="X53" s="1333"/>
      <c r="Y53" s="1333"/>
      <c r="Z53" s="1333"/>
      <c r="AA53" s="1333"/>
      <c r="AB53" s="1333"/>
      <c r="AC53" s="1333"/>
      <c r="AD53" s="1333"/>
      <c r="AE53" s="1333"/>
      <c r="AF53" s="1333"/>
      <c r="AG53" s="1337"/>
      <c r="AH53" s="1337"/>
    </row>
    <row r="54">
      <c r="A54" s="1323"/>
      <c r="B54" s="1324"/>
      <c r="C54" s="1325"/>
      <c r="D54" s="1326"/>
      <c r="E54" s="1327"/>
      <c r="F54" s="1328"/>
      <c r="G54" s="1324"/>
      <c r="H54" s="1333"/>
      <c r="I54" s="97"/>
      <c r="J54" s="97"/>
      <c r="K54" s="1333"/>
      <c r="L54" s="1333"/>
      <c r="M54" s="1333"/>
      <c r="N54" s="1333"/>
      <c r="O54" s="1333"/>
      <c r="P54" s="1333"/>
      <c r="Q54" s="1333"/>
      <c r="R54" s="1333"/>
      <c r="S54" s="981"/>
      <c r="T54" s="1333"/>
      <c r="U54" s="1333"/>
      <c r="V54" s="1333"/>
      <c r="W54" s="1333"/>
      <c r="X54" s="1333"/>
      <c r="Y54" s="1333"/>
      <c r="Z54" s="1333"/>
      <c r="AA54" s="1333"/>
      <c r="AB54" s="1333"/>
      <c r="AC54" s="1333"/>
      <c r="AD54" s="1333"/>
      <c r="AE54" s="1333"/>
      <c r="AF54" s="1333"/>
      <c r="AG54" s="1337"/>
      <c r="AH54" s="1337"/>
    </row>
    <row r="55">
      <c r="A55" s="1323"/>
      <c r="B55" s="1324"/>
      <c r="C55" s="1325"/>
      <c r="D55" s="1326"/>
      <c r="E55" s="1327"/>
      <c r="F55" s="1328"/>
      <c r="G55" s="1324"/>
      <c r="H55" s="1333"/>
      <c r="I55" s="97"/>
      <c r="J55" s="97"/>
      <c r="K55" s="1333"/>
      <c r="L55" s="1333"/>
      <c r="M55" s="1333"/>
      <c r="N55" s="1333"/>
      <c r="O55" s="1333"/>
      <c r="P55" s="1333"/>
      <c r="Q55" s="1333"/>
      <c r="R55" s="1333"/>
      <c r="S55" s="981"/>
      <c r="T55" s="1333"/>
      <c r="U55" s="1333"/>
      <c r="V55" s="1333"/>
      <c r="W55" s="1333"/>
      <c r="X55" s="1333"/>
      <c r="Y55" s="1333"/>
      <c r="Z55" s="1333"/>
      <c r="AA55" s="1333"/>
      <c r="AB55" s="1333"/>
      <c r="AC55" s="1333"/>
      <c r="AD55" s="1333"/>
      <c r="AE55" s="1333"/>
      <c r="AF55" s="1333"/>
      <c r="AG55" s="1337"/>
      <c r="AH55" s="1337"/>
    </row>
    <row r="56">
      <c r="A56" s="1323"/>
      <c r="B56" s="1324"/>
      <c r="C56" s="1325"/>
      <c r="D56" s="1326"/>
      <c r="E56" s="1327"/>
      <c r="F56" s="1328"/>
      <c r="G56" s="1324"/>
      <c r="H56" s="1333"/>
      <c r="I56" s="97"/>
      <c r="J56" s="97"/>
      <c r="K56" s="1333"/>
      <c r="L56" s="1333"/>
      <c r="M56" s="1333"/>
      <c r="N56" s="1333"/>
      <c r="O56" s="1333"/>
      <c r="P56" s="1333"/>
      <c r="Q56" s="1333"/>
      <c r="R56" s="1333"/>
      <c r="S56" s="981"/>
      <c r="T56" s="1333"/>
      <c r="U56" s="1333"/>
      <c r="V56" s="1333"/>
      <c r="W56" s="1333"/>
      <c r="X56" s="1333"/>
      <c r="Y56" s="1333"/>
      <c r="Z56" s="1333"/>
      <c r="AA56" s="1333"/>
      <c r="AB56" s="1333"/>
      <c r="AC56" s="1333"/>
      <c r="AD56" s="1333"/>
      <c r="AE56" s="1333"/>
      <c r="AF56" s="1333"/>
      <c r="AG56" s="1337"/>
      <c r="AH56" s="1337"/>
    </row>
    <row r="57">
      <c r="A57" s="1323"/>
      <c r="B57" s="1324"/>
      <c r="C57" s="1325"/>
      <c r="D57" s="1326"/>
      <c r="E57" s="1327"/>
      <c r="F57" s="1328"/>
      <c r="G57" s="1324"/>
      <c r="H57" s="1333"/>
      <c r="I57" s="97"/>
      <c r="J57" s="97"/>
      <c r="K57" s="1333"/>
      <c r="L57" s="1333"/>
      <c r="M57" s="1333"/>
      <c r="N57" s="1333"/>
      <c r="O57" s="1333"/>
      <c r="P57" s="1333"/>
      <c r="Q57" s="1333"/>
      <c r="R57" s="1333"/>
      <c r="S57" s="981"/>
      <c r="T57" s="1333"/>
      <c r="U57" s="1333"/>
      <c r="V57" s="1333"/>
      <c r="W57" s="1333"/>
      <c r="X57" s="1333"/>
      <c r="Y57" s="1333"/>
      <c r="Z57" s="1333"/>
      <c r="AA57" s="1333"/>
      <c r="AB57" s="1333"/>
      <c r="AC57" s="1333"/>
      <c r="AD57" s="1333"/>
      <c r="AE57" s="1333"/>
      <c r="AF57" s="1333"/>
      <c r="AG57" s="1337"/>
      <c r="AH57" s="1337"/>
    </row>
    <row r="58">
      <c r="A58" s="1323"/>
      <c r="B58" s="1324"/>
      <c r="C58" s="1325"/>
      <c r="D58" s="1326"/>
      <c r="E58" s="1327"/>
      <c r="F58" s="1328"/>
      <c r="G58" s="1324"/>
      <c r="H58" s="1333"/>
      <c r="I58" s="97"/>
      <c r="J58" s="97"/>
      <c r="K58" s="1333"/>
      <c r="L58" s="1333"/>
      <c r="M58" s="1333"/>
      <c r="N58" s="1333"/>
      <c r="O58" s="1333"/>
      <c r="P58" s="1333"/>
      <c r="Q58" s="1333"/>
      <c r="R58" s="1333"/>
      <c r="S58" s="981"/>
      <c r="T58" s="1333"/>
      <c r="U58" s="1333"/>
      <c r="V58" s="1333"/>
      <c r="W58" s="1333"/>
      <c r="X58" s="1333"/>
      <c r="Y58" s="1333"/>
      <c r="Z58" s="1333"/>
      <c r="AA58" s="1333"/>
      <c r="AB58" s="1333"/>
      <c r="AC58" s="1333"/>
      <c r="AD58" s="1333"/>
      <c r="AE58" s="1333"/>
      <c r="AF58" s="1333"/>
      <c r="AG58" s="1337"/>
      <c r="AH58" s="1337"/>
    </row>
    <row r="59">
      <c r="A59" s="1323"/>
      <c r="B59" s="1324"/>
      <c r="C59" s="1325"/>
      <c r="D59" s="1326"/>
      <c r="E59" s="1327"/>
      <c r="F59" s="1328"/>
      <c r="G59" s="1324"/>
      <c r="H59" s="1333"/>
      <c r="I59" s="97"/>
      <c r="J59" s="97"/>
      <c r="K59" s="1333"/>
      <c r="L59" s="1333"/>
      <c r="M59" s="1333"/>
      <c r="N59" s="1333"/>
      <c r="O59" s="1333"/>
      <c r="P59" s="1333"/>
      <c r="Q59" s="1333"/>
      <c r="R59" s="1333"/>
      <c r="S59" s="981"/>
      <c r="T59" s="1333"/>
      <c r="U59" s="1333"/>
      <c r="V59" s="1333"/>
      <c r="W59" s="1333"/>
      <c r="X59" s="1333"/>
      <c r="Y59" s="1333"/>
      <c r="Z59" s="1333"/>
      <c r="AA59" s="1333"/>
      <c r="AB59" s="1333"/>
      <c r="AC59" s="1333"/>
      <c r="AD59" s="1333"/>
      <c r="AE59" s="1333"/>
      <c r="AF59" s="1333"/>
      <c r="AG59" s="1337"/>
      <c r="AH59" s="1337"/>
    </row>
    <row r="60">
      <c r="A60" s="1323"/>
      <c r="B60" s="1324"/>
      <c r="C60" s="1325"/>
      <c r="D60" s="1326"/>
      <c r="E60" s="1327"/>
      <c r="F60" s="1328"/>
      <c r="G60" s="1324"/>
      <c r="H60" s="1333"/>
      <c r="I60" s="97"/>
      <c r="J60" s="97"/>
      <c r="K60" s="1333"/>
      <c r="L60" s="1333"/>
      <c r="M60" s="1333"/>
      <c r="N60" s="1333"/>
      <c r="O60" s="1333"/>
      <c r="P60" s="1333"/>
      <c r="Q60" s="1333"/>
      <c r="R60" s="1333"/>
      <c r="S60" s="981"/>
      <c r="T60" s="1333"/>
      <c r="U60" s="1333"/>
      <c r="V60" s="1333"/>
      <c r="W60" s="1333"/>
      <c r="X60" s="1333"/>
      <c r="Y60" s="1333"/>
      <c r="Z60" s="1333"/>
      <c r="AA60" s="1333"/>
      <c r="AB60" s="1333"/>
      <c r="AC60" s="1333"/>
      <c r="AD60" s="1333"/>
      <c r="AE60" s="1333"/>
      <c r="AF60" s="1333"/>
      <c r="AG60" s="1337"/>
      <c r="AH60" s="1337"/>
    </row>
    <row r="61">
      <c r="A61" s="1323"/>
      <c r="B61" s="1324"/>
      <c r="C61" s="1325"/>
      <c r="D61" s="1326"/>
      <c r="E61" s="1327"/>
      <c r="F61" s="1328"/>
      <c r="G61" s="1324"/>
      <c r="H61" s="1333"/>
      <c r="I61" s="97"/>
      <c r="J61" s="97"/>
      <c r="K61" s="1333"/>
      <c r="L61" s="1333"/>
      <c r="M61" s="1333"/>
      <c r="N61" s="1333"/>
      <c r="O61" s="1333"/>
      <c r="P61" s="1333"/>
      <c r="Q61" s="1333"/>
      <c r="R61" s="1333"/>
      <c r="S61" s="981"/>
      <c r="T61" s="1333"/>
      <c r="U61" s="1333"/>
      <c r="V61" s="1333"/>
      <c r="W61" s="1333"/>
      <c r="X61" s="1333"/>
      <c r="Y61" s="1333"/>
      <c r="Z61" s="1333"/>
      <c r="AA61" s="1333"/>
      <c r="AB61" s="1333"/>
      <c r="AC61" s="1333"/>
      <c r="AD61" s="1333"/>
      <c r="AE61" s="1333"/>
      <c r="AF61" s="1333"/>
      <c r="AG61" s="1337"/>
      <c r="AH61" s="1337"/>
    </row>
    <row r="62">
      <c r="A62" s="1323"/>
      <c r="B62" s="1324"/>
      <c r="C62" s="1325"/>
      <c r="D62" s="1326"/>
      <c r="E62" s="1327"/>
      <c r="F62" s="1328"/>
      <c r="G62" s="1324"/>
      <c r="H62" s="1333"/>
      <c r="I62" s="97"/>
      <c r="J62" s="97"/>
      <c r="K62" s="1333"/>
      <c r="L62" s="1333"/>
      <c r="M62" s="1333"/>
      <c r="N62" s="1333"/>
      <c r="O62" s="1333"/>
      <c r="P62" s="1333"/>
      <c r="Q62" s="1333"/>
      <c r="R62" s="1333"/>
      <c r="S62" s="981"/>
      <c r="T62" s="1333"/>
      <c r="U62" s="1333"/>
      <c r="V62" s="1333"/>
      <c r="W62" s="1333"/>
      <c r="X62" s="1333"/>
      <c r="Y62" s="1333"/>
      <c r="Z62" s="1333"/>
      <c r="AA62" s="1333"/>
      <c r="AB62" s="1333"/>
      <c r="AC62" s="1333"/>
      <c r="AD62" s="1333"/>
      <c r="AE62" s="1333"/>
      <c r="AF62" s="1333"/>
      <c r="AG62" s="1337"/>
      <c r="AH62" s="1337"/>
    </row>
    <row r="63">
      <c r="A63" s="1323"/>
      <c r="B63" s="1324"/>
      <c r="C63" s="1325"/>
      <c r="D63" s="1326"/>
      <c r="E63" s="1327"/>
      <c r="F63" s="1328"/>
      <c r="G63" s="1324"/>
      <c r="H63" s="1333"/>
      <c r="I63" s="97"/>
      <c r="J63" s="97"/>
      <c r="K63" s="1333"/>
      <c r="L63" s="1333"/>
      <c r="M63" s="1333"/>
      <c r="N63" s="1333"/>
      <c r="O63" s="1333"/>
      <c r="P63" s="1333"/>
      <c r="Q63" s="1333"/>
      <c r="R63" s="1333"/>
      <c r="S63" s="981"/>
      <c r="T63" s="1333"/>
      <c r="U63" s="1333"/>
      <c r="V63" s="1333"/>
      <c r="W63" s="1333"/>
      <c r="X63" s="1333"/>
      <c r="Y63" s="1333"/>
      <c r="Z63" s="1333"/>
      <c r="AA63" s="1333"/>
      <c r="AB63" s="1333"/>
      <c r="AC63" s="1333"/>
      <c r="AD63" s="1333"/>
      <c r="AE63" s="1333"/>
      <c r="AF63" s="1333"/>
      <c r="AG63" s="1337"/>
      <c r="AH63" s="1337"/>
    </row>
    <row r="64">
      <c r="A64" s="1323"/>
      <c r="B64" s="1324"/>
      <c r="C64" s="1325"/>
      <c r="D64" s="1326"/>
      <c r="E64" s="1327"/>
      <c r="F64" s="1328"/>
      <c r="G64" s="1324"/>
      <c r="H64" s="1333"/>
      <c r="I64" s="97"/>
      <c r="J64" s="97"/>
      <c r="K64" s="1333"/>
      <c r="L64" s="1333"/>
      <c r="M64" s="1333"/>
      <c r="N64" s="1333"/>
      <c r="O64" s="1333"/>
      <c r="P64" s="1333"/>
      <c r="Q64" s="1333"/>
      <c r="R64" s="1333"/>
      <c r="S64" s="981"/>
      <c r="T64" s="1333"/>
      <c r="U64" s="1333"/>
      <c r="V64" s="1333"/>
      <c r="W64" s="1333"/>
      <c r="X64" s="1333"/>
      <c r="Y64" s="1333"/>
      <c r="Z64" s="1333"/>
      <c r="AA64" s="1333"/>
      <c r="AB64" s="1333"/>
      <c r="AC64" s="1333"/>
      <c r="AD64" s="1333"/>
      <c r="AE64" s="1333"/>
      <c r="AF64" s="1333"/>
      <c r="AG64" s="1337"/>
      <c r="AH64" s="1337"/>
    </row>
    <row r="65">
      <c r="A65" s="1323"/>
      <c r="B65" s="1324"/>
      <c r="C65" s="1325"/>
      <c r="D65" s="1326"/>
      <c r="E65" s="1327"/>
      <c r="F65" s="1328"/>
      <c r="G65" s="1324"/>
      <c r="H65" s="1333"/>
      <c r="I65" s="97"/>
      <c r="J65" s="97"/>
      <c r="K65" s="1333"/>
      <c r="L65" s="1333"/>
      <c r="M65" s="1333"/>
      <c r="N65" s="1333"/>
      <c r="O65" s="1333"/>
      <c r="P65" s="1333"/>
      <c r="Q65" s="1333"/>
      <c r="R65" s="1333"/>
      <c r="S65" s="981"/>
      <c r="T65" s="1333"/>
      <c r="U65" s="1333"/>
      <c r="V65" s="1333"/>
      <c r="W65" s="1333"/>
      <c r="X65" s="1333"/>
      <c r="Y65" s="1333"/>
      <c r="Z65" s="1333"/>
      <c r="AA65" s="1333"/>
      <c r="AB65" s="1333"/>
      <c r="AC65" s="1333"/>
      <c r="AD65" s="1333"/>
      <c r="AE65" s="1333"/>
      <c r="AF65" s="1333"/>
      <c r="AG65" s="1337"/>
      <c r="AH65" s="1337"/>
    </row>
    <row r="66">
      <c r="A66" s="1323"/>
      <c r="B66" s="1324"/>
      <c r="C66" s="1325"/>
      <c r="D66" s="1326"/>
      <c r="E66" s="1327"/>
      <c r="F66" s="1328"/>
      <c r="G66" s="1324"/>
      <c r="H66" s="1333"/>
      <c r="I66" s="97"/>
      <c r="J66" s="97"/>
      <c r="K66" s="1333"/>
      <c r="L66" s="1333"/>
      <c r="M66" s="1333"/>
      <c r="N66" s="1333"/>
      <c r="O66" s="1333"/>
      <c r="P66" s="1333"/>
      <c r="Q66" s="1333"/>
      <c r="R66" s="1333"/>
      <c r="S66" s="981"/>
      <c r="T66" s="1333"/>
      <c r="U66" s="1333"/>
      <c r="V66" s="1333"/>
      <c r="W66" s="1333"/>
      <c r="X66" s="1333"/>
      <c r="Y66" s="1333"/>
      <c r="Z66" s="1333"/>
      <c r="AA66" s="1333"/>
      <c r="AB66" s="1333"/>
      <c r="AC66" s="1333"/>
      <c r="AD66" s="1333"/>
      <c r="AE66" s="1333"/>
      <c r="AF66" s="1333"/>
      <c r="AG66" s="1337"/>
      <c r="AH66" s="1337"/>
    </row>
    <row r="67">
      <c r="A67" s="1323"/>
      <c r="B67" s="1324"/>
      <c r="C67" s="1325"/>
      <c r="D67" s="1326"/>
      <c r="E67" s="1327"/>
      <c r="F67" s="1328"/>
      <c r="G67" s="1324"/>
      <c r="H67" s="1333"/>
      <c r="I67" s="97"/>
      <c r="J67" s="97"/>
      <c r="K67" s="1333"/>
      <c r="L67" s="1333"/>
      <c r="M67" s="1333"/>
      <c r="N67" s="1333"/>
      <c r="O67" s="1333"/>
      <c r="P67" s="1333"/>
      <c r="Q67" s="1333"/>
      <c r="R67" s="1333"/>
      <c r="S67" s="981"/>
      <c r="T67" s="1333"/>
      <c r="U67" s="1333"/>
      <c r="V67" s="1333"/>
      <c r="W67" s="1333"/>
      <c r="X67" s="1333"/>
      <c r="Y67" s="1333"/>
      <c r="Z67" s="1333"/>
      <c r="AA67" s="1333"/>
      <c r="AB67" s="1333"/>
      <c r="AC67" s="1333"/>
      <c r="AD67" s="1333"/>
      <c r="AE67" s="1333"/>
      <c r="AF67" s="1333"/>
      <c r="AG67" s="1337"/>
      <c r="AH67" s="1337"/>
    </row>
    <row r="68">
      <c r="A68" s="1323"/>
      <c r="B68" s="1324"/>
      <c r="C68" s="1325"/>
      <c r="D68" s="1326"/>
      <c r="E68" s="1327"/>
      <c r="F68" s="1328"/>
      <c r="G68" s="1324"/>
      <c r="H68" s="1333"/>
      <c r="I68" s="97"/>
      <c r="J68" s="97"/>
      <c r="K68" s="1333"/>
      <c r="L68" s="1333"/>
      <c r="M68" s="1333"/>
      <c r="N68" s="1333"/>
      <c r="O68" s="1333"/>
      <c r="P68" s="1333"/>
      <c r="Q68" s="1333"/>
      <c r="R68" s="1333"/>
      <c r="S68" s="981"/>
      <c r="T68" s="1333"/>
      <c r="U68" s="1333"/>
      <c r="V68" s="1333"/>
      <c r="W68" s="1333"/>
      <c r="X68" s="1333"/>
      <c r="Y68" s="1333"/>
      <c r="Z68" s="1333"/>
      <c r="AA68" s="1333"/>
      <c r="AB68" s="1333"/>
      <c r="AC68" s="1333"/>
      <c r="AD68" s="1333"/>
      <c r="AE68" s="1333"/>
      <c r="AF68" s="1333"/>
      <c r="AG68" s="1337"/>
      <c r="AH68" s="1337"/>
    </row>
    <row r="69">
      <c r="A69" s="1323"/>
      <c r="B69" s="1324"/>
      <c r="C69" s="1325"/>
      <c r="D69" s="1326"/>
      <c r="E69" s="1327"/>
      <c r="F69" s="1328"/>
      <c r="G69" s="1324"/>
      <c r="H69" s="1333"/>
      <c r="I69" s="97"/>
      <c r="J69" s="97"/>
      <c r="K69" s="1333"/>
      <c r="L69" s="1333"/>
      <c r="M69" s="1333"/>
      <c r="N69" s="1333"/>
      <c r="O69" s="1333"/>
      <c r="P69" s="1333"/>
      <c r="Q69" s="1333"/>
      <c r="R69" s="1333"/>
      <c r="S69" s="981"/>
      <c r="T69" s="1333"/>
      <c r="U69" s="1333"/>
      <c r="V69" s="1333"/>
      <c r="W69" s="1333"/>
      <c r="X69" s="1333"/>
      <c r="Y69" s="1333"/>
      <c r="Z69" s="1333"/>
      <c r="AA69" s="1333"/>
      <c r="AB69" s="1333"/>
      <c r="AC69" s="1333"/>
      <c r="AD69" s="1333"/>
      <c r="AE69" s="1333"/>
      <c r="AF69" s="1333"/>
      <c r="AG69" s="1337"/>
      <c r="AH69" s="1337"/>
    </row>
    <row r="70">
      <c r="A70" s="1323"/>
      <c r="B70" s="1324"/>
      <c r="C70" s="1325"/>
      <c r="D70" s="1326"/>
      <c r="E70" s="1327"/>
      <c r="F70" s="1328"/>
      <c r="G70" s="1324"/>
      <c r="H70" s="1333"/>
      <c r="I70" s="97"/>
      <c r="J70" s="97"/>
      <c r="K70" s="1333"/>
      <c r="L70" s="1333"/>
      <c r="M70" s="1333"/>
      <c r="N70" s="1333"/>
      <c r="O70" s="1333"/>
      <c r="P70" s="1333"/>
      <c r="Q70" s="1333"/>
      <c r="R70" s="1333"/>
      <c r="S70" s="981"/>
      <c r="T70" s="1333"/>
      <c r="U70" s="1333"/>
      <c r="V70" s="1333"/>
      <c r="W70" s="1333"/>
      <c r="X70" s="1333"/>
      <c r="Y70" s="1333"/>
      <c r="Z70" s="1333"/>
      <c r="AA70" s="1333"/>
      <c r="AB70" s="1333"/>
      <c r="AC70" s="1333"/>
      <c r="AD70" s="1333"/>
      <c r="AE70" s="1333"/>
      <c r="AF70" s="1333"/>
      <c r="AG70" s="1337"/>
      <c r="AH70" s="1337"/>
    </row>
    <row r="71">
      <c r="A71" s="1323"/>
      <c r="B71" s="1324"/>
      <c r="C71" s="1325"/>
      <c r="D71" s="1326"/>
      <c r="E71" s="1327"/>
      <c r="F71" s="1328"/>
      <c r="G71" s="1324"/>
      <c r="H71" s="1333"/>
      <c r="I71" s="97"/>
      <c r="J71" s="97"/>
      <c r="K71" s="1333"/>
      <c r="L71" s="1333"/>
      <c r="M71" s="1333"/>
      <c r="N71" s="1333"/>
      <c r="O71" s="1333"/>
      <c r="P71" s="1333"/>
      <c r="Q71" s="1333"/>
      <c r="R71" s="1333"/>
      <c r="S71" s="981"/>
      <c r="T71" s="1333"/>
      <c r="U71" s="1333"/>
      <c r="V71" s="1333"/>
      <c r="W71" s="1333"/>
      <c r="X71" s="1333"/>
      <c r="Y71" s="1333"/>
      <c r="Z71" s="1333"/>
      <c r="AA71" s="1333"/>
      <c r="AB71" s="1333"/>
      <c r="AC71" s="1333"/>
      <c r="AD71" s="1333"/>
      <c r="AE71" s="1333"/>
      <c r="AF71" s="1333"/>
      <c r="AG71" s="1337"/>
      <c r="AH71" s="1337"/>
    </row>
    <row r="72">
      <c r="A72" s="1323"/>
      <c r="B72" s="1324"/>
      <c r="C72" s="1325"/>
      <c r="D72" s="1326"/>
      <c r="E72" s="1327"/>
      <c r="F72" s="1328"/>
      <c r="G72" s="1324"/>
      <c r="H72" s="1333"/>
      <c r="I72" s="97"/>
      <c r="J72" s="97"/>
      <c r="K72" s="1333"/>
      <c r="L72" s="1333"/>
      <c r="M72" s="1333"/>
      <c r="N72" s="1333"/>
      <c r="O72" s="1333"/>
      <c r="P72" s="1333"/>
      <c r="Q72" s="1333"/>
      <c r="R72" s="1333"/>
      <c r="S72" s="981"/>
      <c r="T72" s="1333"/>
      <c r="U72" s="1333"/>
      <c r="V72" s="1333"/>
      <c r="W72" s="1333"/>
      <c r="X72" s="1333"/>
      <c r="Y72" s="1333"/>
      <c r="Z72" s="1333"/>
      <c r="AA72" s="1333"/>
      <c r="AB72" s="1333"/>
      <c r="AC72" s="1333"/>
      <c r="AD72" s="1333"/>
      <c r="AE72" s="1333"/>
      <c r="AF72" s="1333"/>
      <c r="AG72" s="1337"/>
      <c r="AH72" s="1337"/>
    </row>
    <row r="73">
      <c r="A73" s="1323"/>
      <c r="B73" s="1324"/>
      <c r="C73" s="1325"/>
      <c r="D73" s="1326"/>
      <c r="E73" s="1327"/>
      <c r="F73" s="1328"/>
      <c r="G73" s="1324"/>
      <c r="H73" s="1333"/>
      <c r="I73" s="97"/>
      <c r="J73" s="97"/>
      <c r="K73" s="1333"/>
      <c r="L73" s="1333"/>
      <c r="M73" s="1333"/>
      <c r="N73" s="1333"/>
      <c r="O73" s="1333"/>
      <c r="P73" s="1333"/>
      <c r="Q73" s="1333"/>
      <c r="R73" s="1333"/>
      <c r="S73" s="981"/>
      <c r="T73" s="1333"/>
      <c r="U73" s="1333"/>
      <c r="V73" s="1333"/>
      <c r="W73" s="1333"/>
      <c r="X73" s="1333"/>
      <c r="Y73" s="1333"/>
      <c r="Z73" s="1333"/>
      <c r="AA73" s="1333"/>
      <c r="AB73" s="1333"/>
      <c r="AC73" s="1333"/>
      <c r="AD73" s="1333"/>
      <c r="AE73" s="1333"/>
      <c r="AF73" s="1333"/>
      <c r="AG73" s="1337"/>
      <c r="AH73" s="1337"/>
    </row>
    <row r="74">
      <c r="A74" s="1323"/>
      <c r="B74" s="1324"/>
      <c r="C74" s="1325"/>
      <c r="D74" s="1326"/>
      <c r="E74" s="1327"/>
      <c r="F74" s="1328"/>
      <c r="G74" s="1324"/>
      <c r="H74" s="1333"/>
      <c r="I74" s="97"/>
      <c r="J74" s="97"/>
      <c r="K74" s="1333"/>
      <c r="L74" s="1333"/>
      <c r="M74" s="1333"/>
      <c r="N74" s="1333"/>
      <c r="O74" s="1333"/>
      <c r="P74" s="1333"/>
      <c r="Q74" s="1333"/>
      <c r="R74" s="1333"/>
      <c r="S74" s="981"/>
      <c r="T74" s="1333"/>
      <c r="U74" s="1333"/>
      <c r="V74" s="1333"/>
      <c r="W74" s="1333"/>
      <c r="X74" s="1333"/>
      <c r="Y74" s="1333"/>
      <c r="Z74" s="1333"/>
      <c r="AA74" s="1333"/>
      <c r="AB74" s="1333"/>
      <c r="AC74" s="1333"/>
      <c r="AD74" s="1333"/>
      <c r="AE74" s="1333"/>
      <c r="AF74" s="1333"/>
      <c r="AG74" s="1337"/>
      <c r="AH74" s="1337"/>
    </row>
    <row r="75">
      <c r="A75" s="1323"/>
      <c r="B75" s="1324"/>
      <c r="C75" s="1325"/>
      <c r="D75" s="1326"/>
      <c r="E75" s="1327"/>
      <c r="F75" s="1328"/>
      <c r="G75" s="1324"/>
      <c r="H75" s="1333"/>
      <c r="I75" s="97"/>
      <c r="J75" s="97"/>
      <c r="K75" s="1333"/>
      <c r="L75" s="1333"/>
      <c r="M75" s="1333"/>
      <c r="N75" s="1333"/>
      <c r="O75" s="1333"/>
      <c r="P75" s="1333"/>
      <c r="Q75" s="1333"/>
      <c r="R75" s="1333"/>
      <c r="S75" s="981"/>
      <c r="T75" s="1333"/>
      <c r="U75" s="1333"/>
      <c r="V75" s="1333"/>
      <c r="W75" s="1333"/>
      <c r="X75" s="1333"/>
      <c r="Y75" s="1333"/>
      <c r="Z75" s="1333"/>
      <c r="AA75" s="1333"/>
      <c r="AB75" s="1333"/>
      <c r="AC75" s="1333"/>
      <c r="AD75" s="1333"/>
      <c r="AE75" s="1333"/>
      <c r="AF75" s="1333"/>
      <c r="AG75" s="1337"/>
      <c r="AH75" s="1337"/>
    </row>
    <row r="76">
      <c r="A76" s="1323"/>
      <c r="B76" s="1324"/>
      <c r="C76" s="1325"/>
      <c r="D76" s="1326"/>
      <c r="E76" s="1327"/>
      <c r="F76" s="1328"/>
      <c r="G76" s="1324"/>
      <c r="H76" s="1333"/>
      <c r="I76" s="97"/>
      <c r="J76" s="97"/>
      <c r="K76" s="1333"/>
      <c r="L76" s="1333"/>
      <c r="M76" s="1333"/>
      <c r="N76" s="1333"/>
      <c r="O76" s="1333"/>
      <c r="P76" s="1333"/>
      <c r="Q76" s="1333"/>
      <c r="R76" s="1333"/>
      <c r="S76" s="981"/>
      <c r="T76" s="1333"/>
      <c r="U76" s="1333"/>
      <c r="V76" s="1333"/>
      <c r="W76" s="1333"/>
      <c r="X76" s="1333"/>
      <c r="Y76" s="1333"/>
      <c r="Z76" s="1333"/>
      <c r="AA76" s="1333"/>
      <c r="AB76" s="1333"/>
      <c r="AC76" s="1333"/>
      <c r="AD76" s="1333"/>
      <c r="AE76" s="1333"/>
      <c r="AF76" s="1333"/>
      <c r="AG76" s="1337"/>
      <c r="AH76" s="1337"/>
    </row>
    <row r="77">
      <c r="A77" s="1323"/>
      <c r="B77" s="1324"/>
      <c r="C77" s="1325"/>
      <c r="D77" s="1326"/>
      <c r="E77" s="1327"/>
      <c r="F77" s="1328"/>
      <c r="G77" s="1324"/>
      <c r="H77" s="1333"/>
      <c r="I77" s="97"/>
      <c r="J77" s="97"/>
      <c r="K77" s="1333"/>
      <c r="L77" s="1333"/>
      <c r="M77" s="1333"/>
      <c r="N77" s="1333"/>
      <c r="O77" s="1333"/>
      <c r="P77" s="1333"/>
      <c r="Q77" s="1333"/>
      <c r="R77" s="1333"/>
      <c r="S77" s="981"/>
      <c r="T77" s="1333"/>
      <c r="U77" s="1333"/>
      <c r="V77" s="1333"/>
      <c r="W77" s="1333"/>
      <c r="X77" s="1333"/>
      <c r="Y77" s="1333"/>
      <c r="Z77" s="1333"/>
      <c r="AA77" s="1333"/>
      <c r="AB77" s="1333"/>
      <c r="AC77" s="1333"/>
      <c r="AD77" s="1333"/>
      <c r="AE77" s="1333"/>
      <c r="AF77" s="1333"/>
      <c r="AG77" s="1337"/>
      <c r="AH77" s="1337"/>
    </row>
    <row r="78">
      <c r="A78" s="1323"/>
      <c r="B78" s="1324"/>
      <c r="C78" s="1325"/>
      <c r="D78" s="1326"/>
      <c r="E78" s="1327"/>
      <c r="F78" s="1328"/>
      <c r="G78" s="1324"/>
      <c r="H78" s="1333"/>
      <c r="I78" s="97"/>
      <c r="J78" s="97"/>
      <c r="K78" s="1333"/>
      <c r="L78" s="1333"/>
      <c r="M78" s="1333"/>
      <c r="N78" s="1333"/>
      <c r="O78" s="1333"/>
      <c r="P78" s="1333"/>
      <c r="Q78" s="1333"/>
      <c r="R78" s="1333"/>
      <c r="S78" s="981"/>
      <c r="T78" s="1333"/>
      <c r="U78" s="1333"/>
      <c r="V78" s="1333"/>
      <c r="W78" s="1333"/>
      <c r="X78" s="1333"/>
      <c r="Y78" s="1333"/>
      <c r="Z78" s="1333"/>
      <c r="AA78" s="1333"/>
      <c r="AB78" s="1333"/>
      <c r="AC78" s="1333"/>
      <c r="AD78" s="1333"/>
      <c r="AE78" s="1333"/>
      <c r="AF78" s="1333"/>
      <c r="AG78" s="1337"/>
      <c r="AH78" s="1337"/>
    </row>
    <row r="79">
      <c r="A79" s="1323"/>
      <c r="B79" s="1324"/>
      <c r="C79" s="1325"/>
      <c r="D79" s="1326"/>
      <c r="E79" s="1327"/>
      <c r="F79" s="1328"/>
      <c r="G79" s="1324"/>
      <c r="H79" s="1333"/>
      <c r="I79" s="97"/>
      <c r="J79" s="97"/>
      <c r="K79" s="1333"/>
      <c r="L79" s="1333"/>
      <c r="M79" s="1333"/>
      <c r="N79" s="1333"/>
      <c r="O79" s="1333"/>
      <c r="P79" s="1333"/>
      <c r="Q79" s="1333"/>
      <c r="R79" s="1333"/>
      <c r="S79" s="981"/>
      <c r="T79" s="1333"/>
      <c r="U79" s="1333"/>
      <c r="V79" s="1333"/>
      <c r="W79" s="1333"/>
      <c r="X79" s="1333"/>
      <c r="Y79" s="1333"/>
      <c r="Z79" s="1333"/>
      <c r="AA79" s="1333"/>
      <c r="AB79" s="1333"/>
      <c r="AC79" s="1333"/>
      <c r="AD79" s="1333"/>
      <c r="AE79" s="1333"/>
      <c r="AF79" s="1333"/>
      <c r="AG79" s="1337"/>
      <c r="AH79" s="1337"/>
    </row>
    <row r="80">
      <c r="A80" s="1323"/>
      <c r="B80" s="1324"/>
      <c r="C80" s="1325"/>
      <c r="D80" s="1326"/>
      <c r="E80" s="1327"/>
      <c r="F80" s="1328"/>
      <c r="G80" s="1324"/>
      <c r="H80" s="1333"/>
      <c r="I80" s="97"/>
      <c r="J80" s="97"/>
      <c r="K80" s="1333"/>
      <c r="L80" s="1333"/>
      <c r="M80" s="1333"/>
      <c r="N80" s="1333"/>
      <c r="O80" s="1333"/>
      <c r="P80" s="1333"/>
      <c r="Q80" s="1333"/>
      <c r="R80" s="1333"/>
      <c r="S80" s="981"/>
      <c r="T80" s="1333"/>
      <c r="U80" s="1333"/>
      <c r="V80" s="1333"/>
      <c r="W80" s="1333"/>
      <c r="X80" s="1333"/>
      <c r="Y80" s="1333"/>
      <c r="Z80" s="1333"/>
      <c r="AA80" s="1333"/>
      <c r="AB80" s="1333"/>
      <c r="AC80" s="1333"/>
      <c r="AD80" s="1333"/>
      <c r="AE80" s="1333"/>
      <c r="AF80" s="1333"/>
      <c r="AG80" s="1337"/>
      <c r="AH80" s="1337"/>
    </row>
    <row r="81">
      <c r="A81" s="1323"/>
      <c r="B81" s="1324"/>
      <c r="C81" s="1325"/>
      <c r="D81" s="1326"/>
      <c r="E81" s="1327"/>
      <c r="F81" s="1328"/>
      <c r="G81" s="1324"/>
      <c r="H81" s="1333"/>
      <c r="I81" s="97"/>
      <c r="J81" s="97"/>
      <c r="K81" s="1333"/>
      <c r="L81" s="1333"/>
      <c r="M81" s="1333"/>
      <c r="N81" s="1333"/>
      <c r="O81" s="1333"/>
      <c r="P81" s="1333"/>
      <c r="Q81" s="1333"/>
      <c r="R81" s="1333"/>
      <c r="S81" s="981"/>
      <c r="T81" s="1333"/>
      <c r="U81" s="1333"/>
      <c r="V81" s="1333"/>
      <c r="W81" s="1333"/>
      <c r="X81" s="1333"/>
      <c r="Y81" s="1333"/>
      <c r="Z81" s="1333"/>
      <c r="AA81" s="1333"/>
      <c r="AB81" s="1333"/>
      <c r="AC81" s="1333"/>
      <c r="AD81" s="1333"/>
      <c r="AE81" s="1333"/>
      <c r="AF81" s="1333"/>
      <c r="AG81" s="1337"/>
      <c r="AH81" s="1337"/>
    </row>
    <row r="82">
      <c r="A82" s="1323"/>
      <c r="B82" s="1324"/>
      <c r="C82" s="1325"/>
      <c r="D82" s="1326"/>
      <c r="E82" s="1327"/>
      <c r="F82" s="1328"/>
      <c r="G82" s="1324"/>
      <c r="H82" s="1333"/>
      <c r="I82" s="97"/>
      <c r="J82" s="97"/>
      <c r="K82" s="1333"/>
      <c r="L82" s="1333"/>
      <c r="M82" s="1333"/>
      <c r="N82" s="1333"/>
      <c r="O82" s="1333"/>
      <c r="P82" s="1333"/>
      <c r="Q82" s="1333"/>
      <c r="R82" s="1333"/>
      <c r="S82" s="981"/>
      <c r="T82" s="1333"/>
      <c r="U82" s="1333"/>
      <c r="V82" s="1333"/>
      <c r="W82" s="1333"/>
      <c r="X82" s="1333"/>
      <c r="Y82" s="1333"/>
      <c r="Z82" s="1333"/>
      <c r="AA82" s="1333"/>
      <c r="AB82" s="1333"/>
      <c r="AC82" s="1333"/>
      <c r="AD82" s="1333"/>
      <c r="AE82" s="1333"/>
      <c r="AF82" s="1333"/>
      <c r="AG82" s="1337"/>
      <c r="AH82" s="1337"/>
    </row>
    <row r="83">
      <c r="A83" s="1323"/>
      <c r="B83" s="1324"/>
      <c r="C83" s="1325"/>
      <c r="D83" s="1326"/>
      <c r="E83" s="1327"/>
      <c r="F83" s="1328"/>
      <c r="G83" s="1324"/>
      <c r="H83" s="1333"/>
      <c r="I83" s="97"/>
      <c r="J83" s="97"/>
      <c r="K83" s="1333"/>
      <c r="L83" s="1333"/>
      <c r="M83" s="1333"/>
      <c r="N83" s="1333"/>
      <c r="O83" s="1333"/>
      <c r="P83" s="1333"/>
      <c r="Q83" s="1333"/>
      <c r="R83" s="1333"/>
      <c r="S83" s="981"/>
      <c r="T83" s="1333"/>
      <c r="U83" s="1333"/>
      <c r="V83" s="1333"/>
      <c r="W83" s="1333"/>
      <c r="X83" s="1333"/>
      <c r="Y83" s="1333"/>
      <c r="Z83" s="1333"/>
      <c r="AA83" s="1333"/>
      <c r="AB83" s="1333"/>
      <c r="AC83" s="1333"/>
      <c r="AD83" s="1333"/>
      <c r="AE83" s="1333"/>
      <c r="AF83" s="1333"/>
      <c r="AG83" s="1337"/>
      <c r="AH83" s="1337"/>
    </row>
    <row r="84">
      <c r="A84" s="1323"/>
      <c r="B84" s="1324"/>
      <c r="C84" s="1325"/>
      <c r="D84" s="1326"/>
      <c r="E84" s="1327"/>
      <c r="F84" s="1328"/>
      <c r="G84" s="1324"/>
      <c r="H84" s="1333"/>
      <c r="I84" s="97"/>
      <c r="J84" s="97"/>
      <c r="K84" s="1333"/>
      <c r="L84" s="1333"/>
      <c r="M84" s="1333"/>
      <c r="N84" s="1333"/>
      <c r="O84" s="1333"/>
      <c r="P84" s="1333"/>
      <c r="Q84" s="1333"/>
      <c r="R84" s="1333"/>
      <c r="S84" s="981"/>
      <c r="T84" s="1333"/>
      <c r="U84" s="1333"/>
      <c r="V84" s="1333"/>
      <c r="W84" s="1333"/>
      <c r="X84" s="1333"/>
      <c r="Y84" s="1333"/>
      <c r="Z84" s="1333"/>
      <c r="AA84" s="1333"/>
      <c r="AB84" s="1333"/>
      <c r="AC84" s="1333"/>
      <c r="AD84" s="1333"/>
      <c r="AE84" s="1333"/>
      <c r="AF84" s="1333"/>
      <c r="AG84" s="1337"/>
      <c r="AH84" s="1337"/>
    </row>
    <row r="85">
      <c r="A85" s="1323"/>
      <c r="B85" s="1324"/>
      <c r="C85" s="1325"/>
      <c r="D85" s="1326"/>
      <c r="E85" s="1327"/>
      <c r="F85" s="1328"/>
      <c r="G85" s="1324"/>
      <c r="H85" s="1333"/>
      <c r="I85" s="97"/>
      <c r="J85" s="97"/>
      <c r="K85" s="1333"/>
      <c r="L85" s="1333"/>
      <c r="M85" s="1333"/>
      <c r="N85" s="1333"/>
      <c r="O85" s="1333"/>
      <c r="P85" s="1333"/>
      <c r="Q85" s="1333"/>
      <c r="R85" s="1333"/>
      <c r="S85" s="981"/>
      <c r="T85" s="1333"/>
      <c r="U85" s="1333"/>
      <c r="V85" s="1333"/>
      <c r="W85" s="1333"/>
      <c r="X85" s="1333"/>
      <c r="Y85" s="1333"/>
      <c r="Z85" s="1333"/>
      <c r="AA85" s="1333"/>
      <c r="AB85" s="1333"/>
      <c r="AC85" s="1333"/>
      <c r="AD85" s="1333"/>
      <c r="AE85" s="1333"/>
      <c r="AF85" s="1333"/>
      <c r="AG85" s="1337"/>
      <c r="AH85" s="1337"/>
    </row>
    <row r="86">
      <c r="A86" s="1323"/>
      <c r="B86" s="1324"/>
      <c r="C86" s="1325"/>
      <c r="D86" s="1326"/>
      <c r="E86" s="1327"/>
      <c r="F86" s="1328"/>
      <c r="G86" s="1324"/>
      <c r="H86" s="1333"/>
      <c r="I86" s="97"/>
      <c r="J86" s="97"/>
      <c r="K86" s="1333"/>
      <c r="L86" s="1333"/>
      <c r="M86" s="1333"/>
      <c r="N86" s="1333"/>
      <c r="O86" s="1333"/>
      <c r="P86" s="1333"/>
      <c r="Q86" s="1333"/>
      <c r="R86" s="1333"/>
      <c r="S86" s="981"/>
      <c r="T86" s="1333"/>
      <c r="U86" s="1333"/>
      <c r="V86" s="1333"/>
      <c r="W86" s="1333"/>
      <c r="X86" s="1333"/>
      <c r="Y86" s="1333"/>
      <c r="Z86" s="1333"/>
      <c r="AA86" s="1333"/>
      <c r="AB86" s="1333"/>
      <c r="AC86" s="1333"/>
      <c r="AD86" s="1333"/>
      <c r="AE86" s="1333"/>
      <c r="AF86" s="1333"/>
      <c r="AG86" s="1337"/>
      <c r="AH86" s="1337"/>
    </row>
    <row r="87">
      <c r="A87" s="1323"/>
      <c r="B87" s="1324"/>
      <c r="C87" s="1325"/>
      <c r="D87" s="1326"/>
      <c r="E87" s="1327"/>
      <c r="F87" s="1328"/>
      <c r="G87" s="1324"/>
      <c r="H87" s="1333"/>
      <c r="I87" s="97"/>
      <c r="J87" s="97"/>
      <c r="K87" s="1333"/>
      <c r="L87" s="1333"/>
      <c r="M87" s="1333"/>
      <c r="N87" s="1333"/>
      <c r="O87" s="1333"/>
      <c r="P87" s="1333"/>
      <c r="Q87" s="1333"/>
      <c r="R87" s="1333"/>
      <c r="S87" s="981"/>
      <c r="T87" s="1333"/>
      <c r="U87" s="1333"/>
      <c r="V87" s="1333"/>
      <c r="W87" s="1333"/>
      <c r="X87" s="1333"/>
      <c r="Y87" s="1333"/>
      <c r="Z87" s="1333"/>
      <c r="AA87" s="1333"/>
      <c r="AB87" s="1333"/>
      <c r="AC87" s="1333"/>
      <c r="AD87" s="1333"/>
      <c r="AE87" s="1333"/>
      <c r="AF87" s="1333"/>
      <c r="AG87" s="1337"/>
      <c r="AH87" s="1337"/>
    </row>
    <row r="88">
      <c r="A88" s="1323"/>
      <c r="B88" s="1324"/>
      <c r="C88" s="1325"/>
      <c r="D88" s="1326"/>
      <c r="E88" s="1327"/>
      <c r="F88" s="1328"/>
      <c r="G88" s="1324"/>
      <c r="H88" s="1333"/>
      <c r="I88" s="97"/>
      <c r="J88" s="97"/>
      <c r="K88" s="1333"/>
      <c r="L88" s="1333"/>
      <c r="M88" s="1333"/>
      <c r="N88" s="1333"/>
      <c r="O88" s="1333"/>
      <c r="P88" s="1333"/>
      <c r="Q88" s="1333"/>
      <c r="R88" s="1333"/>
      <c r="S88" s="981"/>
      <c r="T88" s="1333"/>
      <c r="U88" s="1333"/>
      <c r="V88" s="1333"/>
      <c r="W88" s="1333"/>
      <c r="X88" s="1333"/>
      <c r="Y88" s="1333"/>
      <c r="Z88" s="1333"/>
      <c r="AA88" s="1333"/>
      <c r="AB88" s="1333"/>
      <c r="AC88" s="1333"/>
      <c r="AD88" s="1333"/>
      <c r="AE88" s="1333"/>
      <c r="AF88" s="1333"/>
      <c r="AG88" s="1337"/>
      <c r="AH88" s="1337"/>
    </row>
    <row r="89">
      <c r="A89" s="1323"/>
      <c r="B89" s="1324"/>
      <c r="C89" s="1325"/>
      <c r="D89" s="1326"/>
      <c r="E89" s="1327"/>
      <c r="F89" s="1328"/>
      <c r="G89" s="1324"/>
      <c r="H89" s="1333"/>
      <c r="I89" s="97"/>
      <c r="J89" s="97"/>
      <c r="K89" s="1333"/>
      <c r="L89" s="1333"/>
      <c r="M89" s="1333"/>
      <c r="N89" s="1333"/>
      <c r="O89" s="1333"/>
      <c r="P89" s="1333"/>
      <c r="Q89" s="1333"/>
      <c r="R89" s="1333"/>
      <c r="S89" s="981"/>
      <c r="T89" s="1333"/>
      <c r="U89" s="1333"/>
      <c r="V89" s="1333"/>
      <c r="W89" s="1333"/>
      <c r="X89" s="1333"/>
      <c r="Y89" s="1333"/>
      <c r="Z89" s="1333"/>
      <c r="AA89" s="1333"/>
      <c r="AB89" s="1333"/>
      <c r="AC89" s="1333"/>
      <c r="AD89" s="1333"/>
      <c r="AE89" s="1333"/>
      <c r="AF89" s="1333"/>
      <c r="AG89" s="1337"/>
      <c r="AH89" s="1337"/>
    </row>
    <row r="90">
      <c r="A90" s="1323"/>
      <c r="B90" s="1324"/>
      <c r="C90" s="1325"/>
      <c r="D90" s="1326"/>
      <c r="E90" s="1327"/>
      <c r="F90" s="1328"/>
      <c r="G90" s="1324"/>
      <c r="H90" s="1333"/>
      <c r="I90" s="97"/>
      <c r="J90" s="97"/>
      <c r="K90" s="1333"/>
      <c r="L90" s="1333"/>
      <c r="M90" s="1333"/>
      <c r="N90" s="1333"/>
      <c r="O90" s="1333"/>
      <c r="P90" s="1333"/>
      <c r="Q90" s="1333"/>
      <c r="R90" s="1333"/>
      <c r="S90" s="981"/>
      <c r="T90" s="1333"/>
      <c r="U90" s="1333"/>
      <c r="V90" s="1333"/>
      <c r="W90" s="1333"/>
      <c r="X90" s="1333"/>
      <c r="Y90" s="1333"/>
      <c r="Z90" s="1333"/>
      <c r="AA90" s="1333"/>
      <c r="AB90" s="1333"/>
      <c r="AC90" s="1333"/>
      <c r="AD90" s="1333"/>
      <c r="AE90" s="1333"/>
      <c r="AF90" s="1333"/>
      <c r="AG90" s="1337"/>
      <c r="AH90" s="1337"/>
    </row>
    <row r="91">
      <c r="A91" s="1323"/>
      <c r="B91" s="1324"/>
      <c r="C91" s="1325"/>
      <c r="D91" s="1326"/>
      <c r="E91" s="1327"/>
      <c r="F91" s="1328"/>
      <c r="G91" s="1324"/>
      <c r="H91" s="1333"/>
      <c r="I91" s="97"/>
      <c r="J91" s="97"/>
      <c r="K91" s="1333"/>
      <c r="L91" s="1333"/>
      <c r="M91" s="1333"/>
      <c r="N91" s="1333"/>
      <c r="O91" s="1333"/>
      <c r="P91" s="1333"/>
      <c r="Q91" s="1333"/>
      <c r="R91" s="1333"/>
      <c r="S91" s="981"/>
      <c r="T91" s="1333"/>
      <c r="U91" s="1333"/>
      <c r="V91" s="1333"/>
      <c r="W91" s="1333"/>
      <c r="X91" s="1333"/>
      <c r="Y91" s="1333"/>
      <c r="Z91" s="1333"/>
      <c r="AA91" s="1333"/>
      <c r="AB91" s="1333"/>
      <c r="AC91" s="1333"/>
      <c r="AD91" s="1333"/>
      <c r="AE91" s="1333"/>
      <c r="AF91" s="1333"/>
      <c r="AG91" s="1337"/>
      <c r="AH91" s="1337"/>
    </row>
    <row r="92">
      <c r="A92" s="1323"/>
      <c r="B92" s="1324"/>
      <c r="C92" s="1325"/>
      <c r="D92" s="1326"/>
      <c r="E92" s="1327"/>
      <c r="F92" s="1328"/>
      <c r="G92" s="1324"/>
      <c r="H92" s="1333"/>
      <c r="I92" s="97"/>
      <c r="J92" s="97"/>
      <c r="K92" s="1333"/>
      <c r="L92" s="1333"/>
      <c r="M92" s="1333"/>
      <c r="N92" s="1333"/>
      <c r="O92" s="1333"/>
      <c r="P92" s="1333"/>
      <c r="Q92" s="1333"/>
      <c r="R92" s="1333"/>
      <c r="S92" s="981"/>
      <c r="T92" s="1333"/>
      <c r="U92" s="1333"/>
      <c r="V92" s="1333"/>
      <c r="W92" s="1333"/>
      <c r="X92" s="1333"/>
      <c r="Y92" s="1333"/>
      <c r="Z92" s="1333"/>
      <c r="AA92" s="1333"/>
      <c r="AB92" s="1333"/>
      <c r="AC92" s="1333"/>
      <c r="AD92" s="1333"/>
      <c r="AE92" s="1333"/>
      <c r="AF92" s="1333"/>
      <c r="AG92" s="1337"/>
      <c r="AH92" s="1337"/>
    </row>
    <row r="93">
      <c r="A93" s="1323"/>
      <c r="B93" s="1324"/>
      <c r="C93" s="1325"/>
      <c r="D93" s="1326"/>
      <c r="E93" s="1327"/>
      <c r="F93" s="1328"/>
      <c r="G93" s="1324"/>
      <c r="H93" s="1333"/>
      <c r="I93" s="97"/>
      <c r="J93" s="97"/>
      <c r="K93" s="1333"/>
      <c r="L93" s="1333"/>
      <c r="M93" s="1333"/>
      <c r="N93" s="1333"/>
      <c r="O93" s="1333"/>
      <c r="P93" s="1333"/>
      <c r="Q93" s="1333"/>
      <c r="R93" s="1333"/>
      <c r="S93" s="981"/>
      <c r="T93" s="1333"/>
      <c r="U93" s="1333"/>
      <c r="V93" s="1333"/>
      <c r="W93" s="1333"/>
      <c r="X93" s="1333"/>
      <c r="Y93" s="1333"/>
      <c r="Z93" s="1333"/>
      <c r="AA93" s="1333"/>
      <c r="AB93" s="1333"/>
      <c r="AC93" s="1333"/>
      <c r="AD93" s="1333"/>
      <c r="AE93" s="1333"/>
      <c r="AF93" s="1333"/>
      <c r="AG93" s="1337"/>
      <c r="AH93" s="1337"/>
    </row>
    <row r="94">
      <c r="A94" s="1323"/>
      <c r="B94" s="1324"/>
      <c r="C94" s="1325"/>
      <c r="D94" s="1326"/>
      <c r="E94" s="1327"/>
      <c r="F94" s="1328"/>
      <c r="G94" s="1324"/>
      <c r="H94" s="1333"/>
      <c r="I94" s="97"/>
      <c r="J94" s="97"/>
      <c r="K94" s="1333"/>
      <c r="L94" s="1333"/>
      <c r="M94" s="1333"/>
      <c r="N94" s="1333"/>
      <c r="O94" s="1333"/>
      <c r="P94" s="1333"/>
      <c r="Q94" s="1333"/>
      <c r="R94" s="1333"/>
      <c r="S94" s="981"/>
      <c r="T94" s="1333"/>
      <c r="U94" s="1333"/>
      <c r="V94" s="1333"/>
      <c r="W94" s="1333"/>
      <c r="X94" s="1333"/>
      <c r="Y94" s="1333"/>
      <c r="Z94" s="1333"/>
      <c r="AA94" s="1333"/>
      <c r="AB94" s="1333"/>
      <c r="AC94" s="1333"/>
      <c r="AD94" s="1333"/>
      <c r="AE94" s="1333"/>
      <c r="AF94" s="1333"/>
      <c r="AG94" s="1337"/>
      <c r="AH94" s="1337"/>
    </row>
    <row r="95">
      <c r="A95" s="1323"/>
      <c r="B95" s="1324"/>
      <c r="C95" s="1325"/>
      <c r="D95" s="1326"/>
      <c r="E95" s="1327"/>
      <c r="F95" s="1328"/>
      <c r="G95" s="1324"/>
      <c r="H95" s="1333"/>
      <c r="I95" s="97"/>
      <c r="J95" s="97"/>
      <c r="K95" s="1333"/>
      <c r="L95" s="1333"/>
      <c r="M95" s="1333"/>
      <c r="N95" s="1333"/>
      <c r="O95" s="1333"/>
      <c r="P95" s="1333"/>
      <c r="Q95" s="1333"/>
      <c r="R95" s="1333"/>
      <c r="S95" s="981"/>
      <c r="T95" s="1333"/>
      <c r="U95" s="1333"/>
      <c r="V95" s="1333"/>
      <c r="W95" s="1333"/>
      <c r="X95" s="1333"/>
      <c r="Y95" s="1333"/>
      <c r="Z95" s="1333"/>
      <c r="AA95" s="1333"/>
      <c r="AB95" s="1333"/>
      <c r="AC95" s="1333"/>
      <c r="AD95" s="1333"/>
      <c r="AE95" s="1333"/>
      <c r="AF95" s="1333"/>
      <c r="AG95" s="1337"/>
      <c r="AH95" s="1337"/>
    </row>
    <row r="96">
      <c r="A96" s="1323"/>
      <c r="B96" s="1324"/>
      <c r="C96" s="1325"/>
      <c r="D96" s="1326"/>
      <c r="E96" s="1327"/>
      <c r="F96" s="1328"/>
      <c r="G96" s="1324"/>
      <c r="H96" s="1333"/>
      <c r="I96" s="97"/>
      <c r="J96" s="97"/>
      <c r="K96" s="1333"/>
      <c r="L96" s="1333"/>
      <c r="M96" s="1333"/>
      <c r="N96" s="1333"/>
      <c r="O96" s="1333"/>
      <c r="P96" s="1333"/>
      <c r="Q96" s="1333"/>
      <c r="R96" s="1333"/>
      <c r="S96" s="981"/>
      <c r="T96" s="1333"/>
      <c r="U96" s="1333"/>
      <c r="V96" s="1333"/>
      <c r="W96" s="1333"/>
      <c r="X96" s="1333"/>
      <c r="Y96" s="1333"/>
      <c r="Z96" s="1333"/>
      <c r="AA96" s="1333"/>
      <c r="AB96" s="1333"/>
      <c r="AC96" s="1333"/>
      <c r="AD96" s="1333"/>
      <c r="AE96" s="1333"/>
      <c r="AF96" s="1333"/>
      <c r="AG96" s="1337"/>
      <c r="AH96" s="1337"/>
    </row>
    <row r="97">
      <c r="A97" s="1323"/>
      <c r="B97" s="1324"/>
      <c r="C97" s="1325"/>
      <c r="D97" s="1326"/>
      <c r="E97" s="1327"/>
      <c r="F97" s="1328"/>
      <c r="G97" s="1324"/>
      <c r="H97" s="1333"/>
      <c r="I97" s="97"/>
      <c r="J97" s="97"/>
      <c r="K97" s="1333"/>
      <c r="L97" s="1333"/>
      <c r="M97" s="1333"/>
      <c r="N97" s="1333"/>
      <c r="O97" s="1333"/>
      <c r="P97" s="1333"/>
      <c r="Q97" s="1333"/>
      <c r="R97" s="1333"/>
      <c r="S97" s="981"/>
      <c r="T97" s="1333"/>
      <c r="U97" s="1333"/>
      <c r="V97" s="1333"/>
      <c r="W97" s="1333"/>
      <c r="X97" s="1333"/>
      <c r="Y97" s="1333"/>
      <c r="Z97" s="1333"/>
      <c r="AA97" s="1333"/>
      <c r="AB97" s="1333"/>
      <c r="AC97" s="1333"/>
      <c r="AD97" s="1333"/>
      <c r="AE97" s="1333"/>
      <c r="AF97" s="1333"/>
      <c r="AG97" s="1337"/>
      <c r="AH97" s="1337"/>
    </row>
    <row r="98">
      <c r="A98" s="1323"/>
      <c r="B98" s="1324"/>
      <c r="C98" s="1325"/>
      <c r="D98" s="1326"/>
      <c r="E98" s="1327"/>
      <c r="F98" s="1328"/>
      <c r="G98" s="1324"/>
      <c r="H98" s="1333"/>
      <c r="I98" s="97"/>
      <c r="J98" s="97"/>
      <c r="K98" s="1333"/>
      <c r="L98" s="1333"/>
      <c r="M98" s="1333"/>
      <c r="N98" s="1333"/>
      <c r="O98" s="1333"/>
      <c r="P98" s="1333"/>
      <c r="Q98" s="1333"/>
      <c r="R98" s="1333"/>
      <c r="S98" s="981"/>
      <c r="T98" s="1333"/>
      <c r="U98" s="1333"/>
      <c r="V98" s="1333"/>
      <c r="W98" s="1333"/>
      <c r="X98" s="1333"/>
      <c r="Y98" s="1333"/>
      <c r="Z98" s="1333"/>
      <c r="AA98" s="1333"/>
      <c r="AB98" s="1333"/>
      <c r="AC98" s="1333"/>
      <c r="AD98" s="1333"/>
      <c r="AE98" s="1333"/>
      <c r="AF98" s="1333"/>
      <c r="AG98" s="1337"/>
      <c r="AH98" s="1337"/>
    </row>
    <row r="99">
      <c r="A99" s="1323"/>
      <c r="B99" s="1324"/>
      <c r="C99" s="1325"/>
      <c r="D99" s="1326"/>
      <c r="E99" s="1327"/>
      <c r="F99" s="1328"/>
      <c r="G99" s="1324"/>
      <c r="H99" s="1333"/>
      <c r="I99" s="97"/>
      <c r="J99" s="97"/>
      <c r="K99" s="1333"/>
      <c r="L99" s="1333"/>
      <c r="M99" s="1333"/>
      <c r="N99" s="1333"/>
      <c r="O99" s="1333"/>
      <c r="P99" s="1333"/>
      <c r="Q99" s="1333"/>
      <c r="R99" s="1333"/>
      <c r="S99" s="981"/>
      <c r="T99" s="1333"/>
      <c r="U99" s="1333"/>
      <c r="V99" s="1333"/>
      <c r="W99" s="1333"/>
      <c r="X99" s="1333"/>
      <c r="Y99" s="1333"/>
      <c r="Z99" s="1333"/>
      <c r="AA99" s="1333"/>
      <c r="AB99" s="1333"/>
      <c r="AC99" s="1333"/>
      <c r="AD99" s="1333"/>
      <c r="AE99" s="1333"/>
      <c r="AF99" s="1333"/>
      <c r="AG99" s="1337"/>
      <c r="AH99" s="1337"/>
    </row>
    <row r="100">
      <c r="A100" s="1323"/>
      <c r="B100" s="1324"/>
      <c r="C100" s="1325"/>
      <c r="D100" s="1326"/>
      <c r="E100" s="1327"/>
      <c r="F100" s="1328"/>
      <c r="G100" s="1324"/>
      <c r="H100" s="1333"/>
      <c r="I100" s="97"/>
      <c r="J100" s="97"/>
      <c r="K100" s="1333"/>
      <c r="L100" s="1333"/>
      <c r="M100" s="1333"/>
      <c r="N100" s="1333"/>
      <c r="O100" s="1333"/>
      <c r="P100" s="1333"/>
      <c r="Q100" s="1333"/>
      <c r="R100" s="1333"/>
      <c r="S100" s="981"/>
      <c r="T100" s="1333"/>
      <c r="U100" s="1333"/>
      <c r="V100" s="1333"/>
      <c r="W100" s="1333"/>
      <c r="X100" s="1333"/>
      <c r="Y100" s="1333"/>
      <c r="Z100" s="1333"/>
      <c r="AA100" s="1333"/>
      <c r="AB100" s="1333"/>
      <c r="AC100" s="1333"/>
      <c r="AD100" s="1333"/>
      <c r="AE100" s="1333"/>
      <c r="AF100" s="1333"/>
      <c r="AG100" s="1337"/>
      <c r="AH100" s="1337"/>
    </row>
    <row r="101">
      <c r="A101" s="1323"/>
      <c r="B101" s="1324"/>
      <c r="C101" s="1325"/>
      <c r="D101" s="1326"/>
      <c r="E101" s="1327"/>
      <c r="F101" s="1328"/>
      <c r="G101" s="1324"/>
      <c r="H101" s="1333"/>
      <c r="I101" s="97"/>
      <c r="J101" s="97"/>
      <c r="K101" s="1333"/>
      <c r="L101" s="1333"/>
      <c r="M101" s="1333"/>
      <c r="N101" s="1333"/>
      <c r="O101" s="1333"/>
      <c r="P101" s="1333"/>
      <c r="Q101" s="1333"/>
      <c r="R101" s="1333"/>
      <c r="S101" s="981"/>
      <c r="T101" s="1333"/>
      <c r="U101" s="1333"/>
      <c r="V101" s="1333"/>
      <c r="W101" s="1333"/>
      <c r="X101" s="1333"/>
      <c r="Y101" s="1333"/>
      <c r="Z101" s="1333"/>
      <c r="AA101" s="1333"/>
      <c r="AB101" s="1333"/>
      <c r="AC101" s="1333"/>
      <c r="AD101" s="1333"/>
      <c r="AE101" s="1333"/>
      <c r="AF101" s="1333"/>
      <c r="AG101" s="1337"/>
      <c r="AH101" s="1337"/>
    </row>
    <row r="102">
      <c r="A102" s="1323"/>
      <c r="B102" s="1324"/>
      <c r="C102" s="1325"/>
      <c r="D102" s="1326"/>
      <c r="E102" s="1327"/>
      <c r="F102" s="1328"/>
      <c r="G102" s="1324"/>
      <c r="H102" s="1333"/>
      <c r="I102" s="97"/>
      <c r="J102" s="97"/>
      <c r="K102" s="1333"/>
      <c r="L102" s="1333"/>
      <c r="M102" s="1333"/>
      <c r="N102" s="1333"/>
      <c r="O102" s="1333"/>
      <c r="P102" s="1333"/>
      <c r="Q102" s="1333"/>
      <c r="R102" s="1333"/>
      <c r="S102" s="981"/>
      <c r="T102" s="1333"/>
      <c r="U102" s="1333"/>
      <c r="V102" s="1333"/>
      <c r="W102" s="1333"/>
      <c r="X102" s="1333"/>
      <c r="Y102" s="1333"/>
      <c r="Z102" s="1333"/>
      <c r="AA102" s="1333"/>
      <c r="AB102" s="1333"/>
      <c r="AC102" s="1333"/>
      <c r="AD102" s="1333"/>
      <c r="AE102" s="1333"/>
      <c r="AF102" s="1333"/>
      <c r="AG102" s="1337"/>
      <c r="AH102" s="1337"/>
    </row>
    <row r="103">
      <c r="A103" s="1323"/>
      <c r="B103" s="1324"/>
      <c r="C103" s="1325"/>
      <c r="D103" s="1326"/>
      <c r="E103" s="1327"/>
      <c r="F103" s="1328"/>
      <c r="G103" s="1324"/>
      <c r="H103" s="1333"/>
      <c r="I103" s="97"/>
      <c r="J103" s="97"/>
      <c r="K103" s="1333"/>
      <c r="L103" s="1333"/>
      <c r="M103" s="1333"/>
      <c r="N103" s="1333"/>
      <c r="O103" s="1333"/>
      <c r="P103" s="1333"/>
      <c r="Q103" s="1333"/>
      <c r="R103" s="1333"/>
      <c r="S103" s="981"/>
      <c r="T103" s="1333"/>
      <c r="U103" s="1333"/>
      <c r="V103" s="1333"/>
      <c r="W103" s="1333"/>
      <c r="X103" s="1333"/>
      <c r="Y103" s="1333"/>
      <c r="Z103" s="1333"/>
      <c r="AA103" s="1333"/>
      <c r="AB103" s="1333"/>
      <c r="AC103" s="1333"/>
      <c r="AD103" s="1333"/>
      <c r="AE103" s="1333"/>
      <c r="AF103" s="1333"/>
      <c r="AG103" s="1337"/>
      <c r="AH103" s="1337"/>
    </row>
    <row r="104">
      <c r="A104" s="1323"/>
      <c r="B104" s="1324"/>
      <c r="C104" s="1325"/>
      <c r="D104" s="1326"/>
      <c r="E104" s="1327"/>
      <c r="F104" s="1328"/>
      <c r="G104" s="1324"/>
      <c r="H104" s="1333"/>
      <c r="I104" s="97"/>
      <c r="J104" s="97"/>
      <c r="K104" s="1333"/>
      <c r="L104" s="1333"/>
      <c r="M104" s="1333"/>
      <c r="N104" s="1333"/>
      <c r="O104" s="1333"/>
      <c r="P104" s="1333"/>
      <c r="Q104" s="1333"/>
      <c r="R104" s="1333"/>
      <c r="S104" s="981"/>
      <c r="T104" s="1333"/>
      <c r="U104" s="1333"/>
      <c r="V104" s="1333"/>
      <c r="W104" s="1333"/>
      <c r="X104" s="1333"/>
      <c r="Y104" s="1333"/>
      <c r="Z104" s="1333"/>
      <c r="AA104" s="1333"/>
      <c r="AB104" s="1333"/>
      <c r="AC104" s="1333"/>
      <c r="AD104" s="1333"/>
      <c r="AE104" s="1333"/>
      <c r="AF104" s="1333"/>
      <c r="AG104" s="1337"/>
      <c r="AH104" s="1337"/>
    </row>
    <row r="105">
      <c r="A105" s="1323"/>
      <c r="B105" s="1324"/>
      <c r="C105" s="1325"/>
      <c r="D105" s="1326"/>
      <c r="E105" s="1327"/>
      <c r="F105" s="1328"/>
      <c r="G105" s="1324"/>
      <c r="H105" s="1333"/>
      <c r="I105" s="97"/>
      <c r="J105" s="97"/>
      <c r="K105" s="1333"/>
      <c r="L105" s="1333"/>
      <c r="M105" s="1333"/>
      <c r="N105" s="1333"/>
      <c r="O105" s="1333"/>
      <c r="P105" s="1333"/>
      <c r="Q105" s="1333"/>
      <c r="R105" s="1333"/>
      <c r="S105" s="981"/>
      <c r="T105" s="1333"/>
      <c r="U105" s="1333"/>
      <c r="V105" s="1333"/>
      <c r="W105" s="1333"/>
      <c r="X105" s="1333"/>
      <c r="Y105" s="1333"/>
      <c r="Z105" s="1333"/>
      <c r="AA105" s="1333"/>
      <c r="AB105" s="1333"/>
      <c r="AC105" s="1333"/>
      <c r="AD105" s="1333"/>
      <c r="AE105" s="1333"/>
      <c r="AF105" s="1333"/>
      <c r="AG105" s="1337"/>
      <c r="AH105" s="1337"/>
    </row>
    <row r="106">
      <c r="A106" s="1323"/>
      <c r="B106" s="1324"/>
      <c r="C106" s="1325"/>
      <c r="D106" s="1326"/>
      <c r="E106" s="1327"/>
      <c r="F106" s="1328"/>
      <c r="G106" s="1324"/>
      <c r="H106" s="1333"/>
      <c r="I106" s="97"/>
      <c r="J106" s="97"/>
      <c r="K106" s="1333"/>
      <c r="L106" s="1333"/>
      <c r="M106" s="1333"/>
      <c r="N106" s="1333"/>
      <c r="O106" s="1333"/>
      <c r="P106" s="1333"/>
      <c r="Q106" s="1333"/>
      <c r="R106" s="1333"/>
      <c r="S106" s="981"/>
      <c r="T106" s="1333"/>
      <c r="U106" s="1333"/>
      <c r="V106" s="1333"/>
      <c r="W106" s="1333"/>
      <c r="X106" s="1333"/>
      <c r="Y106" s="1333"/>
      <c r="Z106" s="1333"/>
      <c r="AA106" s="1333"/>
      <c r="AB106" s="1333"/>
      <c r="AC106" s="1333"/>
      <c r="AD106" s="1333"/>
      <c r="AE106" s="1333"/>
      <c r="AF106" s="1333"/>
      <c r="AG106" s="1337"/>
      <c r="AH106" s="1337"/>
    </row>
    <row r="107">
      <c r="A107" s="1323"/>
      <c r="B107" s="1324"/>
      <c r="C107" s="1325"/>
      <c r="D107" s="1326"/>
      <c r="E107" s="1327"/>
      <c r="F107" s="1328"/>
      <c r="G107" s="1324"/>
      <c r="H107" s="1333"/>
      <c r="I107" s="97"/>
      <c r="J107" s="97"/>
      <c r="K107" s="1333"/>
      <c r="L107" s="1333"/>
      <c r="M107" s="1333"/>
      <c r="N107" s="1333"/>
      <c r="O107" s="1333"/>
      <c r="P107" s="1333"/>
      <c r="Q107" s="1333"/>
      <c r="R107" s="1333"/>
      <c r="S107" s="981"/>
      <c r="T107" s="1333"/>
      <c r="U107" s="1333"/>
      <c r="V107" s="1333"/>
      <c r="W107" s="1333"/>
      <c r="X107" s="1333"/>
      <c r="Y107" s="1333"/>
      <c r="Z107" s="1333"/>
      <c r="AA107" s="1333"/>
      <c r="AB107" s="1333"/>
      <c r="AC107" s="1333"/>
      <c r="AD107" s="1333"/>
      <c r="AE107" s="1333"/>
      <c r="AF107" s="1333"/>
      <c r="AG107" s="1337"/>
      <c r="AH107" s="1337"/>
    </row>
    <row r="108">
      <c r="A108" s="1323"/>
      <c r="B108" s="1324"/>
      <c r="C108" s="1325"/>
      <c r="D108" s="1326"/>
      <c r="E108" s="1327"/>
      <c r="F108" s="1328"/>
      <c r="G108" s="1324"/>
      <c r="H108" s="1333"/>
      <c r="I108" s="97"/>
      <c r="J108" s="97"/>
      <c r="K108" s="1333"/>
      <c r="L108" s="1333"/>
      <c r="M108" s="1333"/>
      <c r="N108" s="1333"/>
      <c r="O108" s="1333"/>
      <c r="P108" s="1333"/>
      <c r="Q108" s="1333"/>
      <c r="R108" s="1333"/>
      <c r="S108" s="981"/>
      <c r="T108" s="1333"/>
      <c r="U108" s="1333"/>
      <c r="V108" s="1333"/>
      <c r="W108" s="1333"/>
      <c r="X108" s="1333"/>
      <c r="Y108" s="1333"/>
      <c r="Z108" s="1333"/>
      <c r="AA108" s="1333"/>
      <c r="AB108" s="1333"/>
      <c r="AC108" s="1333"/>
      <c r="AD108" s="1333"/>
      <c r="AE108" s="1333"/>
      <c r="AF108" s="1333"/>
      <c r="AG108" s="1337"/>
      <c r="AH108" s="1337"/>
    </row>
    <row r="109">
      <c r="A109" s="1323"/>
      <c r="B109" s="1324"/>
      <c r="C109" s="1325"/>
      <c r="D109" s="1326"/>
      <c r="E109" s="1327"/>
      <c r="F109" s="1328"/>
      <c r="G109" s="1324"/>
      <c r="H109" s="1333"/>
      <c r="I109" s="97"/>
      <c r="J109" s="97"/>
      <c r="K109" s="1333"/>
      <c r="L109" s="1333"/>
      <c r="M109" s="1333"/>
      <c r="N109" s="1333"/>
      <c r="O109" s="1333"/>
      <c r="P109" s="1333"/>
      <c r="Q109" s="1333"/>
      <c r="R109" s="1333"/>
      <c r="S109" s="981"/>
      <c r="T109" s="1333"/>
      <c r="U109" s="1333"/>
      <c r="V109" s="1333"/>
      <c r="W109" s="1333"/>
      <c r="X109" s="1333"/>
      <c r="Y109" s="1333"/>
      <c r="Z109" s="1333"/>
      <c r="AA109" s="1333"/>
      <c r="AB109" s="1333"/>
      <c r="AC109" s="1333"/>
      <c r="AD109" s="1333"/>
      <c r="AE109" s="1333"/>
      <c r="AF109" s="1333"/>
      <c r="AG109" s="1337"/>
      <c r="AH109" s="1337"/>
    </row>
    <row r="110">
      <c r="A110" s="1323"/>
      <c r="B110" s="1324"/>
      <c r="C110" s="1325"/>
      <c r="D110" s="1326"/>
      <c r="E110" s="1327"/>
      <c r="F110" s="1328"/>
      <c r="G110" s="1324"/>
      <c r="H110" s="1333"/>
      <c r="I110" s="97"/>
      <c r="J110" s="97"/>
      <c r="K110" s="1333"/>
      <c r="L110" s="1333"/>
      <c r="M110" s="1333"/>
      <c r="N110" s="1333"/>
      <c r="O110" s="1333"/>
      <c r="P110" s="1333"/>
      <c r="Q110" s="1333"/>
      <c r="R110" s="1333"/>
      <c r="S110" s="981"/>
      <c r="T110" s="1333"/>
      <c r="U110" s="1333"/>
      <c r="V110" s="1333"/>
      <c r="W110" s="1333"/>
      <c r="X110" s="1333"/>
      <c r="Y110" s="1333"/>
      <c r="Z110" s="1333"/>
      <c r="AA110" s="1333"/>
      <c r="AB110" s="1333"/>
      <c r="AC110" s="1333"/>
      <c r="AD110" s="1333"/>
      <c r="AE110" s="1333"/>
      <c r="AF110" s="1333"/>
      <c r="AG110" s="1337"/>
      <c r="AH110" s="1337"/>
    </row>
    <row r="111">
      <c r="A111" s="1323"/>
      <c r="B111" s="1324"/>
      <c r="C111" s="1325"/>
      <c r="D111" s="1326"/>
      <c r="E111" s="1327"/>
      <c r="F111" s="1328"/>
      <c r="G111" s="1324"/>
      <c r="H111" s="1333"/>
      <c r="I111" s="97"/>
      <c r="J111" s="97"/>
      <c r="K111" s="1333"/>
      <c r="L111" s="1333"/>
      <c r="M111" s="1333"/>
      <c r="N111" s="1333"/>
      <c r="O111" s="1333"/>
      <c r="P111" s="1333"/>
      <c r="Q111" s="1333"/>
      <c r="R111" s="1333"/>
      <c r="S111" s="981"/>
      <c r="T111" s="1333"/>
      <c r="U111" s="1333"/>
      <c r="V111" s="1333"/>
      <c r="W111" s="1333"/>
      <c r="X111" s="1333"/>
      <c r="Y111" s="1333"/>
      <c r="Z111" s="1333"/>
      <c r="AA111" s="1333"/>
      <c r="AB111" s="1333"/>
      <c r="AC111" s="1333"/>
      <c r="AD111" s="1333"/>
      <c r="AE111" s="1333"/>
      <c r="AF111" s="1333"/>
      <c r="AG111" s="1337"/>
      <c r="AH111" s="1337"/>
    </row>
    <row r="112">
      <c r="A112" s="1323"/>
      <c r="B112" s="1324"/>
      <c r="C112" s="1325"/>
      <c r="D112" s="1326"/>
      <c r="E112" s="1327"/>
      <c r="F112" s="1328"/>
      <c r="G112" s="1324"/>
      <c r="H112" s="1333"/>
      <c r="I112" s="97"/>
      <c r="J112" s="97"/>
      <c r="K112" s="1333"/>
      <c r="L112" s="1333"/>
      <c r="M112" s="1333"/>
      <c r="N112" s="1333"/>
      <c r="O112" s="1333"/>
      <c r="P112" s="1333"/>
      <c r="Q112" s="1333"/>
      <c r="R112" s="1333"/>
      <c r="S112" s="981"/>
      <c r="T112" s="1333"/>
      <c r="U112" s="1333"/>
      <c r="V112" s="1333"/>
      <c r="W112" s="1333"/>
      <c r="X112" s="1333"/>
      <c r="Y112" s="1333"/>
      <c r="Z112" s="1333"/>
      <c r="AA112" s="1333"/>
      <c r="AB112" s="1333"/>
      <c r="AC112" s="1333"/>
      <c r="AD112" s="1333"/>
      <c r="AE112" s="1333"/>
      <c r="AF112" s="1333"/>
      <c r="AG112" s="1337"/>
      <c r="AH112" s="1337"/>
    </row>
    <row r="113">
      <c r="A113" s="1323"/>
      <c r="B113" s="1324"/>
      <c r="C113" s="1325"/>
      <c r="D113" s="1326"/>
      <c r="E113" s="1327"/>
      <c r="F113" s="1328"/>
      <c r="G113" s="1324"/>
      <c r="H113" s="1333"/>
      <c r="I113" s="97"/>
      <c r="J113" s="97"/>
      <c r="K113" s="1333"/>
      <c r="L113" s="1333"/>
      <c r="M113" s="1333"/>
      <c r="N113" s="1333"/>
      <c r="O113" s="1333"/>
      <c r="P113" s="1333"/>
      <c r="Q113" s="1333"/>
      <c r="R113" s="1333"/>
      <c r="S113" s="981"/>
      <c r="T113" s="1333"/>
      <c r="U113" s="1333"/>
      <c r="V113" s="1333"/>
      <c r="W113" s="1333"/>
      <c r="X113" s="1333"/>
      <c r="Y113" s="1333"/>
      <c r="Z113" s="1333"/>
      <c r="AA113" s="1333"/>
      <c r="AB113" s="1333"/>
      <c r="AC113" s="1333"/>
      <c r="AD113" s="1333"/>
      <c r="AE113" s="1333"/>
      <c r="AF113" s="1333"/>
      <c r="AG113" s="1337"/>
      <c r="AH113" s="1337"/>
    </row>
    <row r="114">
      <c r="A114" s="1323"/>
      <c r="B114" s="1324"/>
      <c r="C114" s="1325"/>
      <c r="D114" s="1326"/>
      <c r="E114" s="1327"/>
      <c r="F114" s="1328"/>
      <c r="G114" s="1324"/>
      <c r="H114" s="1333"/>
      <c r="I114" s="97"/>
      <c r="J114" s="97"/>
      <c r="K114" s="1333"/>
      <c r="L114" s="1333"/>
      <c r="M114" s="1333"/>
      <c r="N114" s="1333"/>
      <c r="O114" s="1333"/>
      <c r="P114" s="1333"/>
      <c r="Q114" s="1333"/>
      <c r="R114" s="1333"/>
      <c r="S114" s="981"/>
      <c r="T114" s="1333"/>
      <c r="U114" s="1333"/>
      <c r="V114" s="1333"/>
      <c r="W114" s="1333"/>
      <c r="X114" s="1333"/>
      <c r="Y114" s="1333"/>
      <c r="Z114" s="1333"/>
      <c r="AA114" s="1333"/>
      <c r="AB114" s="1333"/>
      <c r="AC114" s="1333"/>
      <c r="AD114" s="1333"/>
      <c r="AE114" s="1333"/>
      <c r="AF114" s="1333"/>
      <c r="AG114" s="1337"/>
      <c r="AH114" s="1337"/>
    </row>
    <row r="115">
      <c r="A115" s="1323"/>
      <c r="B115" s="1324"/>
      <c r="C115" s="1325"/>
      <c r="D115" s="1326"/>
      <c r="E115" s="1327"/>
      <c r="F115" s="1328"/>
      <c r="G115" s="1324"/>
      <c r="H115" s="1333"/>
      <c r="I115" s="97"/>
      <c r="J115" s="97"/>
      <c r="K115" s="1333"/>
      <c r="L115" s="1333"/>
      <c r="M115" s="1333"/>
      <c r="N115" s="1333"/>
      <c r="O115" s="1333"/>
      <c r="P115" s="1333"/>
      <c r="Q115" s="1333"/>
      <c r="R115" s="1333"/>
      <c r="S115" s="981"/>
      <c r="T115" s="1333"/>
      <c r="U115" s="1333"/>
      <c r="V115" s="1333"/>
      <c r="W115" s="1333"/>
      <c r="X115" s="1333"/>
      <c r="Y115" s="1333"/>
      <c r="Z115" s="1333"/>
      <c r="AA115" s="1333"/>
      <c r="AB115" s="1333"/>
      <c r="AC115" s="1333"/>
      <c r="AD115" s="1333"/>
      <c r="AE115" s="1333"/>
      <c r="AF115" s="1333"/>
      <c r="AG115" s="1337"/>
      <c r="AH115" s="1337"/>
    </row>
    <row r="116">
      <c r="A116" s="1323"/>
      <c r="B116" s="1324"/>
      <c r="C116" s="1325"/>
      <c r="D116" s="1326"/>
      <c r="E116" s="1327"/>
      <c r="F116" s="1328"/>
      <c r="G116" s="1324"/>
      <c r="H116" s="1333"/>
      <c r="I116" s="97"/>
      <c r="J116" s="97"/>
      <c r="K116" s="1333"/>
      <c r="L116" s="1333"/>
      <c r="M116" s="1333"/>
      <c r="N116" s="1333"/>
      <c r="O116" s="1333"/>
      <c r="P116" s="1333"/>
      <c r="Q116" s="1333"/>
      <c r="R116" s="1333"/>
      <c r="S116" s="981"/>
      <c r="T116" s="1333"/>
      <c r="U116" s="1333"/>
      <c r="V116" s="1333"/>
      <c r="W116" s="1333"/>
      <c r="X116" s="1333"/>
      <c r="Y116" s="1333"/>
      <c r="Z116" s="1333"/>
      <c r="AA116" s="1333"/>
      <c r="AB116" s="1333"/>
      <c r="AC116" s="1333"/>
      <c r="AD116" s="1333"/>
      <c r="AE116" s="1333"/>
      <c r="AF116" s="1333"/>
      <c r="AG116" s="1337"/>
      <c r="AH116" s="1337"/>
    </row>
    <row r="117">
      <c r="A117" s="1323"/>
      <c r="B117" s="1324"/>
      <c r="C117" s="1325"/>
      <c r="D117" s="1326"/>
      <c r="E117" s="1327"/>
      <c r="F117" s="1328"/>
      <c r="G117" s="1324"/>
      <c r="H117" s="1333"/>
      <c r="I117" s="97"/>
      <c r="J117" s="97"/>
      <c r="K117" s="1333"/>
      <c r="L117" s="1333"/>
      <c r="M117" s="1333"/>
      <c r="N117" s="1333"/>
      <c r="O117" s="1333"/>
      <c r="P117" s="1333"/>
      <c r="Q117" s="1333"/>
      <c r="R117" s="1333"/>
      <c r="S117" s="981"/>
      <c r="T117" s="1333"/>
      <c r="U117" s="1333"/>
      <c r="V117" s="1333"/>
      <c r="W117" s="1333"/>
      <c r="X117" s="1333"/>
      <c r="Y117" s="1333"/>
      <c r="Z117" s="1333"/>
      <c r="AA117" s="1333"/>
      <c r="AB117" s="1333"/>
      <c r="AC117" s="1333"/>
      <c r="AD117" s="1333"/>
      <c r="AE117" s="1333"/>
      <c r="AF117" s="1333"/>
      <c r="AG117" s="1337"/>
      <c r="AH117" s="1337"/>
    </row>
    <row r="118">
      <c r="A118" s="1323"/>
      <c r="B118" s="1324"/>
      <c r="C118" s="1325"/>
      <c r="D118" s="1326"/>
      <c r="E118" s="1327"/>
      <c r="F118" s="1328"/>
      <c r="G118" s="1324"/>
      <c r="H118" s="1333"/>
      <c r="I118" s="97"/>
      <c r="J118" s="97"/>
      <c r="K118" s="1333"/>
      <c r="L118" s="1333"/>
      <c r="M118" s="1333"/>
      <c r="N118" s="1333"/>
      <c r="O118" s="1333"/>
      <c r="P118" s="1333"/>
      <c r="Q118" s="1333"/>
      <c r="R118" s="1333"/>
      <c r="S118" s="981"/>
      <c r="T118" s="1333"/>
      <c r="U118" s="1333"/>
      <c r="V118" s="1333"/>
      <c r="W118" s="1333"/>
      <c r="X118" s="1333"/>
      <c r="Y118" s="1333"/>
      <c r="Z118" s="1333"/>
      <c r="AA118" s="1333"/>
      <c r="AB118" s="1333"/>
      <c r="AC118" s="1333"/>
      <c r="AD118" s="1333"/>
      <c r="AE118" s="1333"/>
      <c r="AF118" s="1333"/>
      <c r="AG118" s="1337"/>
      <c r="AH118" s="1337"/>
    </row>
    <row r="119">
      <c r="A119" s="1323"/>
      <c r="B119" s="1324"/>
      <c r="C119" s="1325"/>
      <c r="D119" s="1326"/>
      <c r="E119" s="1327"/>
      <c r="F119" s="1328"/>
      <c r="G119" s="1324"/>
      <c r="H119" s="1333"/>
      <c r="I119" s="97"/>
      <c r="J119" s="97"/>
      <c r="K119" s="1333"/>
      <c r="L119" s="1333"/>
      <c r="M119" s="1333"/>
      <c r="N119" s="1333"/>
      <c r="O119" s="1333"/>
      <c r="P119" s="1333"/>
      <c r="Q119" s="1333"/>
      <c r="R119" s="1333"/>
      <c r="S119" s="981"/>
      <c r="T119" s="1333"/>
      <c r="U119" s="1333"/>
      <c r="V119" s="1333"/>
      <c r="W119" s="1333"/>
      <c r="X119" s="1333"/>
      <c r="Y119" s="1333"/>
      <c r="Z119" s="1333"/>
      <c r="AA119" s="1333"/>
      <c r="AB119" s="1333"/>
      <c r="AC119" s="1333"/>
      <c r="AD119" s="1333"/>
      <c r="AE119" s="1333"/>
      <c r="AF119" s="1333"/>
      <c r="AG119" s="1337"/>
      <c r="AH119" s="1337"/>
    </row>
    <row r="120">
      <c r="A120" s="1323"/>
      <c r="B120" s="1324"/>
      <c r="C120" s="1325"/>
      <c r="D120" s="1326"/>
      <c r="E120" s="1327"/>
      <c r="F120" s="1328"/>
      <c r="G120" s="1324"/>
      <c r="H120" s="1333"/>
      <c r="I120" s="97"/>
      <c r="J120" s="97"/>
      <c r="K120" s="1333"/>
      <c r="L120" s="1333"/>
      <c r="M120" s="1333"/>
      <c r="N120" s="1333"/>
      <c r="O120" s="1333"/>
      <c r="P120" s="1333"/>
      <c r="Q120" s="1333"/>
      <c r="R120" s="1333"/>
      <c r="S120" s="981"/>
      <c r="T120" s="1333"/>
      <c r="U120" s="1333"/>
      <c r="V120" s="1333"/>
      <c r="W120" s="1333"/>
      <c r="X120" s="1333"/>
      <c r="Y120" s="1333"/>
      <c r="Z120" s="1333"/>
      <c r="AA120" s="1333"/>
      <c r="AB120" s="1333"/>
      <c r="AC120" s="1333"/>
      <c r="AD120" s="1333"/>
      <c r="AE120" s="1333"/>
      <c r="AF120" s="1333"/>
      <c r="AG120" s="1337"/>
      <c r="AH120" s="1337"/>
    </row>
    <row r="121">
      <c r="A121" s="1323"/>
      <c r="B121" s="1324"/>
      <c r="C121" s="1325"/>
      <c r="D121" s="1326"/>
      <c r="E121" s="1327"/>
      <c r="F121" s="1328"/>
      <c r="G121" s="1324"/>
      <c r="H121" s="1333"/>
      <c r="I121" s="97"/>
      <c r="J121" s="97"/>
      <c r="K121" s="1333"/>
      <c r="L121" s="1333"/>
      <c r="M121" s="1333"/>
      <c r="N121" s="1333"/>
      <c r="O121" s="1333"/>
      <c r="P121" s="1333"/>
      <c r="Q121" s="1333"/>
      <c r="R121" s="1333"/>
      <c r="S121" s="981"/>
      <c r="T121" s="1333"/>
      <c r="U121" s="1333"/>
      <c r="V121" s="1333"/>
      <c r="W121" s="1333"/>
      <c r="X121" s="1333"/>
      <c r="Y121" s="1333"/>
      <c r="Z121" s="1333"/>
      <c r="AA121" s="1333"/>
      <c r="AB121" s="1333"/>
      <c r="AC121" s="1333"/>
      <c r="AD121" s="1333"/>
      <c r="AE121" s="1333"/>
      <c r="AF121" s="1333"/>
      <c r="AG121" s="1337"/>
      <c r="AH121" s="1337"/>
    </row>
    <row r="122">
      <c r="A122" s="1323"/>
      <c r="B122" s="1324"/>
      <c r="C122" s="1325"/>
      <c r="D122" s="1326"/>
      <c r="E122" s="1327"/>
      <c r="F122" s="1328"/>
      <c r="G122" s="1324"/>
      <c r="H122" s="1333"/>
      <c r="I122" s="97"/>
      <c r="J122" s="97"/>
      <c r="K122" s="1333"/>
      <c r="L122" s="1333"/>
      <c r="M122" s="1333"/>
      <c r="N122" s="1333"/>
      <c r="O122" s="1333"/>
      <c r="P122" s="1333"/>
      <c r="Q122" s="1333"/>
      <c r="R122" s="1333"/>
      <c r="S122" s="981"/>
      <c r="T122" s="1333"/>
      <c r="U122" s="1333"/>
      <c r="V122" s="1333"/>
      <c r="W122" s="1333"/>
      <c r="X122" s="1333"/>
      <c r="Y122" s="1333"/>
      <c r="Z122" s="1333"/>
      <c r="AA122" s="1333"/>
      <c r="AB122" s="1333"/>
      <c r="AC122" s="1333"/>
      <c r="AD122" s="1333"/>
      <c r="AE122" s="1333"/>
      <c r="AF122" s="1333"/>
      <c r="AG122" s="1337"/>
      <c r="AH122" s="1337"/>
    </row>
    <row r="123">
      <c r="A123" s="1323"/>
      <c r="B123" s="1324"/>
      <c r="C123" s="1325"/>
      <c r="D123" s="1326"/>
      <c r="E123" s="1327"/>
      <c r="F123" s="1328"/>
      <c r="G123" s="1324"/>
      <c r="H123" s="1333"/>
      <c r="I123" s="97"/>
      <c r="J123" s="97"/>
      <c r="K123" s="1333"/>
      <c r="L123" s="1333"/>
      <c r="M123" s="1333"/>
      <c r="N123" s="1333"/>
      <c r="O123" s="1333"/>
      <c r="P123" s="1333"/>
      <c r="Q123" s="1333"/>
      <c r="R123" s="1333"/>
      <c r="S123" s="981"/>
      <c r="T123" s="1333"/>
      <c r="U123" s="1333"/>
      <c r="V123" s="1333"/>
      <c r="W123" s="1333"/>
      <c r="X123" s="1333"/>
      <c r="Y123" s="1333"/>
      <c r="Z123" s="1333"/>
      <c r="AA123" s="1333"/>
      <c r="AB123" s="1333"/>
      <c r="AC123" s="1333"/>
      <c r="AD123" s="1333"/>
      <c r="AE123" s="1333"/>
      <c r="AF123" s="1333"/>
      <c r="AG123" s="1337"/>
      <c r="AH123" s="1337"/>
    </row>
    <row r="124">
      <c r="A124" s="1323"/>
      <c r="B124" s="1324"/>
      <c r="C124" s="1325"/>
      <c r="D124" s="1326"/>
      <c r="E124" s="1327"/>
      <c r="F124" s="1328"/>
      <c r="G124" s="1324"/>
      <c r="H124" s="1333"/>
      <c r="I124" s="97"/>
      <c r="J124" s="97"/>
      <c r="K124" s="1333"/>
      <c r="L124" s="1333"/>
      <c r="M124" s="1333"/>
      <c r="N124" s="1333"/>
      <c r="O124" s="1333"/>
      <c r="P124" s="1333"/>
      <c r="Q124" s="1333"/>
      <c r="R124" s="1333"/>
      <c r="S124" s="981"/>
      <c r="T124" s="1333"/>
      <c r="U124" s="1333"/>
      <c r="V124" s="1333"/>
      <c r="W124" s="1333"/>
      <c r="X124" s="1333"/>
      <c r="Y124" s="1333"/>
      <c r="Z124" s="1333"/>
      <c r="AA124" s="1333"/>
      <c r="AB124" s="1333"/>
      <c r="AC124" s="1333"/>
      <c r="AD124" s="1333"/>
      <c r="AE124" s="1333"/>
      <c r="AF124" s="1333"/>
      <c r="AG124" s="1337"/>
      <c r="AH124" s="1337"/>
    </row>
    <row r="125">
      <c r="A125" s="1323"/>
      <c r="B125" s="1324"/>
      <c r="C125" s="1325"/>
      <c r="D125" s="1326"/>
      <c r="E125" s="1327"/>
      <c r="F125" s="1328"/>
      <c r="G125" s="1324"/>
      <c r="H125" s="1333"/>
      <c r="I125" s="97"/>
      <c r="J125" s="97"/>
      <c r="K125" s="1333"/>
      <c r="L125" s="1333"/>
      <c r="M125" s="1333"/>
      <c r="N125" s="1333"/>
      <c r="O125" s="1333"/>
      <c r="P125" s="1333"/>
      <c r="Q125" s="1333"/>
      <c r="R125" s="1333"/>
      <c r="S125" s="981"/>
      <c r="T125" s="1333"/>
      <c r="U125" s="1333"/>
      <c r="V125" s="1333"/>
      <c r="W125" s="1333"/>
      <c r="X125" s="1333"/>
      <c r="Y125" s="1333"/>
      <c r="Z125" s="1333"/>
      <c r="AA125" s="1333"/>
      <c r="AB125" s="1333"/>
      <c r="AC125" s="1333"/>
      <c r="AD125" s="1333"/>
      <c r="AE125" s="1333"/>
      <c r="AF125" s="1333"/>
      <c r="AG125" s="1337"/>
      <c r="AH125" s="1337"/>
    </row>
    <row r="126">
      <c r="A126" s="1323"/>
      <c r="B126" s="1324"/>
      <c r="C126" s="1325"/>
      <c r="D126" s="1326"/>
      <c r="E126" s="1327"/>
      <c r="F126" s="1328"/>
      <c r="G126" s="1324"/>
      <c r="H126" s="1333"/>
      <c r="I126" s="97"/>
      <c r="J126" s="97"/>
      <c r="K126" s="1333"/>
      <c r="L126" s="1333"/>
      <c r="M126" s="1333"/>
      <c r="N126" s="1333"/>
      <c r="O126" s="1333"/>
      <c r="P126" s="1333"/>
      <c r="Q126" s="1333"/>
      <c r="R126" s="1333"/>
      <c r="S126" s="981"/>
      <c r="T126" s="1333"/>
      <c r="U126" s="1333"/>
      <c r="V126" s="1333"/>
      <c r="W126" s="1333"/>
      <c r="X126" s="1333"/>
      <c r="Y126" s="1333"/>
      <c r="Z126" s="1333"/>
      <c r="AA126" s="1333"/>
      <c r="AB126" s="1333"/>
      <c r="AC126" s="1333"/>
      <c r="AD126" s="1333"/>
      <c r="AE126" s="1333"/>
      <c r="AF126" s="1333"/>
      <c r="AG126" s="1337"/>
      <c r="AH126" s="1337"/>
    </row>
    <row r="127">
      <c r="A127" s="1323"/>
      <c r="B127" s="1324"/>
      <c r="C127" s="1325"/>
      <c r="D127" s="1326"/>
      <c r="E127" s="1327"/>
      <c r="F127" s="1328"/>
      <c r="G127" s="1324"/>
      <c r="H127" s="1333"/>
      <c r="I127" s="97"/>
      <c r="J127" s="97"/>
      <c r="K127" s="1333"/>
      <c r="L127" s="1333"/>
      <c r="M127" s="1333"/>
      <c r="N127" s="1333"/>
      <c r="O127" s="1333"/>
      <c r="P127" s="1333"/>
      <c r="Q127" s="1333"/>
      <c r="R127" s="1333"/>
      <c r="S127" s="981"/>
      <c r="T127" s="1333"/>
      <c r="U127" s="1333"/>
      <c r="V127" s="1333"/>
      <c r="W127" s="1333"/>
      <c r="X127" s="1333"/>
      <c r="Y127" s="1333"/>
      <c r="Z127" s="1333"/>
      <c r="AA127" s="1333"/>
      <c r="AB127" s="1333"/>
      <c r="AC127" s="1333"/>
      <c r="AD127" s="1333"/>
      <c r="AE127" s="1333"/>
      <c r="AF127" s="1333"/>
      <c r="AG127" s="1337"/>
      <c r="AH127" s="1337"/>
    </row>
    <row r="128">
      <c r="A128" s="1323"/>
      <c r="B128" s="1324"/>
      <c r="C128" s="1325"/>
      <c r="D128" s="1326"/>
      <c r="E128" s="1327"/>
      <c r="F128" s="1328"/>
      <c r="G128" s="1324"/>
      <c r="H128" s="1333"/>
      <c r="I128" s="97"/>
      <c r="J128" s="97"/>
      <c r="K128" s="1333"/>
      <c r="L128" s="1333"/>
      <c r="M128" s="1333"/>
      <c r="N128" s="1333"/>
      <c r="O128" s="1333"/>
      <c r="P128" s="1333"/>
      <c r="Q128" s="1333"/>
      <c r="R128" s="1333"/>
      <c r="S128" s="981"/>
      <c r="T128" s="1333"/>
      <c r="U128" s="1333"/>
      <c r="V128" s="1333"/>
      <c r="W128" s="1333"/>
      <c r="X128" s="1333"/>
      <c r="Y128" s="1333"/>
      <c r="Z128" s="1333"/>
      <c r="AA128" s="1333"/>
      <c r="AB128" s="1333"/>
      <c r="AC128" s="1333"/>
      <c r="AD128" s="1333"/>
      <c r="AE128" s="1333"/>
      <c r="AF128" s="1333"/>
      <c r="AG128" s="1337"/>
      <c r="AH128" s="1337"/>
    </row>
    <row r="129">
      <c r="A129" s="1323"/>
      <c r="B129" s="1324"/>
      <c r="C129" s="1325"/>
      <c r="D129" s="1326"/>
      <c r="E129" s="1327"/>
      <c r="F129" s="1328"/>
      <c r="G129" s="1324"/>
      <c r="H129" s="1333"/>
      <c r="I129" s="97"/>
      <c r="J129" s="97"/>
      <c r="K129" s="1333"/>
      <c r="L129" s="1333"/>
      <c r="M129" s="1333"/>
      <c r="N129" s="1333"/>
      <c r="O129" s="1333"/>
      <c r="P129" s="1333"/>
      <c r="Q129" s="1333"/>
      <c r="R129" s="1333"/>
      <c r="S129" s="981"/>
      <c r="T129" s="1333"/>
      <c r="U129" s="1333"/>
      <c r="V129" s="1333"/>
      <c r="W129" s="1333"/>
      <c r="X129" s="1333"/>
      <c r="Y129" s="1333"/>
      <c r="Z129" s="1333"/>
      <c r="AA129" s="1333"/>
      <c r="AB129" s="1333"/>
      <c r="AC129" s="1333"/>
      <c r="AD129" s="1333"/>
      <c r="AE129" s="1333"/>
      <c r="AF129" s="1333"/>
      <c r="AG129" s="1337"/>
      <c r="AH129" s="1337"/>
    </row>
    <row r="130">
      <c r="A130" s="1323"/>
      <c r="B130" s="1324"/>
      <c r="C130" s="1325"/>
      <c r="D130" s="1326"/>
      <c r="E130" s="1327"/>
      <c r="F130" s="1328"/>
      <c r="G130" s="1324"/>
      <c r="H130" s="1333"/>
      <c r="I130" s="97"/>
      <c r="J130" s="97"/>
      <c r="K130" s="1333"/>
      <c r="L130" s="1333"/>
      <c r="M130" s="1333"/>
      <c r="N130" s="1333"/>
      <c r="O130" s="1333"/>
      <c r="P130" s="1333"/>
      <c r="Q130" s="1333"/>
      <c r="R130" s="1333"/>
      <c r="S130" s="981"/>
      <c r="T130" s="1333"/>
      <c r="U130" s="1333"/>
      <c r="V130" s="1333"/>
      <c r="W130" s="1333"/>
      <c r="X130" s="1333"/>
      <c r="Y130" s="1333"/>
      <c r="Z130" s="1333"/>
      <c r="AA130" s="1333"/>
      <c r="AB130" s="1333"/>
      <c r="AC130" s="1333"/>
      <c r="AD130" s="1333"/>
      <c r="AE130" s="1333"/>
      <c r="AF130" s="1333"/>
      <c r="AG130" s="1337"/>
      <c r="AH130" s="1337"/>
    </row>
    <row r="131">
      <c r="A131" s="1323"/>
      <c r="B131" s="1324"/>
      <c r="C131" s="1325"/>
      <c r="D131" s="1326"/>
      <c r="E131" s="1327"/>
      <c r="F131" s="1328"/>
      <c r="G131" s="1324"/>
      <c r="H131" s="1333"/>
      <c r="I131" s="97"/>
      <c r="J131" s="97"/>
      <c r="K131" s="1333"/>
      <c r="L131" s="1333"/>
      <c r="M131" s="1333"/>
      <c r="N131" s="1333"/>
      <c r="O131" s="1333"/>
      <c r="P131" s="1333"/>
      <c r="Q131" s="1333"/>
      <c r="R131" s="1333"/>
      <c r="S131" s="981"/>
      <c r="T131" s="1333"/>
      <c r="U131" s="1333"/>
      <c r="V131" s="1333"/>
      <c r="W131" s="1333"/>
      <c r="X131" s="1333"/>
      <c r="Y131" s="1333"/>
      <c r="Z131" s="1333"/>
      <c r="AA131" s="1333"/>
      <c r="AB131" s="1333"/>
      <c r="AC131" s="1333"/>
      <c r="AD131" s="1333"/>
      <c r="AE131" s="1333"/>
      <c r="AF131" s="1333"/>
      <c r="AG131" s="1337"/>
      <c r="AH131" s="1337"/>
    </row>
    <row r="132">
      <c r="A132" s="1323"/>
      <c r="B132" s="1324"/>
      <c r="C132" s="1325"/>
      <c r="D132" s="1326"/>
      <c r="E132" s="1327"/>
      <c r="F132" s="1328"/>
      <c r="G132" s="1324"/>
      <c r="H132" s="1333"/>
      <c r="I132" s="97"/>
      <c r="J132" s="97"/>
      <c r="K132" s="1333"/>
      <c r="L132" s="1333"/>
      <c r="M132" s="1333"/>
      <c r="N132" s="1333"/>
      <c r="O132" s="1333"/>
      <c r="P132" s="1333"/>
      <c r="Q132" s="1333"/>
      <c r="R132" s="1333"/>
      <c r="S132" s="981"/>
      <c r="T132" s="1333"/>
      <c r="U132" s="1333"/>
      <c r="V132" s="1333"/>
      <c r="W132" s="1333"/>
      <c r="X132" s="1333"/>
      <c r="Y132" s="1333"/>
      <c r="Z132" s="1333"/>
      <c r="AA132" s="1333"/>
      <c r="AB132" s="1333"/>
      <c r="AC132" s="1333"/>
      <c r="AD132" s="1333"/>
      <c r="AE132" s="1333"/>
      <c r="AF132" s="1333"/>
      <c r="AG132" s="1337"/>
      <c r="AH132" s="1337"/>
    </row>
    <row r="133">
      <c r="A133" s="1323"/>
      <c r="B133" s="1324"/>
      <c r="C133" s="1325"/>
      <c r="D133" s="1326"/>
      <c r="E133" s="1327"/>
      <c r="F133" s="1328"/>
      <c r="G133" s="1324"/>
      <c r="H133" s="1333"/>
      <c r="I133" s="97"/>
      <c r="J133" s="97"/>
      <c r="K133" s="1333"/>
      <c r="L133" s="1333"/>
      <c r="M133" s="1333"/>
      <c r="N133" s="1333"/>
      <c r="O133" s="1333"/>
      <c r="P133" s="1333"/>
      <c r="Q133" s="1333"/>
      <c r="R133" s="1333"/>
      <c r="S133" s="981"/>
      <c r="T133" s="1333"/>
      <c r="U133" s="1333"/>
      <c r="V133" s="1333"/>
      <c r="W133" s="1333"/>
      <c r="X133" s="1333"/>
      <c r="Y133" s="1333"/>
      <c r="Z133" s="1333"/>
      <c r="AA133" s="1333"/>
      <c r="AB133" s="1333"/>
      <c r="AC133" s="1333"/>
      <c r="AD133" s="1333"/>
      <c r="AE133" s="1333"/>
      <c r="AF133" s="1333"/>
      <c r="AG133" s="1337"/>
      <c r="AH133" s="1337"/>
    </row>
    <row r="134">
      <c r="A134" s="1323"/>
      <c r="B134" s="1324"/>
      <c r="C134" s="1325"/>
      <c r="D134" s="1326"/>
      <c r="E134" s="1327"/>
      <c r="F134" s="1328"/>
      <c r="G134" s="1324"/>
      <c r="H134" s="1333"/>
      <c r="I134" s="97"/>
      <c r="J134" s="97"/>
      <c r="K134" s="1333"/>
      <c r="L134" s="1333"/>
      <c r="M134" s="1333"/>
      <c r="N134" s="1333"/>
      <c r="O134" s="1333"/>
      <c r="P134" s="1333"/>
      <c r="Q134" s="1333"/>
      <c r="R134" s="1333"/>
      <c r="S134" s="981"/>
      <c r="T134" s="1333"/>
      <c r="U134" s="1333"/>
      <c r="V134" s="1333"/>
      <c r="W134" s="1333"/>
      <c r="X134" s="1333"/>
      <c r="Y134" s="1333"/>
      <c r="Z134" s="1333"/>
      <c r="AA134" s="1333"/>
      <c r="AB134" s="1333"/>
      <c r="AC134" s="1333"/>
      <c r="AD134" s="1333"/>
      <c r="AE134" s="1333"/>
      <c r="AF134" s="1333"/>
      <c r="AG134" s="1337"/>
      <c r="AH134" s="1337"/>
    </row>
    <row r="135">
      <c r="A135" s="1323"/>
      <c r="B135" s="1324"/>
      <c r="C135" s="1325"/>
      <c r="D135" s="1326"/>
      <c r="E135" s="1327"/>
      <c r="F135" s="1328"/>
      <c r="G135" s="1324"/>
      <c r="H135" s="1333"/>
      <c r="I135" s="97"/>
      <c r="J135" s="97"/>
      <c r="K135" s="1333"/>
      <c r="L135" s="1333"/>
      <c r="M135" s="1333"/>
      <c r="N135" s="1333"/>
      <c r="O135" s="1333"/>
      <c r="P135" s="1333"/>
      <c r="Q135" s="1333"/>
      <c r="R135" s="1333"/>
      <c r="S135" s="981"/>
      <c r="T135" s="1333"/>
      <c r="U135" s="1333"/>
      <c r="V135" s="1333"/>
      <c r="W135" s="1333"/>
      <c r="X135" s="1333"/>
      <c r="Y135" s="1333"/>
      <c r="Z135" s="1333"/>
      <c r="AA135" s="1333"/>
      <c r="AB135" s="1333"/>
      <c r="AC135" s="1333"/>
      <c r="AD135" s="1333"/>
      <c r="AE135" s="1333"/>
      <c r="AF135" s="1333"/>
      <c r="AG135" s="1337"/>
      <c r="AH135" s="1337"/>
    </row>
    <row r="136">
      <c r="A136" s="1323"/>
      <c r="B136" s="1324"/>
      <c r="C136" s="1325"/>
      <c r="D136" s="1326"/>
      <c r="E136" s="1327"/>
      <c r="F136" s="1328"/>
      <c r="G136" s="1324"/>
      <c r="H136" s="1333"/>
      <c r="I136" s="97"/>
      <c r="J136" s="97"/>
      <c r="K136" s="1333"/>
      <c r="L136" s="1333"/>
      <c r="M136" s="1333"/>
      <c r="N136" s="1333"/>
      <c r="O136" s="1333"/>
      <c r="P136" s="1333"/>
      <c r="Q136" s="1333"/>
      <c r="R136" s="1333"/>
      <c r="S136" s="981"/>
      <c r="T136" s="1333"/>
      <c r="U136" s="1333"/>
      <c r="V136" s="1333"/>
      <c r="W136" s="1333"/>
      <c r="X136" s="1333"/>
      <c r="Y136" s="1333"/>
      <c r="Z136" s="1333"/>
      <c r="AA136" s="1333"/>
      <c r="AB136" s="1333"/>
      <c r="AC136" s="1333"/>
      <c r="AD136" s="1333"/>
      <c r="AE136" s="1333"/>
      <c r="AF136" s="1333"/>
      <c r="AG136" s="1337"/>
      <c r="AH136" s="1337"/>
    </row>
    <row r="137">
      <c r="A137" s="1323"/>
      <c r="B137" s="1324"/>
      <c r="C137" s="1325"/>
      <c r="D137" s="1326"/>
      <c r="E137" s="1327"/>
      <c r="F137" s="1328"/>
      <c r="G137" s="1324"/>
      <c r="H137" s="1333"/>
      <c r="I137" s="97"/>
      <c r="J137" s="97"/>
      <c r="K137" s="1333"/>
      <c r="L137" s="1333"/>
      <c r="M137" s="1333"/>
      <c r="N137" s="1333"/>
      <c r="O137" s="1333"/>
      <c r="P137" s="1333"/>
      <c r="Q137" s="1333"/>
      <c r="R137" s="1333"/>
      <c r="S137" s="981"/>
      <c r="T137" s="1333"/>
      <c r="U137" s="1333"/>
      <c r="V137" s="1333"/>
      <c r="W137" s="1333"/>
      <c r="X137" s="1333"/>
      <c r="Y137" s="1333"/>
      <c r="Z137" s="1333"/>
      <c r="AA137" s="1333"/>
      <c r="AB137" s="1333"/>
      <c r="AC137" s="1333"/>
      <c r="AD137" s="1333"/>
      <c r="AE137" s="1333"/>
      <c r="AF137" s="1333"/>
      <c r="AG137" s="1337"/>
      <c r="AH137" s="1337"/>
    </row>
    <row r="138">
      <c r="A138" s="1323"/>
      <c r="B138" s="1324"/>
      <c r="C138" s="1325"/>
      <c r="D138" s="1326"/>
      <c r="E138" s="1327"/>
      <c r="F138" s="1328"/>
      <c r="G138" s="1324"/>
      <c r="H138" s="1333"/>
      <c r="I138" s="97"/>
      <c r="J138" s="97"/>
      <c r="K138" s="1333"/>
      <c r="L138" s="1333"/>
      <c r="M138" s="1333"/>
      <c r="N138" s="1333"/>
      <c r="O138" s="1333"/>
      <c r="P138" s="1333"/>
      <c r="Q138" s="1333"/>
      <c r="R138" s="1333"/>
      <c r="S138" s="981"/>
      <c r="T138" s="1333"/>
      <c r="U138" s="1333"/>
      <c r="V138" s="1333"/>
      <c r="W138" s="1333"/>
      <c r="X138" s="1333"/>
      <c r="Y138" s="1333"/>
      <c r="Z138" s="1333"/>
      <c r="AA138" s="1333"/>
      <c r="AB138" s="1333"/>
      <c r="AC138" s="1333"/>
      <c r="AD138" s="1333"/>
      <c r="AE138" s="1333"/>
      <c r="AF138" s="1333"/>
      <c r="AG138" s="1337"/>
      <c r="AH138" s="1337"/>
    </row>
    <row r="139">
      <c r="A139" s="1323"/>
      <c r="B139" s="1324"/>
      <c r="C139" s="1325"/>
      <c r="D139" s="1326"/>
      <c r="E139" s="1327"/>
      <c r="F139" s="1328"/>
      <c r="G139" s="1324"/>
      <c r="H139" s="1333"/>
      <c r="I139" s="97"/>
      <c r="J139" s="97"/>
      <c r="K139" s="1333"/>
      <c r="L139" s="1333"/>
      <c r="M139" s="1333"/>
      <c r="N139" s="1333"/>
      <c r="O139" s="1333"/>
      <c r="P139" s="1333"/>
      <c r="Q139" s="1333"/>
      <c r="R139" s="1333"/>
      <c r="S139" s="981"/>
      <c r="T139" s="1333"/>
      <c r="U139" s="1333"/>
      <c r="V139" s="1333"/>
      <c r="W139" s="1333"/>
      <c r="X139" s="1333"/>
      <c r="Y139" s="1333"/>
      <c r="Z139" s="1333"/>
      <c r="AA139" s="1333"/>
      <c r="AB139" s="1333"/>
      <c r="AC139" s="1333"/>
      <c r="AD139" s="1333"/>
      <c r="AE139" s="1333"/>
      <c r="AF139" s="1333"/>
      <c r="AG139" s="1337"/>
      <c r="AH139" s="1337"/>
    </row>
    <row r="140">
      <c r="A140" s="1323"/>
      <c r="B140" s="1324"/>
      <c r="C140" s="1325"/>
      <c r="D140" s="1326"/>
      <c r="E140" s="1327"/>
      <c r="F140" s="1328"/>
      <c r="G140" s="1324"/>
      <c r="H140" s="1333"/>
      <c r="I140" s="97"/>
      <c r="J140" s="97"/>
      <c r="K140" s="1333"/>
      <c r="L140" s="1333"/>
      <c r="M140" s="1333"/>
      <c r="N140" s="1333"/>
      <c r="O140" s="1333"/>
      <c r="P140" s="1333"/>
      <c r="Q140" s="1333"/>
      <c r="R140" s="1333"/>
      <c r="S140" s="981"/>
      <c r="T140" s="1333"/>
      <c r="U140" s="1333"/>
      <c r="V140" s="1333"/>
      <c r="W140" s="1333"/>
      <c r="X140" s="1333"/>
      <c r="Y140" s="1333"/>
      <c r="Z140" s="1333"/>
      <c r="AA140" s="1333"/>
      <c r="AB140" s="1333"/>
      <c r="AC140" s="1333"/>
      <c r="AD140" s="1333"/>
      <c r="AE140" s="1333"/>
      <c r="AF140" s="1333"/>
      <c r="AG140" s="1337"/>
      <c r="AH140" s="13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8237</v>
      </c>
      <c r="C1" s="23" t="s">
        <v>10</v>
      </c>
      <c r="F1" s="23" t="s">
        <v>34</v>
      </c>
      <c r="H1" s="1358" t="s">
        <v>8238</v>
      </c>
      <c r="W1" s="1359" t="s">
        <v>8239</v>
      </c>
      <c r="AM1" s="1360" t="s">
        <v>8240</v>
      </c>
      <c r="BG1" s="1361" t="s">
        <v>8241</v>
      </c>
      <c r="BQ1" s="1362" t="s">
        <v>8242</v>
      </c>
      <c r="BV1" s="1363" t="s">
        <v>8243</v>
      </c>
      <c r="CE1" s="1358" t="s">
        <v>8244</v>
      </c>
      <c r="CM1" s="1364" t="s">
        <v>8245</v>
      </c>
      <c r="CP1" s="1365" t="s">
        <v>8246</v>
      </c>
      <c r="CT1" s="1366" t="s">
        <v>8247</v>
      </c>
      <c r="CU1" s="1367" t="s">
        <v>8248</v>
      </c>
    </row>
    <row r="2">
      <c r="A2" s="1368" t="s">
        <v>43</v>
      </c>
      <c r="B2" s="36" t="s">
        <v>44</v>
      </c>
      <c r="C2" s="36" t="s">
        <v>45</v>
      </c>
      <c r="F2" s="36" t="s">
        <v>8249</v>
      </c>
      <c r="H2" s="1369" t="s">
        <v>8250</v>
      </c>
      <c r="I2" s="1369" t="s">
        <v>8251</v>
      </c>
      <c r="J2" s="1369" t="s">
        <v>8252</v>
      </c>
      <c r="K2" s="1369" t="s">
        <v>8253</v>
      </c>
      <c r="L2" s="1369" t="s">
        <v>8254</v>
      </c>
      <c r="M2" s="1369" t="s">
        <v>8255</v>
      </c>
      <c r="N2" s="1369" t="s">
        <v>8256</v>
      </c>
      <c r="O2" s="1369" t="s">
        <v>8257</v>
      </c>
      <c r="P2" s="1369" t="s">
        <v>8258</v>
      </c>
      <c r="Q2" s="1369" t="s">
        <v>8259</v>
      </c>
      <c r="R2" s="1369" t="s">
        <v>8260</v>
      </c>
      <c r="S2" s="1369" t="s">
        <v>8261</v>
      </c>
      <c r="T2" s="1369" t="s">
        <v>8262</v>
      </c>
      <c r="U2" s="1369" t="s">
        <v>8263</v>
      </c>
      <c r="V2" s="1369" t="s">
        <v>8264</v>
      </c>
      <c r="W2" s="1370" t="s">
        <v>8265</v>
      </c>
      <c r="X2" s="1370" t="s">
        <v>8266</v>
      </c>
      <c r="Y2" s="1370" t="s">
        <v>8267</v>
      </c>
      <c r="Z2" s="1370" t="s">
        <v>8268</v>
      </c>
      <c r="AA2" s="1370" t="s">
        <v>8269</v>
      </c>
      <c r="AB2" s="1370" t="s">
        <v>8270</v>
      </c>
      <c r="AC2" s="1370" t="s">
        <v>8271</v>
      </c>
      <c r="AD2" s="1370" t="s">
        <v>8272</v>
      </c>
      <c r="AE2" s="1370" t="s">
        <v>8273</v>
      </c>
      <c r="AF2" s="1370" t="s">
        <v>8274</v>
      </c>
      <c r="AG2" s="1370" t="s">
        <v>8275</v>
      </c>
      <c r="AH2" s="1370" t="s">
        <v>8276</v>
      </c>
      <c r="AI2" s="1370" t="s">
        <v>8277</v>
      </c>
      <c r="AJ2" s="1370" t="s">
        <v>8278</v>
      </c>
      <c r="AK2" s="1370" t="s">
        <v>8279</v>
      </c>
      <c r="AL2" s="1370" t="s">
        <v>8280</v>
      </c>
      <c r="AM2" s="1371" t="s">
        <v>8281</v>
      </c>
      <c r="AN2" s="1371" t="s">
        <v>8282</v>
      </c>
      <c r="AO2" s="1371" t="s">
        <v>8283</v>
      </c>
      <c r="AP2" s="1371" t="s">
        <v>8284</v>
      </c>
      <c r="AQ2" s="1371" t="s">
        <v>8285</v>
      </c>
      <c r="AR2" s="1371" t="s">
        <v>8286</v>
      </c>
      <c r="AS2" s="1371" t="s">
        <v>8287</v>
      </c>
      <c r="AT2" s="1371" t="s">
        <v>8288</v>
      </c>
      <c r="AU2" s="1371" t="s">
        <v>8289</v>
      </c>
      <c r="AV2" s="1371" t="s">
        <v>8290</v>
      </c>
      <c r="AW2" s="1371" t="s">
        <v>8291</v>
      </c>
      <c r="AX2" s="1371" t="s">
        <v>8292</v>
      </c>
      <c r="AY2" s="1371" t="s">
        <v>8293</v>
      </c>
      <c r="AZ2" s="1371" t="s">
        <v>8294</v>
      </c>
      <c r="BA2" s="1371" t="s">
        <v>8295</v>
      </c>
      <c r="BB2" s="1371" t="s">
        <v>8296</v>
      </c>
      <c r="BC2" s="1371" t="s">
        <v>8297</v>
      </c>
      <c r="BD2" s="1371" t="s">
        <v>8298</v>
      </c>
      <c r="BE2" s="1371" t="s">
        <v>8299</v>
      </c>
      <c r="BF2" s="1371" t="s">
        <v>8300</v>
      </c>
      <c r="BG2" s="1372" t="s">
        <v>8301</v>
      </c>
      <c r="BH2" s="1372" t="s">
        <v>8302</v>
      </c>
      <c r="BI2" s="1372" t="s">
        <v>8303</v>
      </c>
      <c r="BJ2" s="1372" t="s">
        <v>8304</v>
      </c>
      <c r="BK2" s="1372" t="s">
        <v>8305</v>
      </c>
      <c r="BL2" s="1372" t="s">
        <v>8306</v>
      </c>
      <c r="BM2" s="1372" t="s">
        <v>8307</v>
      </c>
      <c r="BN2" s="1372" t="s">
        <v>8308</v>
      </c>
      <c r="BO2" s="1372" t="s">
        <v>8309</v>
      </c>
      <c r="BP2" s="1372" t="s">
        <v>8310</v>
      </c>
      <c r="BQ2" s="1373" t="s">
        <v>8311</v>
      </c>
      <c r="BR2" s="1373" t="s">
        <v>8312</v>
      </c>
      <c r="BS2" s="1373" t="s">
        <v>8313</v>
      </c>
      <c r="BT2" s="1373" t="s">
        <v>8314</v>
      </c>
      <c r="BU2" s="1373" t="s">
        <v>8315</v>
      </c>
      <c r="BV2" s="1374" t="s">
        <v>8316</v>
      </c>
      <c r="BW2" s="1374" t="s">
        <v>8317</v>
      </c>
      <c r="BX2" s="1374" t="s">
        <v>8318</v>
      </c>
      <c r="BY2" s="1374" t="s">
        <v>8319</v>
      </c>
      <c r="BZ2" s="1374" t="s">
        <v>8320</v>
      </c>
      <c r="CA2" s="1374" t="s">
        <v>8321</v>
      </c>
      <c r="CB2" s="1374" t="s">
        <v>8322</v>
      </c>
      <c r="CC2" s="1374" t="s">
        <v>8323</v>
      </c>
      <c r="CD2" s="1374" t="s">
        <v>8324</v>
      </c>
      <c r="CE2" s="1375" t="s">
        <v>8250</v>
      </c>
      <c r="CF2" s="1375" t="s">
        <v>8253</v>
      </c>
      <c r="CG2" s="1375" t="s">
        <v>8257</v>
      </c>
      <c r="CH2" s="1375" t="s">
        <v>8259</v>
      </c>
      <c r="CI2" s="1375" t="s">
        <v>8260</v>
      </c>
      <c r="CJ2" s="1375" t="s">
        <v>8263</v>
      </c>
      <c r="CK2" s="1375" t="s">
        <v>8325</v>
      </c>
      <c r="CL2" s="1375" t="s">
        <v>8326</v>
      </c>
      <c r="CM2" s="1376" t="s">
        <v>8327</v>
      </c>
      <c r="CN2" s="1376" t="s">
        <v>8328</v>
      </c>
      <c r="CO2" s="1376" t="s">
        <v>8329</v>
      </c>
      <c r="CP2" s="1317" t="s">
        <v>8330</v>
      </c>
      <c r="CQ2" s="1317" t="s">
        <v>8331</v>
      </c>
      <c r="CR2" s="1317" t="s">
        <v>8332</v>
      </c>
      <c r="CS2" s="1317" t="s">
        <v>8333</v>
      </c>
      <c r="CT2" s="1377" t="s">
        <v>8334</v>
      </c>
      <c r="CU2" s="1378" t="s">
        <v>8335</v>
      </c>
    </row>
    <row r="3">
      <c r="A3" s="1379" t="s">
        <v>2460</v>
      </c>
      <c r="B3" s="788" t="s">
        <v>8336</v>
      </c>
      <c r="C3" s="784" t="s">
        <v>8337</v>
      </c>
      <c r="D3" s="785" t="s">
        <v>2994</v>
      </c>
      <c r="E3" s="786" t="s">
        <v>221</v>
      </c>
      <c r="F3" s="787" t="s">
        <v>1347</v>
      </c>
      <c r="G3" s="788" t="s">
        <v>1347</v>
      </c>
      <c r="H3" s="983" t="s">
        <v>8338</v>
      </c>
      <c r="I3" s="983" t="s">
        <v>8339</v>
      </c>
      <c r="J3" s="1335" t="s">
        <v>8340</v>
      </c>
      <c r="K3" s="983" t="s">
        <v>8341</v>
      </c>
      <c r="L3" s="1059" t="s">
        <v>8342</v>
      </c>
      <c r="M3" s="1340" t="s">
        <v>8343</v>
      </c>
      <c r="N3" s="1340" t="s">
        <v>8344</v>
      </c>
      <c r="O3" s="1339" t="s">
        <v>8345</v>
      </c>
      <c r="P3" s="1339" t="s">
        <v>8346</v>
      </c>
      <c r="Q3" s="983" t="s">
        <v>8347</v>
      </c>
      <c r="R3" s="983" t="s">
        <v>8348</v>
      </c>
      <c r="S3" s="983" t="s">
        <v>8349</v>
      </c>
      <c r="T3" s="983" t="s">
        <v>8350</v>
      </c>
      <c r="U3" s="983" t="s">
        <v>8351</v>
      </c>
      <c r="V3" s="983" t="s">
        <v>8352</v>
      </c>
      <c r="W3" s="1339" t="s">
        <v>2131</v>
      </c>
      <c r="X3" s="983" t="s">
        <v>1822</v>
      </c>
      <c r="Y3" s="983" t="s">
        <v>2739</v>
      </c>
      <c r="Z3" s="1334" t="s">
        <v>8353</v>
      </c>
      <c r="AA3" s="1340" t="s">
        <v>8354</v>
      </c>
      <c r="AB3" s="1334" t="s">
        <v>8355</v>
      </c>
      <c r="AC3" s="983" t="s">
        <v>8356</v>
      </c>
      <c r="AD3" s="983" t="s">
        <v>4472</v>
      </c>
      <c r="AE3" s="1340" t="s">
        <v>8357</v>
      </c>
      <c r="AF3" s="983" t="s">
        <v>8358</v>
      </c>
      <c r="AG3" s="1339" t="s">
        <v>8359</v>
      </c>
      <c r="AH3" s="1340" t="s">
        <v>8360</v>
      </c>
      <c r="AI3" s="983" t="s">
        <v>6700</v>
      </c>
      <c r="AJ3" s="1340" t="s">
        <v>8361</v>
      </c>
      <c r="AK3" s="983" t="s">
        <v>8362</v>
      </c>
      <c r="AL3" s="1334" t="s">
        <v>5545</v>
      </c>
      <c r="AM3" s="1340" t="s">
        <v>8363</v>
      </c>
      <c r="AN3" s="1334" t="s">
        <v>8364</v>
      </c>
      <c r="AO3" s="1334" t="s">
        <v>8365</v>
      </c>
      <c r="AP3" s="1340" t="s">
        <v>8366</v>
      </c>
      <c r="AQ3" s="1340" t="s">
        <v>8367</v>
      </c>
      <c r="AR3" s="1340" t="s">
        <v>8368</v>
      </c>
      <c r="AS3" s="1340" t="s">
        <v>8369</v>
      </c>
      <c r="AT3" s="1340" t="s">
        <v>8370</v>
      </c>
      <c r="AU3" s="983" t="s">
        <v>8371</v>
      </c>
      <c r="AV3" s="1380" t="s">
        <v>8372</v>
      </c>
      <c r="AW3" s="1339" t="s">
        <v>8373</v>
      </c>
      <c r="AX3" s="1340" t="s">
        <v>8374</v>
      </c>
      <c r="AY3" s="1340" t="s">
        <v>8375</v>
      </c>
      <c r="AZ3" s="1340" t="s">
        <v>8376</v>
      </c>
      <c r="BA3" s="1340" t="s">
        <v>8377</v>
      </c>
      <c r="BB3" s="1339" t="s">
        <v>8378</v>
      </c>
      <c r="BC3" s="983" t="s">
        <v>8379</v>
      </c>
      <c r="BD3" s="983" t="s">
        <v>8380</v>
      </c>
      <c r="BE3" s="1339" t="s">
        <v>8381</v>
      </c>
      <c r="BF3" s="1340" t="s">
        <v>8382</v>
      </c>
      <c r="BG3" s="983" t="s">
        <v>8383</v>
      </c>
      <c r="BH3" s="1334" t="s">
        <v>8384</v>
      </c>
      <c r="BI3" s="1334" t="s">
        <v>8385</v>
      </c>
      <c r="BJ3" s="1340" t="s">
        <v>8386</v>
      </c>
      <c r="BK3" s="1340" t="s">
        <v>8387</v>
      </c>
      <c r="BL3" s="1340" t="s">
        <v>8388</v>
      </c>
      <c r="BM3" s="1339" t="s">
        <v>8389</v>
      </c>
      <c r="BN3" s="1340" t="s">
        <v>8390</v>
      </c>
      <c r="BO3" s="1340" t="s">
        <v>8391</v>
      </c>
      <c r="BP3" s="1334" t="s">
        <v>8392</v>
      </c>
      <c r="BQ3" s="1334" t="s">
        <v>8393</v>
      </c>
      <c r="BR3" s="1334" t="s">
        <v>8394</v>
      </c>
      <c r="BS3" s="1334" t="s">
        <v>8395</v>
      </c>
      <c r="BT3" s="1334" t="s">
        <v>8396</v>
      </c>
      <c r="BU3" s="1334" t="s">
        <v>8397</v>
      </c>
      <c r="BV3" s="1381" t="s">
        <v>2468</v>
      </c>
      <c r="BW3" s="1340" t="s">
        <v>2478</v>
      </c>
      <c r="BX3" s="1339" t="s">
        <v>2490</v>
      </c>
      <c r="BY3" s="1334" t="s">
        <v>8398</v>
      </c>
      <c r="BZ3" s="1340" t="s">
        <v>8399</v>
      </c>
      <c r="CA3" s="1334" t="s">
        <v>1278</v>
      </c>
      <c r="CB3" s="1334" t="s">
        <v>8400</v>
      </c>
      <c r="CC3" s="1334" t="s">
        <v>476</v>
      </c>
      <c r="CD3" s="1382" t="s">
        <v>2519</v>
      </c>
      <c r="CE3" s="1339" t="s">
        <v>8401</v>
      </c>
      <c r="CF3" s="1340" t="s">
        <v>8402</v>
      </c>
      <c r="CG3" s="1340" t="s">
        <v>8403</v>
      </c>
      <c r="CH3" s="1334" t="s">
        <v>8404</v>
      </c>
      <c r="CI3" s="1340" t="s">
        <v>8405</v>
      </c>
      <c r="CJ3" s="1339" t="s">
        <v>8406</v>
      </c>
      <c r="CK3" s="1334" t="s">
        <v>8407</v>
      </c>
      <c r="CL3" s="983" t="s">
        <v>8408</v>
      </c>
      <c r="CM3" s="1334" t="s">
        <v>8409</v>
      </c>
      <c r="CN3" s="1334" t="s">
        <v>8410</v>
      </c>
      <c r="CO3" s="1340" t="s">
        <v>8411</v>
      </c>
      <c r="CP3" s="1339" t="s">
        <v>8412</v>
      </c>
      <c r="CQ3" s="1334" t="s">
        <v>8413</v>
      </c>
      <c r="CR3" s="1334" t="s">
        <v>8414</v>
      </c>
      <c r="CS3" s="1340" t="s">
        <v>8415</v>
      </c>
      <c r="CT3" s="1334" t="s">
        <v>8416</v>
      </c>
      <c r="CU3" s="1334" t="s">
        <v>8417</v>
      </c>
    </row>
    <row r="4">
      <c r="A4" s="1383" t="s">
        <v>7494</v>
      </c>
      <c r="B4" s="788" t="s">
        <v>8418</v>
      </c>
      <c r="C4" s="784" t="s">
        <v>5863</v>
      </c>
      <c r="D4" s="785" t="s">
        <v>646</v>
      </c>
      <c r="E4" s="786" t="s">
        <v>647</v>
      </c>
      <c r="F4" s="787" t="s">
        <v>4776</v>
      </c>
      <c r="G4" s="788" t="s">
        <v>3842</v>
      </c>
      <c r="H4" s="1339" t="s">
        <v>8419</v>
      </c>
      <c r="I4" s="1334" t="s">
        <v>4261</v>
      </c>
      <c r="J4" s="1334" t="s">
        <v>8420</v>
      </c>
      <c r="K4" s="983" t="s">
        <v>8421</v>
      </c>
      <c r="L4" s="1334" t="s">
        <v>8422</v>
      </c>
      <c r="M4" s="981"/>
      <c r="N4" s="981"/>
      <c r="O4" s="983" t="s">
        <v>8423</v>
      </c>
      <c r="P4" s="981"/>
      <c r="Q4" s="980" t="s">
        <v>8424</v>
      </c>
      <c r="R4" s="1340" t="s">
        <v>8425</v>
      </c>
      <c r="S4" s="981"/>
      <c r="T4" s="1334" t="s">
        <v>8426</v>
      </c>
      <c r="U4" s="1334" t="s">
        <v>8427</v>
      </c>
      <c r="V4" s="980" t="s">
        <v>8428</v>
      </c>
      <c r="W4" s="981"/>
      <c r="X4" s="1339" t="s">
        <v>6267</v>
      </c>
      <c r="Y4" s="1340" t="s">
        <v>2541</v>
      </c>
      <c r="Z4" s="981"/>
      <c r="AA4" s="1334" t="s">
        <v>8429</v>
      </c>
      <c r="AB4" s="981"/>
      <c r="AC4" s="981"/>
      <c r="AD4" s="980" t="s">
        <v>8430</v>
      </c>
      <c r="AE4" s="1329"/>
      <c r="AF4" s="983" t="s">
        <v>464</v>
      </c>
      <c r="AG4" s="1329"/>
      <c r="AH4" s="1334" t="s">
        <v>8431</v>
      </c>
      <c r="AI4" s="981"/>
      <c r="AJ4" s="1334" t="s">
        <v>8432</v>
      </c>
      <c r="AK4" s="1340" t="s">
        <v>6242</v>
      </c>
      <c r="AL4" s="1384" t="s">
        <v>8433</v>
      </c>
      <c r="AM4" s="1334" t="s">
        <v>8434</v>
      </c>
      <c r="AN4" s="981"/>
      <c r="AO4" s="981"/>
      <c r="AP4" s="1334" t="s">
        <v>8435</v>
      </c>
      <c r="AQ4" s="1334" t="s">
        <v>8436</v>
      </c>
      <c r="AR4" s="1334" t="s">
        <v>8437</v>
      </c>
      <c r="AS4" s="1334" t="s">
        <v>8438</v>
      </c>
      <c r="AT4" s="1334" t="s">
        <v>8439</v>
      </c>
      <c r="AU4" s="1334" t="s">
        <v>8440</v>
      </c>
      <c r="AV4" s="1334" t="s">
        <v>8441</v>
      </c>
      <c r="AW4" s="1334" t="s">
        <v>8442</v>
      </c>
      <c r="AX4" s="1334" t="s">
        <v>8437</v>
      </c>
      <c r="AY4" s="981"/>
      <c r="AZ4" s="1334" t="s">
        <v>8443</v>
      </c>
      <c r="BA4" s="1334" t="s">
        <v>8444</v>
      </c>
      <c r="BB4" s="1334" t="s">
        <v>8445</v>
      </c>
      <c r="BC4" s="1334" t="s">
        <v>8446</v>
      </c>
      <c r="BD4" s="1334" t="s">
        <v>8447</v>
      </c>
      <c r="BE4" s="1334" t="s">
        <v>8448</v>
      </c>
      <c r="BF4" s="1334" t="s">
        <v>8449</v>
      </c>
      <c r="BG4" s="1385" t="s">
        <v>8450</v>
      </c>
      <c r="BH4" s="917"/>
      <c r="BI4" s="917"/>
      <c r="BJ4" s="917"/>
      <c r="BK4" s="1386" t="s">
        <v>8451</v>
      </c>
      <c r="BL4" s="917"/>
      <c r="BM4" s="849" t="s">
        <v>8452</v>
      </c>
      <c r="BN4" s="892" t="s">
        <v>8453</v>
      </c>
      <c r="BO4" s="917"/>
      <c r="BP4" s="917"/>
      <c r="BQ4" s="1387"/>
      <c r="BR4" s="981"/>
      <c r="BS4" s="1340" t="s">
        <v>8454</v>
      </c>
      <c r="BT4" s="981"/>
      <c r="BU4" s="981"/>
      <c r="BV4" s="981"/>
      <c r="BW4" s="981"/>
      <c r="BX4" s="981"/>
      <c r="BY4" s="981"/>
      <c r="BZ4" s="981"/>
      <c r="CA4" s="981"/>
      <c r="CB4" s="981"/>
      <c r="CC4" s="1340" t="s">
        <v>450</v>
      </c>
      <c r="CD4" s="1329"/>
      <c r="CE4" s="1388" t="s">
        <v>8455</v>
      </c>
      <c r="CF4" s="1388" t="s">
        <v>8456</v>
      </c>
      <c r="CG4" s="1388" t="s">
        <v>8457</v>
      </c>
      <c r="CH4" s="1389"/>
      <c r="CI4" s="1388" t="s">
        <v>8458</v>
      </c>
      <c r="CJ4" s="1388" t="s">
        <v>8417</v>
      </c>
      <c r="CK4" s="1389"/>
      <c r="CL4" s="1388" t="s">
        <v>8459</v>
      </c>
      <c r="CM4" s="1390" t="s">
        <v>2153</v>
      </c>
      <c r="CN4" s="1391" t="s">
        <v>3380</v>
      </c>
      <c r="CO4" s="1392"/>
      <c r="CP4" s="1388" t="s">
        <v>8460</v>
      </c>
      <c r="CQ4" s="1392"/>
      <c r="CR4" s="1392"/>
      <c r="CS4" s="1388" t="s">
        <v>8461</v>
      </c>
      <c r="CT4" s="981"/>
      <c r="CU4" s="981"/>
    </row>
    <row r="5">
      <c r="A5" s="1393" t="s">
        <v>7496</v>
      </c>
      <c r="B5" s="788" t="s">
        <v>6943</v>
      </c>
      <c r="C5" s="784" t="s">
        <v>438</v>
      </c>
      <c r="D5" s="785" t="s">
        <v>1197</v>
      </c>
      <c r="E5" s="786" t="s">
        <v>222</v>
      </c>
      <c r="F5" s="787" t="s">
        <v>4947</v>
      </c>
      <c r="G5" s="788" t="s">
        <v>4400</v>
      </c>
      <c r="H5" s="980" t="s">
        <v>8462</v>
      </c>
      <c r="I5" s="983" t="s">
        <v>8463</v>
      </c>
      <c r="J5" s="980" t="s">
        <v>6459</v>
      </c>
      <c r="K5" s="1339" t="s">
        <v>8464</v>
      </c>
      <c r="L5" s="1339" t="s">
        <v>8465</v>
      </c>
      <c r="M5" s="1339" t="s">
        <v>3754</v>
      </c>
      <c r="N5" s="980" t="s">
        <v>8466</v>
      </c>
      <c r="O5" s="983" t="s">
        <v>8467</v>
      </c>
      <c r="P5" s="1334" t="s">
        <v>8468</v>
      </c>
      <c r="Q5" s="1340" t="s">
        <v>8469</v>
      </c>
      <c r="R5" s="983" t="s">
        <v>8470</v>
      </c>
      <c r="S5" s="1339" t="s">
        <v>8471</v>
      </c>
      <c r="T5" s="983" t="s">
        <v>8472</v>
      </c>
      <c r="U5" s="1340" t="s">
        <v>8473</v>
      </c>
      <c r="V5" s="1339" t="s">
        <v>8474</v>
      </c>
      <c r="W5" s="980" t="s">
        <v>2357</v>
      </c>
      <c r="X5" s="1342" t="s">
        <v>1691</v>
      </c>
      <c r="Y5" s="980" t="s">
        <v>2018</v>
      </c>
      <c r="Z5" s="1342" t="s">
        <v>8475</v>
      </c>
      <c r="AA5" s="980" t="s">
        <v>4449</v>
      </c>
      <c r="AB5" s="980"/>
      <c r="AC5" s="980" t="s">
        <v>3454</v>
      </c>
      <c r="AD5" s="980" t="s">
        <v>3880</v>
      </c>
      <c r="AE5" s="980" t="s">
        <v>8476</v>
      </c>
      <c r="AF5" s="1342" t="s">
        <v>8477</v>
      </c>
      <c r="AG5" s="983" t="s">
        <v>8478</v>
      </c>
      <c r="AH5" s="983" t="s">
        <v>8479</v>
      </c>
      <c r="AI5" s="1342" t="s">
        <v>8480</v>
      </c>
      <c r="AJ5" s="981"/>
      <c r="AK5" s="980"/>
      <c r="AL5" s="980"/>
      <c r="AM5" s="983" t="s">
        <v>8481</v>
      </c>
      <c r="AN5" s="983" t="s">
        <v>8482</v>
      </c>
      <c r="AO5" s="1339" t="s">
        <v>8483</v>
      </c>
      <c r="AP5" s="1339" t="s">
        <v>8484</v>
      </c>
      <c r="AQ5" s="1339" t="s">
        <v>8485</v>
      </c>
      <c r="AR5" s="983" t="s">
        <v>8486</v>
      </c>
      <c r="AS5" s="1339" t="s">
        <v>8487</v>
      </c>
      <c r="AT5" s="1339" t="s">
        <v>8488</v>
      </c>
      <c r="AU5" s="1340" t="s">
        <v>8489</v>
      </c>
      <c r="AV5" s="1339" t="s">
        <v>8490</v>
      </c>
      <c r="AW5" s="983" t="s">
        <v>8491</v>
      </c>
      <c r="AX5" s="1339" t="s">
        <v>8492</v>
      </c>
      <c r="AY5" s="1339" t="s">
        <v>8493</v>
      </c>
      <c r="AZ5" s="1342" t="s">
        <v>1634</v>
      </c>
      <c r="BA5" s="1339" t="s">
        <v>6694</v>
      </c>
      <c r="BB5" s="983" t="s">
        <v>8494</v>
      </c>
      <c r="BC5" s="1339" t="s">
        <v>8495</v>
      </c>
      <c r="BD5" s="1340" t="s">
        <v>4667</v>
      </c>
      <c r="BE5" s="980"/>
      <c r="BF5" s="1339" t="s">
        <v>8496</v>
      </c>
      <c r="BG5" s="1334" t="s">
        <v>8497</v>
      </c>
      <c r="BH5" s="1339" t="s">
        <v>8498</v>
      </c>
      <c r="BI5" s="1342" t="s">
        <v>8499</v>
      </c>
      <c r="BJ5" s="1334" t="s">
        <v>8391</v>
      </c>
      <c r="BK5" s="980"/>
      <c r="BL5" s="1334" t="s">
        <v>8500</v>
      </c>
      <c r="BM5" s="1342" t="s">
        <v>8501</v>
      </c>
      <c r="BN5" s="980"/>
      <c r="BO5" s="1334" t="s">
        <v>8502</v>
      </c>
      <c r="BP5" s="980"/>
      <c r="BQ5" s="980" t="s">
        <v>8503</v>
      </c>
      <c r="BR5" s="981"/>
      <c r="BS5" s="980" t="s">
        <v>8504</v>
      </c>
      <c r="BT5" s="981"/>
      <c r="BU5" s="980" t="s">
        <v>8505</v>
      </c>
      <c r="BV5" s="981"/>
      <c r="BW5" s="1333"/>
      <c r="BX5" s="1342" t="s">
        <v>3963</v>
      </c>
      <c r="BY5" s="981"/>
      <c r="BZ5" s="981"/>
      <c r="CA5" s="1342" t="s">
        <v>3487</v>
      </c>
      <c r="CB5" s="1340" t="s">
        <v>257</v>
      </c>
      <c r="CC5" s="983" t="s">
        <v>1607</v>
      </c>
      <c r="CD5" s="1342"/>
      <c r="CE5" s="980" t="s">
        <v>8506</v>
      </c>
      <c r="CF5" s="980" t="s">
        <v>8507</v>
      </c>
      <c r="CG5" s="980"/>
      <c r="CH5" s="980"/>
      <c r="CI5" s="980"/>
      <c r="CJ5" s="980"/>
      <c r="CK5" s="980"/>
      <c r="CL5" s="980"/>
      <c r="CM5" s="980"/>
      <c r="CN5" s="1340" t="s">
        <v>8508</v>
      </c>
      <c r="CO5" s="1334" t="s">
        <v>8509</v>
      </c>
      <c r="CP5" s="1340" t="s">
        <v>8510</v>
      </c>
      <c r="CQ5" s="980" t="s">
        <v>8511</v>
      </c>
      <c r="CR5" s="980"/>
      <c r="CS5" s="980"/>
      <c r="CT5" s="1342" t="s">
        <v>8512</v>
      </c>
      <c r="CU5" s="980"/>
    </row>
    <row r="6">
      <c r="A6" s="1394" t="s">
        <v>7013</v>
      </c>
      <c r="B6" s="788" t="s">
        <v>7039</v>
      </c>
      <c r="C6" s="784" t="s">
        <v>437</v>
      </c>
      <c r="D6" s="785" t="s">
        <v>437</v>
      </c>
      <c r="E6" s="786" t="s">
        <v>437</v>
      </c>
      <c r="F6" s="787" t="s">
        <v>6276</v>
      </c>
      <c r="G6" s="788" t="s">
        <v>3571</v>
      </c>
      <c r="H6" s="1395" t="s">
        <v>8513</v>
      </c>
      <c r="I6" s="1395" t="s">
        <v>8514</v>
      </c>
      <c r="J6" s="981"/>
      <c r="K6" s="980" t="s">
        <v>8515</v>
      </c>
      <c r="L6" s="981"/>
      <c r="M6" s="983" t="s">
        <v>8516</v>
      </c>
      <c r="N6" s="981"/>
      <c r="O6" s="983" t="s">
        <v>8517</v>
      </c>
      <c r="P6" s="983" t="s">
        <v>8518</v>
      </c>
      <c r="Q6" s="981"/>
      <c r="R6" s="983" t="s">
        <v>8519</v>
      </c>
      <c r="S6" s="981"/>
      <c r="T6" s="980" t="s">
        <v>8520</v>
      </c>
      <c r="U6" s="983" t="s">
        <v>7045</v>
      </c>
      <c r="V6" s="1334" t="s">
        <v>8521</v>
      </c>
      <c r="W6" s="983" t="s">
        <v>1293</v>
      </c>
      <c r="X6" s="983" t="s">
        <v>1635</v>
      </c>
      <c r="Y6" s="983" t="s">
        <v>1581</v>
      </c>
      <c r="Z6" s="1340" t="s">
        <v>5364</v>
      </c>
      <c r="AA6" s="1329"/>
      <c r="AB6" s="1396" t="s">
        <v>8522</v>
      </c>
      <c r="AC6" s="983" t="s">
        <v>3413</v>
      </c>
      <c r="AD6" s="983" t="s">
        <v>4720</v>
      </c>
      <c r="AE6" s="1329"/>
      <c r="AF6" s="1339" t="s">
        <v>7356</v>
      </c>
      <c r="AG6" s="981"/>
      <c r="AH6" s="983" t="s">
        <v>8523</v>
      </c>
      <c r="AI6" s="1340" t="s">
        <v>5048</v>
      </c>
      <c r="AJ6" s="981"/>
      <c r="AK6" s="983" t="s">
        <v>8524</v>
      </c>
      <c r="AL6" s="981"/>
      <c r="AM6" s="983" t="s">
        <v>8525</v>
      </c>
      <c r="AN6" s="980" t="s">
        <v>8526</v>
      </c>
      <c r="AO6" s="980" t="s">
        <v>8527</v>
      </c>
      <c r="AP6" s="983" t="s">
        <v>8528</v>
      </c>
      <c r="AQ6" s="981"/>
      <c r="AR6" s="980" t="s">
        <v>8529</v>
      </c>
      <c r="AS6" s="981"/>
      <c r="AT6" s="983" t="s">
        <v>8530</v>
      </c>
      <c r="AU6" s="983" t="s">
        <v>8531</v>
      </c>
      <c r="AV6" s="981"/>
      <c r="AW6" s="983" t="s">
        <v>8532</v>
      </c>
      <c r="AX6" s="981"/>
      <c r="AY6" s="981"/>
      <c r="AZ6" s="983" t="s">
        <v>1574</v>
      </c>
      <c r="BA6" s="983" t="s">
        <v>5307</v>
      </c>
      <c r="BB6" s="983" t="s">
        <v>8533</v>
      </c>
      <c r="BC6" s="983" t="s">
        <v>8534</v>
      </c>
      <c r="BD6" s="983" t="s">
        <v>8535</v>
      </c>
      <c r="BE6" s="981"/>
      <c r="BF6" s="981"/>
      <c r="BG6" s="981"/>
      <c r="BH6" s="981"/>
      <c r="BI6" s="981"/>
      <c r="BJ6" s="981"/>
      <c r="BK6" s="981"/>
      <c r="BL6" s="981"/>
      <c r="BM6" s="981"/>
      <c r="BN6" s="981"/>
      <c r="BO6" s="981"/>
      <c r="BP6" s="981"/>
      <c r="BQ6" s="981"/>
      <c r="BR6" s="981"/>
      <c r="BS6" s="981"/>
      <c r="BT6" s="981"/>
      <c r="BU6" s="981"/>
      <c r="BV6" s="981"/>
      <c r="BW6" s="1334" t="s">
        <v>5386</v>
      </c>
      <c r="BX6" s="983" t="s">
        <v>1733</v>
      </c>
      <c r="BY6" s="981"/>
      <c r="BZ6" s="981"/>
      <c r="CA6" s="1333"/>
      <c r="CB6" s="981"/>
      <c r="CC6" s="981"/>
      <c r="CD6" s="1333"/>
      <c r="CE6" s="981"/>
      <c r="CF6" s="981"/>
      <c r="CG6" s="981"/>
      <c r="CH6" s="981"/>
      <c r="CI6" s="981"/>
      <c r="CJ6" s="981"/>
      <c r="CK6" s="981"/>
      <c r="CL6" s="981"/>
      <c r="CM6" s="981"/>
      <c r="CN6" s="981"/>
      <c r="CO6" s="981"/>
      <c r="CP6" s="981"/>
      <c r="CQ6" s="981"/>
      <c r="CR6" s="981"/>
      <c r="CS6" s="981"/>
      <c r="CT6" s="981"/>
      <c r="CU6" s="981"/>
    </row>
    <row r="7">
      <c r="A7" s="1397" t="s">
        <v>7129</v>
      </c>
      <c r="B7" s="788" t="s">
        <v>8536</v>
      </c>
      <c r="C7" s="784" t="s">
        <v>546</v>
      </c>
      <c r="D7" s="785" t="s">
        <v>332</v>
      </c>
      <c r="E7" s="786" t="s">
        <v>437</v>
      </c>
      <c r="F7" s="787" t="s">
        <v>1196</v>
      </c>
      <c r="G7" s="788" t="s">
        <v>5686</v>
      </c>
      <c r="H7" s="980" t="s">
        <v>8537</v>
      </c>
      <c r="I7" s="980" t="s">
        <v>7306</v>
      </c>
      <c r="J7" s="980"/>
      <c r="K7" s="1340" t="s">
        <v>8538</v>
      </c>
      <c r="L7" s="1340" t="s">
        <v>8539</v>
      </c>
      <c r="M7" s="980"/>
      <c r="N7" s="980"/>
      <c r="O7" s="983" t="s">
        <v>8540</v>
      </c>
      <c r="P7" s="980" t="s">
        <v>8541</v>
      </c>
      <c r="Q7" s="980" t="s">
        <v>8542</v>
      </c>
      <c r="R7" s="1334" t="s">
        <v>8543</v>
      </c>
      <c r="S7" s="980"/>
      <c r="T7" s="983" t="s">
        <v>8544</v>
      </c>
      <c r="U7" s="1339" t="s">
        <v>8545</v>
      </c>
      <c r="V7" s="980"/>
      <c r="W7" s="980" t="s">
        <v>7519</v>
      </c>
      <c r="X7" s="980"/>
      <c r="Y7" s="980" t="s">
        <v>8546</v>
      </c>
      <c r="Z7" s="1339" t="s">
        <v>122</v>
      </c>
      <c r="AA7" s="1329"/>
      <c r="AB7" s="1329"/>
      <c r="AC7" s="980" t="s">
        <v>8547</v>
      </c>
      <c r="AD7" s="981"/>
      <c r="AE7" s="980"/>
      <c r="AF7" s="980" t="s">
        <v>8548</v>
      </c>
      <c r="AG7" s="980"/>
      <c r="AH7" s="980" t="s">
        <v>2553</v>
      </c>
      <c r="AI7" s="980" t="s">
        <v>1893</v>
      </c>
      <c r="AJ7" s="981"/>
      <c r="AK7" s="980"/>
      <c r="AL7" s="980"/>
      <c r="AM7" s="980" t="s">
        <v>8549</v>
      </c>
      <c r="AN7" s="981"/>
      <c r="AO7" s="981"/>
      <c r="AP7" s="980" t="s">
        <v>8550</v>
      </c>
      <c r="AQ7" s="983" t="s">
        <v>8551</v>
      </c>
      <c r="AR7" s="980" t="s">
        <v>8552</v>
      </c>
      <c r="AS7" s="980"/>
      <c r="AT7" s="980" t="s">
        <v>8553</v>
      </c>
      <c r="AU7" s="983" t="s">
        <v>8554</v>
      </c>
      <c r="AV7" s="980"/>
      <c r="AW7" s="1380" t="s">
        <v>8555</v>
      </c>
      <c r="AX7" s="113"/>
      <c r="AY7" s="113" t="s">
        <v>8556</v>
      </c>
      <c r="AZ7" s="980" t="s">
        <v>3098</v>
      </c>
      <c r="BA7" s="980"/>
      <c r="BB7" s="980" t="s">
        <v>8535</v>
      </c>
      <c r="BC7" s="1340" t="s">
        <v>8557</v>
      </c>
      <c r="BD7" s="980" t="s">
        <v>8558</v>
      </c>
      <c r="BE7" s="980"/>
      <c r="BF7" s="980"/>
      <c r="BG7" s="980" t="s">
        <v>8559</v>
      </c>
      <c r="BH7" s="980"/>
      <c r="BI7" s="980"/>
      <c r="BJ7" s="980"/>
      <c r="BK7" s="980" t="s">
        <v>8560</v>
      </c>
      <c r="BL7" s="980"/>
      <c r="BM7" s="980"/>
      <c r="BN7" s="980"/>
      <c r="BO7" s="980"/>
      <c r="BP7" s="980" t="s">
        <v>8561</v>
      </c>
      <c r="BQ7" s="981"/>
      <c r="BR7" s="981"/>
      <c r="BS7" s="981"/>
      <c r="BT7" s="981"/>
      <c r="BU7" s="981"/>
      <c r="BV7" s="980"/>
      <c r="BW7" s="980" t="s">
        <v>7786</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8" t="s">
        <v>4924</v>
      </c>
      <c r="B8" s="788" t="s">
        <v>8562</v>
      </c>
      <c r="C8" s="784" t="s">
        <v>546</v>
      </c>
      <c r="D8" s="785" t="s">
        <v>332</v>
      </c>
      <c r="E8" s="786" t="s">
        <v>438</v>
      </c>
      <c r="F8" s="787" t="s">
        <v>4111</v>
      </c>
      <c r="G8" s="788" t="s">
        <v>1811</v>
      </c>
      <c r="H8" s="1399"/>
      <c r="I8" s="1395" t="s">
        <v>8563</v>
      </c>
      <c r="J8" s="981"/>
      <c r="K8" s="983" t="s">
        <v>8564</v>
      </c>
      <c r="L8" s="980" t="s">
        <v>8565</v>
      </c>
      <c r="M8" s="1019" t="s">
        <v>8566</v>
      </c>
      <c r="N8" s="981"/>
      <c r="O8" s="983" t="s">
        <v>8567</v>
      </c>
      <c r="P8" s="983" t="s">
        <v>8568</v>
      </c>
      <c r="Q8" s="981"/>
      <c r="R8" s="1339" t="s">
        <v>8569</v>
      </c>
      <c r="S8" s="983" t="s">
        <v>8570</v>
      </c>
      <c r="T8" s="981"/>
      <c r="U8" s="983" t="s">
        <v>8571</v>
      </c>
      <c r="V8" s="1329"/>
      <c r="W8" s="980" t="s">
        <v>5128</v>
      </c>
      <c r="X8" s="983" t="s">
        <v>8572</v>
      </c>
      <c r="Y8" s="983" t="s">
        <v>3038</v>
      </c>
      <c r="Z8" s="981"/>
      <c r="AA8" s="981"/>
      <c r="AB8" s="981"/>
      <c r="AC8" s="983" t="s">
        <v>4152</v>
      </c>
      <c r="AD8" s="1019" t="s">
        <v>4274</v>
      </c>
      <c r="AE8" s="981"/>
      <c r="AF8" s="981"/>
      <c r="AG8" s="1334" t="s">
        <v>8573</v>
      </c>
      <c r="AH8" s="1342" t="s">
        <v>5415</v>
      </c>
      <c r="AI8" s="1339" t="s">
        <v>1295</v>
      </c>
      <c r="AJ8" s="981"/>
      <c r="AK8" s="1342" t="s">
        <v>4829</v>
      </c>
      <c r="AL8" s="980"/>
      <c r="AM8" s="983" t="s">
        <v>8574</v>
      </c>
      <c r="AN8" s="981"/>
      <c r="AO8" s="981"/>
      <c r="AP8" s="983" t="s">
        <v>8575</v>
      </c>
      <c r="AQ8" s="983" t="s">
        <v>8550</v>
      </c>
      <c r="AR8" s="983" t="s">
        <v>8576</v>
      </c>
      <c r="AS8" s="980" t="s">
        <v>8577</v>
      </c>
      <c r="AT8" s="983" t="s">
        <v>8578</v>
      </c>
      <c r="AU8" s="983" t="s">
        <v>8579</v>
      </c>
      <c r="AV8" s="981"/>
      <c r="AW8" s="980" t="s">
        <v>8574</v>
      </c>
      <c r="AX8" s="981"/>
      <c r="AY8" s="981"/>
      <c r="AZ8" s="1339" t="s">
        <v>8580</v>
      </c>
      <c r="BA8" s="1329"/>
      <c r="BB8" s="983" t="s">
        <v>8581</v>
      </c>
      <c r="BC8" s="983" t="s">
        <v>8582</v>
      </c>
      <c r="BD8" s="1339" t="s">
        <v>8583</v>
      </c>
      <c r="BE8" s="981"/>
      <c r="BF8" s="981"/>
      <c r="BG8" s="917"/>
      <c r="BH8" s="917"/>
      <c r="BI8" s="917"/>
      <c r="BJ8" s="917"/>
      <c r="BK8" s="917"/>
      <c r="BL8" s="917"/>
      <c r="BM8" s="917"/>
      <c r="BN8" s="917"/>
      <c r="BO8" s="917"/>
      <c r="BP8" s="917"/>
      <c r="BQ8" s="981"/>
      <c r="BR8" s="981"/>
      <c r="BS8" s="981"/>
      <c r="BT8" s="981"/>
      <c r="BU8" s="981"/>
      <c r="BV8" s="981"/>
      <c r="BW8" s="1333"/>
      <c r="BX8" s="981"/>
      <c r="BY8" s="981"/>
      <c r="BZ8" s="981"/>
      <c r="CA8" s="1333"/>
      <c r="CB8" s="981"/>
      <c r="CC8" s="981"/>
      <c r="CD8" s="1333"/>
      <c r="CE8" s="1390" t="s">
        <v>8584</v>
      </c>
      <c r="CF8" s="1391" t="s">
        <v>8585</v>
      </c>
      <c r="CG8" s="1391" t="s">
        <v>8586</v>
      </c>
      <c r="CH8" s="1389"/>
      <c r="CI8" s="1389"/>
      <c r="CJ8" s="1390" t="s">
        <v>8587</v>
      </c>
      <c r="CK8" s="1389"/>
      <c r="CL8" s="1390" t="s">
        <v>4111</v>
      </c>
      <c r="CM8" s="1389"/>
      <c r="CN8" s="1400" t="s">
        <v>6245</v>
      </c>
      <c r="CO8" s="1389"/>
      <c r="CP8" s="1389"/>
      <c r="CQ8" s="1389"/>
      <c r="CR8" s="1390" t="s">
        <v>6996</v>
      </c>
      <c r="CS8" s="1389"/>
      <c r="CT8" s="981"/>
      <c r="CU8" s="981"/>
    </row>
    <row r="9">
      <c r="A9" s="1401" t="s">
        <v>8588</v>
      </c>
      <c r="B9" s="788" t="s">
        <v>6403</v>
      </c>
      <c r="C9" s="784" t="s">
        <v>1256</v>
      </c>
      <c r="D9" s="785" t="s">
        <v>437</v>
      </c>
      <c r="E9" s="786" t="s">
        <v>438</v>
      </c>
      <c r="F9" s="787" t="s">
        <v>222</v>
      </c>
      <c r="G9" s="788" t="s">
        <v>6996</v>
      </c>
      <c r="H9" s="983" t="s">
        <v>8589</v>
      </c>
      <c r="I9" s="983" t="s">
        <v>8590</v>
      </c>
      <c r="J9" s="1329"/>
      <c r="K9" s="981"/>
      <c r="L9" s="981"/>
      <c r="M9" s="981"/>
      <c r="N9" s="981"/>
      <c r="O9" s="981"/>
      <c r="P9" s="980" t="s">
        <v>8591</v>
      </c>
      <c r="Q9" s="981"/>
      <c r="R9" s="983" t="s">
        <v>8592</v>
      </c>
      <c r="S9" s="981"/>
      <c r="T9" s="981"/>
      <c r="U9" s="1402" t="s">
        <v>8593</v>
      </c>
      <c r="V9" s="1329"/>
      <c r="W9" s="1403" t="s">
        <v>782</v>
      </c>
      <c r="X9" s="1351" t="s">
        <v>3773</v>
      </c>
      <c r="Y9" s="1404" t="s">
        <v>5045</v>
      </c>
      <c r="Z9" s="1329"/>
      <c r="AA9" s="1329" t="s">
        <v>8594</v>
      </c>
      <c r="AB9" s="1329"/>
      <c r="AC9" s="1339" t="s">
        <v>8595</v>
      </c>
      <c r="AD9" s="983" t="s">
        <v>817</v>
      </c>
      <c r="AE9" s="1329"/>
      <c r="AF9" s="1329"/>
      <c r="AG9" s="1329"/>
      <c r="AH9" s="981"/>
      <c r="AI9" s="981"/>
      <c r="AJ9" s="981"/>
      <c r="AK9" s="1342" t="s">
        <v>325</v>
      </c>
      <c r="AL9" s="980"/>
      <c r="AM9" s="1339" t="s">
        <v>8596</v>
      </c>
      <c r="AN9" s="1342" t="s">
        <v>8574</v>
      </c>
      <c r="AO9" s="981"/>
      <c r="AP9" s="983" t="s">
        <v>8597</v>
      </c>
      <c r="AQ9" s="1329"/>
      <c r="AR9" s="981"/>
      <c r="AS9" s="981"/>
      <c r="AT9" s="983" t="s">
        <v>8598</v>
      </c>
      <c r="AU9" s="980"/>
      <c r="AV9" s="980"/>
      <c r="AW9" s="983" t="s">
        <v>8599</v>
      </c>
      <c r="AX9" s="981"/>
      <c r="AY9" s="981"/>
      <c r="AZ9" s="981"/>
      <c r="BA9" s="981"/>
      <c r="BB9" s="983" t="s">
        <v>8600</v>
      </c>
      <c r="BC9" s="1342" t="s">
        <v>8601</v>
      </c>
      <c r="BD9" s="981"/>
      <c r="BE9" s="981"/>
      <c r="BF9" s="981"/>
      <c r="BG9" s="917"/>
      <c r="BH9" s="879" t="s">
        <v>8602</v>
      </c>
      <c r="BI9" s="917"/>
      <c r="BJ9" s="917"/>
      <c r="BK9" s="917"/>
      <c r="BL9" s="917"/>
      <c r="BM9" s="917"/>
      <c r="BN9" s="917"/>
      <c r="BO9" s="917"/>
      <c r="BP9" s="917"/>
      <c r="BQ9" s="981"/>
      <c r="BR9" s="981"/>
      <c r="BS9" s="1339" t="s">
        <v>8603</v>
      </c>
      <c r="BT9" s="981"/>
      <c r="BU9" s="981"/>
      <c r="BV9" s="1405" t="s">
        <v>1133</v>
      </c>
      <c r="BW9" s="1339" t="s">
        <v>3637</v>
      </c>
      <c r="BX9" s="1340" t="s">
        <v>2316</v>
      </c>
      <c r="BY9" s="1402" t="s">
        <v>3275</v>
      </c>
      <c r="BZ9" s="1329"/>
      <c r="CA9" s="1340" t="s">
        <v>2043</v>
      </c>
      <c r="CB9" s="1402" t="s">
        <v>2855</v>
      </c>
      <c r="CC9" s="1396" t="s">
        <v>3510</v>
      </c>
      <c r="CD9" s="1344"/>
      <c r="CE9" s="1389"/>
      <c r="CF9" s="1389"/>
      <c r="CG9" s="1389"/>
      <c r="CH9" s="1389"/>
      <c r="CI9" s="1389"/>
      <c r="CJ9" s="1389"/>
      <c r="CK9" s="1389"/>
      <c r="CL9" s="1389"/>
      <c r="CM9" s="1391" t="s">
        <v>2154</v>
      </c>
      <c r="CN9" s="1389"/>
      <c r="CO9" s="1389"/>
      <c r="CP9" s="1389"/>
      <c r="CQ9" s="1406" t="s">
        <v>8604</v>
      </c>
      <c r="CR9" s="1389"/>
      <c r="CS9" s="1389"/>
      <c r="CT9" s="1329"/>
      <c r="CU9" s="1329"/>
    </row>
    <row r="10">
      <c r="A10" s="1407" t="s">
        <v>8605</v>
      </c>
      <c r="B10" s="788" t="s">
        <v>8606</v>
      </c>
      <c r="C10" s="784" t="s">
        <v>1256</v>
      </c>
      <c r="D10" s="785" t="s">
        <v>437</v>
      </c>
      <c r="E10" s="786" t="s">
        <v>647</v>
      </c>
      <c r="F10" s="787" t="s">
        <v>4111</v>
      </c>
      <c r="G10" s="788" t="s">
        <v>2994</v>
      </c>
      <c r="H10" s="1395" t="s">
        <v>8607</v>
      </c>
      <c r="I10" s="1395" t="s">
        <v>8608</v>
      </c>
      <c r="J10" s="981"/>
      <c r="K10" s="983" t="s">
        <v>8609</v>
      </c>
      <c r="L10" s="983" t="s">
        <v>8610</v>
      </c>
      <c r="M10" s="981"/>
      <c r="N10" s="981"/>
      <c r="O10" s="983" t="s">
        <v>8611</v>
      </c>
      <c r="P10" s="983" t="s">
        <v>8612</v>
      </c>
      <c r="Q10" s="1339" t="s">
        <v>5113</v>
      </c>
      <c r="R10" s="983" t="s">
        <v>8613</v>
      </c>
      <c r="S10" s="983" t="s">
        <v>8614</v>
      </c>
      <c r="T10" s="983" t="s">
        <v>8615</v>
      </c>
      <c r="U10" s="983" t="s">
        <v>6050</v>
      </c>
      <c r="V10" s="981"/>
      <c r="W10" s="981"/>
      <c r="X10" s="983" t="s">
        <v>147</v>
      </c>
      <c r="Y10" s="1019" t="s">
        <v>2258</v>
      </c>
      <c r="Z10" s="981"/>
      <c r="AA10" s="983" t="s">
        <v>6144</v>
      </c>
      <c r="AB10" s="981"/>
      <c r="AC10" s="983" t="s">
        <v>2256</v>
      </c>
      <c r="AD10" s="983" t="s">
        <v>2298</v>
      </c>
      <c r="AE10" s="983" t="s">
        <v>1272</v>
      </c>
      <c r="AF10" s="981"/>
      <c r="AG10" s="981"/>
      <c r="AH10" s="981"/>
      <c r="AI10" s="981"/>
      <c r="AJ10" s="981"/>
      <c r="AK10" s="981"/>
      <c r="AL10" s="981"/>
      <c r="AM10" s="980" t="s">
        <v>8616</v>
      </c>
      <c r="AN10" s="1340" t="s">
        <v>8617</v>
      </c>
      <c r="AO10" s="981"/>
      <c r="AP10" s="1187" t="s">
        <v>8616</v>
      </c>
      <c r="AQ10" s="983" t="s">
        <v>8618</v>
      </c>
      <c r="AR10" s="983" t="s">
        <v>8619</v>
      </c>
      <c r="AS10" s="981"/>
      <c r="AT10" s="983" t="s">
        <v>8620</v>
      </c>
      <c r="AU10" s="983" t="s">
        <v>8621</v>
      </c>
      <c r="AV10" s="983" t="s">
        <v>8622</v>
      </c>
      <c r="AW10" s="983" t="s">
        <v>8623</v>
      </c>
      <c r="AX10" s="983" t="s">
        <v>8624</v>
      </c>
      <c r="AY10" s="981"/>
      <c r="AZ10" s="981"/>
      <c r="BA10" s="981"/>
      <c r="BB10" s="983" t="s">
        <v>8621</v>
      </c>
      <c r="BC10" s="981"/>
      <c r="BD10" s="983" t="s">
        <v>8625</v>
      </c>
      <c r="BE10" s="1340" t="s">
        <v>8626</v>
      </c>
      <c r="BF10" s="981"/>
      <c r="BG10" s="1408" t="s">
        <v>8627</v>
      </c>
      <c r="BH10" s="1409"/>
      <c r="BI10" s="1409"/>
      <c r="BJ10" s="1409"/>
      <c r="BK10" s="1409"/>
      <c r="BL10" s="1409"/>
      <c r="BM10" s="1409"/>
      <c r="BN10" s="1409"/>
      <c r="BO10" s="1409"/>
      <c r="BP10" s="1409"/>
      <c r="BQ10" s="981"/>
      <c r="BR10" s="981"/>
      <c r="BS10" s="981"/>
      <c r="BT10" s="981"/>
      <c r="BU10" s="981"/>
      <c r="BV10" s="981"/>
      <c r="BW10" s="1333"/>
      <c r="BX10" s="981"/>
      <c r="BY10" s="981"/>
      <c r="BZ10" s="981"/>
      <c r="CA10" s="1333"/>
      <c r="CB10" s="981"/>
      <c r="CC10" s="981"/>
      <c r="CD10" s="1333"/>
      <c r="CE10" s="1389"/>
      <c r="CF10" s="1389"/>
      <c r="CG10" s="1389"/>
      <c r="CH10" s="1389"/>
      <c r="CI10" s="1389"/>
      <c r="CJ10" s="1389"/>
      <c r="CK10" s="1389"/>
      <c r="CL10" s="1389"/>
      <c r="CM10" s="1389"/>
      <c r="CN10" s="1389"/>
      <c r="CO10" s="1389"/>
      <c r="CP10" s="1389"/>
      <c r="CQ10" s="1389"/>
      <c r="CR10" s="1389"/>
      <c r="CS10" s="1389"/>
      <c r="CT10" s="1339" t="s">
        <v>8628</v>
      </c>
      <c r="CU10" s="981"/>
    </row>
    <row r="11">
      <c r="A11" s="1410" t="s">
        <v>2992</v>
      </c>
      <c r="B11" s="788" t="s">
        <v>8629</v>
      </c>
      <c r="C11" s="784" t="s">
        <v>546</v>
      </c>
      <c r="D11" s="785" t="s">
        <v>437</v>
      </c>
      <c r="E11" s="786" t="s">
        <v>437</v>
      </c>
      <c r="F11" s="787" t="s">
        <v>1196</v>
      </c>
      <c r="G11" s="788" t="s">
        <v>1811</v>
      </c>
      <c r="H11" s="1399"/>
      <c r="I11" s="1399" t="s">
        <v>8630</v>
      </c>
      <c r="J11" s="981"/>
      <c r="K11" s="980" t="s">
        <v>8631</v>
      </c>
      <c r="L11" s="983" t="s">
        <v>8632</v>
      </c>
      <c r="M11" s="980" t="s">
        <v>8564</v>
      </c>
      <c r="N11" s="981"/>
      <c r="O11" s="980" t="s">
        <v>8633</v>
      </c>
      <c r="P11" s="980" t="s">
        <v>8634</v>
      </c>
      <c r="Q11" s="980" t="s">
        <v>8635</v>
      </c>
      <c r="R11" s="980" t="s">
        <v>8636</v>
      </c>
      <c r="S11" s="983" t="s">
        <v>3029</v>
      </c>
      <c r="T11" s="981"/>
      <c r="U11" s="980" t="s">
        <v>4002</v>
      </c>
      <c r="V11" s="981"/>
      <c r="W11" s="980" t="s">
        <v>5003</v>
      </c>
      <c r="X11" s="983" t="s">
        <v>3667</v>
      </c>
      <c r="Y11" s="983" t="s">
        <v>8637</v>
      </c>
      <c r="Z11" s="981"/>
      <c r="AA11" s="983" t="s">
        <v>5765</v>
      </c>
      <c r="AB11" s="981"/>
      <c r="AC11" s="980" t="s">
        <v>5903</v>
      </c>
      <c r="AD11" s="980" t="s">
        <v>2058</v>
      </c>
      <c r="AE11" s="980"/>
      <c r="AF11" s="980" t="s">
        <v>5712</v>
      </c>
      <c r="AG11" s="981"/>
      <c r="AH11" s="981"/>
      <c r="AI11" s="981"/>
      <c r="AJ11" s="981"/>
      <c r="AK11" s="981"/>
      <c r="AL11" s="981"/>
      <c r="AM11" s="983" t="s">
        <v>8638</v>
      </c>
      <c r="AN11" s="1340" t="s">
        <v>8617</v>
      </c>
      <c r="AO11" s="1340" t="s">
        <v>8639</v>
      </c>
      <c r="AP11" s="980" t="s">
        <v>8623</v>
      </c>
      <c r="AQ11" s="980" t="s">
        <v>8623</v>
      </c>
      <c r="AR11" s="1339" t="s">
        <v>8640</v>
      </c>
      <c r="AS11" s="980" t="s">
        <v>8385</v>
      </c>
      <c r="AT11" s="980"/>
      <c r="AU11" s="1339" t="s">
        <v>8641</v>
      </c>
      <c r="AV11" s="980" t="s">
        <v>8598</v>
      </c>
      <c r="AW11" s="980" t="s">
        <v>8642</v>
      </c>
      <c r="AX11" s="981"/>
      <c r="AY11" s="1334" t="s">
        <v>8643</v>
      </c>
      <c r="AZ11" s="980" t="s">
        <v>1634</v>
      </c>
      <c r="BA11" s="980"/>
      <c r="BB11" s="980" t="s">
        <v>8380</v>
      </c>
      <c r="BC11" s="1342" t="s">
        <v>8644</v>
      </c>
      <c r="BD11" s="1342" t="s">
        <v>8645</v>
      </c>
      <c r="BE11" s="980"/>
      <c r="BF11" s="980"/>
      <c r="BG11" s="917"/>
      <c r="BH11" s="917"/>
      <c r="BI11" s="917"/>
      <c r="BJ11" s="917"/>
      <c r="BK11" s="917"/>
      <c r="BL11" s="917"/>
      <c r="BM11" s="917"/>
      <c r="BN11" s="917"/>
      <c r="BO11" s="917"/>
      <c r="BP11" s="917"/>
      <c r="BQ11" s="981"/>
      <c r="BR11" s="981"/>
      <c r="BS11" s="981"/>
      <c r="BT11" s="981"/>
      <c r="BU11" s="981"/>
      <c r="BV11" s="1411" t="s">
        <v>1303</v>
      </c>
      <c r="BW11" s="1333"/>
      <c r="BX11" s="980" t="s">
        <v>1522</v>
      </c>
      <c r="BY11" s="980" t="s">
        <v>3553</v>
      </c>
      <c r="BZ11" s="981"/>
      <c r="CA11" s="1333"/>
      <c r="CB11" s="980" t="s">
        <v>3644</v>
      </c>
      <c r="CC11" s="981"/>
      <c r="CD11" s="1333"/>
      <c r="CE11" s="1389"/>
      <c r="CF11" s="1389"/>
      <c r="CG11" s="1389"/>
      <c r="CH11" s="1389"/>
      <c r="CI11" s="1389"/>
      <c r="CJ11" s="1389"/>
      <c r="CK11" s="1389"/>
      <c r="CL11" s="1389"/>
      <c r="CM11" s="1389"/>
      <c r="CN11" s="1389"/>
      <c r="CO11" s="1389"/>
      <c r="CP11" s="1389"/>
      <c r="CQ11" s="1389"/>
      <c r="CR11" s="1389"/>
      <c r="CS11" s="1392" t="s">
        <v>8646</v>
      </c>
      <c r="CT11" s="981"/>
      <c r="CU11" s="981"/>
    </row>
    <row r="12">
      <c r="A12" s="1412" t="s">
        <v>3192</v>
      </c>
      <c r="B12" s="788" t="s">
        <v>8647</v>
      </c>
      <c r="C12" s="784" t="s">
        <v>1256</v>
      </c>
      <c r="D12" s="785" t="s">
        <v>1256</v>
      </c>
      <c r="E12" s="786" t="s">
        <v>546</v>
      </c>
      <c r="F12" s="787" t="s">
        <v>8337</v>
      </c>
      <c r="G12" s="788" t="s">
        <v>6276</v>
      </c>
      <c r="H12" s="1399"/>
      <c r="I12" s="1395" t="s">
        <v>8648</v>
      </c>
      <c r="J12" s="981"/>
      <c r="K12" s="983" t="s">
        <v>8649</v>
      </c>
      <c r="L12" s="983" t="s">
        <v>8650</v>
      </c>
      <c r="M12" s="983" t="s">
        <v>8651</v>
      </c>
      <c r="N12" s="981"/>
      <c r="O12" s="1019" t="s">
        <v>8652</v>
      </c>
      <c r="P12" s="983" t="s">
        <v>8653</v>
      </c>
      <c r="Q12" s="981"/>
      <c r="R12" s="983" t="s">
        <v>8654</v>
      </c>
      <c r="S12" s="983" t="s">
        <v>8655</v>
      </c>
      <c r="T12" s="980" t="s">
        <v>8656</v>
      </c>
      <c r="U12" s="983" t="s">
        <v>8657</v>
      </c>
      <c r="V12" s="981"/>
      <c r="W12" s="981"/>
      <c r="X12" s="1019" t="s">
        <v>8658</v>
      </c>
      <c r="Y12" s="983" t="s">
        <v>8659</v>
      </c>
      <c r="Z12" s="981"/>
      <c r="AA12" s="1019" t="s">
        <v>8660</v>
      </c>
      <c r="AB12" s="980" t="s">
        <v>8661</v>
      </c>
      <c r="AC12" s="983" t="s">
        <v>8662</v>
      </c>
      <c r="AD12" s="983" t="s">
        <v>8663</v>
      </c>
      <c r="AE12" s="983" t="s">
        <v>4533</v>
      </c>
      <c r="AF12" s="983" t="s">
        <v>8664</v>
      </c>
      <c r="AG12" s="981"/>
      <c r="AH12" s="981"/>
      <c r="AI12" s="981"/>
      <c r="AJ12" s="981"/>
      <c r="AK12" s="981"/>
      <c r="AL12" s="981"/>
      <c r="AM12" s="983" t="s">
        <v>8665</v>
      </c>
      <c r="AN12" s="983" t="s">
        <v>8666</v>
      </c>
      <c r="AO12" s="983" t="s">
        <v>8667</v>
      </c>
      <c r="AP12" s="981"/>
      <c r="AQ12" s="980" t="s">
        <v>8574</v>
      </c>
      <c r="AR12" s="983" t="s">
        <v>8668</v>
      </c>
      <c r="AS12" s="981"/>
      <c r="AT12" s="983" t="s">
        <v>8669</v>
      </c>
      <c r="AU12" s="983" t="s">
        <v>8670</v>
      </c>
      <c r="AV12" s="981"/>
      <c r="AW12" s="983" t="s">
        <v>8671</v>
      </c>
      <c r="AX12" s="981"/>
      <c r="AY12" s="981"/>
      <c r="AZ12" s="981"/>
      <c r="BA12" s="981"/>
      <c r="BB12" s="983" t="s">
        <v>8672</v>
      </c>
      <c r="BC12" s="983" t="s">
        <v>8673</v>
      </c>
      <c r="BD12" s="981"/>
      <c r="BE12" s="981"/>
      <c r="BF12" s="981"/>
      <c r="BG12" s="1409"/>
      <c r="BH12" s="1409"/>
      <c r="BI12" s="1409"/>
      <c r="BJ12" s="1409"/>
      <c r="BK12" s="1409"/>
      <c r="BL12" s="1408" t="s">
        <v>8674</v>
      </c>
      <c r="BM12" s="1409"/>
      <c r="BN12" s="1409"/>
      <c r="BO12" s="1409"/>
      <c r="BP12" s="1409"/>
      <c r="BQ12" s="981"/>
      <c r="BR12" s="981"/>
      <c r="BS12" s="981"/>
      <c r="BT12" s="981"/>
      <c r="BU12" s="981"/>
      <c r="BV12" s="983" t="s">
        <v>3200</v>
      </c>
      <c r="BW12" s="1333"/>
      <c r="BX12" s="981"/>
      <c r="BY12" s="981"/>
      <c r="BZ12" s="981"/>
      <c r="CA12" s="1333"/>
      <c r="CB12" s="981"/>
      <c r="CC12" s="981"/>
      <c r="CD12" s="1333"/>
      <c r="CE12" s="983" t="s">
        <v>8675</v>
      </c>
      <c r="CF12" s="981"/>
      <c r="CG12" s="981"/>
      <c r="CH12" s="981"/>
      <c r="CI12" s="981"/>
      <c r="CJ12" s="981"/>
      <c r="CK12" s="981"/>
      <c r="CL12" s="981"/>
      <c r="CM12" s="981"/>
      <c r="CN12" s="981"/>
      <c r="CO12" s="981"/>
      <c r="CP12" s="981"/>
      <c r="CQ12" s="981"/>
      <c r="CR12" s="981"/>
      <c r="CS12" s="981"/>
      <c r="CT12" s="981"/>
      <c r="CU12" s="981"/>
    </row>
    <row r="13">
      <c r="A13" s="1397" t="s">
        <v>3901</v>
      </c>
      <c r="B13" s="788" t="s">
        <v>8676</v>
      </c>
      <c r="C13" s="784" t="s">
        <v>1256</v>
      </c>
      <c r="D13" s="785" t="s">
        <v>1256</v>
      </c>
      <c r="E13" s="786" t="s">
        <v>1256</v>
      </c>
      <c r="F13" s="787" t="s">
        <v>546</v>
      </c>
      <c r="G13" s="788" t="s">
        <v>2432</v>
      </c>
      <c r="H13" s="1399"/>
      <c r="I13" s="1399" t="s">
        <v>3910</v>
      </c>
      <c r="J13" s="980" t="s">
        <v>8677</v>
      </c>
      <c r="K13" s="980" t="s">
        <v>8678</v>
      </c>
      <c r="L13" s="980" t="s">
        <v>8679</v>
      </c>
      <c r="M13" s="980" t="s">
        <v>8680</v>
      </c>
      <c r="N13" s="980" t="s">
        <v>8681</v>
      </c>
      <c r="O13" s="980" t="s">
        <v>8682</v>
      </c>
      <c r="P13" s="980" t="s">
        <v>8683</v>
      </c>
      <c r="Q13" s="981"/>
      <c r="R13" s="1342" t="s">
        <v>8684</v>
      </c>
      <c r="S13" s="980" t="s">
        <v>8685</v>
      </c>
      <c r="T13" s="980" t="s">
        <v>8686</v>
      </c>
      <c r="U13" s="980" t="s">
        <v>8687</v>
      </c>
      <c r="V13" s="980" t="s">
        <v>4084</v>
      </c>
      <c r="W13" s="980" t="s">
        <v>5011</v>
      </c>
      <c r="X13" s="980" t="s">
        <v>8688</v>
      </c>
      <c r="Y13" s="980" t="s">
        <v>377</v>
      </c>
      <c r="Z13" s="1342" t="s">
        <v>3224</v>
      </c>
      <c r="AA13" s="980" t="s">
        <v>8689</v>
      </c>
      <c r="AB13" s="980"/>
      <c r="AC13" s="1342" t="s">
        <v>8690</v>
      </c>
      <c r="AD13" s="1342" t="s">
        <v>8691</v>
      </c>
      <c r="AE13" s="980" t="s">
        <v>5181</v>
      </c>
      <c r="AF13" s="980" t="s">
        <v>4091</v>
      </c>
      <c r="AG13" s="1342" t="s">
        <v>8692</v>
      </c>
      <c r="AH13" s="981"/>
      <c r="AI13" s="981"/>
      <c r="AJ13" s="981"/>
      <c r="AK13" s="981"/>
      <c r="AL13" s="980" t="s">
        <v>5621</v>
      </c>
      <c r="AM13" s="1342" t="s">
        <v>8693</v>
      </c>
      <c r="AN13" s="1342" t="s">
        <v>8694</v>
      </c>
      <c r="AO13" s="981"/>
      <c r="AP13" s="980" t="s">
        <v>8695</v>
      </c>
      <c r="AQ13" s="980" t="s">
        <v>8616</v>
      </c>
      <c r="AR13" s="1342" t="s">
        <v>8696</v>
      </c>
      <c r="AS13" s="980" t="s">
        <v>8697</v>
      </c>
      <c r="AT13" s="980" t="s">
        <v>8698</v>
      </c>
      <c r="AU13" s="980" t="s">
        <v>8450</v>
      </c>
      <c r="AV13" s="113" t="s">
        <v>8699</v>
      </c>
      <c r="AW13" s="980" t="s">
        <v>8700</v>
      </c>
      <c r="AX13" s="980" t="s">
        <v>8701</v>
      </c>
      <c r="AY13" s="981"/>
      <c r="AZ13" s="1342" t="s">
        <v>4947</v>
      </c>
      <c r="BA13" s="980"/>
      <c r="BB13" s="1342" t="s">
        <v>8702</v>
      </c>
      <c r="BC13" s="1342" t="s">
        <v>8703</v>
      </c>
      <c r="BD13" s="980" t="s">
        <v>8704</v>
      </c>
      <c r="BE13" s="980"/>
      <c r="BF13" s="981"/>
      <c r="BG13" s="1409"/>
      <c r="BH13" s="1409"/>
      <c r="BI13" s="1409"/>
      <c r="BJ13" s="1409"/>
      <c r="BK13" s="1409"/>
      <c r="BL13" s="1409"/>
      <c r="BM13" s="1409"/>
      <c r="BN13" s="1409"/>
      <c r="BO13" s="1409"/>
      <c r="BP13" s="1409"/>
      <c r="BQ13" s="981"/>
      <c r="BR13" s="981"/>
      <c r="BS13" s="981"/>
      <c r="BT13" s="981"/>
      <c r="BU13" s="981"/>
      <c r="BV13" s="980" t="s">
        <v>4207</v>
      </c>
      <c r="BW13" s="1333"/>
      <c r="BX13" s="980" t="s">
        <v>4538</v>
      </c>
      <c r="BY13" s="980" t="s">
        <v>5442</v>
      </c>
      <c r="BZ13" s="981"/>
      <c r="CA13" s="1333"/>
      <c r="CB13" s="980" t="s">
        <v>1754</v>
      </c>
      <c r="CC13" s="981"/>
      <c r="CD13" s="1333"/>
      <c r="CE13" s="1389"/>
      <c r="CF13" s="980" t="s">
        <v>8644</v>
      </c>
      <c r="CG13" s="981"/>
      <c r="CH13" s="1389"/>
      <c r="CI13" s="1406" t="s">
        <v>8511</v>
      </c>
      <c r="CJ13" s="1392" t="s">
        <v>8585</v>
      </c>
      <c r="CK13" s="1392"/>
      <c r="CL13" s="1400" t="s">
        <v>6276</v>
      </c>
      <c r="CM13" s="1392" t="s">
        <v>8705</v>
      </c>
      <c r="CN13" s="1392" t="s">
        <v>6245</v>
      </c>
      <c r="CO13" s="1392" t="s">
        <v>5863</v>
      </c>
      <c r="CP13" s="1392" t="s">
        <v>8706</v>
      </c>
      <c r="CQ13" s="1392" t="s">
        <v>8707</v>
      </c>
      <c r="CR13" s="1389"/>
      <c r="CS13" s="1389"/>
      <c r="CT13" s="981"/>
      <c r="CU13" s="981"/>
    </row>
    <row r="14">
      <c r="A14" s="1413" t="s">
        <v>2189</v>
      </c>
      <c r="B14" s="788" t="s">
        <v>8708</v>
      </c>
      <c r="C14" s="784" t="s">
        <v>1256</v>
      </c>
      <c r="D14" s="785" t="s">
        <v>1256</v>
      </c>
      <c r="E14" s="786" t="s">
        <v>546</v>
      </c>
      <c r="F14" s="787" t="s">
        <v>332</v>
      </c>
      <c r="G14" s="788" t="s">
        <v>4628</v>
      </c>
      <c r="H14" s="1399" t="s">
        <v>8709</v>
      </c>
      <c r="I14" s="1395" t="s">
        <v>2201</v>
      </c>
      <c r="J14" s="980" t="s">
        <v>8710</v>
      </c>
      <c r="K14" s="980" t="s">
        <v>8711</v>
      </c>
      <c r="L14" s="980" t="s">
        <v>8712</v>
      </c>
      <c r="M14" s="980" t="s">
        <v>8713</v>
      </c>
      <c r="N14" s="980" t="s">
        <v>8714</v>
      </c>
      <c r="O14" s="980" t="s">
        <v>8715</v>
      </c>
      <c r="P14" s="980" t="s">
        <v>8716</v>
      </c>
      <c r="Q14" s="980" t="s">
        <v>8717</v>
      </c>
      <c r="R14" s="980" t="s">
        <v>8718</v>
      </c>
      <c r="S14" s="983" t="s">
        <v>8719</v>
      </c>
      <c r="T14" s="980" t="s">
        <v>8720</v>
      </c>
      <c r="U14" s="980" t="s">
        <v>8721</v>
      </c>
      <c r="V14" s="983" t="s">
        <v>8722</v>
      </c>
      <c r="W14" s="980" t="s">
        <v>2758</v>
      </c>
      <c r="X14" s="980" t="s">
        <v>8723</v>
      </c>
      <c r="Y14" s="1342" t="s">
        <v>2058</v>
      </c>
      <c r="Z14" s="981"/>
      <c r="AA14" s="981"/>
      <c r="AB14" s="981"/>
      <c r="AC14" s="1342" t="s">
        <v>8724</v>
      </c>
      <c r="AD14" s="1342" t="s">
        <v>5252</v>
      </c>
      <c r="AE14" s="1339" t="s">
        <v>2529</v>
      </c>
      <c r="AF14" s="1342" t="s">
        <v>8725</v>
      </c>
      <c r="AG14" s="980" t="s">
        <v>8726</v>
      </c>
      <c r="AH14" s="981"/>
      <c r="AI14" s="981"/>
      <c r="AJ14" s="981"/>
      <c r="AK14" s="980" t="s">
        <v>8727</v>
      </c>
      <c r="AL14" s="980" t="s">
        <v>2925</v>
      </c>
      <c r="AM14" s="981"/>
      <c r="AN14" s="981"/>
      <c r="AO14" s="981"/>
      <c r="AP14" s="981"/>
      <c r="AQ14" s="981"/>
      <c r="AR14" s="981"/>
      <c r="AS14" s="981"/>
      <c r="AT14" s="980" t="s">
        <v>8728</v>
      </c>
      <c r="AU14" s="980" t="s">
        <v>8380</v>
      </c>
      <c r="AV14" s="981"/>
      <c r="AW14" s="980" t="s">
        <v>8729</v>
      </c>
      <c r="AX14" s="980" t="s">
        <v>8730</v>
      </c>
      <c r="AY14" s="981"/>
      <c r="AZ14" s="980"/>
      <c r="BA14" s="980"/>
      <c r="BB14" s="1329"/>
      <c r="BC14" s="980" t="s">
        <v>8644</v>
      </c>
      <c r="BD14" s="980" t="s">
        <v>8619</v>
      </c>
      <c r="BE14" s="980"/>
      <c r="BF14" s="980" t="s">
        <v>8731</v>
      </c>
      <c r="BG14" s="981"/>
      <c r="BH14" s="981"/>
      <c r="BI14" s="981"/>
      <c r="BJ14" s="981"/>
      <c r="BK14" s="981"/>
      <c r="BL14" s="981"/>
      <c r="BM14" s="981"/>
      <c r="BN14" s="981"/>
      <c r="BO14" s="981"/>
      <c r="BP14" s="981"/>
      <c r="BQ14" s="981"/>
      <c r="BR14" s="981"/>
      <c r="BS14" s="981"/>
      <c r="BT14" s="981"/>
      <c r="BU14" s="981"/>
      <c r="BV14" s="980"/>
      <c r="BW14" s="1342" t="s">
        <v>949</v>
      </c>
      <c r="BX14" s="1342" t="s">
        <v>2218</v>
      </c>
      <c r="BY14" s="1342" t="s">
        <v>6095</v>
      </c>
      <c r="BZ14" s="980"/>
      <c r="CA14" s="1342" t="s">
        <v>3487</v>
      </c>
      <c r="CB14" s="1342" t="s">
        <v>791</v>
      </c>
      <c r="CC14" s="1342" t="s">
        <v>191</v>
      </c>
      <c r="CD14" s="1342"/>
      <c r="CE14" s="1389"/>
      <c r="CF14" s="1389"/>
      <c r="CG14" s="1389"/>
      <c r="CH14" s="1389"/>
      <c r="CI14" s="1389"/>
      <c r="CJ14" s="1389"/>
      <c r="CK14" s="1389"/>
      <c r="CL14" s="1389"/>
      <c r="CM14" s="1389"/>
      <c r="CN14" s="1389"/>
      <c r="CO14" s="1389"/>
      <c r="CP14" s="1389"/>
      <c r="CQ14" s="1389"/>
      <c r="CR14" s="1389"/>
      <c r="CS14" s="1389"/>
      <c r="CT14" s="1342" t="s">
        <v>8732</v>
      </c>
      <c r="CU14" s="980"/>
    </row>
    <row r="15">
      <c r="A15" s="1397" t="s">
        <v>1809</v>
      </c>
      <c r="B15" s="788" t="s">
        <v>8733</v>
      </c>
      <c r="C15" s="784" t="s">
        <v>647</v>
      </c>
      <c r="D15" s="785" t="s">
        <v>437</v>
      </c>
      <c r="E15" s="786" t="s">
        <v>546</v>
      </c>
      <c r="F15" s="787" t="s">
        <v>646</v>
      </c>
      <c r="G15" s="788" t="s">
        <v>2680</v>
      </c>
      <c r="H15" s="1399"/>
      <c r="I15" s="1414" t="s">
        <v>8734</v>
      </c>
      <c r="J15" s="981"/>
      <c r="K15" s="980" t="s">
        <v>8735</v>
      </c>
      <c r="L15" s="981"/>
      <c r="M15" s="1334" t="s">
        <v>8736</v>
      </c>
      <c r="N15" s="981"/>
      <c r="O15" s="981"/>
      <c r="P15" s="981"/>
      <c r="Q15" s="1334" t="s">
        <v>8737</v>
      </c>
      <c r="R15" s="981"/>
      <c r="S15" s="981"/>
      <c r="T15" s="981"/>
      <c r="U15" s="981"/>
      <c r="V15" s="981"/>
      <c r="W15" s="1342" t="s">
        <v>1644</v>
      </c>
      <c r="X15" s="980"/>
      <c r="Y15" s="983" t="s">
        <v>1150</v>
      </c>
      <c r="Z15" s="981"/>
      <c r="AA15" s="981"/>
      <c r="AB15" s="981"/>
      <c r="AC15" s="1342" t="s">
        <v>5537</v>
      </c>
      <c r="AD15" s="1340" t="s">
        <v>610</v>
      </c>
      <c r="AE15" s="981"/>
      <c r="AF15" s="981"/>
      <c r="AG15" s="981"/>
      <c r="AH15" s="981"/>
      <c r="AI15" s="981"/>
      <c r="AJ15" s="981"/>
      <c r="AK15" s="981"/>
      <c r="AL15" s="981"/>
      <c r="AM15" s="981"/>
      <c r="AN15" s="981"/>
      <c r="AO15" s="981"/>
      <c r="AP15" s="1342" t="s">
        <v>8597</v>
      </c>
      <c r="AQ15" s="980"/>
      <c r="AR15" s="1342" t="s">
        <v>8738</v>
      </c>
      <c r="AS15" s="980"/>
      <c r="AT15" s="981"/>
      <c r="AU15" s="1342" t="s">
        <v>8621</v>
      </c>
      <c r="AV15" s="980"/>
      <c r="AW15" s="1342" t="s">
        <v>8739</v>
      </c>
      <c r="AX15" s="981"/>
      <c r="AY15" s="981"/>
      <c r="AZ15" s="981"/>
      <c r="BA15" s="981"/>
      <c r="BB15" s="1340" t="s">
        <v>8740</v>
      </c>
      <c r="BC15" s="983" t="s">
        <v>8506</v>
      </c>
      <c r="BD15" s="981"/>
      <c r="BE15" s="981"/>
      <c r="BF15" s="981"/>
      <c r="BG15" s="981"/>
      <c r="BH15" s="981"/>
      <c r="BI15" s="981"/>
      <c r="BJ15" s="981"/>
      <c r="BK15" s="981"/>
      <c r="BL15" s="981"/>
      <c r="BM15" s="1334" t="s">
        <v>8741</v>
      </c>
      <c r="BN15" s="981"/>
      <c r="BO15" s="981"/>
      <c r="BP15" s="981"/>
      <c r="BQ15" s="981"/>
      <c r="BR15" s="981"/>
      <c r="BS15" s="981"/>
      <c r="BT15" s="981"/>
      <c r="BU15" s="981"/>
      <c r="BV15" s="981"/>
      <c r="BW15" s="1333"/>
      <c r="BX15" s="981"/>
      <c r="BY15" s="981"/>
      <c r="BZ15" s="981"/>
      <c r="CA15" s="1333"/>
      <c r="CB15" s="981"/>
      <c r="CC15" s="981"/>
      <c r="CD15" s="1333"/>
      <c r="CE15" s="981"/>
      <c r="CF15" s="981"/>
      <c r="CG15" s="981"/>
      <c r="CH15" s="981"/>
      <c r="CI15" s="981"/>
      <c r="CJ15" s="981"/>
      <c r="CK15" s="981"/>
      <c r="CL15" s="981"/>
      <c r="CM15" s="981"/>
      <c r="CN15" s="981"/>
      <c r="CO15" s="981"/>
      <c r="CP15" s="981"/>
      <c r="CQ15" s="981"/>
      <c r="CR15" s="981"/>
      <c r="CS15" s="981"/>
      <c r="CT15" s="981"/>
      <c r="CU15" s="981"/>
    </row>
    <row r="16">
      <c r="A16" s="1415" t="s">
        <v>7432</v>
      </c>
      <c r="B16" s="788" t="s">
        <v>8742</v>
      </c>
      <c r="C16" s="784" t="s">
        <v>1256</v>
      </c>
      <c r="D16" s="785" t="s">
        <v>334</v>
      </c>
      <c r="E16" s="786" t="s">
        <v>546</v>
      </c>
      <c r="F16" s="787" t="s">
        <v>222</v>
      </c>
      <c r="G16" s="788" t="s">
        <v>1058</v>
      </c>
      <c r="H16" s="1416" t="str">
        <f>HYPERLINK("https://www.twitch.tv/videos/990301696","3:46.19")</f>
        <v>3:46.19</v>
      </c>
      <c r="I16" s="1399" t="s">
        <v>8743</v>
      </c>
      <c r="J16" s="980"/>
      <c r="K16" s="980" t="s">
        <v>8744</v>
      </c>
      <c r="L16" s="981"/>
      <c r="M16" s="1417" t="str">
        <f>HYPERLINK("https://youtu.be/muKa7MrNAp8","2:59.41")</f>
        <v>2:59.41</v>
      </c>
      <c r="N16" s="1403"/>
      <c r="O16" s="113" t="s">
        <v>8745</v>
      </c>
      <c r="P16" s="1418" t="str">
        <f>HYPERLINK("https://www.twitch.tv/videos/979252942","3:20.49")</f>
        <v>3:20.49</v>
      </c>
      <c r="Q16" s="981"/>
      <c r="R16" s="1418" t="str">
        <f>HYPERLINK("https://www.twitch.tv/videos/871584642","2:58.46")</f>
        <v>2:58.46</v>
      </c>
      <c r="S16" s="1418" t="str">
        <f>HYPERLINK("https://youtu.be/CJTaXhFHcQg","2:38.94")</f>
        <v>2:38.94</v>
      </c>
      <c r="T16" s="981"/>
      <c r="U16" s="1419" t="str">
        <f>HYPERLINK("https://www.twitch.tv/videos/1004615722","1:57.68")</f>
        <v>1:57.68</v>
      </c>
      <c r="V16" s="1420" t="str">
        <f>HYPERLINK("https://www.twitch.tv/videos/1004263632","2:18.81")</f>
        <v>2:18.81</v>
      </c>
      <c r="W16" s="980" t="s">
        <v>8746</v>
      </c>
      <c r="X16" s="980"/>
      <c r="Y16" s="980" t="s">
        <v>8747</v>
      </c>
      <c r="Z16" s="981"/>
      <c r="AA16" s="981"/>
      <c r="AB16" s="981"/>
      <c r="AC16" s="981"/>
      <c r="AD16" s="980" t="s">
        <v>4274</v>
      </c>
      <c r="AE16" s="981"/>
      <c r="AF16" s="981"/>
      <c r="AG16" s="981"/>
      <c r="AH16" s="980" t="s">
        <v>5527</v>
      </c>
      <c r="AI16" s="980"/>
      <c r="AJ16" s="980"/>
      <c r="AK16" s="1339" t="s">
        <v>8748</v>
      </c>
      <c r="AL16" s="1329"/>
      <c r="AM16" s="1342" t="s">
        <v>8623</v>
      </c>
      <c r="AN16" s="981"/>
      <c r="AO16" s="981"/>
      <c r="AP16" s="981"/>
      <c r="AQ16" s="981"/>
      <c r="AR16" s="981"/>
      <c r="AS16" s="981"/>
      <c r="AT16" s="980" t="s">
        <v>8701</v>
      </c>
      <c r="AU16" s="980" t="s">
        <v>8749</v>
      </c>
      <c r="AV16" s="981"/>
      <c r="AW16" s="981"/>
      <c r="AX16" s="981"/>
      <c r="AY16" s="981"/>
      <c r="AZ16" s="980" t="s">
        <v>3098</v>
      </c>
      <c r="BA16" s="980"/>
      <c r="BB16" s="981"/>
      <c r="BC16" s="981"/>
      <c r="BD16" s="981"/>
      <c r="BE16" s="981"/>
      <c r="BF16" s="981"/>
      <c r="BG16" s="1421" t="str">
        <f>HYPERLINK("https://youtu.be/bkbjkIxiol8","3:06")</f>
        <v>3:06</v>
      </c>
      <c r="BH16" s="1422" t="str">
        <f>HYPERLINK("https://youtu.be/EiQPLe-OzQM","4:27")</f>
        <v>4:27</v>
      </c>
      <c r="BI16" s="1389"/>
      <c r="BJ16" s="1389"/>
      <c r="BK16" s="1389"/>
      <c r="BL16" s="1389"/>
      <c r="BM16" s="1389"/>
      <c r="BN16" s="1389"/>
      <c r="BO16" s="1389"/>
      <c r="BP16" s="1389"/>
      <c r="BQ16" s="981"/>
      <c r="BR16" s="981"/>
      <c r="BS16" s="981"/>
      <c r="BT16" s="981"/>
      <c r="BU16" s="981"/>
      <c r="BV16" s="981"/>
      <c r="BW16" s="1333"/>
      <c r="BX16" s="981"/>
      <c r="BY16" s="1420" t="str">
        <f>HYPERLINK("https://clips.twitch.tv/NiceImportantPidgeonBuddhaBar-rtnvj3c2frKXHMdy","35.38")</f>
        <v>35.38</v>
      </c>
      <c r="BZ16" s="981"/>
      <c r="CA16" s="1333"/>
      <c r="CB16" s="981"/>
      <c r="CC16" s="981"/>
      <c r="CD16" s="1333"/>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0"/>
    </row>
    <row r="17">
      <c r="A17" s="1383" t="s">
        <v>4433</v>
      </c>
      <c r="B17" s="788" t="s">
        <v>8750</v>
      </c>
      <c r="C17" s="784" t="s">
        <v>1256</v>
      </c>
      <c r="D17" s="785" t="s">
        <v>437</v>
      </c>
      <c r="E17" s="786" t="s">
        <v>437</v>
      </c>
      <c r="F17" s="787" t="s">
        <v>1197</v>
      </c>
      <c r="G17" s="788" t="s">
        <v>2937</v>
      </c>
      <c r="H17" s="1427" t="s">
        <v>8751</v>
      </c>
      <c r="I17" s="1399" t="s">
        <v>8752</v>
      </c>
      <c r="J17" s="980" t="s">
        <v>8753</v>
      </c>
      <c r="K17" s="1399" t="s">
        <v>8754</v>
      </c>
      <c r="L17" s="980" t="s">
        <v>4557</v>
      </c>
      <c r="M17" s="980" t="s">
        <v>8338</v>
      </c>
      <c r="N17" s="980" t="s">
        <v>8755</v>
      </c>
      <c r="O17" s="980" t="s">
        <v>8756</v>
      </c>
      <c r="P17" s="980" t="s">
        <v>8757</v>
      </c>
      <c r="Q17" s="980" t="s">
        <v>7139</v>
      </c>
      <c r="R17" s="980" t="s">
        <v>8758</v>
      </c>
      <c r="S17" s="1336" t="s">
        <v>8759</v>
      </c>
      <c r="T17" s="1339" t="s">
        <v>8760</v>
      </c>
      <c r="U17" s="1428" t="s">
        <v>8761</v>
      </c>
      <c r="V17" s="980" t="s">
        <v>8762</v>
      </c>
      <c r="W17" s="1342" t="s">
        <v>8763</v>
      </c>
      <c r="X17" s="980" t="s">
        <v>8764</v>
      </c>
      <c r="Y17" s="980" t="s">
        <v>248</v>
      </c>
      <c r="Z17" s="981"/>
      <c r="AA17" s="1339" t="s">
        <v>8765</v>
      </c>
      <c r="AB17" s="981"/>
      <c r="AC17" s="1342" t="s">
        <v>8766</v>
      </c>
      <c r="AD17" s="980" t="s">
        <v>6171</v>
      </c>
      <c r="AE17" s="983" t="s">
        <v>891</v>
      </c>
      <c r="AF17" s="981"/>
      <c r="AG17" s="981"/>
      <c r="AH17" s="981"/>
      <c r="AI17" s="981"/>
      <c r="AJ17" s="981"/>
      <c r="AK17" s="981"/>
      <c r="AL17" s="981"/>
      <c r="AM17" s="980"/>
      <c r="AN17" s="981"/>
      <c r="AO17" s="981"/>
      <c r="AP17" s="980" t="s">
        <v>8767</v>
      </c>
      <c r="AQ17" s="980" t="s">
        <v>8617</v>
      </c>
      <c r="AR17" s="981"/>
      <c r="AS17" s="983" t="s">
        <v>8768</v>
      </c>
      <c r="AT17" s="983" t="s">
        <v>8769</v>
      </c>
      <c r="AU17" s="981"/>
      <c r="AV17" s="981"/>
      <c r="AW17" s="981"/>
      <c r="AX17" s="981"/>
      <c r="AY17" s="980" t="s">
        <v>8703</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3"/>
      <c r="BX17" s="981"/>
      <c r="BY17" s="981"/>
      <c r="BZ17" s="981"/>
      <c r="CA17" s="1333"/>
      <c r="CB17" s="981"/>
      <c r="CC17" s="981"/>
      <c r="CD17" s="1333"/>
      <c r="CE17" s="981"/>
      <c r="CF17" s="981"/>
      <c r="CG17" s="981"/>
      <c r="CH17" s="981"/>
      <c r="CI17" s="981"/>
      <c r="CJ17" s="981"/>
      <c r="CK17" s="981"/>
      <c r="CL17" s="981"/>
      <c r="CM17" s="981"/>
      <c r="CN17" s="981"/>
      <c r="CO17" s="981"/>
      <c r="CP17" s="981"/>
      <c r="CQ17" s="981"/>
      <c r="CR17" s="981"/>
      <c r="CS17" s="981"/>
      <c r="CT17" s="981"/>
      <c r="CU17" s="981"/>
    </row>
    <row r="18">
      <c r="A18" s="1429" t="s">
        <v>2935</v>
      </c>
      <c r="B18" s="788" t="s">
        <v>8770</v>
      </c>
      <c r="C18" s="784" t="s">
        <v>332</v>
      </c>
      <c r="D18" s="785" t="s">
        <v>332</v>
      </c>
      <c r="E18" s="786" t="s">
        <v>1256</v>
      </c>
      <c r="F18" s="787" t="s">
        <v>646</v>
      </c>
      <c r="G18" s="788" t="s">
        <v>221</v>
      </c>
      <c r="H18" s="1430" t="s">
        <v>8771</v>
      </c>
      <c r="I18" s="1427" t="s">
        <v>8772</v>
      </c>
      <c r="J18" s="1340" t="s">
        <v>8773</v>
      </c>
      <c r="K18" s="1334" t="s">
        <v>8774</v>
      </c>
      <c r="L18" s="980" t="s">
        <v>8775</v>
      </c>
      <c r="M18" s="981"/>
      <c r="N18" s="1334" t="s">
        <v>3698</v>
      </c>
      <c r="O18" s="1340" t="s">
        <v>8776</v>
      </c>
      <c r="P18" s="981"/>
      <c r="Q18" s="980" t="s">
        <v>8777</v>
      </c>
      <c r="R18" s="980" t="s">
        <v>8778</v>
      </c>
      <c r="S18" s="1334" t="s">
        <v>8779</v>
      </c>
      <c r="T18" s="1340" t="s">
        <v>8780</v>
      </c>
      <c r="U18" s="980" t="s">
        <v>8781</v>
      </c>
      <c r="V18" s="980" t="s">
        <v>8782</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9"/>
      <c r="BH18" s="1409"/>
      <c r="BI18" s="1409"/>
      <c r="BJ18" s="1409"/>
      <c r="BK18" s="1409"/>
      <c r="BL18" s="1409"/>
      <c r="BM18" s="1409"/>
      <c r="BN18" s="1409"/>
      <c r="BO18" s="1409"/>
      <c r="BP18" s="1409"/>
      <c r="BQ18" s="981"/>
      <c r="BR18" s="981"/>
      <c r="BS18" s="981"/>
      <c r="BT18" s="981"/>
      <c r="BU18" s="981"/>
      <c r="BV18" s="981"/>
      <c r="BW18" s="1333"/>
      <c r="BX18" s="981"/>
      <c r="BY18" s="981"/>
      <c r="BZ18" s="981"/>
      <c r="CA18" s="1333"/>
      <c r="CB18" s="981"/>
      <c r="CC18" s="981"/>
      <c r="CD18" s="1333"/>
      <c r="CE18" s="1389"/>
      <c r="CF18" s="1389"/>
      <c r="CG18" s="1389"/>
      <c r="CH18" s="1389"/>
      <c r="CI18" s="1389"/>
      <c r="CJ18" s="1389"/>
      <c r="CK18" s="1389"/>
      <c r="CL18" s="1389"/>
      <c r="CM18" s="1389"/>
      <c r="CN18" s="1389"/>
      <c r="CO18" s="1389"/>
      <c r="CP18" s="1389"/>
      <c r="CQ18" s="1389"/>
      <c r="CR18" s="1389"/>
      <c r="CS18" s="1389"/>
      <c r="CT18" s="981"/>
      <c r="CU18" s="981"/>
    </row>
    <row r="19">
      <c r="A19" s="1431" t="s">
        <v>8229</v>
      </c>
      <c r="B19" s="788" t="s">
        <v>8783</v>
      </c>
      <c r="C19" s="784" t="s">
        <v>332</v>
      </c>
      <c r="D19" s="785" t="s">
        <v>647</v>
      </c>
      <c r="E19" s="786" t="s">
        <v>546</v>
      </c>
      <c r="F19" s="787" t="s">
        <v>3291</v>
      </c>
      <c r="G19" s="788" t="s">
        <v>1196</v>
      </c>
      <c r="H19" s="1399"/>
      <c r="I19" s="1399"/>
      <c r="J19" s="981"/>
      <c r="K19" s="981"/>
      <c r="L19" s="981"/>
      <c r="M19" s="981"/>
      <c r="N19" s="981"/>
      <c r="O19" s="981"/>
      <c r="P19" s="981"/>
      <c r="Q19" s="981"/>
      <c r="R19" s="981"/>
      <c r="S19" s="981"/>
      <c r="T19" s="981"/>
      <c r="U19" s="981"/>
      <c r="V19" s="981"/>
      <c r="W19" s="1334" t="s">
        <v>8784</v>
      </c>
      <c r="X19" s="1340" t="s">
        <v>1653</v>
      </c>
      <c r="Y19" s="981"/>
      <c r="Z19" s="981"/>
      <c r="AA19" s="981"/>
      <c r="AB19" s="1340" t="s">
        <v>8785</v>
      </c>
      <c r="AC19" s="1340" t="s">
        <v>2462</v>
      </c>
      <c r="AD19" s="983" t="s">
        <v>2719</v>
      </c>
      <c r="AE19" s="1329"/>
      <c r="AF19" s="1334" t="s">
        <v>8786</v>
      </c>
      <c r="AG19" s="981"/>
      <c r="AH19" s="1339" t="s">
        <v>1787</v>
      </c>
      <c r="AI19" s="1334" t="s">
        <v>3148</v>
      </c>
      <c r="AJ19" s="981"/>
      <c r="AK19" s="980" t="s">
        <v>4276</v>
      </c>
      <c r="AL19" s="981"/>
      <c r="AM19" s="981"/>
      <c r="AN19" s="981"/>
      <c r="AO19" s="981"/>
      <c r="AP19" s="983" t="s">
        <v>8787</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4" t="s">
        <v>3446</v>
      </c>
      <c r="BW19" s="1333"/>
      <c r="BX19" s="981"/>
      <c r="BY19" s="981"/>
      <c r="BZ19" s="981"/>
      <c r="CA19" s="1333"/>
      <c r="CB19" s="981"/>
      <c r="CC19" s="981"/>
      <c r="CD19" s="1333"/>
      <c r="CE19" s="981"/>
      <c r="CF19" s="981"/>
      <c r="CG19" s="981"/>
      <c r="CH19" s="981"/>
      <c r="CI19" s="981"/>
      <c r="CJ19" s="981"/>
      <c r="CK19" s="981"/>
      <c r="CL19" s="981"/>
      <c r="CM19" s="981"/>
      <c r="CN19" s="981"/>
      <c r="CO19" s="981"/>
      <c r="CP19" s="981"/>
      <c r="CQ19" s="981"/>
      <c r="CR19" s="981"/>
      <c r="CS19" s="981"/>
      <c r="CT19" s="981"/>
      <c r="CU19" s="981"/>
    </row>
    <row r="20">
      <c r="A20" s="1432" t="s">
        <v>4048</v>
      </c>
      <c r="B20" s="788" t="s">
        <v>8788</v>
      </c>
      <c r="C20" s="784" t="s">
        <v>1256</v>
      </c>
      <c r="D20" s="785" t="s">
        <v>546</v>
      </c>
      <c r="E20" s="786" t="s">
        <v>1256</v>
      </c>
      <c r="F20" s="787" t="s">
        <v>437</v>
      </c>
      <c r="G20" s="788" t="s">
        <v>3098</v>
      </c>
      <c r="H20" s="1399"/>
      <c r="I20" s="1399" t="s">
        <v>8789</v>
      </c>
      <c r="J20" s="980"/>
      <c r="K20" s="1342" t="s">
        <v>8790</v>
      </c>
      <c r="L20" s="980"/>
      <c r="M20" s="1342" t="s">
        <v>8791</v>
      </c>
      <c r="N20" s="981"/>
      <c r="O20" s="1342" t="s">
        <v>8792</v>
      </c>
      <c r="P20" s="981"/>
      <c r="Q20" s="981"/>
      <c r="R20" s="980" t="s">
        <v>8793</v>
      </c>
      <c r="S20" s="1403" t="s">
        <v>8794</v>
      </c>
      <c r="T20" s="1342" t="s">
        <v>8795</v>
      </c>
      <c r="U20" s="980" t="s">
        <v>3784</v>
      </c>
      <c r="V20" s="980"/>
      <c r="W20" s="1342" t="s">
        <v>4440</v>
      </c>
      <c r="X20" s="980" t="s">
        <v>3817</v>
      </c>
      <c r="Y20" s="1342" t="s">
        <v>2832</v>
      </c>
      <c r="Z20" s="981"/>
      <c r="AA20" s="981"/>
      <c r="AB20" s="981"/>
      <c r="AC20" s="1342" t="s">
        <v>8796</v>
      </c>
      <c r="AD20" s="980" t="s">
        <v>5422</v>
      </c>
      <c r="AE20" s="980"/>
      <c r="AF20" s="1342" t="s">
        <v>8797</v>
      </c>
      <c r="AG20" s="1340" t="s">
        <v>8798</v>
      </c>
      <c r="AH20" s="983" t="s">
        <v>1265</v>
      </c>
      <c r="AI20" s="981"/>
      <c r="AJ20" s="981"/>
      <c r="AK20" s="1342" t="s">
        <v>707</v>
      </c>
      <c r="AL20" s="981"/>
      <c r="AM20" s="1342" t="s">
        <v>8625</v>
      </c>
      <c r="AN20" s="981"/>
      <c r="AO20" s="981"/>
      <c r="AP20" s="980" t="s">
        <v>8526</v>
      </c>
      <c r="AQ20" s="980"/>
      <c r="AR20" s="980" t="s">
        <v>8553</v>
      </c>
      <c r="AS20" s="980" t="s">
        <v>8799</v>
      </c>
      <c r="AT20" s="980" t="s">
        <v>8800</v>
      </c>
      <c r="AU20" s="980" t="s">
        <v>8801</v>
      </c>
      <c r="AV20" s="980"/>
      <c r="AW20" s="981"/>
      <c r="AX20" s="981"/>
      <c r="AY20" s="981"/>
      <c r="AZ20" s="1342" t="s">
        <v>4775</v>
      </c>
      <c r="BA20" s="980"/>
      <c r="BB20" s="1342" t="s">
        <v>8621</v>
      </c>
      <c r="BC20" s="1342" t="s">
        <v>8802</v>
      </c>
      <c r="BD20" s="1342" t="s">
        <v>8451</v>
      </c>
      <c r="BE20" s="980"/>
      <c r="BF20" s="980"/>
      <c r="BG20" s="981"/>
      <c r="BH20" s="981"/>
      <c r="BI20" s="981"/>
      <c r="BJ20" s="981"/>
      <c r="BK20" s="981"/>
      <c r="BL20" s="981"/>
      <c r="BM20" s="981"/>
      <c r="BN20" s="1342" t="s">
        <v>8803</v>
      </c>
      <c r="BO20" s="1342" t="s">
        <v>8804</v>
      </c>
      <c r="BP20" s="980"/>
      <c r="BQ20" s="981"/>
      <c r="BR20" s="981"/>
      <c r="BS20" s="981"/>
      <c r="BT20" s="981"/>
      <c r="BU20" s="981"/>
      <c r="BV20" s="1411" t="s">
        <v>4693</v>
      </c>
      <c r="BW20" s="1333"/>
      <c r="BX20" s="981"/>
      <c r="BY20" s="980" t="s">
        <v>2229</v>
      </c>
      <c r="BZ20" s="981"/>
      <c r="CA20" s="1333"/>
      <c r="CB20" s="980" t="s">
        <v>4533</v>
      </c>
      <c r="CC20" s="1342" t="s">
        <v>8805</v>
      </c>
      <c r="CD20" s="1342"/>
      <c r="CE20" s="981"/>
      <c r="CF20" s="981"/>
      <c r="CG20" s="981"/>
      <c r="CH20" s="981"/>
      <c r="CI20" s="981"/>
      <c r="CJ20" s="981"/>
      <c r="CK20" s="981"/>
      <c r="CL20" s="981"/>
      <c r="CM20" s="1342" t="s">
        <v>8806</v>
      </c>
      <c r="CN20" s="1342" t="s">
        <v>1948</v>
      </c>
      <c r="CO20" s="1342" t="s">
        <v>1811</v>
      </c>
      <c r="CP20" s="1342" t="s">
        <v>8807</v>
      </c>
      <c r="CQ20" s="980" t="s">
        <v>8808</v>
      </c>
      <c r="CR20" s="1342" t="s">
        <v>3345</v>
      </c>
      <c r="CS20" s="980" t="s">
        <v>8809</v>
      </c>
      <c r="CT20" s="981"/>
      <c r="CU20" s="981"/>
    </row>
    <row r="21">
      <c r="A21" s="1433" t="s">
        <v>4794</v>
      </c>
      <c r="B21" s="788" t="s">
        <v>8810</v>
      </c>
      <c r="C21" s="784" t="s">
        <v>1256</v>
      </c>
      <c r="D21" s="785" t="s">
        <v>1256</v>
      </c>
      <c r="E21" s="786" t="s">
        <v>1256</v>
      </c>
      <c r="F21" s="787" t="s">
        <v>546</v>
      </c>
      <c r="G21" s="788" t="s">
        <v>3380</v>
      </c>
      <c r="H21" s="1399"/>
      <c r="I21" s="1399" t="s">
        <v>8811</v>
      </c>
      <c r="J21" s="980"/>
      <c r="K21" s="980" t="s">
        <v>6805</v>
      </c>
      <c r="L21" s="980"/>
      <c r="M21" s="981"/>
      <c r="N21" s="981"/>
      <c r="O21" s="981"/>
      <c r="P21" s="981"/>
      <c r="Q21" s="981"/>
      <c r="R21" s="1342" t="s">
        <v>8812</v>
      </c>
      <c r="S21" s="981"/>
      <c r="T21" s="1342" t="s">
        <v>8813</v>
      </c>
      <c r="U21" s="1342" t="s">
        <v>8814</v>
      </c>
      <c r="V21" s="1342" t="s">
        <v>8815</v>
      </c>
      <c r="W21" s="1342" t="s">
        <v>3544</v>
      </c>
      <c r="X21" s="980" t="s">
        <v>2622</v>
      </c>
      <c r="Y21" s="1342" t="s">
        <v>8816</v>
      </c>
      <c r="Z21" s="981"/>
      <c r="AA21" s="981"/>
      <c r="AB21" s="981"/>
      <c r="AC21" s="983" t="s">
        <v>344</v>
      </c>
      <c r="AD21" s="1342" t="s">
        <v>3878</v>
      </c>
      <c r="AE21" s="980"/>
      <c r="AF21" s="1342" t="s">
        <v>8817</v>
      </c>
      <c r="AG21" s="980"/>
      <c r="AH21" s="1342" t="s">
        <v>8818</v>
      </c>
      <c r="AI21" s="981"/>
      <c r="AJ21" s="981"/>
      <c r="AK21" s="981"/>
      <c r="AL21" s="981"/>
      <c r="AM21" s="981"/>
      <c r="AN21" s="981"/>
      <c r="AO21" s="981"/>
      <c r="AP21" s="980" t="s">
        <v>8526</v>
      </c>
      <c r="AQ21" s="981"/>
      <c r="AR21" s="980" t="s">
        <v>8819</v>
      </c>
      <c r="AS21" s="981"/>
      <c r="AT21" s="981"/>
      <c r="AU21" s="980" t="s">
        <v>8820</v>
      </c>
      <c r="AV21" s="980"/>
      <c r="AW21" s="980" t="s">
        <v>8558</v>
      </c>
      <c r="AX21" s="981"/>
      <c r="AY21" s="981"/>
      <c r="AZ21" s="1342" t="s">
        <v>2153</v>
      </c>
      <c r="BA21" s="980"/>
      <c r="BB21" s="981"/>
      <c r="BC21" s="1342" t="s">
        <v>8821</v>
      </c>
      <c r="BD21" s="980" t="s">
        <v>8383</v>
      </c>
      <c r="BE21" s="981"/>
      <c r="BF21" s="981"/>
      <c r="BG21" s="981"/>
      <c r="BH21" s="981"/>
      <c r="BI21" s="981"/>
      <c r="BJ21" s="981"/>
      <c r="BK21" s="981"/>
      <c r="BL21" s="981"/>
      <c r="BM21" s="981"/>
      <c r="BN21" s="981"/>
      <c r="BO21" s="981"/>
      <c r="BP21" s="981"/>
      <c r="BQ21" s="981"/>
      <c r="BR21" s="981"/>
      <c r="BS21" s="981"/>
      <c r="BT21" s="981"/>
      <c r="BU21" s="981"/>
      <c r="BV21" s="981"/>
      <c r="BW21" s="1333"/>
      <c r="BX21" s="981"/>
      <c r="BY21" s="981"/>
      <c r="BZ21" s="981"/>
      <c r="CA21" s="1333"/>
      <c r="CB21" s="981"/>
      <c r="CC21" s="981"/>
      <c r="CD21" s="1333"/>
      <c r="CE21" s="981"/>
      <c r="CF21" s="981"/>
      <c r="CG21" s="981"/>
      <c r="CH21" s="981"/>
      <c r="CI21" s="981"/>
      <c r="CJ21" s="981"/>
      <c r="CK21" s="981"/>
      <c r="CL21" s="981"/>
      <c r="CM21" s="981"/>
      <c r="CN21" s="981"/>
      <c r="CO21" s="981"/>
      <c r="CP21" s="981"/>
      <c r="CQ21" s="981"/>
      <c r="CR21" s="981"/>
      <c r="CS21" s="981"/>
      <c r="CT21" s="981"/>
      <c r="CU21" s="981"/>
    </row>
    <row r="22">
      <c r="A22" s="1434" t="s">
        <v>6628</v>
      </c>
      <c r="B22" s="788" t="s">
        <v>8822</v>
      </c>
      <c r="C22" s="784" t="s">
        <v>1256</v>
      </c>
      <c r="D22" s="785" t="s">
        <v>1256</v>
      </c>
      <c r="E22" s="786" t="s">
        <v>1256</v>
      </c>
      <c r="F22" s="787" t="s">
        <v>1256</v>
      </c>
      <c r="G22" s="788" t="s">
        <v>222</v>
      </c>
      <c r="H22" s="1399"/>
      <c r="I22" s="1399" t="s">
        <v>8823</v>
      </c>
      <c r="J22" s="980"/>
      <c r="K22" s="1342" t="s">
        <v>8824</v>
      </c>
      <c r="L22" s="980"/>
      <c r="M22" s="980"/>
      <c r="N22" s="980"/>
      <c r="O22" s="1342" t="s">
        <v>8825</v>
      </c>
      <c r="P22" s="980"/>
      <c r="Q22" s="981"/>
      <c r="R22" s="981"/>
      <c r="S22" s="981"/>
      <c r="T22" s="980"/>
      <c r="U22" s="1342" t="s">
        <v>8826</v>
      </c>
      <c r="V22" s="980"/>
      <c r="W22" s="1342" t="s">
        <v>2306</v>
      </c>
      <c r="X22" s="980"/>
      <c r="Y22" s="1342" t="s">
        <v>3239</v>
      </c>
      <c r="Z22" s="980"/>
      <c r="AA22" s="980"/>
      <c r="AB22" s="980"/>
      <c r="AC22" s="1342" t="s">
        <v>8827</v>
      </c>
      <c r="AD22" s="1342" t="s">
        <v>4905</v>
      </c>
      <c r="AE22" s="980"/>
      <c r="AF22" s="980"/>
      <c r="AG22" s="980"/>
      <c r="AH22" s="981"/>
      <c r="AI22" s="981"/>
      <c r="AJ22" s="981"/>
      <c r="AK22" s="981"/>
      <c r="AL22" s="981"/>
      <c r="AM22" s="1342" t="s">
        <v>8828</v>
      </c>
      <c r="AN22" s="981"/>
      <c r="AO22" s="981"/>
      <c r="AP22" s="1342" t="s">
        <v>8829</v>
      </c>
      <c r="AQ22" s="980"/>
      <c r="AR22" s="1342" t="s">
        <v>8830</v>
      </c>
      <c r="AS22" s="980"/>
      <c r="AT22" s="1342" t="s">
        <v>8831</v>
      </c>
      <c r="AU22" s="1342" t="s">
        <v>8832</v>
      </c>
      <c r="AV22" s="980"/>
      <c r="AW22" s="980"/>
      <c r="AX22" s="981"/>
      <c r="AY22" s="981"/>
      <c r="AZ22" s="1342" t="s">
        <v>1634</v>
      </c>
      <c r="BA22" s="980"/>
      <c r="BB22" s="1342" t="s">
        <v>8559</v>
      </c>
      <c r="BC22" s="1342" t="s">
        <v>8618</v>
      </c>
      <c r="BD22" s="1342" t="s">
        <v>8704</v>
      </c>
      <c r="BE22" s="980"/>
      <c r="BF22" s="980"/>
      <c r="BG22" s="981"/>
      <c r="BH22" s="981"/>
      <c r="BI22" s="981"/>
      <c r="BJ22" s="981"/>
      <c r="BK22" s="981"/>
      <c r="BL22" s="981"/>
      <c r="BM22" s="981"/>
      <c r="BN22" s="981"/>
      <c r="BO22" s="981"/>
      <c r="BP22" s="981"/>
      <c r="BQ22" s="980"/>
      <c r="BR22" s="980"/>
      <c r="BS22" s="980"/>
      <c r="BT22" s="980"/>
      <c r="BU22" s="980"/>
      <c r="BV22" s="460"/>
      <c r="BW22" s="1333"/>
      <c r="BX22" s="981"/>
      <c r="BY22" s="981"/>
      <c r="BZ22" s="981"/>
      <c r="CA22" s="1333"/>
      <c r="CB22" s="981"/>
      <c r="CC22" s="981"/>
      <c r="CD22" s="1333"/>
      <c r="CE22" s="981"/>
      <c r="CF22" s="981"/>
      <c r="CG22" s="981"/>
      <c r="CH22" s="981"/>
      <c r="CI22" s="981"/>
      <c r="CJ22" s="981"/>
      <c r="CK22" s="981"/>
      <c r="CL22" s="981"/>
      <c r="CM22" s="981"/>
      <c r="CN22" s="981"/>
      <c r="CO22" s="981"/>
      <c r="CP22" s="981"/>
      <c r="CQ22" s="981"/>
      <c r="CR22" s="981"/>
      <c r="CS22" s="981"/>
      <c r="CT22" s="980"/>
      <c r="CU22" s="980"/>
    </row>
    <row r="23">
      <c r="A23" s="1394" t="s">
        <v>7462</v>
      </c>
      <c r="B23" s="788" t="s">
        <v>8833</v>
      </c>
      <c r="C23" s="784" t="s">
        <v>1256</v>
      </c>
      <c r="D23" s="785" t="s">
        <v>1256</v>
      </c>
      <c r="E23" s="786" t="s">
        <v>1256</v>
      </c>
      <c r="F23" s="787" t="s">
        <v>437</v>
      </c>
      <c r="G23" s="788" t="s">
        <v>222</v>
      </c>
      <c r="H23" s="1399" t="s">
        <v>8834</v>
      </c>
      <c r="I23" s="1399"/>
      <c r="J23" s="981"/>
      <c r="K23" s="1342" t="s">
        <v>8835</v>
      </c>
      <c r="L23" s="980"/>
      <c r="M23" s="981"/>
      <c r="N23" s="981"/>
      <c r="O23" s="981"/>
      <c r="P23" s="981"/>
      <c r="Q23" s="1342" t="s">
        <v>8836</v>
      </c>
      <c r="R23" s="1342" t="s">
        <v>8837</v>
      </c>
      <c r="S23" s="981"/>
      <c r="T23" s="1342" t="s">
        <v>8838</v>
      </c>
      <c r="U23" s="1435" t="s">
        <v>8839</v>
      </c>
      <c r="V23" s="1436"/>
      <c r="W23" s="1342" t="s">
        <v>369</v>
      </c>
      <c r="X23" s="980"/>
      <c r="Y23" s="1342" t="s">
        <v>5168</v>
      </c>
      <c r="Z23" s="981"/>
      <c r="AA23" s="981"/>
      <c r="AB23" s="981"/>
      <c r="AC23" s="1342" t="s">
        <v>8840</v>
      </c>
      <c r="AD23" s="1342" t="s">
        <v>4113</v>
      </c>
      <c r="AE23" s="1329"/>
      <c r="AF23" s="983" t="s">
        <v>722</v>
      </c>
      <c r="AG23" s="1329"/>
      <c r="AH23" s="1342" t="s">
        <v>7621</v>
      </c>
      <c r="AI23" s="1342" t="s">
        <v>5625</v>
      </c>
      <c r="AJ23" s="981"/>
      <c r="AK23" s="981"/>
      <c r="AL23" s="981"/>
      <c r="AM23" s="981"/>
      <c r="AN23" s="981"/>
      <c r="AO23" s="981"/>
      <c r="AP23" s="981"/>
      <c r="AQ23" s="981"/>
      <c r="AR23" s="981"/>
      <c r="AS23" s="981"/>
      <c r="AT23" s="981"/>
      <c r="AU23" s="981"/>
      <c r="AV23" s="981"/>
      <c r="AW23" s="981"/>
      <c r="AX23" s="980"/>
      <c r="AY23" s="1342" t="s">
        <v>8703</v>
      </c>
      <c r="AZ23" s="981"/>
      <c r="BA23" s="981"/>
      <c r="BB23" s="1342" t="s">
        <v>8626</v>
      </c>
      <c r="BC23" s="981"/>
      <c r="BD23" s="981"/>
      <c r="BE23" s="981"/>
      <c r="BF23" s="981"/>
      <c r="BG23" s="1409"/>
      <c r="BH23" s="1409"/>
      <c r="BI23" s="1409"/>
      <c r="BJ23" s="1409"/>
      <c r="BK23" s="1409"/>
      <c r="BL23" s="1409"/>
      <c r="BM23" s="1409"/>
      <c r="BN23" s="1409"/>
      <c r="BO23" s="1409"/>
      <c r="BP23" s="1409"/>
      <c r="BQ23" s="981"/>
      <c r="BR23" s="981"/>
      <c r="BS23" s="981"/>
      <c r="BT23" s="981"/>
      <c r="BU23" s="981"/>
      <c r="BV23" s="980"/>
      <c r="BW23" s="1342" t="s">
        <v>5453</v>
      </c>
      <c r="BX23" s="981"/>
      <c r="BY23" s="981"/>
      <c r="BZ23" s="981"/>
      <c r="CA23" s="1333"/>
      <c r="CB23" s="981"/>
      <c r="CC23" s="981"/>
      <c r="CD23" s="1333"/>
      <c r="CE23" s="1437"/>
      <c r="CF23" s="1437"/>
      <c r="CG23" s="1437"/>
      <c r="CH23" s="1437"/>
      <c r="CI23" s="1437"/>
      <c r="CJ23" s="1437"/>
      <c r="CK23" s="1437"/>
      <c r="CL23" s="1437"/>
      <c r="CM23" s="981"/>
      <c r="CN23" s="981"/>
      <c r="CO23" s="981"/>
      <c r="CP23" s="981"/>
      <c r="CQ23" s="981"/>
      <c r="CR23" s="981"/>
      <c r="CS23" s="981"/>
      <c r="CT23" s="983" t="s">
        <v>8841</v>
      </c>
      <c r="CU23" s="1329"/>
    </row>
    <row r="24">
      <c r="A24" s="1438" t="s">
        <v>5305</v>
      </c>
      <c r="B24" s="788" t="s">
        <v>8842</v>
      </c>
      <c r="C24" s="784" t="s">
        <v>1256</v>
      </c>
      <c r="D24" s="785" t="s">
        <v>1256</v>
      </c>
      <c r="E24" s="786" t="s">
        <v>546</v>
      </c>
      <c r="F24" s="787" t="s">
        <v>438</v>
      </c>
      <c r="G24" s="788" t="s">
        <v>1634</v>
      </c>
      <c r="H24" s="1416" t="s">
        <v>8843</v>
      </c>
      <c r="I24" s="1416" t="s">
        <v>5311</v>
      </c>
      <c r="J24" s="1329"/>
      <c r="K24" s="1342" t="s">
        <v>8844</v>
      </c>
      <c r="L24" s="980"/>
      <c r="M24" s="980"/>
      <c r="N24" s="1342" t="s">
        <v>8845</v>
      </c>
      <c r="O24" s="1342" t="s">
        <v>8846</v>
      </c>
      <c r="P24" s="1342" t="s">
        <v>8847</v>
      </c>
      <c r="Q24" s="1342" t="s">
        <v>8848</v>
      </c>
      <c r="R24" s="1342" t="s">
        <v>8849</v>
      </c>
      <c r="S24" s="1342" t="s">
        <v>5329</v>
      </c>
      <c r="T24" s="1342" t="s">
        <v>8850</v>
      </c>
      <c r="U24" s="1342" t="s">
        <v>8851</v>
      </c>
      <c r="V24" s="980"/>
      <c r="W24" s="1342" t="s">
        <v>6104</v>
      </c>
      <c r="X24" s="980"/>
      <c r="Y24" s="981"/>
      <c r="Z24" s="981"/>
      <c r="AA24" s="981"/>
      <c r="AB24" s="981"/>
      <c r="AC24" s="1342" t="s">
        <v>8852</v>
      </c>
      <c r="AD24" s="1342" t="s">
        <v>5910</v>
      </c>
      <c r="AE24" s="980"/>
      <c r="AF24" s="1342" t="s">
        <v>6960</v>
      </c>
      <c r="AG24" s="980"/>
      <c r="AH24" s="1342" t="s">
        <v>3331</v>
      </c>
      <c r="AI24" s="980"/>
      <c r="AJ24" s="980"/>
      <c r="AK24" s="981"/>
      <c r="AL24" s="981"/>
      <c r="AM24" s="1342" t="s">
        <v>8579</v>
      </c>
      <c r="AN24" s="1342" t="s">
        <v>8749</v>
      </c>
      <c r="AO24" s="1342" t="s">
        <v>8598</v>
      </c>
      <c r="AP24" s="1342" t="s">
        <v>8693</v>
      </c>
      <c r="AQ24" s="980"/>
      <c r="AR24" s="1342" t="s">
        <v>8799</v>
      </c>
      <c r="AS24" s="980"/>
      <c r="AT24" s="1342" t="s">
        <v>8853</v>
      </c>
      <c r="AU24" s="1342" t="s">
        <v>8854</v>
      </c>
      <c r="AV24" s="980"/>
      <c r="AW24" s="1342" t="s">
        <v>8625</v>
      </c>
      <c r="AX24" s="980"/>
      <c r="AY24" s="1342" t="s">
        <v>8787</v>
      </c>
      <c r="AZ24" s="981"/>
      <c r="BA24" s="981"/>
      <c r="BB24" s="1342" t="s">
        <v>8694</v>
      </c>
      <c r="BC24" s="980" t="s">
        <v>8787</v>
      </c>
      <c r="BD24" s="1342" t="s">
        <v>8801</v>
      </c>
      <c r="BE24" s="980"/>
      <c r="BF24" s="980"/>
      <c r="BG24" s="1439" t="s">
        <v>8855</v>
      </c>
      <c r="BH24" s="1439" t="s">
        <v>8856</v>
      </c>
      <c r="BI24" s="917"/>
      <c r="BJ24" s="917"/>
      <c r="BK24" s="917"/>
      <c r="BL24" s="925" t="s">
        <v>8857</v>
      </c>
      <c r="BM24" s="925" t="s">
        <v>8858</v>
      </c>
      <c r="BN24" s="917"/>
      <c r="BO24" s="917"/>
      <c r="BP24" s="917"/>
      <c r="BQ24" s="981"/>
      <c r="BR24" s="980" t="s">
        <v>8859</v>
      </c>
      <c r="BS24" s="981"/>
      <c r="BT24" s="981"/>
      <c r="BU24" s="981"/>
      <c r="BV24" s="1440" t="s">
        <v>162</v>
      </c>
      <c r="BW24" s="1342" t="s">
        <v>1694</v>
      </c>
      <c r="BX24" s="1342" t="s">
        <v>1629</v>
      </c>
      <c r="BY24" s="1339" t="s">
        <v>4963</v>
      </c>
      <c r="BZ24" s="1342" t="s">
        <v>2253</v>
      </c>
      <c r="CA24" s="1342" t="s">
        <v>5487</v>
      </c>
      <c r="CB24" s="1342" t="s">
        <v>2132</v>
      </c>
      <c r="CC24" s="1342" t="s">
        <v>8860</v>
      </c>
      <c r="CD24" s="1342"/>
      <c r="CE24" s="1406" t="s">
        <v>8821</v>
      </c>
      <c r="CF24" s="1406" t="s">
        <v>8861</v>
      </c>
      <c r="CG24" s="1406" t="s">
        <v>8862</v>
      </c>
      <c r="CH24" s="1392"/>
      <c r="CI24" s="1389"/>
      <c r="CJ24" s="1389"/>
      <c r="CK24" s="1389"/>
      <c r="CL24" s="1389"/>
      <c r="CM24" s="1389"/>
      <c r="CN24" s="1389"/>
      <c r="CO24" s="1389"/>
      <c r="CP24" s="1389"/>
      <c r="CQ24" s="1389"/>
      <c r="CR24" s="1389"/>
      <c r="CS24" s="1389"/>
      <c r="CT24" s="983" t="s">
        <v>4901</v>
      </c>
      <c r="CU24" s="1329"/>
    </row>
    <row r="25">
      <c r="A25" s="1441" t="s">
        <v>7447</v>
      </c>
      <c r="B25" s="788" t="s">
        <v>8863</v>
      </c>
      <c r="C25" s="784" t="s">
        <v>1256</v>
      </c>
      <c r="D25" s="785" t="s">
        <v>1256</v>
      </c>
      <c r="E25" s="786" t="s">
        <v>1256</v>
      </c>
      <c r="F25" s="787" t="s">
        <v>1256</v>
      </c>
      <c r="G25" s="788" t="s">
        <v>2872</v>
      </c>
      <c r="H25" s="1399"/>
      <c r="I25" s="1399" t="s">
        <v>8864</v>
      </c>
      <c r="J25" s="980"/>
      <c r="K25" s="980" t="s">
        <v>8865</v>
      </c>
      <c r="L25" s="980"/>
      <c r="M25" s="981"/>
      <c r="N25" s="1333" t="s">
        <v>8866</v>
      </c>
      <c r="O25" s="981"/>
      <c r="P25" s="981"/>
      <c r="Q25" s="981"/>
      <c r="R25" s="1342" t="s">
        <v>8867</v>
      </c>
      <c r="S25" s="981"/>
      <c r="T25" s="1342" t="s">
        <v>8868</v>
      </c>
      <c r="U25" s="1342" t="s">
        <v>8869</v>
      </c>
      <c r="V25" s="980"/>
      <c r="W25" s="1342" t="s">
        <v>2752</v>
      </c>
      <c r="X25" s="980"/>
      <c r="Y25" s="1342" t="s">
        <v>1011</v>
      </c>
      <c r="Z25" s="1333" t="s">
        <v>8870</v>
      </c>
      <c r="AA25" s="981"/>
      <c r="AB25" s="981"/>
      <c r="AC25" s="980"/>
      <c r="AD25" s="1342" t="s">
        <v>1978</v>
      </c>
      <c r="AE25" s="980"/>
      <c r="AF25" s="980"/>
      <c r="AG25" s="980"/>
      <c r="AH25" s="980"/>
      <c r="AI25" s="1333" t="s">
        <v>8871</v>
      </c>
      <c r="AJ25" s="981"/>
      <c r="AK25" s="981"/>
      <c r="AL25" s="981"/>
      <c r="AM25" s="1333" t="s">
        <v>8872</v>
      </c>
      <c r="AN25" s="981"/>
      <c r="AO25" s="981"/>
      <c r="AP25" s="980" t="s">
        <v>8873</v>
      </c>
      <c r="AQ25" s="981"/>
      <c r="AR25" s="1333" t="s">
        <v>8874</v>
      </c>
      <c r="AS25" s="981"/>
      <c r="AT25" s="1333" t="s">
        <v>8875</v>
      </c>
      <c r="AU25" s="980" t="s">
        <v>8876</v>
      </c>
      <c r="AV25" s="980"/>
      <c r="AW25" s="980" t="s">
        <v>8828</v>
      </c>
      <c r="AX25" s="981"/>
      <c r="AY25" s="1333" t="s">
        <v>8877</v>
      </c>
      <c r="AZ25" s="980"/>
      <c r="BA25" s="980"/>
      <c r="BB25" s="1333" t="s">
        <v>8878</v>
      </c>
      <c r="BC25" s="980"/>
      <c r="BD25" s="981"/>
      <c r="BE25" s="981"/>
      <c r="BF25" s="981"/>
      <c r="BG25" s="981"/>
      <c r="BH25" s="981"/>
      <c r="BI25" s="981"/>
      <c r="BJ25" s="981"/>
      <c r="BK25" s="981"/>
      <c r="BL25" s="981"/>
      <c r="BM25" s="981"/>
      <c r="BN25" s="981"/>
      <c r="BO25" s="981"/>
      <c r="BP25" s="981"/>
      <c r="BQ25" s="981"/>
      <c r="BR25" s="981"/>
      <c r="BS25" s="981"/>
      <c r="BT25" s="981"/>
      <c r="BU25" s="981"/>
      <c r="BV25" s="981"/>
      <c r="BW25" s="1333"/>
      <c r="BX25" s="981"/>
      <c r="BY25" s="981"/>
      <c r="BZ25" s="981"/>
      <c r="CA25" s="1333"/>
      <c r="CB25" s="981"/>
      <c r="CC25" s="981"/>
      <c r="CD25" s="1333"/>
      <c r="CE25" s="981"/>
      <c r="CF25" s="981"/>
      <c r="CG25" s="981"/>
      <c r="CH25" s="981"/>
      <c r="CI25" s="981"/>
      <c r="CJ25" s="981"/>
      <c r="CK25" s="981"/>
      <c r="CL25" s="981"/>
      <c r="CM25" s="981"/>
      <c r="CN25" s="981"/>
      <c r="CO25" s="981"/>
      <c r="CP25" s="981"/>
      <c r="CQ25" s="981"/>
      <c r="CR25" s="981"/>
      <c r="CS25" s="981"/>
      <c r="CT25" s="981"/>
      <c r="CU25" s="981"/>
    </row>
    <row r="26">
      <c r="A26" s="1401" t="s">
        <v>7486</v>
      </c>
      <c r="B26" s="788" t="s">
        <v>8879</v>
      </c>
      <c r="C26" s="784" t="s">
        <v>1256</v>
      </c>
      <c r="D26" s="785" t="s">
        <v>1256</v>
      </c>
      <c r="E26" s="786" t="s">
        <v>1256</v>
      </c>
      <c r="F26" s="787" t="s">
        <v>332</v>
      </c>
      <c r="G26" s="788" t="s">
        <v>3380</v>
      </c>
      <c r="H26" s="1399"/>
      <c r="I26" s="1399" t="s">
        <v>8880</v>
      </c>
      <c r="J26" s="980"/>
      <c r="K26" s="980" t="s">
        <v>8881</v>
      </c>
      <c r="L26" s="983" t="s">
        <v>3762</v>
      </c>
      <c r="M26" s="981"/>
      <c r="N26" s="981"/>
      <c r="O26" s="981"/>
      <c r="P26" s="980" t="s">
        <v>5803</v>
      </c>
      <c r="Q26" s="981"/>
      <c r="R26" s="983" t="s">
        <v>8882</v>
      </c>
      <c r="S26" s="981"/>
      <c r="T26" s="981"/>
      <c r="U26" s="980" t="s">
        <v>751</v>
      </c>
      <c r="V26" s="980"/>
      <c r="W26" s="1342" t="s">
        <v>4325</v>
      </c>
      <c r="X26" s="980" t="s">
        <v>3548</v>
      </c>
      <c r="Y26" s="983" t="s">
        <v>5840</v>
      </c>
      <c r="Z26" s="981"/>
      <c r="AA26" s="981"/>
      <c r="AB26" s="981"/>
      <c r="AC26" s="1342" t="s">
        <v>8883</v>
      </c>
      <c r="AD26" s="1342" t="s">
        <v>5738</v>
      </c>
      <c r="AE26" s="980"/>
      <c r="AF26" s="1342" t="s">
        <v>8884</v>
      </c>
      <c r="AG26" s="980"/>
      <c r="AH26" s="1342" t="s">
        <v>8885</v>
      </c>
      <c r="AI26" s="981"/>
      <c r="AJ26" s="981"/>
      <c r="AK26" s="1347" t="s">
        <v>3807</v>
      </c>
      <c r="AL26" s="1442"/>
      <c r="AM26" s="981"/>
      <c r="AN26" s="981"/>
      <c r="AO26" s="981"/>
      <c r="AP26" s="981"/>
      <c r="AQ26" s="981"/>
      <c r="AR26" s="1342" t="s">
        <v>8886</v>
      </c>
      <c r="AS26" s="980"/>
      <c r="AT26" s="981"/>
      <c r="AU26" s="981"/>
      <c r="AV26" s="981"/>
      <c r="AW26" s="1342" t="s">
        <v>8535</v>
      </c>
      <c r="AX26" s="981"/>
      <c r="AY26" s="981"/>
      <c r="AZ26" s="981"/>
      <c r="BA26" s="981"/>
      <c r="BB26" s="1342" t="s">
        <v>8380</v>
      </c>
      <c r="BC26" s="981"/>
      <c r="BD26" s="981"/>
      <c r="BE26" s="981"/>
      <c r="BF26" s="981"/>
      <c r="BG26" s="981"/>
      <c r="BH26" s="981"/>
      <c r="BI26" s="981"/>
      <c r="BJ26" s="981"/>
      <c r="BK26" s="981"/>
      <c r="BL26" s="981"/>
      <c r="BM26" s="981"/>
      <c r="BN26" s="981"/>
      <c r="BO26" s="981"/>
      <c r="BP26" s="981"/>
      <c r="BQ26" s="981"/>
      <c r="BR26" s="981"/>
      <c r="BS26" s="981"/>
      <c r="BT26" s="981"/>
      <c r="BU26" s="981"/>
      <c r="BV26" s="981"/>
      <c r="BW26" s="1333"/>
      <c r="BX26" s="981"/>
      <c r="BY26" s="981"/>
      <c r="BZ26" s="981"/>
      <c r="CA26" s="1333"/>
      <c r="CB26" s="981"/>
      <c r="CC26" s="981"/>
      <c r="CD26" s="1333"/>
      <c r="CE26" s="981"/>
      <c r="CF26" s="981"/>
      <c r="CG26" s="981"/>
      <c r="CH26" s="981"/>
      <c r="CI26" s="981"/>
      <c r="CJ26" s="981"/>
      <c r="CK26" s="981"/>
      <c r="CL26" s="981"/>
      <c r="CM26" s="1342" t="s">
        <v>4050</v>
      </c>
      <c r="CN26" s="1342" t="s">
        <v>220</v>
      </c>
      <c r="CO26" s="1342" t="s">
        <v>4674</v>
      </c>
      <c r="CP26" s="981"/>
      <c r="CQ26" s="981"/>
      <c r="CR26" s="981"/>
      <c r="CS26" s="981"/>
      <c r="CT26" s="981"/>
      <c r="CU26" s="981"/>
    </row>
    <row r="27">
      <c r="A27" s="1393" t="s">
        <v>7465</v>
      </c>
      <c r="B27" s="788" t="s">
        <v>224</v>
      </c>
      <c r="C27" s="784" t="s">
        <v>1256</v>
      </c>
      <c r="D27" s="785" t="s">
        <v>1256</v>
      </c>
      <c r="E27" s="786" t="s">
        <v>1256</v>
      </c>
      <c r="F27" s="787" t="s">
        <v>332</v>
      </c>
      <c r="G27" s="788" t="s">
        <v>2773</v>
      </c>
      <c r="H27" s="1399"/>
      <c r="I27" s="1399" t="s">
        <v>8887</v>
      </c>
      <c r="J27" s="981"/>
      <c r="K27" s="980" t="s">
        <v>8888</v>
      </c>
      <c r="L27" s="981"/>
      <c r="M27" s="981"/>
      <c r="N27" s="981"/>
      <c r="O27" s="981"/>
      <c r="P27" s="980" t="s">
        <v>8889</v>
      </c>
      <c r="Q27" s="981"/>
      <c r="R27" s="980" t="s">
        <v>8890</v>
      </c>
      <c r="S27" s="981"/>
      <c r="T27" s="980" t="s">
        <v>8891</v>
      </c>
      <c r="U27" s="983" t="s">
        <v>5406</v>
      </c>
      <c r="V27" s="981"/>
      <c r="W27" s="981"/>
      <c r="X27" s="980" t="s">
        <v>7690</v>
      </c>
      <c r="Y27" s="983" t="s">
        <v>7781</v>
      </c>
      <c r="Z27" s="981"/>
      <c r="AA27" s="980" t="s">
        <v>8892</v>
      </c>
      <c r="AB27" s="981"/>
      <c r="AC27" s="980" t="s">
        <v>8893</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3"/>
      <c r="BX27" s="981"/>
      <c r="BY27" s="981"/>
      <c r="BZ27" s="981"/>
      <c r="CA27" s="1333"/>
      <c r="CB27" s="981"/>
      <c r="CC27" s="981"/>
      <c r="CD27" s="1333"/>
      <c r="CE27" s="981"/>
      <c r="CF27" s="981"/>
      <c r="CG27" s="981"/>
      <c r="CH27" s="981"/>
      <c r="CI27" s="981"/>
      <c r="CJ27" s="981"/>
      <c r="CK27" s="981"/>
      <c r="CL27" s="981"/>
      <c r="CM27" s="981"/>
      <c r="CN27" s="981"/>
      <c r="CO27" s="981"/>
      <c r="CP27" s="981"/>
      <c r="CQ27" s="981"/>
      <c r="CR27" s="981"/>
      <c r="CS27" s="981"/>
      <c r="CT27" s="981"/>
      <c r="CU27" s="981"/>
    </row>
    <row r="28">
      <c r="A28" s="1431" t="s">
        <v>4672</v>
      </c>
      <c r="B28" s="788" t="s">
        <v>6035</v>
      </c>
      <c r="C28" s="784" t="s">
        <v>438</v>
      </c>
      <c r="D28" s="785" t="s">
        <v>1256</v>
      </c>
      <c r="E28" s="786" t="s">
        <v>546</v>
      </c>
      <c r="F28" s="787" t="s">
        <v>1197</v>
      </c>
      <c r="G28" s="788" t="s">
        <v>1197</v>
      </c>
      <c r="H28" s="1443"/>
      <c r="I28" s="1443"/>
      <c r="J28" s="981"/>
      <c r="K28" s="981"/>
      <c r="L28" s="981"/>
      <c r="M28" s="981"/>
      <c r="N28" s="981"/>
      <c r="O28" s="981"/>
      <c r="P28" s="981"/>
      <c r="Q28" s="981"/>
      <c r="R28" s="981"/>
      <c r="S28" s="981"/>
      <c r="T28" s="981"/>
      <c r="U28" s="981"/>
      <c r="V28" s="981"/>
      <c r="W28" s="981"/>
      <c r="X28" s="1334" t="s">
        <v>2982</v>
      </c>
      <c r="Y28" s="1334" t="s">
        <v>8748</v>
      </c>
      <c r="Z28" s="981"/>
      <c r="AA28" s="981"/>
      <c r="AB28" s="981"/>
      <c r="AC28" s="1334" t="s">
        <v>4745</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9"/>
      <c r="BH28" s="1409"/>
      <c r="BI28" s="1409"/>
      <c r="BJ28" s="1409"/>
      <c r="BK28" s="1409"/>
      <c r="BL28" s="1409"/>
      <c r="BM28" s="1409"/>
      <c r="BN28" s="1409"/>
      <c r="BO28" s="1409"/>
      <c r="BP28" s="1409"/>
      <c r="BQ28" s="981"/>
      <c r="BR28" s="981"/>
      <c r="BS28" s="981"/>
      <c r="BT28" s="981"/>
      <c r="BU28" s="981"/>
      <c r="BV28" s="1339" t="s">
        <v>4005</v>
      </c>
      <c r="BW28" s="1333"/>
      <c r="BX28" s="1334" t="s">
        <v>1752</v>
      </c>
      <c r="BY28" s="981"/>
      <c r="BZ28" s="1334" t="s">
        <v>8894</v>
      </c>
      <c r="CA28" s="1333"/>
      <c r="CB28" s="981"/>
      <c r="CC28" s="981"/>
      <c r="CD28" s="1444" t="s">
        <v>2069</v>
      </c>
      <c r="CE28" s="981"/>
      <c r="CF28" s="981"/>
      <c r="CG28" s="981"/>
      <c r="CH28" s="981"/>
      <c r="CI28" s="981"/>
      <c r="CJ28" s="981"/>
      <c r="CK28" s="981"/>
      <c r="CL28" s="981"/>
      <c r="CM28" s="981"/>
      <c r="CN28" s="981"/>
      <c r="CO28" s="981"/>
      <c r="CP28" s="981"/>
      <c r="CQ28" s="981"/>
      <c r="CR28" s="981"/>
      <c r="CS28" s="981"/>
      <c r="CT28" s="981"/>
      <c r="CU28" s="981"/>
    </row>
    <row r="29">
      <c r="A29" s="1445" t="s">
        <v>435</v>
      </c>
      <c r="B29" s="788" t="s">
        <v>6617</v>
      </c>
      <c r="C29" s="784" t="s">
        <v>1256</v>
      </c>
      <c r="D29" s="785" t="s">
        <v>546</v>
      </c>
      <c r="E29" s="786" t="s">
        <v>546</v>
      </c>
      <c r="F29" s="787" t="s">
        <v>647</v>
      </c>
      <c r="G29" s="788" t="s">
        <v>647</v>
      </c>
      <c r="H29" s="1399"/>
      <c r="I29" s="1399"/>
      <c r="J29" s="981"/>
      <c r="K29" s="981"/>
      <c r="L29" s="981"/>
      <c r="M29" s="981"/>
      <c r="N29" s="981"/>
      <c r="O29" s="981"/>
      <c r="P29" s="981"/>
      <c r="Q29" s="981"/>
      <c r="R29" s="981"/>
      <c r="S29" s="981"/>
      <c r="T29" s="981"/>
      <c r="U29" s="981"/>
      <c r="V29" s="981"/>
      <c r="W29" s="981"/>
      <c r="X29" s="983" t="s">
        <v>3284</v>
      </c>
      <c r="Y29" s="1339" t="s">
        <v>5294</v>
      </c>
      <c r="Z29" s="981"/>
      <c r="AA29" s="981"/>
      <c r="AB29" s="981"/>
      <c r="AC29" s="981"/>
      <c r="AD29" s="981"/>
      <c r="AE29" s="1329"/>
      <c r="AF29" s="1340" t="s">
        <v>5529</v>
      </c>
      <c r="AG29" s="981"/>
      <c r="AH29" s="981"/>
      <c r="AI29" s="981"/>
      <c r="AJ29" s="981"/>
      <c r="AK29" s="981"/>
      <c r="AL29" s="981"/>
      <c r="AM29" s="981"/>
      <c r="AN29" s="981"/>
      <c r="AO29" s="981"/>
      <c r="AP29" s="981"/>
      <c r="AQ29" s="981"/>
      <c r="AR29" s="981"/>
      <c r="AS29" s="981"/>
      <c r="AT29" s="981"/>
      <c r="AU29" s="981"/>
      <c r="AV29" s="981"/>
      <c r="AW29" s="981"/>
      <c r="AX29" s="980" t="s">
        <v>7554</v>
      </c>
      <c r="AY29" s="981"/>
      <c r="AZ29" s="981"/>
      <c r="BA29" s="981"/>
      <c r="BB29" s="981"/>
      <c r="BC29" s="981"/>
      <c r="BD29" s="981"/>
      <c r="BE29" s="981"/>
      <c r="BF29" s="981"/>
      <c r="BG29" s="1409"/>
      <c r="BH29" s="1409"/>
      <c r="BI29" s="1409"/>
      <c r="BJ29" s="1409"/>
      <c r="BK29" s="1409"/>
      <c r="BL29" s="1409"/>
      <c r="BM29" s="1409"/>
      <c r="BN29" s="1409"/>
      <c r="BO29" s="1409"/>
      <c r="BP29" s="1409"/>
      <c r="BQ29" s="981"/>
      <c r="BR29" s="981"/>
      <c r="BS29" s="981"/>
      <c r="BT29" s="981"/>
      <c r="BU29" s="981"/>
      <c r="BV29" s="980"/>
      <c r="BW29" s="1342"/>
      <c r="BX29" s="980"/>
      <c r="BY29" s="980"/>
      <c r="BZ29" s="980"/>
      <c r="CA29" s="1342"/>
      <c r="CB29" s="980"/>
      <c r="CC29" s="980"/>
      <c r="CD29" s="1342"/>
      <c r="CE29" s="1389"/>
      <c r="CF29" s="1389"/>
      <c r="CG29" s="1389"/>
      <c r="CH29" s="1389"/>
      <c r="CI29" s="1389"/>
      <c r="CJ29" s="1389"/>
      <c r="CK29" s="1389"/>
      <c r="CL29" s="1389"/>
      <c r="CM29" s="1389"/>
      <c r="CN29" s="1389"/>
      <c r="CO29" s="1389"/>
      <c r="CP29" s="1389"/>
      <c r="CQ29" s="1389"/>
      <c r="CR29" s="1389"/>
      <c r="CS29" s="1389"/>
      <c r="CT29" s="981"/>
      <c r="CU29" s="981"/>
    </row>
    <row r="30">
      <c r="A30" s="1438" t="s">
        <v>825</v>
      </c>
      <c r="B30" s="788" t="s">
        <v>3537</v>
      </c>
      <c r="C30" s="784" t="s">
        <v>1256</v>
      </c>
      <c r="D30" s="785" t="s">
        <v>1256</v>
      </c>
      <c r="E30" s="786" t="s">
        <v>1256</v>
      </c>
      <c r="F30" s="787" t="s">
        <v>437</v>
      </c>
      <c r="G30" s="788" t="s">
        <v>647</v>
      </c>
      <c r="H30" s="1399"/>
      <c r="I30" s="1399"/>
      <c r="J30" s="92"/>
      <c r="K30" s="92"/>
      <c r="L30" s="92"/>
      <c r="M30" s="92"/>
      <c r="N30" s="92"/>
      <c r="O30" s="92"/>
      <c r="P30" s="92"/>
      <c r="Q30" s="92"/>
      <c r="R30" s="113" t="s">
        <v>8895</v>
      </c>
      <c r="S30" s="92"/>
      <c r="T30" s="92"/>
      <c r="U30" s="92"/>
      <c r="V30" s="92"/>
      <c r="W30" s="92"/>
      <c r="X30" s="92"/>
      <c r="Y30" s="1347" t="s">
        <v>301</v>
      </c>
      <c r="Z30" s="92"/>
      <c r="AA30" s="92"/>
      <c r="AB30" s="92"/>
      <c r="AC30" s="92"/>
      <c r="AD30" s="92"/>
      <c r="AE30" s="92"/>
      <c r="AF30" s="92"/>
      <c r="AG30" s="92"/>
      <c r="AH30" s="92"/>
      <c r="AI30" s="92"/>
      <c r="AJ30" s="92"/>
      <c r="AK30" s="92"/>
      <c r="AL30" s="92"/>
      <c r="AM30" s="92"/>
      <c r="AN30" s="92"/>
      <c r="AO30" s="92"/>
      <c r="AP30" s="92"/>
      <c r="AQ30" s="92"/>
      <c r="AR30" s="92"/>
      <c r="AS30" s="92"/>
      <c r="AT30" s="92"/>
      <c r="AU30" s="1347" t="s">
        <v>8896</v>
      </c>
      <c r="AV30" s="1442"/>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1" t="s">
        <v>4945</v>
      </c>
      <c r="B31" s="788" t="s">
        <v>2153</v>
      </c>
      <c r="C31" s="784" t="s">
        <v>1256</v>
      </c>
      <c r="D31" s="785" t="s">
        <v>1256</v>
      </c>
      <c r="E31" s="786" t="s">
        <v>1256</v>
      </c>
      <c r="F31" s="787" t="s">
        <v>1256</v>
      </c>
      <c r="G31" s="788" t="s">
        <v>221</v>
      </c>
      <c r="H31" s="1399"/>
      <c r="I31" s="1399" t="s">
        <v>7554</v>
      </c>
      <c r="J31" s="981"/>
      <c r="K31" s="980" t="s">
        <v>8897</v>
      </c>
      <c r="L31" s="981"/>
      <c r="M31" s="981"/>
      <c r="N31" s="981"/>
      <c r="O31" s="981"/>
      <c r="P31" s="980" t="s">
        <v>8898</v>
      </c>
      <c r="Q31" s="981"/>
      <c r="R31" s="981"/>
      <c r="S31" s="981"/>
      <c r="T31" s="980" t="s">
        <v>8899</v>
      </c>
      <c r="U31" s="980" t="s">
        <v>8900</v>
      </c>
      <c r="V31" s="981"/>
      <c r="W31" s="980" t="s">
        <v>249</v>
      </c>
      <c r="X31" s="980" t="s">
        <v>8901</v>
      </c>
      <c r="Y31" s="980" t="s">
        <v>366</v>
      </c>
      <c r="Z31" s="981"/>
      <c r="AA31" s="981"/>
      <c r="AB31" s="981"/>
      <c r="AC31" s="981"/>
      <c r="AD31" s="981"/>
      <c r="AE31" s="981"/>
      <c r="AF31" s="981"/>
      <c r="AG31" s="981"/>
      <c r="AH31" s="981"/>
      <c r="AI31" s="981"/>
      <c r="AJ31" s="981"/>
      <c r="AK31" s="981"/>
      <c r="AL31" s="981"/>
      <c r="AM31" s="981"/>
      <c r="AN31" s="981"/>
      <c r="AO31" s="981"/>
      <c r="AP31" s="1019" t="s">
        <v>8642</v>
      </c>
      <c r="AQ31" s="1019"/>
      <c r="AR31" s="981"/>
      <c r="AS31" s="980" t="s">
        <v>8800</v>
      </c>
      <c r="AT31" s="981"/>
      <c r="AU31" s="980" t="s">
        <v>8886</v>
      </c>
      <c r="AV31" s="981"/>
      <c r="AW31" s="981"/>
      <c r="AX31" s="981"/>
      <c r="AY31" s="981"/>
      <c r="AZ31" s="980" t="s">
        <v>2376</v>
      </c>
      <c r="BA31" s="981"/>
      <c r="BB31" s="1019" t="s">
        <v>8902</v>
      </c>
      <c r="BC31" s="980" t="s">
        <v>8525</v>
      </c>
      <c r="BD31" s="980"/>
      <c r="BE31" s="981"/>
      <c r="BF31" s="981"/>
      <c r="BG31" s="981"/>
      <c r="BH31" s="981"/>
      <c r="BI31" s="981"/>
      <c r="BJ31" s="981"/>
      <c r="BK31" s="981"/>
      <c r="BL31" s="981"/>
      <c r="BM31" s="981"/>
      <c r="BN31" s="981"/>
      <c r="BO31" s="981"/>
      <c r="BP31" s="981"/>
      <c r="BQ31" s="981"/>
      <c r="BR31" s="981"/>
      <c r="BS31" s="981"/>
      <c r="BT31" s="981"/>
      <c r="BU31" s="981"/>
      <c r="BV31" s="981"/>
      <c r="BW31" s="1333"/>
      <c r="BX31" s="981"/>
      <c r="BY31" s="981"/>
      <c r="BZ31" s="981"/>
      <c r="CA31" s="1333"/>
      <c r="CB31" s="981"/>
      <c r="CC31" s="981"/>
      <c r="CD31" s="1333"/>
      <c r="CE31" s="981"/>
      <c r="CF31" s="981"/>
      <c r="CG31" s="981"/>
      <c r="CH31" s="981"/>
      <c r="CI31" s="981"/>
      <c r="CJ31" s="981"/>
      <c r="CK31" s="981"/>
      <c r="CL31" s="981"/>
      <c r="CM31" s="981"/>
      <c r="CN31" s="981"/>
      <c r="CO31" s="981"/>
      <c r="CP31" s="981"/>
      <c r="CQ31" s="981"/>
      <c r="CR31" s="981"/>
      <c r="CS31" s="981"/>
      <c r="CT31" s="981"/>
      <c r="CU31" s="981"/>
    </row>
    <row r="32">
      <c r="A32" s="1446" t="s">
        <v>4539</v>
      </c>
      <c r="B32" s="788" t="s">
        <v>4775</v>
      </c>
      <c r="C32" s="784" t="s">
        <v>1256</v>
      </c>
      <c r="D32" s="785" t="s">
        <v>1256</v>
      </c>
      <c r="E32" s="786" t="s">
        <v>1256</v>
      </c>
      <c r="F32" s="787" t="s">
        <v>1256</v>
      </c>
      <c r="G32" s="788" t="s">
        <v>981</v>
      </c>
      <c r="H32" s="1399"/>
      <c r="I32" s="1399"/>
      <c r="J32" s="981"/>
      <c r="K32" s="981"/>
      <c r="L32" s="981"/>
      <c r="M32" s="981"/>
      <c r="N32" s="981"/>
      <c r="O32" s="981"/>
      <c r="P32" s="981"/>
      <c r="Q32" s="981"/>
      <c r="R32" s="981"/>
      <c r="S32" s="981"/>
      <c r="T32" s="981"/>
      <c r="U32" s="981"/>
      <c r="V32" s="981"/>
      <c r="W32" s="1342" t="s">
        <v>669</v>
      </c>
      <c r="X32" s="980"/>
      <c r="Y32" s="1342" t="s">
        <v>6085</v>
      </c>
      <c r="Z32" s="981"/>
      <c r="AA32" s="981"/>
      <c r="AB32" s="981"/>
      <c r="AC32" s="1342" t="s">
        <v>8903</v>
      </c>
      <c r="AD32" s="980" t="s">
        <v>2126</v>
      </c>
      <c r="AE32" s="980"/>
      <c r="AF32" s="1342" t="s">
        <v>7247</v>
      </c>
      <c r="AG32" s="980"/>
      <c r="AH32" s="1342" t="s">
        <v>4448</v>
      </c>
      <c r="AI32" s="981"/>
      <c r="AJ32" s="981"/>
      <c r="AK32" s="981"/>
      <c r="AL32" s="981"/>
      <c r="AM32" s="981"/>
      <c r="AN32" s="981"/>
      <c r="AO32" s="981"/>
      <c r="AP32" s="981"/>
      <c r="AQ32" s="981"/>
      <c r="AR32" s="981"/>
      <c r="AS32" s="981"/>
      <c r="AT32" s="981"/>
      <c r="AU32" s="981"/>
      <c r="AV32" s="981"/>
      <c r="AW32" s="981"/>
      <c r="AX32" s="981"/>
      <c r="AY32" s="981"/>
      <c r="AZ32" s="981"/>
      <c r="BA32" s="981"/>
      <c r="BB32" s="1342" t="s">
        <v>8749</v>
      </c>
      <c r="BC32" s="981"/>
      <c r="BD32" s="981"/>
      <c r="BE32" s="981"/>
      <c r="BF32" s="981"/>
      <c r="BG32" s="1409"/>
      <c r="BH32" s="1409"/>
      <c r="BI32" s="1409"/>
      <c r="BJ32" s="1409"/>
      <c r="BK32" s="1409"/>
      <c r="BL32" s="1409"/>
      <c r="BM32" s="1409"/>
      <c r="BN32" s="1409"/>
      <c r="BO32" s="1409"/>
      <c r="BP32" s="1409"/>
      <c r="BQ32" s="981"/>
      <c r="BR32" s="981"/>
      <c r="BS32" s="981"/>
      <c r="BT32" s="981"/>
      <c r="BU32" s="981"/>
      <c r="BV32" s="981"/>
      <c r="BW32" s="1333"/>
      <c r="BX32" s="1342" t="s">
        <v>4560</v>
      </c>
      <c r="BY32" s="1342" t="s">
        <v>4475</v>
      </c>
      <c r="BZ32" s="981"/>
      <c r="CA32" s="1333"/>
      <c r="CB32" s="981"/>
      <c r="CC32" s="981"/>
      <c r="CD32" s="1333"/>
      <c r="CE32" s="1389"/>
      <c r="CF32" s="1389"/>
      <c r="CG32" s="1389"/>
      <c r="CH32" s="1389"/>
      <c r="CI32" s="1389"/>
      <c r="CJ32" s="1389"/>
      <c r="CK32" s="1389"/>
      <c r="CL32" s="1389"/>
      <c r="CM32" s="1389"/>
      <c r="CN32" s="1389"/>
      <c r="CO32" s="1389"/>
      <c r="CP32" s="1389"/>
      <c r="CQ32" s="1389"/>
      <c r="CR32" s="1389"/>
      <c r="CS32" s="1389"/>
      <c r="CT32" s="981"/>
      <c r="CU32" s="981"/>
    </row>
    <row r="33">
      <c r="A33" s="1447" t="s">
        <v>6204</v>
      </c>
      <c r="B33" s="788" t="s">
        <v>1634</v>
      </c>
      <c r="C33" s="784" t="s">
        <v>1256</v>
      </c>
      <c r="D33" s="785" t="s">
        <v>1256</v>
      </c>
      <c r="E33" s="786" t="s">
        <v>1256</v>
      </c>
      <c r="F33" s="787" t="s">
        <v>647</v>
      </c>
      <c r="G33" s="788" t="s">
        <v>333</v>
      </c>
      <c r="H33" s="1399" t="s">
        <v>8904</v>
      </c>
      <c r="I33" s="1399"/>
      <c r="J33" s="981"/>
      <c r="K33" s="981"/>
      <c r="L33" s="981"/>
      <c r="M33" s="981"/>
      <c r="N33" s="981"/>
      <c r="O33" s="981"/>
      <c r="P33" s="981"/>
      <c r="Q33" s="981"/>
      <c r="R33" s="981"/>
      <c r="S33" s="981"/>
      <c r="T33" s="983" t="s">
        <v>8905</v>
      </c>
      <c r="U33" s="980" t="s">
        <v>8906</v>
      </c>
      <c r="V33" s="980" t="s">
        <v>8907</v>
      </c>
      <c r="W33" s="981"/>
      <c r="X33" s="980" t="s">
        <v>8908</v>
      </c>
      <c r="Y33" s="980" t="s">
        <v>8909</v>
      </c>
      <c r="Z33" s="981"/>
      <c r="AA33" s="981"/>
      <c r="AB33" s="981"/>
      <c r="AC33" s="983" t="s">
        <v>1741</v>
      </c>
      <c r="AD33" s="980" t="s">
        <v>5507</v>
      </c>
      <c r="AE33" s="981"/>
      <c r="AF33" s="981"/>
      <c r="AG33" s="981"/>
      <c r="AH33" s="981"/>
      <c r="AI33" s="981"/>
      <c r="AJ33" s="981"/>
      <c r="AK33" s="981"/>
      <c r="AL33" s="981"/>
      <c r="AM33" s="980" t="s">
        <v>8910</v>
      </c>
      <c r="AN33" s="981"/>
      <c r="AO33" s="981"/>
      <c r="AP33" s="980" t="s">
        <v>8450</v>
      </c>
      <c r="AQ33" s="981"/>
      <c r="AR33" s="981"/>
      <c r="AS33" s="981"/>
      <c r="AT33" s="981"/>
      <c r="AU33" s="980" t="s">
        <v>8385</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3"/>
      <c r="BX33" s="981"/>
      <c r="BY33" s="981"/>
      <c r="BZ33" s="981"/>
      <c r="CA33" s="1333"/>
      <c r="CB33" s="981"/>
      <c r="CC33" s="981"/>
      <c r="CD33" s="1333"/>
      <c r="CE33" s="983" t="s">
        <v>8911</v>
      </c>
      <c r="CF33" s="981"/>
      <c r="CG33" s="981"/>
      <c r="CH33" s="981"/>
      <c r="CI33" s="981"/>
      <c r="CJ33" s="981"/>
      <c r="CK33" s="981"/>
      <c r="CL33" s="981"/>
      <c r="CM33" s="981"/>
      <c r="CN33" s="981"/>
      <c r="CO33" s="981"/>
      <c r="CP33" s="981"/>
      <c r="CQ33" s="981"/>
      <c r="CR33" s="981"/>
      <c r="CS33" s="981"/>
      <c r="CT33" s="981"/>
      <c r="CU33" s="981"/>
    </row>
    <row r="34">
      <c r="A34" s="1431" t="s">
        <v>7491</v>
      </c>
      <c r="B34" s="788" t="s">
        <v>3571</v>
      </c>
      <c r="C34" s="784" t="s">
        <v>546</v>
      </c>
      <c r="D34" s="785" t="s">
        <v>546</v>
      </c>
      <c r="E34" s="786" t="s">
        <v>1256</v>
      </c>
      <c r="F34" s="787" t="s">
        <v>437</v>
      </c>
      <c r="G34" s="788" t="s">
        <v>437</v>
      </c>
      <c r="H34" s="1399"/>
      <c r="I34" s="1399"/>
      <c r="J34" s="981"/>
      <c r="K34" s="981"/>
      <c r="L34" s="981"/>
      <c r="M34" s="981"/>
      <c r="N34" s="981"/>
      <c r="O34" s="1334" t="s">
        <v>8912</v>
      </c>
      <c r="P34" s="1340" t="s">
        <v>8913</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3"/>
      <c r="BX34" s="981"/>
      <c r="BY34" s="981"/>
      <c r="BZ34" s="981"/>
      <c r="CA34" s="1333"/>
      <c r="CB34" s="981"/>
      <c r="CC34" s="981"/>
      <c r="CD34" s="1333"/>
      <c r="CE34" s="981"/>
      <c r="CF34" s="981"/>
      <c r="CG34" s="981"/>
      <c r="CH34" s="981"/>
      <c r="CI34" s="981"/>
      <c r="CJ34" s="981"/>
      <c r="CK34" s="981"/>
      <c r="CL34" s="981"/>
      <c r="CM34" s="981"/>
      <c r="CN34" s="981"/>
      <c r="CO34" s="981"/>
      <c r="CP34" s="981"/>
      <c r="CQ34" s="981"/>
      <c r="CR34" s="981"/>
      <c r="CS34" s="981"/>
      <c r="CT34" s="981"/>
      <c r="CU34" s="981"/>
    </row>
    <row r="35">
      <c r="A35" s="1394" t="s">
        <v>8914</v>
      </c>
      <c r="B35" s="788" t="s">
        <v>5686</v>
      </c>
      <c r="C35" s="784" t="s">
        <v>1256</v>
      </c>
      <c r="D35" s="785" t="s">
        <v>1256</v>
      </c>
      <c r="E35" s="786" t="s">
        <v>1256</v>
      </c>
      <c r="F35" s="787" t="s">
        <v>1256</v>
      </c>
      <c r="G35" s="788" t="s">
        <v>334</v>
      </c>
      <c r="H35" s="1399"/>
      <c r="I35" s="1399"/>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9"/>
      <c r="BH35" s="1409"/>
      <c r="BI35" s="1409"/>
      <c r="BJ35" s="1409"/>
      <c r="BK35" s="1409"/>
      <c r="BL35" s="1409"/>
      <c r="BM35" s="1409"/>
      <c r="BN35" s="1409"/>
      <c r="BO35" s="1409"/>
      <c r="BP35" s="1409"/>
      <c r="BQ35" s="981"/>
      <c r="BR35" s="981"/>
      <c r="BS35" s="981"/>
      <c r="BT35" s="981"/>
      <c r="BU35" s="981"/>
      <c r="BV35" s="981"/>
      <c r="BW35" s="1333"/>
      <c r="BX35" s="1448" t="s">
        <v>2316</v>
      </c>
      <c r="BY35" s="1402" t="s">
        <v>3752</v>
      </c>
      <c r="BZ35" s="1402" t="s">
        <v>8915</v>
      </c>
      <c r="CA35" s="1333"/>
      <c r="CB35" s="1402" t="s">
        <v>1074</v>
      </c>
      <c r="CC35" s="1402" t="s">
        <v>2881</v>
      </c>
      <c r="CD35" s="1402"/>
      <c r="CE35" s="1389"/>
      <c r="CF35" s="1389"/>
      <c r="CG35" s="1389"/>
      <c r="CH35" s="1389"/>
      <c r="CI35" s="1389"/>
      <c r="CJ35" s="1389"/>
      <c r="CK35" s="1389"/>
      <c r="CL35" s="1389"/>
      <c r="CM35" s="1389"/>
      <c r="CN35" s="1389"/>
      <c r="CO35" s="1389"/>
      <c r="CP35" s="1389"/>
      <c r="CQ35" s="1389"/>
      <c r="CR35" s="1389"/>
      <c r="CS35" s="1389"/>
      <c r="CT35" s="981"/>
      <c r="CU35" s="981"/>
    </row>
    <row r="36">
      <c r="A36" s="1431" t="s">
        <v>1056</v>
      </c>
      <c r="B36" s="788" t="s">
        <v>6276</v>
      </c>
      <c r="C36" s="784" t="s">
        <v>546</v>
      </c>
      <c r="D36" s="785" t="s">
        <v>1256</v>
      </c>
      <c r="E36" s="786" t="s">
        <v>1256</v>
      </c>
      <c r="F36" s="787" t="s">
        <v>546</v>
      </c>
      <c r="G36" s="788" t="s">
        <v>546</v>
      </c>
      <c r="H36" s="1399"/>
      <c r="I36" s="1399"/>
      <c r="J36" s="981"/>
      <c r="K36" s="981"/>
      <c r="L36" s="981"/>
      <c r="M36" s="981"/>
      <c r="N36" s="981"/>
      <c r="O36" s="981"/>
      <c r="P36" s="981"/>
      <c r="Q36" s="981"/>
      <c r="R36" s="981"/>
      <c r="S36" s="981"/>
      <c r="T36" s="981"/>
      <c r="U36" s="981"/>
      <c r="V36" s="981"/>
      <c r="W36" s="981"/>
      <c r="X36" s="981"/>
      <c r="Y36" s="981"/>
      <c r="Z36" s="981"/>
      <c r="AA36" s="981"/>
      <c r="AB36" s="981"/>
      <c r="AC36" s="981"/>
      <c r="AD36" s="1334"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3"/>
      <c r="BX36" s="981"/>
      <c r="BY36" s="981"/>
      <c r="BZ36" s="981"/>
      <c r="CA36" s="1333"/>
      <c r="CB36" s="981"/>
      <c r="CC36" s="981"/>
      <c r="CD36" s="1333"/>
      <c r="CE36" s="981"/>
      <c r="CF36" s="981"/>
      <c r="CG36" s="981"/>
      <c r="CH36" s="981"/>
      <c r="CI36" s="981"/>
      <c r="CJ36" s="981"/>
      <c r="CK36" s="981"/>
      <c r="CL36" s="981"/>
      <c r="CM36" s="981"/>
      <c r="CN36" s="981"/>
      <c r="CO36" s="981"/>
      <c r="CP36" s="981"/>
      <c r="CQ36" s="981"/>
      <c r="CR36" s="981"/>
      <c r="CS36" s="981"/>
      <c r="CT36" s="981"/>
      <c r="CU36" s="981"/>
    </row>
    <row r="37">
      <c r="A37" s="1394" t="s">
        <v>3132</v>
      </c>
      <c r="B37" s="788" t="s">
        <v>4111</v>
      </c>
      <c r="C37" s="784" t="s">
        <v>1256</v>
      </c>
      <c r="D37" s="785" t="s">
        <v>1256</v>
      </c>
      <c r="E37" s="786" t="s">
        <v>546</v>
      </c>
      <c r="F37" s="787" t="s">
        <v>546</v>
      </c>
      <c r="G37" s="788" t="s">
        <v>546</v>
      </c>
      <c r="H37" s="1399"/>
      <c r="I37" s="1399"/>
      <c r="J37" s="981"/>
      <c r="K37" s="981"/>
      <c r="L37" s="981"/>
      <c r="M37" s="981"/>
      <c r="N37" s="981"/>
      <c r="O37" s="981"/>
      <c r="P37" s="981"/>
      <c r="Q37" s="981"/>
      <c r="R37" s="981"/>
      <c r="S37" s="981"/>
      <c r="T37" s="981"/>
      <c r="U37" s="981"/>
      <c r="V37" s="981"/>
      <c r="W37" s="981"/>
      <c r="X37" s="981"/>
      <c r="Y37" s="981"/>
      <c r="Z37" s="981"/>
      <c r="AA37" s="981"/>
      <c r="AB37" s="981"/>
      <c r="AC37" s="980"/>
      <c r="AD37" s="1339" t="s">
        <v>425</v>
      </c>
      <c r="AE37" s="1329"/>
      <c r="AF37" s="1329"/>
      <c r="AG37" s="1329"/>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3"/>
      <c r="BX37" s="981"/>
      <c r="BY37" s="981"/>
      <c r="BZ37" s="981"/>
      <c r="CA37" s="1333"/>
      <c r="CB37" s="981"/>
      <c r="CC37" s="981"/>
      <c r="CD37" s="1333"/>
      <c r="CE37" s="1424"/>
      <c r="CF37" s="1424"/>
      <c r="CG37" s="1424"/>
      <c r="CH37" s="1424"/>
      <c r="CI37" s="1424"/>
      <c r="CJ37" s="1424"/>
      <c r="CK37" s="1424"/>
      <c r="CL37" s="1424"/>
      <c r="CM37" s="1389"/>
      <c r="CN37" s="1389"/>
      <c r="CO37" s="1389"/>
      <c r="CP37" s="1389"/>
      <c r="CQ37" s="1389"/>
      <c r="CR37" s="1389"/>
      <c r="CS37" s="1389"/>
      <c r="CT37" s="1329"/>
      <c r="CU37" s="1329"/>
    </row>
    <row r="38">
      <c r="A38" s="1449" t="s">
        <v>6535</v>
      </c>
      <c r="B38" s="788" t="s">
        <v>4050</v>
      </c>
      <c r="C38" s="784" t="s">
        <v>1256</v>
      </c>
      <c r="D38" s="785" t="s">
        <v>1256</v>
      </c>
      <c r="E38" s="786" t="s">
        <v>1256</v>
      </c>
      <c r="F38" s="787" t="s">
        <v>1256</v>
      </c>
      <c r="G38" s="788" t="s">
        <v>333</v>
      </c>
      <c r="H38" s="1399"/>
      <c r="I38" s="1399"/>
      <c r="J38" s="981"/>
      <c r="K38" s="981"/>
      <c r="L38" s="981"/>
      <c r="M38" s="981"/>
      <c r="N38" s="981"/>
      <c r="O38" s="981"/>
      <c r="P38" s="981"/>
      <c r="Q38" s="981"/>
      <c r="R38" s="981"/>
      <c r="S38" s="980" t="s">
        <v>8916</v>
      </c>
      <c r="T38" s="981"/>
      <c r="U38" s="980" t="s">
        <v>8917</v>
      </c>
      <c r="V38" s="981"/>
      <c r="W38" s="981"/>
      <c r="X38" s="980" t="s">
        <v>6429</v>
      </c>
      <c r="Y38" s="980" t="s">
        <v>2005</v>
      </c>
      <c r="Z38" s="981"/>
      <c r="AA38" s="980" t="s">
        <v>3145</v>
      </c>
      <c r="AB38" s="981"/>
      <c r="AC38" s="980" t="s">
        <v>8918</v>
      </c>
      <c r="AD38" s="980" t="s">
        <v>2125</v>
      </c>
      <c r="AE38" s="980" t="s">
        <v>6514</v>
      </c>
      <c r="AF38" s="980" t="s">
        <v>8919</v>
      </c>
      <c r="AG38" s="981"/>
      <c r="AH38" s="981"/>
      <c r="AI38" s="981"/>
      <c r="AJ38" s="981"/>
      <c r="AK38" s="1342"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3"/>
      <c r="BX38" s="981"/>
      <c r="BY38" s="981"/>
      <c r="BZ38" s="981"/>
      <c r="CA38" s="1333"/>
      <c r="CB38" s="981"/>
      <c r="CC38" s="981"/>
      <c r="CD38" s="1333"/>
      <c r="CE38" s="980" t="s">
        <v>8920</v>
      </c>
      <c r="CF38" s="981"/>
      <c r="CG38" s="981"/>
      <c r="CH38" s="981"/>
      <c r="CI38" s="981"/>
      <c r="CJ38" s="980" t="s">
        <v>8921</v>
      </c>
      <c r="CK38" s="981"/>
      <c r="CL38" s="981"/>
      <c r="CM38" s="981"/>
      <c r="CN38" s="981"/>
      <c r="CO38" s="981"/>
      <c r="CP38" s="981"/>
      <c r="CQ38" s="981"/>
      <c r="CR38" s="981"/>
      <c r="CS38" s="981"/>
      <c r="CT38" s="981"/>
      <c r="CU38" s="981"/>
    </row>
    <row r="39">
      <c r="A39" s="1434" t="s">
        <v>1413</v>
      </c>
      <c r="B39" s="788" t="s">
        <v>8337</v>
      </c>
      <c r="C39" s="784" t="s">
        <v>1256</v>
      </c>
      <c r="D39" s="785" t="s">
        <v>546</v>
      </c>
      <c r="E39" s="786" t="s">
        <v>1256</v>
      </c>
      <c r="F39" s="787" t="s">
        <v>546</v>
      </c>
      <c r="G39" s="788" t="s">
        <v>546</v>
      </c>
      <c r="H39" s="1399"/>
      <c r="I39" s="1399"/>
      <c r="J39" s="981"/>
      <c r="K39" s="981"/>
      <c r="L39" s="981"/>
      <c r="M39" s="981"/>
      <c r="N39" s="981"/>
      <c r="O39" s="981"/>
      <c r="P39" s="981"/>
      <c r="Q39" s="981"/>
      <c r="R39" s="981"/>
      <c r="S39" s="981"/>
      <c r="T39" s="981"/>
      <c r="U39" s="981"/>
      <c r="V39" s="981"/>
      <c r="W39" s="1340" t="s">
        <v>5626</v>
      </c>
      <c r="X39" s="1329"/>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3"/>
      <c r="BX39" s="981"/>
      <c r="BY39" s="981"/>
      <c r="BZ39" s="981"/>
      <c r="CA39" s="1333"/>
      <c r="CB39" s="981"/>
      <c r="CC39" s="981"/>
      <c r="CD39" s="1333"/>
      <c r="CE39" s="1424"/>
      <c r="CF39" s="1424"/>
      <c r="CG39" s="1424"/>
      <c r="CH39" s="1424"/>
      <c r="CI39" s="1424"/>
      <c r="CJ39" s="1424"/>
      <c r="CK39" s="1424"/>
      <c r="CL39" s="1424"/>
      <c r="CM39" s="1389"/>
      <c r="CN39" s="1389"/>
      <c r="CO39" s="1389"/>
      <c r="CP39" s="1389"/>
      <c r="CQ39" s="1389"/>
      <c r="CR39" s="1389"/>
      <c r="CS39" s="1389"/>
      <c r="CT39" s="981"/>
      <c r="CU39" s="981"/>
    </row>
    <row r="40">
      <c r="A40" s="1450" t="s">
        <v>5796</v>
      </c>
      <c r="B40" s="788" t="s">
        <v>8337</v>
      </c>
      <c r="C40" s="784" t="s">
        <v>1256</v>
      </c>
      <c r="D40" s="785" t="s">
        <v>1256</v>
      </c>
      <c r="E40" s="786" t="s">
        <v>1256</v>
      </c>
      <c r="F40" s="787" t="s">
        <v>1256</v>
      </c>
      <c r="G40" s="788" t="s">
        <v>3291</v>
      </c>
      <c r="H40" s="1399"/>
      <c r="I40" s="1399"/>
      <c r="J40" s="981"/>
      <c r="K40" s="981"/>
      <c r="L40" s="981"/>
      <c r="M40" s="981"/>
      <c r="N40" s="981"/>
      <c r="O40" s="981"/>
      <c r="P40" s="980" t="s">
        <v>8922</v>
      </c>
      <c r="Q40" s="981"/>
      <c r="R40" s="980" t="s">
        <v>8923</v>
      </c>
      <c r="S40" s="981"/>
      <c r="T40" s="981"/>
      <c r="U40" s="981"/>
      <c r="V40" s="981"/>
      <c r="W40" s="981"/>
      <c r="X40" s="980" t="s">
        <v>8797</v>
      </c>
      <c r="Y40" s="981"/>
      <c r="Z40" s="981"/>
      <c r="AA40" s="980" t="s">
        <v>8924</v>
      </c>
      <c r="AB40" s="981"/>
      <c r="AC40" s="981"/>
      <c r="AD40" s="981"/>
      <c r="AE40" s="980" t="s">
        <v>3922</v>
      </c>
      <c r="AF40" s="980" t="s">
        <v>8925</v>
      </c>
      <c r="AG40" s="980" t="s">
        <v>568</v>
      </c>
      <c r="AH40" s="1342" t="s">
        <v>8926</v>
      </c>
      <c r="AI40" s="981"/>
      <c r="AJ40" s="981"/>
      <c r="AK40" s="981"/>
      <c r="AL40" s="981"/>
      <c r="AM40" s="981"/>
      <c r="AN40" s="981"/>
      <c r="AO40" s="981"/>
      <c r="AP40" s="980" t="s">
        <v>8621</v>
      </c>
      <c r="AQ40" s="981"/>
      <c r="AR40" s="981"/>
      <c r="AS40" s="981"/>
      <c r="AT40" s="981"/>
      <c r="AU40" s="981"/>
      <c r="AV40" s="981"/>
      <c r="AW40" s="981"/>
      <c r="AX40" s="981"/>
      <c r="AY40" s="981"/>
      <c r="AZ40" s="981"/>
      <c r="BA40" s="981"/>
      <c r="BB40" s="980" t="s">
        <v>8876</v>
      </c>
      <c r="BC40" s="981"/>
      <c r="BD40" s="981"/>
      <c r="BE40" s="981"/>
      <c r="BF40" s="981"/>
      <c r="BG40" s="981"/>
      <c r="BH40" s="981"/>
      <c r="BI40" s="981"/>
      <c r="BJ40" s="981"/>
      <c r="BK40" s="981"/>
      <c r="BL40" s="981"/>
      <c r="BM40" s="981"/>
      <c r="BN40" s="981"/>
      <c r="BO40" s="981"/>
      <c r="BP40" s="981"/>
      <c r="BQ40" s="981"/>
      <c r="BR40" s="981"/>
      <c r="BS40" s="981"/>
      <c r="BT40" s="981"/>
      <c r="BU40" s="981"/>
      <c r="BV40" s="981"/>
      <c r="BW40" s="1333"/>
      <c r="BX40" s="981"/>
      <c r="BY40" s="981"/>
      <c r="BZ40" s="981"/>
      <c r="CA40" s="1333"/>
      <c r="CB40" s="981"/>
      <c r="CC40" s="981"/>
      <c r="CD40" s="1333"/>
      <c r="CE40" s="981"/>
      <c r="CF40" s="981"/>
      <c r="CG40" s="981"/>
      <c r="CH40" s="981"/>
      <c r="CI40" s="981"/>
      <c r="CJ40" s="981"/>
      <c r="CK40" s="981"/>
      <c r="CL40" s="981"/>
      <c r="CM40" s="981"/>
      <c r="CN40" s="981"/>
      <c r="CO40" s="981"/>
      <c r="CP40" s="981"/>
      <c r="CQ40" s="981"/>
      <c r="CR40" s="981"/>
      <c r="CS40" s="981"/>
      <c r="CT40" s="981"/>
      <c r="CU40" s="981"/>
    </row>
    <row r="41">
      <c r="A41" s="1394" t="s">
        <v>4648</v>
      </c>
      <c r="B41" s="788" t="s">
        <v>3969</v>
      </c>
      <c r="C41" s="784" t="s">
        <v>1256</v>
      </c>
      <c r="D41" s="785" t="s">
        <v>1256</v>
      </c>
      <c r="E41" s="786" t="s">
        <v>1256</v>
      </c>
      <c r="F41" s="787" t="s">
        <v>1256</v>
      </c>
      <c r="G41" s="788" t="s">
        <v>546</v>
      </c>
      <c r="H41" s="1399"/>
      <c r="I41" s="1399"/>
      <c r="J41" s="981"/>
      <c r="K41" s="981"/>
      <c r="L41" s="981"/>
      <c r="M41" s="981"/>
      <c r="N41" s="981"/>
      <c r="O41" s="981"/>
      <c r="P41" s="981"/>
      <c r="Q41" s="981"/>
      <c r="R41" s="981"/>
      <c r="S41" s="981"/>
      <c r="T41" s="981"/>
      <c r="U41" s="981"/>
      <c r="V41" s="981"/>
      <c r="W41" s="92"/>
      <c r="X41" s="92"/>
      <c r="Y41" s="1342"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3"/>
      <c r="BX41" s="981"/>
      <c r="BY41" s="981"/>
      <c r="BZ41" s="981"/>
      <c r="CA41" s="1333"/>
      <c r="CB41" s="981"/>
      <c r="CC41" s="981"/>
      <c r="CD41" s="1333"/>
      <c r="CE41" s="981"/>
      <c r="CF41" s="981"/>
      <c r="CG41" s="981"/>
      <c r="CH41" s="981"/>
      <c r="CI41" s="981"/>
      <c r="CJ41" s="981"/>
      <c r="CK41" s="981"/>
      <c r="CL41" s="981"/>
      <c r="CM41" s="981"/>
      <c r="CN41" s="981"/>
      <c r="CO41" s="981"/>
      <c r="CP41" s="981"/>
      <c r="CQ41" s="981"/>
      <c r="CR41" s="981"/>
      <c r="CS41" s="981"/>
      <c r="CT41" s="981"/>
      <c r="CU41" s="981"/>
    </row>
    <row r="42">
      <c r="A42" s="1431" t="s">
        <v>7213</v>
      </c>
      <c r="B42" s="788" t="s">
        <v>6245</v>
      </c>
      <c r="C42" s="784" t="s">
        <v>1256</v>
      </c>
      <c r="D42" s="785" t="s">
        <v>1256</v>
      </c>
      <c r="E42" s="786" t="s">
        <v>1256</v>
      </c>
      <c r="F42" s="787" t="s">
        <v>1256</v>
      </c>
      <c r="G42" s="788" t="s">
        <v>437</v>
      </c>
      <c r="H42" s="1443"/>
      <c r="I42" s="1443"/>
      <c r="J42" s="981"/>
      <c r="K42" s="981"/>
      <c r="L42" s="981"/>
      <c r="M42" s="981"/>
      <c r="N42" s="981"/>
      <c r="O42" s="981"/>
      <c r="P42" s="981"/>
      <c r="Q42" s="981"/>
      <c r="R42" s="980" t="s">
        <v>8927</v>
      </c>
      <c r="S42" s="981"/>
      <c r="T42" s="981"/>
      <c r="U42" s="980" t="s">
        <v>8928</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9"/>
      <c r="BH42" s="1409"/>
      <c r="BI42" s="1409"/>
      <c r="BJ42" s="1409"/>
      <c r="BK42" s="1409"/>
      <c r="BL42" s="1409"/>
      <c r="BM42" s="1409"/>
      <c r="BN42" s="1409"/>
      <c r="BO42" s="1409"/>
      <c r="BP42" s="1409"/>
      <c r="BQ42" s="981"/>
      <c r="BR42" s="981"/>
      <c r="BS42" s="981"/>
      <c r="BT42" s="981"/>
      <c r="BU42" s="981"/>
      <c r="BV42" s="981"/>
      <c r="BW42" s="1333"/>
      <c r="BX42" s="981"/>
      <c r="BY42" s="981"/>
      <c r="BZ42" s="981"/>
      <c r="CA42" s="1333"/>
      <c r="CB42" s="981"/>
      <c r="CC42" s="981"/>
      <c r="CD42" s="1333"/>
      <c r="CE42" s="1389"/>
      <c r="CF42" s="1389"/>
      <c r="CG42" s="1389"/>
      <c r="CH42" s="1389"/>
      <c r="CI42" s="1389"/>
      <c r="CJ42" s="1389"/>
      <c r="CK42" s="1389"/>
      <c r="CL42" s="1389"/>
      <c r="CM42" s="981"/>
      <c r="CN42" s="981"/>
      <c r="CO42" s="981"/>
      <c r="CP42" s="981"/>
      <c r="CQ42" s="981"/>
      <c r="CR42" s="981"/>
      <c r="CS42" s="981"/>
      <c r="CT42" s="981"/>
      <c r="CU42" s="981"/>
    </row>
    <row r="43">
      <c r="A43" s="1431" t="s">
        <v>8929</v>
      </c>
      <c r="B43" s="788" t="s">
        <v>3380</v>
      </c>
      <c r="C43" s="784" t="s">
        <v>1256</v>
      </c>
      <c r="D43" s="785" t="s">
        <v>1256</v>
      </c>
      <c r="E43" s="786" t="s">
        <v>1256</v>
      </c>
      <c r="F43" s="787" t="s">
        <v>546</v>
      </c>
      <c r="G43" s="788" t="s">
        <v>546</v>
      </c>
      <c r="H43" s="1399"/>
      <c r="I43" s="1399"/>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8550</v>
      </c>
      <c r="AQ43" s="981"/>
      <c r="AR43" s="981"/>
      <c r="AS43" s="981"/>
      <c r="AT43" s="981"/>
      <c r="AU43" s="981"/>
      <c r="AV43" s="981"/>
      <c r="AW43" s="981"/>
      <c r="AX43" s="981"/>
      <c r="AY43" s="981"/>
      <c r="AZ43" s="981"/>
      <c r="BA43" s="981"/>
      <c r="BB43" s="981"/>
      <c r="BC43" s="981"/>
      <c r="BD43" s="981"/>
      <c r="BE43" s="981"/>
      <c r="BF43" s="981"/>
      <c r="BG43" s="1409"/>
      <c r="BH43" s="1409"/>
      <c r="BI43" s="1409"/>
      <c r="BJ43" s="1409"/>
      <c r="BK43" s="1409"/>
      <c r="BL43" s="1409"/>
      <c r="BM43" s="1409"/>
      <c r="BN43" s="1409"/>
      <c r="BO43" s="1409"/>
      <c r="BP43" s="1409"/>
      <c r="BQ43" s="981"/>
      <c r="BR43" s="981"/>
      <c r="BS43" s="981"/>
      <c r="BT43" s="981"/>
      <c r="BU43" s="981"/>
      <c r="BV43" s="981"/>
      <c r="BW43" s="1333"/>
      <c r="BX43" s="981"/>
      <c r="BY43" s="981"/>
      <c r="BZ43" s="981"/>
      <c r="CA43" s="1333"/>
      <c r="CB43" s="981"/>
      <c r="CC43" s="981"/>
      <c r="CD43" s="1333"/>
      <c r="CE43" s="1389"/>
      <c r="CF43" s="1389"/>
      <c r="CG43" s="1389"/>
      <c r="CH43" s="1389"/>
      <c r="CI43" s="1389"/>
      <c r="CJ43" s="1389"/>
      <c r="CK43" s="1389"/>
      <c r="CL43" s="1389"/>
      <c r="CM43" s="1389"/>
      <c r="CN43" s="1389"/>
      <c r="CO43" s="1389"/>
      <c r="CP43" s="1389"/>
      <c r="CQ43" s="1389"/>
      <c r="CR43" s="1389"/>
      <c r="CS43" s="1389"/>
      <c r="CT43" s="981"/>
      <c r="CU43" s="981"/>
    </row>
    <row r="44">
      <c r="A44" s="1434" t="s">
        <v>897</v>
      </c>
      <c r="B44" s="788" t="s">
        <v>6313</v>
      </c>
      <c r="C44" s="784" t="s">
        <v>1256</v>
      </c>
      <c r="D44" s="785" t="s">
        <v>1256</v>
      </c>
      <c r="E44" s="786" t="s">
        <v>1256</v>
      </c>
      <c r="F44" s="787" t="s">
        <v>546</v>
      </c>
      <c r="G44" s="788" t="s">
        <v>546</v>
      </c>
      <c r="H44" s="1399"/>
      <c r="I44" s="1399"/>
      <c r="J44" s="981"/>
      <c r="K44" s="981"/>
      <c r="L44" s="981"/>
      <c r="M44" s="981"/>
      <c r="N44" s="981"/>
      <c r="O44" s="981"/>
      <c r="P44" s="981"/>
      <c r="Q44" s="981"/>
      <c r="R44" s="983" t="s">
        <v>8930</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1"/>
      <c r="BH44" s="1451"/>
      <c r="BI44" s="1451"/>
      <c r="BJ44" s="1451"/>
      <c r="BK44" s="1451"/>
      <c r="BL44" s="1451"/>
      <c r="BM44" s="1451"/>
      <c r="BN44" s="1451"/>
      <c r="BO44" s="1451"/>
      <c r="BP44" s="1451"/>
      <c r="BQ44" s="981"/>
      <c r="BR44" s="981"/>
      <c r="BS44" s="981"/>
      <c r="BT44" s="981"/>
      <c r="BU44" s="981"/>
      <c r="BV44" s="981"/>
      <c r="BW44" s="1333"/>
      <c r="BX44" s="981"/>
      <c r="BY44" s="981"/>
      <c r="BZ44" s="981"/>
      <c r="CA44" s="1333"/>
      <c r="CB44" s="981"/>
      <c r="CC44" s="981"/>
      <c r="CD44" s="1333"/>
      <c r="CE44" s="1452"/>
      <c r="CF44" s="1452"/>
      <c r="CG44" s="1452"/>
      <c r="CH44" s="1452"/>
      <c r="CI44" s="1452"/>
      <c r="CJ44" s="1452"/>
      <c r="CK44" s="1452"/>
      <c r="CL44" s="1452"/>
      <c r="CM44" s="1329"/>
      <c r="CN44" s="1329"/>
      <c r="CO44" s="1329"/>
      <c r="CP44" s="1329"/>
      <c r="CQ44" s="1329"/>
      <c r="CR44" s="1329"/>
      <c r="CS44" s="1329"/>
      <c r="CT44" s="981"/>
      <c r="CU44" s="981"/>
    </row>
    <row r="45">
      <c r="A45" s="1453" t="s">
        <v>6265</v>
      </c>
      <c r="B45" s="788" t="s">
        <v>222</v>
      </c>
      <c r="C45" s="784" t="s">
        <v>1256</v>
      </c>
      <c r="D45" s="785" t="s">
        <v>1256</v>
      </c>
      <c r="E45" s="786" t="s">
        <v>1256</v>
      </c>
      <c r="F45" s="787" t="s">
        <v>1256</v>
      </c>
      <c r="G45" s="788" t="s">
        <v>334</v>
      </c>
      <c r="H45" s="1399"/>
      <c r="I45" s="1399"/>
      <c r="J45" s="981"/>
      <c r="K45" s="980" t="s">
        <v>8931</v>
      </c>
      <c r="L45" s="981"/>
      <c r="M45" s="981"/>
      <c r="N45" s="981"/>
      <c r="O45" s="981"/>
      <c r="P45" s="981"/>
      <c r="Q45" s="981"/>
      <c r="R45" s="981"/>
      <c r="S45" s="981"/>
      <c r="T45" s="981"/>
      <c r="U45" s="981"/>
      <c r="V45" s="981"/>
      <c r="W45" s="1342" t="s">
        <v>6520</v>
      </c>
      <c r="X45" s="980"/>
      <c r="Y45" s="981"/>
      <c r="Z45" s="981"/>
      <c r="AA45" s="981"/>
      <c r="AB45" s="981"/>
      <c r="AC45" s="981"/>
      <c r="AD45" s="1342" t="s">
        <v>3077</v>
      </c>
      <c r="AE45" s="92"/>
      <c r="AF45" s="92"/>
      <c r="AG45" s="92"/>
      <c r="AH45" s="981"/>
      <c r="AI45" s="981"/>
      <c r="AJ45" s="981"/>
      <c r="AK45" s="981"/>
      <c r="AL45" s="981"/>
      <c r="AM45" s="981"/>
      <c r="AN45" s="981"/>
      <c r="AO45" s="981"/>
      <c r="AP45" s="981"/>
      <c r="AQ45" s="981"/>
      <c r="AR45" s="981"/>
      <c r="AS45" s="981"/>
      <c r="AT45" s="981"/>
      <c r="AU45" s="980" t="s">
        <v>8553</v>
      </c>
      <c r="AV45" s="980"/>
      <c r="AW45" s="981"/>
      <c r="AX45" s="981"/>
      <c r="AY45" s="981"/>
      <c r="AZ45" s="981"/>
      <c r="BA45" s="981"/>
      <c r="BB45" s="981"/>
      <c r="BC45" s="980" t="s">
        <v>8623</v>
      </c>
      <c r="BD45" s="981"/>
      <c r="BE45" s="981"/>
      <c r="BF45" s="981"/>
      <c r="BG45" s="981"/>
      <c r="BH45" s="981"/>
      <c r="BI45" s="981"/>
      <c r="BJ45" s="981"/>
      <c r="BK45" s="981"/>
      <c r="BL45" s="981"/>
      <c r="BM45" s="981"/>
      <c r="BN45" s="981"/>
      <c r="BO45" s="981"/>
      <c r="BP45" s="981"/>
      <c r="BQ45" s="981"/>
      <c r="BR45" s="981"/>
      <c r="BS45" s="981"/>
      <c r="BT45" s="981"/>
      <c r="BU45" s="981"/>
      <c r="BV45" s="981"/>
      <c r="BW45" s="1333"/>
      <c r="BX45" s="981"/>
      <c r="BY45" s="981"/>
      <c r="BZ45" s="981"/>
      <c r="CA45" s="1333"/>
      <c r="CB45" s="981"/>
      <c r="CC45" s="981"/>
      <c r="CD45" s="1333"/>
      <c r="CE45" s="981"/>
      <c r="CF45" s="981"/>
      <c r="CG45" s="981"/>
      <c r="CH45" s="981"/>
      <c r="CI45" s="981"/>
      <c r="CJ45" s="981"/>
      <c r="CK45" s="981"/>
      <c r="CL45" s="981"/>
      <c r="CM45" s="981"/>
      <c r="CN45" s="981"/>
      <c r="CO45" s="981"/>
      <c r="CP45" s="981"/>
      <c r="CQ45" s="981"/>
      <c r="CR45" s="981"/>
      <c r="CS45" s="981"/>
      <c r="CT45" s="981"/>
      <c r="CU45" s="981"/>
    </row>
    <row r="46">
      <c r="A46" s="1454" t="s">
        <v>6647</v>
      </c>
      <c r="B46" s="788" t="s">
        <v>222</v>
      </c>
      <c r="C46" s="784" t="s">
        <v>1256</v>
      </c>
      <c r="D46" s="785" t="s">
        <v>1256</v>
      </c>
      <c r="E46" s="786" t="s">
        <v>1256</v>
      </c>
      <c r="F46" s="787" t="s">
        <v>1256</v>
      </c>
      <c r="G46" s="788" t="s">
        <v>981</v>
      </c>
      <c r="H46" s="1399"/>
      <c r="I46" s="1399" t="s">
        <v>8932</v>
      </c>
      <c r="J46" s="981"/>
      <c r="K46" s="981"/>
      <c r="L46" s="981"/>
      <c r="M46" s="981"/>
      <c r="N46" s="981"/>
      <c r="O46" s="981"/>
      <c r="P46" s="981"/>
      <c r="Q46" s="981"/>
      <c r="R46" s="981"/>
      <c r="S46" s="981"/>
      <c r="T46" s="981"/>
      <c r="U46" s="980" t="s">
        <v>8933</v>
      </c>
      <c r="V46" s="981"/>
      <c r="W46" s="981"/>
      <c r="X46" s="981"/>
      <c r="Y46" s="981"/>
      <c r="Z46" s="981"/>
      <c r="AA46" s="981"/>
      <c r="AB46" s="981"/>
      <c r="AC46" s="980" t="s">
        <v>8934</v>
      </c>
      <c r="AD46" s="981"/>
      <c r="AE46" s="981"/>
      <c r="AF46" s="981"/>
      <c r="AG46" s="981"/>
      <c r="AH46" s="981"/>
      <c r="AI46" s="981"/>
      <c r="AJ46" s="981"/>
      <c r="AK46" s="981"/>
      <c r="AL46" s="981"/>
      <c r="AM46" s="981"/>
      <c r="AN46" s="981"/>
      <c r="AO46" s="981"/>
      <c r="AP46" s="980" t="s">
        <v>8935</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3"/>
      <c r="BX46" s="981"/>
      <c r="BY46" s="981"/>
      <c r="BZ46" s="981"/>
      <c r="CA46" s="1333"/>
      <c r="CB46" s="981"/>
      <c r="CC46" s="981"/>
      <c r="CD46" s="1333"/>
      <c r="CE46" s="980" t="s">
        <v>8936</v>
      </c>
      <c r="CF46" s="981"/>
      <c r="CG46" s="981"/>
      <c r="CH46" s="981"/>
      <c r="CI46" s="981"/>
      <c r="CJ46" s="1455" t="s">
        <v>8937</v>
      </c>
      <c r="CK46" s="981"/>
      <c r="CL46" s="1342" t="s">
        <v>5107</v>
      </c>
      <c r="CM46" s="980" t="s">
        <v>8828</v>
      </c>
      <c r="CN46" s="980" t="s">
        <v>4111</v>
      </c>
      <c r="CO46" s="981"/>
      <c r="CP46" s="981"/>
      <c r="CQ46" s="981"/>
      <c r="CR46" s="981"/>
      <c r="CS46" s="981"/>
      <c r="CT46" s="981"/>
      <c r="CU46" s="981"/>
    </row>
    <row r="47">
      <c r="A47" s="1433" t="s">
        <v>3622</v>
      </c>
      <c r="B47" s="788" t="s">
        <v>2773</v>
      </c>
      <c r="C47" s="784" t="s">
        <v>1256</v>
      </c>
      <c r="D47" s="785" t="s">
        <v>1256</v>
      </c>
      <c r="E47" s="786" t="s">
        <v>1256</v>
      </c>
      <c r="F47" s="787" t="s">
        <v>437</v>
      </c>
      <c r="G47" s="788" t="s">
        <v>437</v>
      </c>
      <c r="H47" s="1399"/>
      <c r="I47" s="1399"/>
      <c r="J47" s="981"/>
      <c r="K47" s="981"/>
      <c r="L47" s="981"/>
      <c r="M47" s="981"/>
      <c r="N47" s="981"/>
      <c r="O47" s="981"/>
      <c r="P47" s="981"/>
      <c r="Q47" s="981"/>
      <c r="R47" s="981"/>
      <c r="S47" s="981"/>
      <c r="T47" s="981"/>
      <c r="U47" s="1403"/>
      <c r="V47" s="1403"/>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9"/>
      <c r="BH47" s="1409"/>
      <c r="BI47" s="1409"/>
      <c r="BJ47" s="1409"/>
      <c r="BK47" s="1409"/>
      <c r="BL47" s="1409"/>
      <c r="BM47" s="1409"/>
      <c r="BN47" s="1409"/>
      <c r="BO47" s="1409"/>
      <c r="BP47" s="1409"/>
      <c r="BQ47" s="981"/>
      <c r="BR47" s="981"/>
      <c r="BS47" s="981"/>
      <c r="BT47" s="981"/>
      <c r="BU47" s="981"/>
      <c r="BV47" s="981"/>
      <c r="BW47" s="1333"/>
      <c r="BX47" s="981"/>
      <c r="BY47" s="981"/>
      <c r="BZ47" s="981"/>
      <c r="CA47" s="1333"/>
      <c r="CB47" s="981"/>
      <c r="CC47" s="981"/>
      <c r="CD47" s="1333"/>
      <c r="CE47" s="1437"/>
      <c r="CF47" s="1437"/>
      <c r="CG47" s="1437"/>
      <c r="CH47" s="1437"/>
      <c r="CI47" s="1437"/>
      <c r="CJ47" s="1437"/>
      <c r="CK47" s="1437"/>
      <c r="CL47" s="1437"/>
      <c r="CM47" s="981"/>
      <c r="CN47" s="981"/>
      <c r="CO47" s="981"/>
      <c r="CP47" s="981"/>
      <c r="CQ47" s="981"/>
      <c r="CR47" s="981"/>
      <c r="CS47" s="981"/>
      <c r="CT47" s="981"/>
      <c r="CU47" s="981"/>
    </row>
    <row r="48">
      <c r="A48" s="1456" t="s">
        <v>6464</v>
      </c>
      <c r="B48" s="788" t="s">
        <v>2773</v>
      </c>
      <c r="C48" s="784" t="s">
        <v>1256</v>
      </c>
      <c r="D48" s="785" t="s">
        <v>1256</v>
      </c>
      <c r="E48" s="786" t="s">
        <v>1256</v>
      </c>
      <c r="F48" s="787" t="s">
        <v>1256</v>
      </c>
      <c r="G48" s="788" t="s">
        <v>647</v>
      </c>
      <c r="H48" s="1399"/>
      <c r="I48" s="1399"/>
      <c r="J48" s="981"/>
      <c r="K48" s="981"/>
      <c r="L48" s="981"/>
      <c r="M48" s="981"/>
      <c r="N48" s="981"/>
      <c r="O48" s="981"/>
      <c r="P48" s="981"/>
      <c r="Q48" s="981"/>
      <c r="R48" s="981"/>
      <c r="S48" s="981"/>
      <c r="T48" s="981"/>
      <c r="U48" s="980" t="s">
        <v>8938</v>
      </c>
      <c r="V48" s="981"/>
      <c r="W48" s="981"/>
      <c r="X48" s="980" t="s">
        <v>3307</v>
      </c>
      <c r="Y48" s="981"/>
      <c r="Z48" s="981"/>
      <c r="AA48" s="981"/>
      <c r="AB48" s="981"/>
      <c r="AC48" s="981"/>
      <c r="AD48" s="980" t="s">
        <v>8075</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3"/>
      <c r="BX48" s="981"/>
      <c r="BY48" s="981"/>
      <c r="BZ48" s="981"/>
      <c r="CA48" s="1333"/>
      <c r="CB48" s="981"/>
      <c r="CC48" s="981"/>
      <c r="CD48" s="1333"/>
      <c r="CE48" s="981"/>
      <c r="CF48" s="981"/>
      <c r="CG48" s="981"/>
      <c r="CH48" s="981"/>
      <c r="CI48" s="981"/>
      <c r="CJ48" s="981"/>
      <c r="CK48" s="981"/>
      <c r="CL48" s="981"/>
      <c r="CM48" s="981"/>
      <c r="CN48" s="981"/>
      <c r="CO48" s="981"/>
      <c r="CP48" s="981"/>
      <c r="CQ48" s="981"/>
      <c r="CR48" s="981"/>
      <c r="CS48" s="981"/>
      <c r="CT48" s="981"/>
      <c r="CU48" s="981"/>
    </row>
    <row r="49">
      <c r="A49" s="1431" t="s">
        <v>5138</v>
      </c>
      <c r="B49" s="788" t="s">
        <v>221</v>
      </c>
      <c r="C49" s="784" t="s">
        <v>1256</v>
      </c>
      <c r="D49" s="785" t="s">
        <v>1256</v>
      </c>
      <c r="E49" s="786" t="s">
        <v>1256</v>
      </c>
      <c r="F49" s="787" t="s">
        <v>1256</v>
      </c>
      <c r="G49" s="788" t="s">
        <v>546</v>
      </c>
      <c r="H49" s="1399"/>
      <c r="I49" s="1399"/>
      <c r="J49" s="981"/>
      <c r="K49" s="981"/>
      <c r="L49" s="981"/>
      <c r="M49" s="981"/>
      <c r="N49" s="981"/>
      <c r="O49" s="981"/>
      <c r="P49" s="981"/>
      <c r="Q49" s="981"/>
      <c r="R49" s="981"/>
      <c r="S49" s="981"/>
      <c r="T49" s="981"/>
      <c r="U49" s="981"/>
      <c r="V49" s="981"/>
      <c r="W49" s="981"/>
      <c r="X49" s="980" t="s">
        <v>5075</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3"/>
      <c r="BX49" s="981"/>
      <c r="BY49" s="981"/>
      <c r="BZ49" s="981"/>
      <c r="CA49" s="1333"/>
      <c r="CB49" s="981"/>
      <c r="CC49" s="981"/>
      <c r="CD49" s="1333"/>
      <c r="CE49" s="981"/>
      <c r="CF49" s="981"/>
      <c r="CG49" s="981"/>
      <c r="CH49" s="981"/>
      <c r="CI49" s="981"/>
      <c r="CJ49" s="981"/>
      <c r="CK49" s="981"/>
      <c r="CL49" s="981"/>
      <c r="CM49" s="981"/>
      <c r="CN49" s="981"/>
      <c r="CO49" s="981"/>
      <c r="CP49" s="981"/>
      <c r="CQ49" s="981"/>
      <c r="CR49" s="981"/>
      <c r="CS49" s="981"/>
      <c r="CT49" s="981"/>
      <c r="CU49" s="981"/>
    </row>
    <row r="50">
      <c r="A50" s="1431" t="s">
        <v>7483</v>
      </c>
      <c r="B50" s="788" t="s">
        <v>333</v>
      </c>
      <c r="C50" s="784" t="s">
        <v>546</v>
      </c>
      <c r="D50" s="785" t="s">
        <v>1256</v>
      </c>
      <c r="E50" s="786" t="s">
        <v>1256</v>
      </c>
      <c r="F50" s="787" t="s">
        <v>546</v>
      </c>
      <c r="G50" s="788" t="s">
        <v>546</v>
      </c>
      <c r="H50" s="1399"/>
      <c r="I50" s="1399"/>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4"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3"/>
      <c r="BX50" s="981"/>
      <c r="BY50" s="981"/>
      <c r="BZ50" s="981"/>
      <c r="CA50" s="1333"/>
      <c r="CB50" s="981"/>
      <c r="CC50" s="981"/>
      <c r="CD50" s="1333"/>
      <c r="CE50" s="981"/>
      <c r="CF50" s="981"/>
      <c r="CG50" s="981"/>
      <c r="CH50" s="981"/>
      <c r="CI50" s="981"/>
      <c r="CJ50" s="981"/>
      <c r="CK50" s="981"/>
      <c r="CL50" s="981"/>
      <c r="CM50" s="981"/>
      <c r="CN50" s="981"/>
      <c r="CO50" s="981"/>
      <c r="CP50" s="981"/>
      <c r="CQ50" s="981"/>
      <c r="CR50" s="981"/>
      <c r="CS50" s="981"/>
      <c r="CT50" s="981"/>
      <c r="CU50" s="981"/>
    </row>
    <row r="51">
      <c r="A51" s="1431" t="s">
        <v>5226</v>
      </c>
      <c r="B51" s="788" t="s">
        <v>1196</v>
      </c>
      <c r="C51" s="784" t="s">
        <v>1256</v>
      </c>
      <c r="D51" s="785" t="s">
        <v>1256</v>
      </c>
      <c r="E51" s="786" t="s">
        <v>1256</v>
      </c>
      <c r="F51" s="787" t="s">
        <v>546</v>
      </c>
      <c r="G51" s="788" t="s">
        <v>546</v>
      </c>
      <c r="H51" s="1399"/>
      <c r="I51" s="1399"/>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8939</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3"/>
      <c r="BX51" s="981"/>
      <c r="BY51" s="981"/>
      <c r="BZ51" s="981"/>
      <c r="CA51" s="1333"/>
      <c r="CB51" s="981"/>
      <c r="CC51" s="981"/>
      <c r="CD51" s="1333"/>
      <c r="CE51" s="981"/>
      <c r="CF51" s="981"/>
      <c r="CG51" s="981"/>
      <c r="CH51" s="981"/>
      <c r="CI51" s="981"/>
      <c r="CJ51" s="981"/>
      <c r="CK51" s="981"/>
      <c r="CL51" s="981"/>
      <c r="CM51" s="981"/>
      <c r="CN51" s="981"/>
      <c r="CO51" s="981"/>
      <c r="CP51" s="981"/>
      <c r="CQ51" s="981"/>
      <c r="CR51" s="981"/>
      <c r="CS51" s="981"/>
      <c r="CT51" s="981"/>
      <c r="CU51" s="981"/>
    </row>
    <row r="52">
      <c r="A52" s="1394" t="s">
        <v>8940</v>
      </c>
      <c r="B52" s="788" t="s">
        <v>1196</v>
      </c>
      <c r="C52" s="784" t="s">
        <v>1256</v>
      </c>
      <c r="D52" s="785" t="s">
        <v>1256</v>
      </c>
      <c r="E52" s="786" t="s">
        <v>1256</v>
      </c>
      <c r="F52" s="787" t="s">
        <v>546</v>
      </c>
      <c r="G52" s="788" t="s">
        <v>546</v>
      </c>
      <c r="H52" s="1399"/>
      <c r="I52" s="1399"/>
      <c r="J52" s="981"/>
      <c r="K52" s="981"/>
      <c r="L52" s="981"/>
      <c r="M52" s="981"/>
      <c r="N52" s="981"/>
      <c r="O52" s="981"/>
      <c r="P52" s="981"/>
      <c r="Q52" s="981"/>
      <c r="R52" s="981"/>
      <c r="S52" s="981"/>
      <c r="T52" s="981"/>
      <c r="U52" s="981"/>
      <c r="V52" s="981"/>
      <c r="W52" s="981"/>
      <c r="X52" s="981"/>
      <c r="Y52" s="981"/>
      <c r="Z52" s="981"/>
      <c r="AA52" s="981"/>
      <c r="AB52" s="981"/>
      <c r="AC52" s="981"/>
      <c r="AD52" s="981"/>
      <c r="AE52" s="1329"/>
      <c r="AF52" s="983" t="s">
        <v>8941</v>
      </c>
      <c r="AG52" s="1329"/>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9"/>
      <c r="BH52" s="1409"/>
      <c r="BI52" s="1409"/>
      <c r="BJ52" s="1409"/>
      <c r="BK52" s="1409"/>
      <c r="BL52" s="1409"/>
      <c r="BM52" s="1409"/>
      <c r="BN52" s="1409"/>
      <c r="BO52" s="1409"/>
      <c r="BP52" s="1409"/>
      <c r="BQ52" s="981"/>
      <c r="BR52" s="981"/>
      <c r="BS52" s="981"/>
      <c r="BT52" s="981"/>
      <c r="BU52" s="981"/>
      <c r="BV52" s="981"/>
      <c r="BW52" s="1333"/>
      <c r="BX52" s="981"/>
      <c r="BY52" s="981"/>
      <c r="BZ52" s="981"/>
      <c r="CA52" s="1333"/>
      <c r="CB52" s="981"/>
      <c r="CC52" s="981"/>
      <c r="CD52" s="1333"/>
      <c r="CE52" s="1389"/>
      <c r="CF52" s="1389"/>
      <c r="CG52" s="1389"/>
      <c r="CH52" s="1389"/>
      <c r="CI52" s="1389"/>
      <c r="CJ52" s="1389"/>
      <c r="CK52" s="1389"/>
      <c r="CL52" s="1389"/>
      <c r="CM52" s="1389"/>
      <c r="CN52" s="1389"/>
      <c r="CO52" s="1389"/>
      <c r="CP52" s="1389"/>
      <c r="CQ52" s="1389"/>
      <c r="CR52" s="1389"/>
      <c r="CS52" s="1389"/>
      <c r="CT52" s="981"/>
      <c r="CU52" s="981"/>
    </row>
    <row r="53">
      <c r="A53" s="1431" t="s">
        <v>8942</v>
      </c>
      <c r="B53" s="788" t="s">
        <v>1196</v>
      </c>
      <c r="C53" s="784" t="s">
        <v>546</v>
      </c>
      <c r="D53" s="785" t="s">
        <v>1256</v>
      </c>
      <c r="E53" s="786" t="s">
        <v>1256</v>
      </c>
      <c r="F53" s="787" t="s">
        <v>546</v>
      </c>
      <c r="G53" s="788" t="s">
        <v>546</v>
      </c>
      <c r="H53" s="1443"/>
      <c r="I53" s="1443"/>
      <c r="J53" s="981"/>
      <c r="K53" s="981"/>
      <c r="L53" s="981"/>
      <c r="M53" s="981"/>
      <c r="N53" s="981"/>
      <c r="O53" s="981"/>
      <c r="P53" s="981"/>
      <c r="Q53" s="981"/>
      <c r="R53" s="981"/>
      <c r="S53" s="981"/>
      <c r="T53" s="981"/>
      <c r="U53" s="981"/>
      <c r="V53" s="981"/>
      <c r="W53" s="981"/>
      <c r="X53" s="981"/>
      <c r="Y53" s="981"/>
      <c r="Z53" s="981"/>
      <c r="AA53" s="981"/>
      <c r="AB53" s="981"/>
      <c r="AC53" s="981"/>
      <c r="AD53" s="981"/>
      <c r="AE53" s="1334" t="s">
        <v>8943</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3"/>
      <c r="BX53" s="981"/>
      <c r="BY53" s="981"/>
      <c r="BZ53" s="981"/>
      <c r="CA53" s="1333"/>
      <c r="CB53" s="981"/>
      <c r="CC53" s="981"/>
      <c r="CD53" s="1333"/>
      <c r="CE53" s="981"/>
      <c r="CF53" s="981"/>
      <c r="CG53" s="981"/>
      <c r="CH53" s="981"/>
      <c r="CI53" s="981"/>
      <c r="CJ53" s="981"/>
      <c r="CK53" s="981"/>
      <c r="CL53" s="981"/>
      <c r="CM53" s="981"/>
      <c r="CN53" s="981"/>
      <c r="CO53" s="981"/>
      <c r="CP53" s="981"/>
      <c r="CQ53" s="981"/>
      <c r="CR53" s="981"/>
      <c r="CS53" s="981"/>
      <c r="CT53" s="981"/>
      <c r="CU53" s="981"/>
    </row>
    <row r="54">
      <c r="A54" s="1429" t="s">
        <v>4128</v>
      </c>
      <c r="B54" s="788" t="s">
        <v>981</v>
      </c>
      <c r="C54" s="784" t="s">
        <v>1256</v>
      </c>
      <c r="D54" s="785" t="s">
        <v>1256</v>
      </c>
      <c r="E54" s="786" t="s">
        <v>1256</v>
      </c>
      <c r="F54" s="787" t="s">
        <v>1256</v>
      </c>
      <c r="G54" s="788" t="s">
        <v>437</v>
      </c>
      <c r="H54" s="1399"/>
      <c r="I54" s="1399"/>
      <c r="J54" s="981"/>
      <c r="K54" s="981"/>
      <c r="L54" s="981"/>
      <c r="M54" s="981"/>
      <c r="N54" s="981"/>
      <c r="O54" s="981"/>
      <c r="P54" s="981"/>
      <c r="Q54" s="981"/>
      <c r="R54" s="980" t="s">
        <v>8944</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8945</v>
      </c>
      <c r="AU54" s="981"/>
      <c r="AV54" s="981"/>
      <c r="AW54" s="981"/>
      <c r="AX54" s="981"/>
      <c r="AY54" s="981"/>
      <c r="AZ54" s="981"/>
      <c r="BA54" s="981"/>
      <c r="BB54" s="981"/>
      <c r="BC54" s="981"/>
      <c r="BD54" s="981"/>
      <c r="BE54" s="981"/>
      <c r="BF54" s="981"/>
      <c r="BG54" s="1409"/>
      <c r="BH54" s="1409"/>
      <c r="BI54" s="1409"/>
      <c r="BJ54" s="1409"/>
      <c r="BK54" s="1409"/>
      <c r="BL54" s="1409"/>
      <c r="BM54" s="1409"/>
      <c r="BN54" s="1409"/>
      <c r="BO54" s="1409"/>
      <c r="BP54" s="1409"/>
      <c r="BQ54" s="981"/>
      <c r="BR54" s="981"/>
      <c r="BS54" s="981"/>
      <c r="BT54" s="981"/>
      <c r="BU54" s="981"/>
      <c r="BV54" s="981"/>
      <c r="BW54" s="1333"/>
      <c r="BX54" s="981"/>
      <c r="BY54" s="981"/>
      <c r="BZ54" s="981"/>
      <c r="CA54" s="1333"/>
      <c r="CB54" s="981"/>
      <c r="CC54" s="981"/>
      <c r="CD54" s="1333"/>
      <c r="CE54" s="1389"/>
      <c r="CF54" s="1389"/>
      <c r="CG54" s="1389"/>
      <c r="CH54" s="1389"/>
      <c r="CI54" s="1389"/>
      <c r="CJ54" s="1389"/>
      <c r="CK54" s="1389"/>
      <c r="CL54" s="1389"/>
      <c r="CM54" s="1389"/>
      <c r="CN54" s="1389"/>
      <c r="CO54" s="1389"/>
      <c r="CP54" s="1389"/>
      <c r="CQ54" s="1389"/>
      <c r="CR54" s="1389"/>
      <c r="CS54" s="1389"/>
      <c r="CT54" s="981"/>
      <c r="CU54" s="981"/>
    </row>
    <row r="55">
      <c r="A55" s="1431" t="s">
        <v>5555</v>
      </c>
      <c r="B55" s="788" t="s">
        <v>981</v>
      </c>
      <c r="C55" s="784" t="s">
        <v>1256</v>
      </c>
      <c r="D55" s="785" t="s">
        <v>1256</v>
      </c>
      <c r="E55" s="786" t="s">
        <v>1256</v>
      </c>
      <c r="F55" s="787" t="s">
        <v>546</v>
      </c>
      <c r="G55" s="788" t="s">
        <v>546</v>
      </c>
      <c r="H55" s="1399"/>
      <c r="I55" s="1399"/>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8946</v>
      </c>
      <c r="BD55" s="981"/>
      <c r="BE55" s="981"/>
      <c r="BF55" s="981"/>
      <c r="BG55" s="981"/>
      <c r="BH55" s="981"/>
      <c r="BI55" s="981"/>
      <c r="BJ55" s="981"/>
      <c r="BK55" s="981"/>
      <c r="BL55" s="981"/>
      <c r="BM55" s="981"/>
      <c r="BN55" s="981"/>
      <c r="BO55" s="981"/>
      <c r="BP55" s="981"/>
      <c r="BQ55" s="981"/>
      <c r="BR55" s="981"/>
      <c r="BS55" s="981"/>
      <c r="BT55" s="981"/>
      <c r="BU55" s="981"/>
      <c r="BV55" s="981"/>
      <c r="BW55" s="1333"/>
      <c r="BX55" s="981"/>
      <c r="BY55" s="981"/>
      <c r="BZ55" s="981"/>
      <c r="CA55" s="1333"/>
      <c r="CB55" s="981"/>
      <c r="CC55" s="981"/>
      <c r="CD55" s="1333"/>
      <c r="CE55" s="981"/>
      <c r="CF55" s="981"/>
      <c r="CG55" s="981"/>
      <c r="CH55" s="981"/>
      <c r="CI55" s="981"/>
      <c r="CJ55" s="981"/>
      <c r="CK55" s="981"/>
      <c r="CL55" s="981"/>
      <c r="CM55" s="981"/>
      <c r="CN55" s="981"/>
      <c r="CO55" s="981"/>
      <c r="CP55" s="981"/>
      <c r="CQ55" s="981"/>
      <c r="CR55" s="981"/>
      <c r="CS55" s="981"/>
      <c r="CT55" s="981"/>
      <c r="CU55" s="981"/>
    </row>
    <row r="56">
      <c r="A56" s="1457" t="s">
        <v>5921</v>
      </c>
      <c r="B56" s="788" t="s">
        <v>646</v>
      </c>
      <c r="C56" s="784" t="s">
        <v>1256</v>
      </c>
      <c r="D56" s="785" t="s">
        <v>1256</v>
      </c>
      <c r="E56" s="786" t="s">
        <v>1256</v>
      </c>
      <c r="F56" s="787" t="s">
        <v>1256</v>
      </c>
      <c r="G56" s="788" t="s">
        <v>437</v>
      </c>
      <c r="H56" s="1399"/>
      <c r="I56" s="1399"/>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3"/>
      <c r="BX56" s="981"/>
      <c r="BY56" s="981"/>
      <c r="BZ56" s="981"/>
      <c r="CA56" s="1333"/>
      <c r="CB56" s="981"/>
      <c r="CC56" s="981"/>
      <c r="CD56" s="1333"/>
      <c r="CE56" s="981"/>
      <c r="CF56" s="981"/>
      <c r="CG56" s="981"/>
      <c r="CH56" s="981"/>
      <c r="CI56" s="981"/>
      <c r="CJ56" s="981"/>
      <c r="CK56" s="981"/>
      <c r="CL56" s="981"/>
      <c r="CM56" s="981"/>
      <c r="CN56" s="981"/>
      <c r="CO56" s="981"/>
      <c r="CP56" s="981"/>
      <c r="CQ56" s="981"/>
      <c r="CR56" s="981"/>
      <c r="CS56" s="981"/>
      <c r="CT56" s="981"/>
      <c r="CU56" s="981"/>
    </row>
    <row r="57">
      <c r="A57" s="1458" t="s">
        <v>6622</v>
      </c>
      <c r="B57" s="788" t="s">
        <v>646</v>
      </c>
      <c r="C57" s="784" t="s">
        <v>1256</v>
      </c>
      <c r="D57" s="785" t="s">
        <v>1256</v>
      </c>
      <c r="E57" s="786" t="s">
        <v>1256</v>
      </c>
      <c r="F57" s="787" t="s">
        <v>332</v>
      </c>
      <c r="G57" s="788" t="s">
        <v>1197</v>
      </c>
      <c r="H57" s="1399"/>
      <c r="I57" s="1399"/>
      <c r="J57" s="981"/>
      <c r="K57" s="981"/>
      <c r="L57" s="981"/>
      <c r="M57" s="981"/>
      <c r="N57" s="981"/>
      <c r="O57" s="981"/>
      <c r="P57" s="981"/>
      <c r="Q57" s="981"/>
      <c r="R57" s="983" t="s">
        <v>8947</v>
      </c>
      <c r="S57" s="981"/>
      <c r="T57" s="981"/>
      <c r="U57" s="983" t="s">
        <v>8948</v>
      </c>
      <c r="V57" s="981"/>
      <c r="W57" s="980" t="s">
        <v>8949</v>
      </c>
      <c r="X57" s="980" t="s">
        <v>8949</v>
      </c>
      <c r="Y57" s="981"/>
      <c r="Z57" s="981"/>
      <c r="AA57" s="981"/>
      <c r="AB57" s="981"/>
      <c r="AC57" s="981"/>
      <c r="AD57" s="981"/>
      <c r="AE57" s="981"/>
      <c r="AF57" s="981"/>
      <c r="AG57" s="981"/>
      <c r="AH57" s="981"/>
      <c r="AI57" s="981"/>
      <c r="AJ57" s="981"/>
      <c r="AK57" s="981"/>
      <c r="AL57" s="981"/>
      <c r="AM57" s="981"/>
      <c r="AN57" s="981"/>
      <c r="AO57" s="981"/>
      <c r="AP57" s="980" t="s">
        <v>8950</v>
      </c>
      <c r="AQ57" s="983" t="s">
        <v>8951</v>
      </c>
      <c r="AR57" s="983" t="s">
        <v>8952</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3"/>
      <c r="BX57" s="981"/>
      <c r="BY57" s="981"/>
      <c r="BZ57" s="981"/>
      <c r="CA57" s="1333"/>
      <c r="CB57" s="981"/>
      <c r="CC57" s="981"/>
      <c r="CD57" s="1333"/>
      <c r="CE57" s="981"/>
      <c r="CF57" s="981"/>
      <c r="CG57" s="981"/>
      <c r="CH57" s="981"/>
      <c r="CI57" s="981"/>
      <c r="CJ57" s="981"/>
      <c r="CK57" s="981"/>
      <c r="CL57" s="981"/>
      <c r="CM57" s="981"/>
      <c r="CN57" s="981"/>
      <c r="CO57" s="981"/>
      <c r="CP57" s="981"/>
      <c r="CQ57" s="981"/>
      <c r="CR57" s="981"/>
      <c r="CS57" s="981"/>
      <c r="CT57" s="981"/>
      <c r="CU57" s="981"/>
    </row>
    <row r="58">
      <c r="A58" s="1394" t="s">
        <v>8953</v>
      </c>
      <c r="B58" s="788" t="s">
        <v>1197</v>
      </c>
      <c r="C58" s="784" t="s">
        <v>1256</v>
      </c>
      <c r="D58" s="785" t="s">
        <v>546</v>
      </c>
      <c r="E58" s="786" t="s">
        <v>1256</v>
      </c>
      <c r="F58" s="787" t="s">
        <v>546</v>
      </c>
      <c r="G58" s="788" t="s">
        <v>546</v>
      </c>
      <c r="H58" s="1399"/>
      <c r="I58" s="1399"/>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9"/>
      <c r="BH58" s="1409"/>
      <c r="BI58" s="1409"/>
      <c r="BJ58" s="1409"/>
      <c r="BK58" s="1409"/>
      <c r="BL58" s="1409"/>
      <c r="BM58" s="1409"/>
      <c r="BN58" s="1409"/>
      <c r="BO58" s="1409"/>
      <c r="BP58" s="1409"/>
      <c r="BQ58" s="981"/>
      <c r="BR58" s="981"/>
      <c r="BS58" s="981"/>
      <c r="BT58" s="981"/>
      <c r="BU58" s="981"/>
      <c r="BV58" s="981"/>
      <c r="BW58" s="1333"/>
      <c r="BX58" s="981"/>
      <c r="BY58" s="981"/>
      <c r="BZ58" s="981"/>
      <c r="CA58" s="1333"/>
      <c r="CB58" s="981"/>
      <c r="CC58" s="981"/>
      <c r="CD58" s="1333"/>
      <c r="CE58" s="1389"/>
      <c r="CF58" s="1389"/>
      <c r="CG58" s="1389"/>
      <c r="CH58" s="1389"/>
      <c r="CI58" s="1389"/>
      <c r="CJ58" s="1389"/>
      <c r="CK58" s="1389"/>
      <c r="CL58" s="1389"/>
      <c r="CM58" s="1389"/>
      <c r="CN58" s="1389"/>
      <c r="CO58" s="1389"/>
      <c r="CP58" s="1389"/>
      <c r="CQ58" s="1389"/>
      <c r="CR58" s="1389"/>
      <c r="CS58" s="1389"/>
      <c r="CT58" s="1340" t="s">
        <v>4172</v>
      </c>
      <c r="CU58" s="1329"/>
    </row>
    <row r="59">
      <c r="A59" s="1459" t="s">
        <v>8954</v>
      </c>
      <c r="B59" s="788" t="s">
        <v>1197</v>
      </c>
      <c r="C59" s="784" t="s">
        <v>1256</v>
      </c>
      <c r="D59" s="785" t="s">
        <v>1256</v>
      </c>
      <c r="E59" s="786" t="s">
        <v>1256</v>
      </c>
      <c r="F59" s="787" t="s">
        <v>1256</v>
      </c>
      <c r="G59" s="788" t="s">
        <v>546</v>
      </c>
      <c r="H59" s="1443"/>
      <c r="I59" s="1443"/>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9"/>
      <c r="BH59" s="1409"/>
      <c r="BI59" s="1409"/>
      <c r="BJ59" s="1409"/>
      <c r="BK59" s="1409"/>
      <c r="BL59" s="1409"/>
      <c r="BM59" s="1409"/>
      <c r="BN59" s="1409"/>
      <c r="BO59" s="1409"/>
      <c r="BP59" s="1409"/>
      <c r="BQ59" s="981"/>
      <c r="BR59" s="981"/>
      <c r="BS59" s="981"/>
      <c r="BT59" s="981"/>
      <c r="BU59" s="981"/>
      <c r="BV59" s="981"/>
      <c r="BW59" s="1333"/>
      <c r="BX59" s="981"/>
      <c r="BY59" s="981"/>
      <c r="BZ59" s="981"/>
      <c r="CA59" s="1333"/>
      <c r="CB59" s="981"/>
      <c r="CC59" s="981"/>
      <c r="CD59" s="1333"/>
      <c r="CE59" s="1389"/>
      <c r="CF59" s="1389"/>
      <c r="CG59" s="1389"/>
      <c r="CH59" s="1389"/>
      <c r="CI59" s="1389"/>
      <c r="CJ59" s="1389"/>
      <c r="CK59" s="1389"/>
      <c r="CL59" s="1389"/>
      <c r="CM59" s="981"/>
      <c r="CN59" s="981"/>
      <c r="CO59" s="981"/>
      <c r="CP59" s="981"/>
      <c r="CQ59" s="981"/>
      <c r="CR59" s="981"/>
      <c r="CS59" s="981"/>
      <c r="CT59" s="981"/>
      <c r="CU59" s="981"/>
    </row>
    <row r="60">
      <c r="A60" s="1460" t="s">
        <v>3096</v>
      </c>
      <c r="B60" s="788" t="s">
        <v>334</v>
      </c>
      <c r="C60" s="784" t="s">
        <v>1256</v>
      </c>
      <c r="D60" s="785" t="s">
        <v>1256</v>
      </c>
      <c r="E60" s="786" t="s">
        <v>1256</v>
      </c>
      <c r="F60" s="787" t="s">
        <v>1256</v>
      </c>
      <c r="G60" s="788" t="s">
        <v>437</v>
      </c>
      <c r="H60" s="1399"/>
      <c r="I60" s="1399"/>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2" t="s">
        <v>8528</v>
      </c>
      <c r="BD60" s="1342" t="s">
        <v>8886</v>
      </c>
      <c r="BE60" s="980"/>
      <c r="BF60" s="980"/>
      <c r="BG60" s="981"/>
      <c r="BH60" s="981"/>
      <c r="BI60" s="981"/>
      <c r="BJ60" s="981"/>
      <c r="BK60" s="981"/>
      <c r="BL60" s="981"/>
      <c r="BM60" s="981"/>
      <c r="BN60" s="981"/>
      <c r="BO60" s="981"/>
      <c r="BP60" s="981"/>
      <c r="BQ60" s="981"/>
      <c r="BR60" s="981"/>
      <c r="BS60" s="981"/>
      <c r="BT60" s="981"/>
      <c r="BU60" s="981"/>
      <c r="BV60" s="981"/>
      <c r="BW60" s="1333"/>
      <c r="BX60" s="981"/>
      <c r="BY60" s="981"/>
      <c r="BZ60" s="981"/>
      <c r="CA60" s="1333"/>
      <c r="CB60" s="981"/>
      <c r="CC60" s="981"/>
      <c r="CD60" s="1333"/>
      <c r="CE60" s="981"/>
      <c r="CF60" s="981"/>
      <c r="CG60" s="981"/>
      <c r="CH60" s="981"/>
      <c r="CI60" s="981"/>
      <c r="CJ60" s="981"/>
      <c r="CK60" s="981"/>
      <c r="CL60" s="981"/>
      <c r="CM60" s="981"/>
      <c r="CN60" s="981"/>
      <c r="CO60" s="981"/>
      <c r="CP60" s="981"/>
      <c r="CQ60" s="981"/>
      <c r="CR60" s="981"/>
      <c r="CS60" s="981"/>
      <c r="CT60" s="981"/>
      <c r="CU60" s="981"/>
    </row>
    <row r="61">
      <c r="A61" s="1461" t="s">
        <v>3967</v>
      </c>
      <c r="B61" s="788" t="s">
        <v>437</v>
      </c>
      <c r="C61" s="784" t="s">
        <v>1256</v>
      </c>
      <c r="D61" s="785" t="s">
        <v>1256</v>
      </c>
      <c r="E61" s="786" t="s">
        <v>1256</v>
      </c>
      <c r="F61" s="787" t="s">
        <v>1256</v>
      </c>
      <c r="G61" s="788" t="s">
        <v>546</v>
      </c>
      <c r="H61" s="1399"/>
      <c r="I61" s="1399"/>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8955</v>
      </c>
      <c r="BX61" s="981"/>
      <c r="BY61" s="981"/>
      <c r="BZ61" s="981"/>
      <c r="CA61" s="1333"/>
      <c r="CB61" s="981"/>
      <c r="CC61" s="981"/>
      <c r="CD61" s="1333"/>
      <c r="CE61" s="981"/>
      <c r="CF61" s="981"/>
      <c r="CG61" s="981"/>
      <c r="CH61" s="981"/>
      <c r="CI61" s="981"/>
      <c r="CJ61" s="981"/>
      <c r="CK61" s="981"/>
      <c r="CL61" s="981"/>
      <c r="CM61" s="981"/>
      <c r="CN61" s="981"/>
      <c r="CO61" s="981"/>
      <c r="CP61" s="981"/>
      <c r="CQ61" s="981"/>
      <c r="CR61" s="981"/>
      <c r="CS61" s="981"/>
      <c r="CT61" s="981"/>
      <c r="CU61" s="981"/>
    </row>
    <row r="62">
      <c r="A62" s="1394" t="s">
        <v>8956</v>
      </c>
      <c r="B62" s="788" t="s">
        <v>437</v>
      </c>
      <c r="C62" s="784" t="s">
        <v>1256</v>
      </c>
      <c r="D62" s="785" t="s">
        <v>1256</v>
      </c>
      <c r="E62" s="786" t="s">
        <v>1256</v>
      </c>
      <c r="F62" s="787" t="s">
        <v>1256</v>
      </c>
      <c r="G62" s="788" t="s">
        <v>546</v>
      </c>
      <c r="H62" s="1399"/>
      <c r="I62" s="1399"/>
      <c r="J62" s="981"/>
      <c r="K62" s="981"/>
      <c r="L62" s="981"/>
      <c r="M62" s="981"/>
      <c r="N62" s="981"/>
      <c r="O62" s="981"/>
      <c r="P62" s="981"/>
      <c r="Q62" s="981"/>
      <c r="R62" s="981"/>
      <c r="S62" s="981"/>
      <c r="T62" s="981"/>
      <c r="U62" s="981"/>
      <c r="V62" s="1342" t="s">
        <v>8564</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9"/>
      <c r="BH62" s="1409"/>
      <c r="BI62" s="1409"/>
      <c r="BJ62" s="1409"/>
      <c r="BK62" s="1409"/>
      <c r="BL62" s="1409"/>
      <c r="BM62" s="1409"/>
      <c r="BN62" s="1409"/>
      <c r="BO62" s="1409"/>
      <c r="BP62" s="1409"/>
      <c r="BQ62" s="981"/>
      <c r="BR62" s="981"/>
      <c r="BS62" s="981"/>
      <c r="BT62" s="981"/>
      <c r="BU62" s="981"/>
      <c r="BV62" s="981"/>
      <c r="BW62" s="1333"/>
      <c r="BX62" s="981"/>
      <c r="BY62" s="980"/>
      <c r="BZ62" s="981"/>
      <c r="CA62" s="1333"/>
      <c r="CB62" s="981"/>
      <c r="CC62" s="981"/>
      <c r="CD62" s="1333"/>
      <c r="CE62" s="1389"/>
      <c r="CF62" s="1389"/>
      <c r="CG62" s="1389"/>
      <c r="CH62" s="1389"/>
      <c r="CI62" s="1389"/>
      <c r="CJ62" s="1389"/>
      <c r="CK62" s="1389"/>
      <c r="CL62" s="1389"/>
      <c r="CM62" s="1389"/>
      <c r="CN62" s="1389"/>
      <c r="CO62" s="1389"/>
      <c r="CP62" s="1389"/>
      <c r="CQ62" s="1389"/>
      <c r="CR62" s="1389"/>
      <c r="CS62" s="1389"/>
      <c r="CT62" s="981"/>
      <c r="CU62" s="981"/>
    </row>
    <row r="63">
      <c r="A63" s="1431" t="s">
        <v>8957</v>
      </c>
      <c r="B63" s="788" t="s">
        <v>546</v>
      </c>
      <c r="C63" s="784" t="s">
        <v>1256</v>
      </c>
      <c r="D63" s="785" t="s">
        <v>1256</v>
      </c>
      <c r="E63" s="786" t="s">
        <v>1256</v>
      </c>
      <c r="F63" s="787" t="s">
        <v>1256</v>
      </c>
      <c r="G63" s="788" t="s">
        <v>546</v>
      </c>
      <c r="H63" s="1443"/>
      <c r="I63" s="1443"/>
      <c r="J63" s="981"/>
      <c r="K63" s="981"/>
      <c r="L63" s="981"/>
      <c r="M63" s="981"/>
      <c r="N63" s="981"/>
      <c r="O63" s="981"/>
      <c r="P63" s="981"/>
      <c r="Q63" s="981"/>
      <c r="R63" s="981"/>
      <c r="S63" s="981"/>
      <c r="T63" s="981"/>
      <c r="U63" s="981"/>
      <c r="V63" s="981"/>
      <c r="W63" s="981"/>
      <c r="X63" s="981"/>
      <c r="Y63" s="981"/>
      <c r="Z63" s="981"/>
      <c r="AA63" s="980" t="s">
        <v>8958</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3"/>
      <c r="BX63" s="981"/>
      <c r="BY63" s="981"/>
      <c r="BZ63" s="981"/>
      <c r="CA63" s="1333"/>
      <c r="CB63" s="981"/>
      <c r="CC63" s="981"/>
      <c r="CD63" s="1333"/>
      <c r="CE63" s="981"/>
      <c r="CF63" s="981"/>
      <c r="CG63" s="981"/>
      <c r="CH63" s="981"/>
      <c r="CI63" s="981"/>
      <c r="CJ63" s="981"/>
      <c r="CK63" s="981"/>
      <c r="CL63" s="981"/>
      <c r="CM63" s="981"/>
      <c r="CN63" s="981"/>
      <c r="CO63" s="981"/>
      <c r="CP63" s="981"/>
      <c r="CQ63" s="981"/>
      <c r="CR63" s="981"/>
      <c r="CS63" s="981"/>
      <c r="CT63" s="981"/>
      <c r="CU63" s="981"/>
    </row>
    <row r="64">
      <c r="A64" s="1431" t="s">
        <v>5983</v>
      </c>
      <c r="B64" s="788" t="s">
        <v>1256</v>
      </c>
      <c r="C64" s="784" t="s">
        <v>1256</v>
      </c>
      <c r="D64" s="785" t="s">
        <v>1256</v>
      </c>
      <c r="E64" s="786" t="s">
        <v>1256</v>
      </c>
      <c r="F64" s="787" t="s">
        <v>1256</v>
      </c>
      <c r="G64" s="788" t="s">
        <v>1256</v>
      </c>
      <c r="H64" s="1399"/>
      <c r="I64" s="1399"/>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3"/>
      <c r="BX64" s="981"/>
      <c r="BY64" s="981"/>
      <c r="BZ64" s="981"/>
      <c r="CA64" s="1333"/>
      <c r="CB64" s="981"/>
      <c r="CC64" s="981"/>
      <c r="CD64" s="1333"/>
      <c r="CE64" s="981"/>
      <c r="CF64" s="981"/>
      <c r="CG64" s="981"/>
      <c r="CH64" s="981"/>
      <c r="CI64" s="981"/>
      <c r="CJ64" s="981"/>
      <c r="CK64" s="981"/>
      <c r="CL64" s="981"/>
      <c r="CM64" s="981"/>
      <c r="CN64" s="981"/>
      <c r="CO64" s="981"/>
      <c r="CP64" s="981"/>
      <c r="CQ64" s="981"/>
      <c r="CR64" s="981"/>
      <c r="CS64" s="981"/>
      <c r="CT64" s="981"/>
      <c r="CU64" s="981"/>
    </row>
    <row r="65">
      <c r="A65" s="1394"/>
      <c r="B65" s="788" t="s">
        <v>1256</v>
      </c>
      <c r="C65" s="784" t="s">
        <v>1256</v>
      </c>
      <c r="D65" s="785" t="s">
        <v>1256</v>
      </c>
      <c r="E65" s="786" t="s">
        <v>1256</v>
      </c>
      <c r="F65" s="787" t="s">
        <v>1256</v>
      </c>
      <c r="G65" s="788" t="s">
        <v>1256</v>
      </c>
      <c r="H65" s="1399"/>
      <c r="I65" s="1399"/>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3"/>
      <c r="BX65" s="981"/>
      <c r="BY65" s="981"/>
      <c r="BZ65" s="981"/>
      <c r="CA65" s="1333"/>
      <c r="CB65" s="981"/>
      <c r="CC65" s="981"/>
      <c r="CD65" s="1333"/>
      <c r="CE65" s="981"/>
      <c r="CF65" s="981"/>
      <c r="CG65" s="981"/>
      <c r="CH65" s="981"/>
      <c r="CI65" s="981"/>
      <c r="CJ65" s="981"/>
      <c r="CK65" s="981"/>
      <c r="CL65" s="981"/>
      <c r="CM65" s="981"/>
      <c r="CN65" s="981"/>
      <c r="CO65" s="981"/>
      <c r="CP65" s="981"/>
      <c r="CQ65" s="981"/>
      <c r="CR65" s="981"/>
      <c r="CS65" s="981"/>
      <c r="CT65" s="981"/>
      <c r="CU65" s="981"/>
    </row>
    <row r="66">
      <c r="A66" s="1394"/>
      <c r="B66" s="788" t="s">
        <v>1256</v>
      </c>
      <c r="C66" s="784" t="s">
        <v>1256</v>
      </c>
      <c r="D66" s="785" t="s">
        <v>1256</v>
      </c>
      <c r="E66" s="786" t="s">
        <v>1256</v>
      </c>
      <c r="F66" s="787" t="s">
        <v>1256</v>
      </c>
      <c r="G66" s="788" t="s">
        <v>1256</v>
      </c>
      <c r="H66" s="1399"/>
      <c r="I66" s="1399"/>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3"/>
      <c r="BX66" s="981"/>
      <c r="BY66" s="981"/>
      <c r="BZ66" s="981"/>
      <c r="CA66" s="1333"/>
      <c r="CB66" s="981"/>
      <c r="CC66" s="981"/>
      <c r="CD66" s="1333"/>
      <c r="CE66" s="981"/>
      <c r="CF66" s="981"/>
      <c r="CG66" s="981"/>
      <c r="CH66" s="981"/>
      <c r="CI66" s="981"/>
      <c r="CJ66" s="981"/>
      <c r="CK66" s="981"/>
      <c r="CL66" s="981"/>
      <c r="CM66" s="981"/>
      <c r="CN66" s="981"/>
      <c r="CO66" s="981"/>
      <c r="CP66" s="981"/>
      <c r="CQ66" s="981"/>
      <c r="CR66" s="981"/>
      <c r="CS66" s="981"/>
      <c r="CT66" s="981"/>
      <c r="CU66" s="981"/>
    </row>
    <row r="67">
      <c r="A67" s="1394"/>
      <c r="B67" s="788" t="s">
        <v>1256</v>
      </c>
      <c r="C67" s="784" t="s">
        <v>1256</v>
      </c>
      <c r="D67" s="785" t="s">
        <v>1256</v>
      </c>
      <c r="E67" s="786" t="s">
        <v>1256</v>
      </c>
      <c r="F67" s="787" t="s">
        <v>1256</v>
      </c>
      <c r="G67" s="788" t="s">
        <v>1256</v>
      </c>
      <c r="H67" s="1399"/>
      <c r="I67" s="1399"/>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3"/>
      <c r="BX67" s="981"/>
      <c r="BY67" s="981"/>
      <c r="BZ67" s="981"/>
      <c r="CA67" s="1333"/>
      <c r="CB67" s="981"/>
      <c r="CC67" s="981"/>
      <c r="CD67" s="1333"/>
      <c r="CE67" s="981"/>
      <c r="CF67" s="981"/>
      <c r="CG67" s="981"/>
      <c r="CH67" s="981"/>
      <c r="CI67" s="981"/>
      <c r="CJ67" s="981"/>
      <c r="CK67" s="981"/>
      <c r="CL67" s="981"/>
      <c r="CM67" s="981"/>
      <c r="CN67" s="981"/>
      <c r="CO67" s="981"/>
      <c r="CP67" s="981"/>
      <c r="CQ67" s="981"/>
      <c r="CR67" s="981"/>
      <c r="CS67" s="981"/>
      <c r="CT67" s="981"/>
      <c r="CU67" s="981"/>
    </row>
    <row r="68">
      <c r="A68" s="1394"/>
      <c r="B68" s="788" t="s">
        <v>1256</v>
      </c>
      <c r="C68" s="784" t="s">
        <v>1256</v>
      </c>
      <c r="D68" s="785" t="s">
        <v>1256</v>
      </c>
      <c r="E68" s="786" t="s">
        <v>1256</v>
      </c>
      <c r="F68" s="787" t="s">
        <v>1256</v>
      </c>
      <c r="G68" s="788" t="s">
        <v>1256</v>
      </c>
      <c r="H68" s="1399"/>
      <c r="I68" s="1399"/>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3"/>
      <c r="BX68" s="981"/>
      <c r="BY68" s="981"/>
      <c r="BZ68" s="981"/>
      <c r="CA68" s="1333"/>
      <c r="CB68" s="981"/>
      <c r="CC68" s="981"/>
      <c r="CD68" s="1333"/>
      <c r="CE68" s="981"/>
      <c r="CF68" s="981"/>
      <c r="CG68" s="981"/>
      <c r="CH68" s="981"/>
      <c r="CI68" s="981"/>
      <c r="CJ68" s="981"/>
      <c r="CK68" s="981"/>
      <c r="CL68" s="981"/>
      <c r="CM68" s="981"/>
      <c r="CN68" s="981"/>
      <c r="CO68" s="981"/>
      <c r="CP68" s="981"/>
      <c r="CQ68" s="981"/>
      <c r="CR68" s="981"/>
      <c r="CS68" s="981"/>
      <c r="CT68" s="981"/>
      <c r="CU68" s="981"/>
    </row>
    <row r="69">
      <c r="A69" s="1394"/>
      <c r="B69" s="788" t="s">
        <v>1256</v>
      </c>
      <c r="C69" s="784" t="s">
        <v>1256</v>
      </c>
      <c r="D69" s="785" t="s">
        <v>1256</v>
      </c>
      <c r="E69" s="786" t="s">
        <v>1256</v>
      </c>
      <c r="F69" s="787" t="s">
        <v>1256</v>
      </c>
      <c r="G69" s="788" t="s">
        <v>1256</v>
      </c>
      <c r="H69" s="1399"/>
      <c r="I69" s="1399"/>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3"/>
      <c r="BX69" s="981"/>
      <c r="BY69" s="981"/>
      <c r="BZ69" s="981"/>
      <c r="CA69" s="1333"/>
      <c r="CB69" s="981"/>
      <c r="CC69" s="981"/>
      <c r="CD69" s="1333"/>
      <c r="CE69" s="981"/>
      <c r="CF69" s="981"/>
      <c r="CG69" s="981"/>
      <c r="CH69" s="981"/>
      <c r="CI69" s="981"/>
      <c r="CJ69" s="981"/>
      <c r="CK69" s="981"/>
      <c r="CL69" s="981"/>
      <c r="CM69" s="981"/>
      <c r="CN69" s="981"/>
      <c r="CO69" s="981"/>
      <c r="CP69" s="981"/>
      <c r="CQ69" s="981"/>
      <c r="CR69" s="981"/>
      <c r="CS69" s="981"/>
      <c r="CT69" s="981"/>
      <c r="CU69" s="981"/>
    </row>
    <row r="70">
      <c r="A70" s="1394"/>
      <c r="B70" s="788" t="s">
        <v>1256</v>
      </c>
      <c r="C70" s="784" t="s">
        <v>1256</v>
      </c>
      <c r="D70" s="785" t="s">
        <v>1256</v>
      </c>
      <c r="E70" s="786" t="s">
        <v>1256</v>
      </c>
      <c r="F70" s="787" t="s">
        <v>1256</v>
      </c>
      <c r="G70" s="788" t="s">
        <v>1256</v>
      </c>
      <c r="H70" s="1399"/>
      <c r="I70" s="1399"/>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3"/>
      <c r="BX70" s="981"/>
      <c r="BY70" s="981"/>
      <c r="BZ70" s="981"/>
      <c r="CA70" s="1333"/>
      <c r="CB70" s="981"/>
      <c r="CC70" s="981"/>
      <c r="CD70" s="1333"/>
      <c r="CE70" s="981"/>
      <c r="CF70" s="981"/>
      <c r="CG70" s="981"/>
      <c r="CH70" s="981"/>
      <c r="CI70" s="981"/>
      <c r="CJ70" s="981"/>
      <c r="CK70" s="981"/>
      <c r="CL70" s="981"/>
      <c r="CM70" s="981"/>
      <c r="CN70" s="981"/>
      <c r="CO70" s="981"/>
      <c r="CP70" s="981"/>
      <c r="CQ70" s="981"/>
      <c r="CR70" s="981"/>
      <c r="CS70" s="981"/>
      <c r="CT70" s="981"/>
      <c r="CU70" s="981"/>
    </row>
    <row r="71">
      <c r="A71" s="1394"/>
      <c r="B71" s="788" t="s">
        <v>1256</v>
      </c>
      <c r="C71" s="784" t="s">
        <v>1256</v>
      </c>
      <c r="D71" s="785" t="s">
        <v>1256</v>
      </c>
      <c r="E71" s="786" t="s">
        <v>1256</v>
      </c>
      <c r="F71" s="787" t="s">
        <v>1256</v>
      </c>
      <c r="G71" s="788" t="s">
        <v>1256</v>
      </c>
      <c r="H71" s="1399"/>
      <c r="I71" s="1399"/>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3"/>
      <c r="BX71" s="981"/>
      <c r="BY71" s="981"/>
      <c r="BZ71" s="981"/>
      <c r="CA71" s="1333"/>
      <c r="CB71" s="981"/>
      <c r="CC71" s="981"/>
      <c r="CD71" s="1333"/>
      <c r="CE71" s="981"/>
      <c r="CF71" s="981"/>
      <c r="CG71" s="981"/>
      <c r="CH71" s="981"/>
      <c r="CI71" s="981"/>
      <c r="CJ71" s="981"/>
      <c r="CK71" s="981"/>
      <c r="CL71" s="981"/>
      <c r="CM71" s="981"/>
      <c r="CN71" s="981"/>
      <c r="CO71" s="981"/>
      <c r="CP71" s="981"/>
      <c r="CQ71" s="981"/>
      <c r="CR71" s="981"/>
      <c r="CS71" s="981"/>
      <c r="CT71" s="981"/>
      <c r="CU71" s="981"/>
    </row>
    <row r="72">
      <c r="A72" s="1394"/>
      <c r="B72" s="788" t="s">
        <v>1256</v>
      </c>
      <c r="C72" s="784" t="s">
        <v>1256</v>
      </c>
      <c r="D72" s="785" t="s">
        <v>1256</v>
      </c>
      <c r="E72" s="786" t="s">
        <v>1256</v>
      </c>
      <c r="F72" s="787" t="s">
        <v>1256</v>
      </c>
      <c r="G72" s="788" t="s">
        <v>1256</v>
      </c>
      <c r="H72" s="1399"/>
      <c r="I72" s="1399"/>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3"/>
      <c r="BX72" s="981"/>
      <c r="BY72" s="981"/>
      <c r="BZ72" s="981"/>
      <c r="CA72" s="1333"/>
      <c r="CB72" s="981"/>
      <c r="CC72" s="981"/>
      <c r="CD72" s="1333"/>
      <c r="CE72" s="981"/>
      <c r="CF72" s="981"/>
      <c r="CG72" s="981"/>
      <c r="CH72" s="981"/>
      <c r="CI72" s="981"/>
      <c r="CJ72" s="981"/>
      <c r="CK72" s="981"/>
      <c r="CL72" s="981"/>
      <c r="CM72" s="981"/>
      <c r="CN72" s="981"/>
      <c r="CO72" s="981"/>
      <c r="CP72" s="981"/>
      <c r="CQ72" s="981"/>
      <c r="CR72" s="981"/>
      <c r="CS72" s="981"/>
      <c r="CT72" s="981"/>
      <c r="CU72" s="981"/>
    </row>
    <row r="73">
      <c r="A73" s="1394"/>
      <c r="B73" s="788" t="s">
        <v>1256</v>
      </c>
      <c r="C73" s="784" t="s">
        <v>1256</v>
      </c>
      <c r="D73" s="785" t="s">
        <v>1256</v>
      </c>
      <c r="E73" s="786" t="s">
        <v>1256</v>
      </c>
      <c r="F73" s="787" t="s">
        <v>1256</v>
      </c>
      <c r="G73" s="788" t="s">
        <v>1256</v>
      </c>
      <c r="H73" s="1399"/>
      <c r="I73" s="1399"/>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3"/>
      <c r="BX73" s="981"/>
      <c r="BY73" s="981"/>
      <c r="BZ73" s="981"/>
      <c r="CA73" s="1333"/>
      <c r="CB73" s="981"/>
      <c r="CC73" s="981"/>
      <c r="CD73" s="1333"/>
      <c r="CE73" s="981"/>
      <c r="CF73" s="981"/>
      <c r="CG73" s="981"/>
      <c r="CH73" s="981"/>
      <c r="CI73" s="981"/>
      <c r="CJ73" s="981"/>
      <c r="CK73" s="981"/>
      <c r="CL73" s="981"/>
      <c r="CM73" s="981"/>
      <c r="CN73" s="981"/>
      <c r="CO73" s="981"/>
      <c r="CP73" s="981"/>
      <c r="CQ73" s="981"/>
      <c r="CR73" s="981"/>
      <c r="CS73" s="981"/>
      <c r="CT73" s="981"/>
      <c r="CU73" s="981"/>
    </row>
    <row r="74">
      <c r="A74" s="1394"/>
      <c r="B74" s="788" t="s">
        <v>1256</v>
      </c>
      <c r="C74" s="784" t="s">
        <v>1256</v>
      </c>
      <c r="D74" s="785" t="s">
        <v>1256</v>
      </c>
      <c r="E74" s="786" t="s">
        <v>1256</v>
      </c>
      <c r="F74" s="787" t="s">
        <v>1256</v>
      </c>
      <c r="G74" s="788" t="s">
        <v>1256</v>
      </c>
      <c r="H74" s="1399"/>
      <c r="I74" s="1399"/>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3"/>
      <c r="BX74" s="981"/>
      <c r="BY74" s="981"/>
      <c r="BZ74" s="981"/>
      <c r="CA74" s="1333"/>
      <c r="CB74" s="981"/>
      <c r="CC74" s="981"/>
      <c r="CD74" s="1333"/>
      <c r="CE74" s="981"/>
      <c r="CF74" s="981"/>
      <c r="CG74" s="981"/>
      <c r="CH74" s="981"/>
      <c r="CI74" s="981"/>
      <c r="CJ74" s="981"/>
      <c r="CK74" s="981"/>
      <c r="CL74" s="981"/>
      <c r="CM74" s="981"/>
      <c r="CN74" s="981"/>
      <c r="CO74" s="981"/>
      <c r="CP74" s="981"/>
      <c r="CQ74" s="981"/>
      <c r="CR74" s="981"/>
      <c r="CS74" s="981"/>
      <c r="CT74" s="981"/>
      <c r="CU74" s="981"/>
    </row>
    <row r="75">
      <c r="A75" s="1394"/>
      <c r="B75" s="788" t="s">
        <v>1256</v>
      </c>
      <c r="C75" s="784" t="s">
        <v>1256</v>
      </c>
      <c r="D75" s="785" t="s">
        <v>1256</v>
      </c>
      <c r="E75" s="786" t="s">
        <v>1256</v>
      </c>
      <c r="F75" s="787" t="s">
        <v>1256</v>
      </c>
      <c r="G75" s="788" t="s">
        <v>1256</v>
      </c>
      <c r="H75" s="1399"/>
      <c r="I75" s="1399"/>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3"/>
      <c r="BX75" s="981"/>
      <c r="BY75" s="981"/>
      <c r="BZ75" s="981"/>
      <c r="CA75" s="1333"/>
      <c r="CB75" s="981"/>
      <c r="CC75" s="981"/>
      <c r="CD75" s="1333"/>
      <c r="CE75" s="981"/>
      <c r="CF75" s="981"/>
      <c r="CG75" s="981"/>
      <c r="CH75" s="981"/>
      <c r="CI75" s="981"/>
      <c r="CJ75" s="981"/>
      <c r="CK75" s="981"/>
      <c r="CL75" s="981"/>
      <c r="CM75" s="981"/>
      <c r="CN75" s="981"/>
      <c r="CO75" s="981"/>
      <c r="CP75" s="981"/>
      <c r="CQ75" s="981"/>
      <c r="CR75" s="981"/>
      <c r="CS75" s="981"/>
      <c r="CT75" s="981"/>
      <c r="CU75" s="981"/>
    </row>
    <row r="76">
      <c r="A76" s="1394"/>
      <c r="B76" s="788" t="s">
        <v>1256</v>
      </c>
      <c r="C76" s="784" t="s">
        <v>1256</v>
      </c>
      <c r="D76" s="785" t="s">
        <v>1256</v>
      </c>
      <c r="E76" s="786" t="s">
        <v>1256</v>
      </c>
      <c r="F76" s="787" t="s">
        <v>1256</v>
      </c>
      <c r="G76" s="788" t="s">
        <v>1256</v>
      </c>
      <c r="H76" s="1399"/>
      <c r="I76" s="1399"/>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3"/>
      <c r="BX76" s="981"/>
      <c r="BY76" s="981"/>
      <c r="BZ76" s="981"/>
      <c r="CA76" s="1333"/>
      <c r="CB76" s="981"/>
      <c r="CC76" s="981"/>
      <c r="CD76" s="1333"/>
      <c r="CE76" s="981"/>
      <c r="CF76" s="981"/>
      <c r="CG76" s="981"/>
      <c r="CH76" s="981"/>
      <c r="CI76" s="981"/>
      <c r="CJ76" s="981"/>
      <c r="CK76" s="981"/>
      <c r="CL76" s="981"/>
      <c r="CM76" s="981"/>
      <c r="CN76" s="981"/>
      <c r="CO76" s="981"/>
      <c r="CP76" s="981"/>
      <c r="CQ76" s="981"/>
      <c r="CR76" s="981"/>
      <c r="CS76" s="981"/>
      <c r="CT76" s="981"/>
      <c r="CU76" s="981"/>
    </row>
    <row r="77">
      <c r="A77" s="1394"/>
      <c r="B77" s="788" t="s">
        <v>1256</v>
      </c>
      <c r="C77" s="784" t="s">
        <v>1256</v>
      </c>
      <c r="D77" s="785" t="s">
        <v>1256</v>
      </c>
      <c r="E77" s="786" t="s">
        <v>1256</v>
      </c>
      <c r="F77" s="787" t="s">
        <v>1256</v>
      </c>
      <c r="G77" s="788" t="s">
        <v>1256</v>
      </c>
      <c r="H77" s="1399"/>
      <c r="I77" s="1399"/>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3"/>
      <c r="BX77" s="981"/>
      <c r="BY77" s="981"/>
      <c r="BZ77" s="981"/>
      <c r="CA77" s="1333"/>
      <c r="CB77" s="981"/>
      <c r="CC77" s="981"/>
      <c r="CD77" s="1333"/>
      <c r="CE77" s="981"/>
      <c r="CF77" s="981"/>
      <c r="CG77" s="981"/>
      <c r="CH77" s="981"/>
      <c r="CI77" s="981"/>
      <c r="CJ77" s="981"/>
      <c r="CK77" s="981"/>
      <c r="CL77" s="981"/>
      <c r="CM77" s="981"/>
      <c r="CN77" s="981"/>
      <c r="CO77" s="981"/>
      <c r="CP77" s="981"/>
      <c r="CQ77" s="981"/>
      <c r="CR77" s="981"/>
      <c r="CS77" s="981"/>
      <c r="CT77" s="981"/>
      <c r="CU77" s="981"/>
    </row>
    <row r="78">
      <c r="A78" s="1394"/>
      <c r="B78" s="788" t="s">
        <v>1256</v>
      </c>
      <c r="C78" s="784" t="s">
        <v>1256</v>
      </c>
      <c r="D78" s="785" t="s">
        <v>1256</v>
      </c>
      <c r="E78" s="786" t="s">
        <v>1256</v>
      </c>
      <c r="F78" s="787" t="s">
        <v>1256</v>
      </c>
      <c r="G78" s="788" t="s">
        <v>1256</v>
      </c>
      <c r="H78" s="1399"/>
      <c r="I78" s="1399"/>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3"/>
      <c r="BX78" s="981"/>
      <c r="BY78" s="981"/>
      <c r="BZ78" s="981"/>
      <c r="CA78" s="1333"/>
      <c r="CB78" s="981"/>
      <c r="CC78" s="981"/>
      <c r="CD78" s="1333"/>
      <c r="CE78" s="981"/>
      <c r="CF78" s="981"/>
      <c r="CG78" s="981"/>
      <c r="CH78" s="981"/>
      <c r="CI78" s="981"/>
      <c r="CJ78" s="981"/>
      <c r="CK78" s="981"/>
      <c r="CL78" s="981"/>
      <c r="CM78" s="981"/>
      <c r="CN78" s="981"/>
      <c r="CO78" s="981"/>
      <c r="CP78" s="981"/>
      <c r="CQ78" s="981"/>
      <c r="CR78" s="981"/>
      <c r="CS78" s="981"/>
      <c r="CT78" s="981"/>
      <c r="CU78" s="981"/>
    </row>
    <row r="79">
      <c r="A79" s="1394"/>
      <c r="B79" s="788" t="s">
        <v>1256</v>
      </c>
      <c r="C79" s="784" t="s">
        <v>1256</v>
      </c>
      <c r="D79" s="785" t="s">
        <v>1256</v>
      </c>
      <c r="E79" s="786" t="s">
        <v>1256</v>
      </c>
      <c r="F79" s="787" t="s">
        <v>1256</v>
      </c>
      <c r="G79" s="788" t="s">
        <v>1256</v>
      </c>
      <c r="H79" s="1399"/>
      <c r="I79" s="1399"/>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3"/>
      <c r="BX79" s="981"/>
      <c r="BY79" s="981"/>
      <c r="BZ79" s="981"/>
      <c r="CA79" s="1333"/>
      <c r="CB79" s="981"/>
      <c r="CC79" s="981"/>
      <c r="CD79" s="1333"/>
      <c r="CE79" s="981"/>
      <c r="CF79" s="981"/>
      <c r="CG79" s="981"/>
      <c r="CH79" s="981"/>
      <c r="CI79" s="981"/>
      <c r="CJ79" s="981"/>
      <c r="CK79" s="981"/>
      <c r="CL79" s="981"/>
      <c r="CM79" s="981"/>
      <c r="CN79" s="981"/>
      <c r="CO79" s="981"/>
      <c r="CP79" s="981"/>
      <c r="CQ79" s="981"/>
      <c r="CR79" s="981"/>
      <c r="CS79" s="981"/>
      <c r="CT79" s="981"/>
      <c r="CU79" s="981"/>
    </row>
    <row r="80">
      <c r="A80" s="1394"/>
      <c r="B80" s="788" t="s">
        <v>1256</v>
      </c>
      <c r="C80" s="784" t="s">
        <v>1256</v>
      </c>
      <c r="D80" s="785" t="s">
        <v>1256</v>
      </c>
      <c r="E80" s="786" t="s">
        <v>1256</v>
      </c>
      <c r="F80" s="787" t="s">
        <v>1256</v>
      </c>
      <c r="G80" s="788" t="s">
        <v>1256</v>
      </c>
      <c r="H80" s="1399"/>
      <c r="I80" s="1399"/>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3"/>
      <c r="BX80" s="981"/>
      <c r="BY80" s="981"/>
      <c r="BZ80" s="981"/>
      <c r="CA80" s="1333"/>
      <c r="CB80" s="981"/>
      <c r="CC80" s="981"/>
      <c r="CD80" s="1333"/>
      <c r="CE80" s="981"/>
      <c r="CF80" s="981"/>
      <c r="CG80" s="981"/>
      <c r="CH80" s="981"/>
      <c r="CI80" s="981"/>
      <c r="CJ80" s="981"/>
      <c r="CK80" s="981"/>
      <c r="CL80" s="981"/>
      <c r="CM80" s="981"/>
      <c r="CN80" s="981"/>
      <c r="CO80" s="981"/>
      <c r="CP80" s="981"/>
      <c r="CQ80" s="981"/>
      <c r="CR80" s="981"/>
      <c r="CS80" s="981"/>
      <c r="CT80" s="981"/>
      <c r="CU80" s="981"/>
    </row>
    <row r="81">
      <c r="A81" s="1394"/>
      <c r="B81" s="788" t="s">
        <v>1256</v>
      </c>
      <c r="C81" s="784" t="s">
        <v>1256</v>
      </c>
      <c r="D81" s="785" t="s">
        <v>1256</v>
      </c>
      <c r="E81" s="786" t="s">
        <v>1256</v>
      </c>
      <c r="F81" s="787" t="s">
        <v>1256</v>
      </c>
      <c r="G81" s="788" t="s">
        <v>1256</v>
      </c>
      <c r="H81" s="1399"/>
      <c r="I81" s="1399"/>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3"/>
      <c r="BX81" s="981"/>
      <c r="BY81" s="981"/>
      <c r="BZ81" s="981"/>
      <c r="CA81" s="1333"/>
      <c r="CB81" s="981"/>
      <c r="CC81" s="981"/>
      <c r="CD81" s="1333"/>
      <c r="CE81" s="981"/>
      <c r="CF81" s="981"/>
      <c r="CG81" s="981"/>
      <c r="CH81" s="981"/>
      <c r="CI81" s="981"/>
      <c r="CJ81" s="981"/>
      <c r="CK81" s="981"/>
      <c r="CL81" s="981"/>
      <c r="CM81" s="981"/>
      <c r="CN81" s="981"/>
      <c r="CO81" s="981"/>
      <c r="CP81" s="981"/>
      <c r="CQ81" s="981"/>
      <c r="CR81" s="981"/>
      <c r="CS81" s="981"/>
      <c r="CT81" s="981"/>
      <c r="CU81" s="981"/>
    </row>
    <row r="82">
      <c r="A82" s="1394"/>
      <c r="B82" s="788" t="s">
        <v>1256</v>
      </c>
      <c r="C82" s="784" t="s">
        <v>1256</v>
      </c>
      <c r="D82" s="785" t="s">
        <v>1256</v>
      </c>
      <c r="E82" s="786" t="s">
        <v>1256</v>
      </c>
      <c r="F82" s="787" t="s">
        <v>1256</v>
      </c>
      <c r="G82" s="788" t="s">
        <v>1256</v>
      </c>
      <c r="H82" s="1399"/>
      <c r="I82" s="1399"/>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3"/>
      <c r="BX82" s="981"/>
      <c r="BY82" s="981"/>
      <c r="BZ82" s="981"/>
      <c r="CA82" s="1333"/>
      <c r="CB82" s="981"/>
      <c r="CC82" s="981"/>
      <c r="CD82" s="1333"/>
      <c r="CE82" s="981"/>
      <c r="CF82" s="981"/>
      <c r="CG82" s="981"/>
      <c r="CH82" s="981"/>
      <c r="CI82" s="981"/>
      <c r="CJ82" s="981"/>
      <c r="CK82" s="981"/>
      <c r="CL82" s="981"/>
      <c r="CM82" s="981"/>
      <c r="CN82" s="981"/>
      <c r="CO82" s="981"/>
      <c r="CP82" s="981"/>
      <c r="CQ82" s="981"/>
      <c r="CR82" s="981"/>
      <c r="CS82" s="981"/>
      <c r="CT82" s="981"/>
      <c r="CU82" s="981"/>
    </row>
    <row r="83">
      <c r="A83" s="1394"/>
      <c r="B83" s="788" t="s">
        <v>1256</v>
      </c>
      <c r="C83" s="784" t="s">
        <v>1256</v>
      </c>
      <c r="D83" s="785" t="s">
        <v>1256</v>
      </c>
      <c r="E83" s="786" t="s">
        <v>1256</v>
      </c>
      <c r="F83" s="787" t="s">
        <v>1256</v>
      </c>
      <c r="G83" s="788" t="s">
        <v>1256</v>
      </c>
      <c r="H83" s="1399"/>
      <c r="I83" s="1399"/>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3"/>
      <c r="BX83" s="981"/>
      <c r="BY83" s="981"/>
      <c r="BZ83" s="981"/>
      <c r="CA83" s="1333"/>
      <c r="CB83" s="981"/>
      <c r="CC83" s="981"/>
      <c r="CD83" s="1333"/>
      <c r="CE83" s="981"/>
      <c r="CF83" s="981"/>
      <c r="CG83" s="981"/>
      <c r="CH83" s="981"/>
      <c r="CI83" s="981"/>
      <c r="CJ83" s="981"/>
      <c r="CK83" s="981"/>
      <c r="CL83" s="981"/>
      <c r="CM83" s="981"/>
      <c r="CN83" s="981"/>
      <c r="CO83" s="981"/>
      <c r="CP83" s="981"/>
      <c r="CQ83" s="981"/>
      <c r="CR83" s="981"/>
      <c r="CS83" s="981"/>
      <c r="CT83" s="981"/>
      <c r="CU83" s="981"/>
    </row>
    <row r="84">
      <c r="A84" s="1394"/>
      <c r="B84" s="788" t="s">
        <v>1256</v>
      </c>
      <c r="C84" s="784" t="s">
        <v>1256</v>
      </c>
      <c r="D84" s="785" t="s">
        <v>1256</v>
      </c>
      <c r="E84" s="786" t="s">
        <v>1256</v>
      </c>
      <c r="F84" s="787" t="s">
        <v>1256</v>
      </c>
      <c r="G84" s="788" t="s">
        <v>1256</v>
      </c>
      <c r="H84" s="1399"/>
      <c r="I84" s="1399"/>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3"/>
      <c r="BX84" s="981"/>
      <c r="BY84" s="981"/>
      <c r="BZ84" s="981"/>
      <c r="CA84" s="1333"/>
      <c r="CB84" s="981"/>
      <c r="CC84" s="981"/>
      <c r="CD84" s="1333"/>
      <c r="CE84" s="981"/>
      <c r="CF84" s="981"/>
      <c r="CG84" s="981"/>
      <c r="CH84" s="981"/>
      <c r="CI84" s="981"/>
      <c r="CJ84" s="981"/>
      <c r="CK84" s="981"/>
      <c r="CL84" s="981"/>
      <c r="CM84" s="981"/>
      <c r="CN84" s="981"/>
      <c r="CO84" s="981"/>
      <c r="CP84" s="981"/>
      <c r="CQ84" s="981"/>
      <c r="CR84" s="981"/>
      <c r="CS84" s="981"/>
      <c r="CT84" s="981"/>
      <c r="CU84" s="981"/>
    </row>
    <row r="85">
      <c r="A85" s="1394"/>
      <c r="B85" s="788" t="s">
        <v>1256</v>
      </c>
      <c r="C85" s="784" t="s">
        <v>1256</v>
      </c>
      <c r="D85" s="785" t="s">
        <v>1256</v>
      </c>
      <c r="E85" s="786" t="s">
        <v>1256</v>
      </c>
      <c r="F85" s="787" t="s">
        <v>1256</v>
      </c>
      <c r="G85" s="788" t="s">
        <v>1256</v>
      </c>
      <c r="H85" s="1399"/>
      <c r="I85" s="1399"/>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3"/>
      <c r="BX85" s="981"/>
      <c r="BY85" s="981"/>
      <c r="BZ85" s="981"/>
      <c r="CA85" s="1333"/>
      <c r="CB85" s="981"/>
      <c r="CC85" s="981"/>
      <c r="CD85" s="1333"/>
      <c r="CE85" s="981"/>
      <c r="CF85" s="981"/>
      <c r="CG85" s="981"/>
      <c r="CH85" s="981"/>
      <c r="CI85" s="981"/>
      <c r="CJ85" s="981"/>
      <c r="CK85" s="981"/>
      <c r="CL85" s="981"/>
      <c r="CM85" s="981"/>
      <c r="CN85" s="981"/>
      <c r="CO85" s="981"/>
      <c r="CP85" s="981"/>
      <c r="CQ85" s="981"/>
      <c r="CR85" s="981"/>
      <c r="CS85" s="981"/>
      <c r="CT85" s="981"/>
      <c r="CU85" s="981"/>
    </row>
    <row r="86">
      <c r="A86" s="1394"/>
      <c r="B86" s="788" t="s">
        <v>1256</v>
      </c>
      <c r="C86" s="784" t="s">
        <v>1256</v>
      </c>
      <c r="D86" s="785" t="s">
        <v>1256</v>
      </c>
      <c r="E86" s="786" t="s">
        <v>1256</v>
      </c>
      <c r="F86" s="787" t="s">
        <v>1256</v>
      </c>
      <c r="G86" s="788" t="s">
        <v>1256</v>
      </c>
      <c r="H86" s="1399"/>
      <c r="I86" s="1399"/>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3"/>
      <c r="BX86" s="981"/>
      <c r="BY86" s="981"/>
      <c r="BZ86" s="981"/>
      <c r="CA86" s="1333"/>
      <c r="CB86" s="981"/>
      <c r="CC86" s="981"/>
      <c r="CD86" s="1333"/>
      <c r="CE86" s="981"/>
      <c r="CF86" s="981"/>
      <c r="CG86" s="981"/>
      <c r="CH86" s="981"/>
      <c r="CI86" s="981"/>
      <c r="CJ86" s="981"/>
      <c r="CK86" s="981"/>
      <c r="CL86" s="981"/>
      <c r="CM86" s="981"/>
      <c r="CN86" s="981"/>
      <c r="CO86" s="981"/>
      <c r="CP86" s="981"/>
      <c r="CQ86" s="981"/>
      <c r="CR86" s="981"/>
      <c r="CS86" s="981"/>
      <c r="CT86" s="981"/>
      <c r="CU86" s="981"/>
    </row>
    <row r="87">
      <c r="A87" s="1394"/>
      <c r="B87" s="788" t="s">
        <v>1256</v>
      </c>
      <c r="C87" s="784" t="s">
        <v>1256</v>
      </c>
      <c r="D87" s="785" t="s">
        <v>1256</v>
      </c>
      <c r="E87" s="786" t="s">
        <v>1256</v>
      </c>
      <c r="F87" s="787" t="s">
        <v>1256</v>
      </c>
      <c r="G87" s="788" t="s">
        <v>1256</v>
      </c>
      <c r="H87" s="1399"/>
      <c r="I87" s="1399"/>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3"/>
      <c r="BX87" s="981"/>
      <c r="BY87" s="981"/>
      <c r="BZ87" s="981"/>
      <c r="CA87" s="1333"/>
      <c r="CB87" s="981"/>
      <c r="CC87" s="981"/>
      <c r="CD87" s="1333"/>
      <c r="CE87" s="981"/>
      <c r="CF87" s="981"/>
      <c r="CG87" s="981"/>
      <c r="CH87" s="981"/>
      <c r="CI87" s="981"/>
      <c r="CJ87" s="981"/>
      <c r="CK87" s="981"/>
      <c r="CL87" s="981"/>
      <c r="CM87" s="981"/>
      <c r="CN87" s="981"/>
      <c r="CO87" s="981"/>
      <c r="CP87" s="981"/>
      <c r="CQ87" s="981"/>
      <c r="CR87" s="981"/>
      <c r="CS87" s="981"/>
      <c r="CT87" s="981"/>
      <c r="CU87" s="981"/>
    </row>
    <row r="88">
      <c r="A88" s="1394"/>
      <c r="B88" s="788" t="s">
        <v>1256</v>
      </c>
      <c r="C88" s="784" t="s">
        <v>1256</v>
      </c>
      <c r="D88" s="785" t="s">
        <v>1256</v>
      </c>
      <c r="E88" s="786" t="s">
        <v>1256</v>
      </c>
      <c r="F88" s="787" t="s">
        <v>1256</v>
      </c>
      <c r="G88" s="788" t="s">
        <v>1256</v>
      </c>
      <c r="H88" s="1399"/>
      <c r="I88" s="1399"/>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3"/>
      <c r="BX88" s="981"/>
      <c r="BY88" s="981"/>
      <c r="BZ88" s="981"/>
      <c r="CA88" s="1333"/>
      <c r="CB88" s="981"/>
      <c r="CC88" s="981"/>
      <c r="CD88" s="1333"/>
      <c r="CE88" s="981"/>
      <c r="CF88" s="981"/>
      <c r="CG88" s="981"/>
      <c r="CH88" s="981"/>
      <c r="CI88" s="981"/>
      <c r="CJ88" s="981"/>
      <c r="CK88" s="981"/>
      <c r="CL88" s="981"/>
      <c r="CM88" s="981"/>
      <c r="CN88" s="981"/>
      <c r="CO88" s="981"/>
      <c r="CP88" s="981"/>
      <c r="CQ88" s="981"/>
      <c r="CR88" s="981"/>
      <c r="CS88" s="981"/>
      <c r="CT88" s="981"/>
      <c r="CU88" s="981"/>
    </row>
    <row r="89">
      <c r="A89" s="1394"/>
      <c r="B89" s="788" t="s">
        <v>1256</v>
      </c>
      <c r="C89" s="784" t="s">
        <v>1256</v>
      </c>
      <c r="D89" s="785" t="s">
        <v>1256</v>
      </c>
      <c r="E89" s="786" t="s">
        <v>1256</v>
      </c>
      <c r="F89" s="787" t="s">
        <v>1256</v>
      </c>
      <c r="G89" s="788" t="s">
        <v>1256</v>
      </c>
      <c r="H89" s="1399"/>
      <c r="I89" s="1399"/>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3"/>
      <c r="BX89" s="981"/>
      <c r="BY89" s="981"/>
      <c r="BZ89" s="981"/>
      <c r="CA89" s="1333"/>
      <c r="CB89" s="981"/>
      <c r="CC89" s="981"/>
      <c r="CD89" s="1333"/>
      <c r="CE89" s="981"/>
      <c r="CF89" s="981"/>
      <c r="CG89" s="981"/>
      <c r="CH89" s="981"/>
      <c r="CI89" s="981"/>
      <c r="CJ89" s="981"/>
      <c r="CK89" s="981"/>
      <c r="CL89" s="981"/>
      <c r="CM89" s="981"/>
      <c r="CN89" s="981"/>
      <c r="CO89" s="981"/>
      <c r="CP89" s="981"/>
      <c r="CQ89" s="981"/>
      <c r="CR89" s="981"/>
      <c r="CS89" s="981"/>
      <c r="CT89" s="981"/>
      <c r="CU89" s="981"/>
    </row>
    <row r="90">
      <c r="A90" s="1394"/>
      <c r="B90" s="788" t="s">
        <v>1256</v>
      </c>
      <c r="C90" s="784" t="s">
        <v>1256</v>
      </c>
      <c r="D90" s="785" t="s">
        <v>1256</v>
      </c>
      <c r="E90" s="786" t="s">
        <v>1256</v>
      </c>
      <c r="F90" s="787" t="s">
        <v>1256</v>
      </c>
      <c r="G90" s="788" t="s">
        <v>1256</v>
      </c>
      <c r="H90" s="1399"/>
      <c r="I90" s="1399"/>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3"/>
      <c r="BX90" s="981"/>
      <c r="BY90" s="981"/>
      <c r="BZ90" s="981"/>
      <c r="CA90" s="1333"/>
      <c r="CB90" s="981"/>
      <c r="CC90" s="981"/>
      <c r="CD90" s="1333"/>
      <c r="CE90" s="981"/>
      <c r="CF90" s="981"/>
      <c r="CG90" s="981"/>
      <c r="CH90" s="981"/>
      <c r="CI90" s="981"/>
      <c r="CJ90" s="981"/>
      <c r="CK90" s="981"/>
      <c r="CL90" s="981"/>
      <c r="CM90" s="981"/>
      <c r="CN90" s="981"/>
      <c r="CO90" s="981"/>
      <c r="CP90" s="981"/>
      <c r="CQ90" s="981"/>
      <c r="CR90" s="981"/>
      <c r="CS90" s="981"/>
      <c r="CT90" s="981"/>
      <c r="CU90" s="981"/>
    </row>
    <row r="91">
      <c r="A91" s="1394"/>
      <c r="B91" s="788" t="s">
        <v>1256</v>
      </c>
      <c r="C91" s="784" t="s">
        <v>1256</v>
      </c>
      <c r="D91" s="785" t="s">
        <v>1256</v>
      </c>
      <c r="E91" s="786" t="s">
        <v>1256</v>
      </c>
      <c r="F91" s="787" t="s">
        <v>1256</v>
      </c>
      <c r="G91" s="788" t="s">
        <v>1256</v>
      </c>
      <c r="H91" s="1399"/>
      <c r="I91" s="1399"/>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3"/>
      <c r="BX91" s="981"/>
      <c r="BY91" s="981"/>
      <c r="BZ91" s="981"/>
      <c r="CA91" s="1333"/>
      <c r="CB91" s="981"/>
      <c r="CC91" s="981"/>
      <c r="CD91" s="1333"/>
      <c r="CE91" s="981"/>
      <c r="CF91" s="981"/>
      <c r="CG91" s="981"/>
      <c r="CH91" s="981"/>
      <c r="CI91" s="981"/>
      <c r="CJ91" s="981"/>
      <c r="CK91" s="981"/>
      <c r="CL91" s="981"/>
      <c r="CM91" s="981"/>
      <c r="CN91" s="981"/>
      <c r="CO91" s="981"/>
      <c r="CP91" s="981"/>
      <c r="CQ91" s="981"/>
      <c r="CR91" s="981"/>
      <c r="CS91" s="981"/>
      <c r="CT91" s="981"/>
      <c r="CU91" s="981"/>
    </row>
    <row r="92">
      <c r="A92" s="1394"/>
      <c r="B92" s="788" t="s">
        <v>1256</v>
      </c>
      <c r="C92" s="784" t="s">
        <v>1256</v>
      </c>
      <c r="D92" s="785" t="s">
        <v>1256</v>
      </c>
      <c r="E92" s="786" t="s">
        <v>1256</v>
      </c>
      <c r="F92" s="787" t="s">
        <v>1256</v>
      </c>
      <c r="G92" s="788" t="s">
        <v>1256</v>
      </c>
      <c r="H92" s="1399"/>
      <c r="I92" s="1399"/>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3"/>
      <c r="BX92" s="981"/>
      <c r="BY92" s="981"/>
      <c r="BZ92" s="981"/>
      <c r="CA92" s="1333"/>
      <c r="CB92" s="981"/>
      <c r="CC92" s="981"/>
      <c r="CD92" s="1333"/>
      <c r="CE92" s="981"/>
      <c r="CF92" s="981"/>
      <c r="CG92" s="981"/>
      <c r="CH92" s="981"/>
      <c r="CI92" s="981"/>
      <c r="CJ92" s="981"/>
      <c r="CK92" s="981"/>
      <c r="CL92" s="981"/>
      <c r="CM92" s="981"/>
      <c r="CN92" s="981"/>
      <c r="CO92" s="981"/>
      <c r="CP92" s="981"/>
      <c r="CQ92" s="981"/>
      <c r="CR92" s="981"/>
      <c r="CS92" s="981"/>
      <c r="CT92" s="981"/>
      <c r="CU92" s="981"/>
    </row>
    <row r="93">
      <c r="A93" s="1394"/>
      <c r="B93" s="788" t="s">
        <v>1256</v>
      </c>
      <c r="C93" s="784" t="s">
        <v>1256</v>
      </c>
      <c r="D93" s="785" t="s">
        <v>1256</v>
      </c>
      <c r="E93" s="786" t="s">
        <v>1256</v>
      </c>
      <c r="F93" s="787" t="s">
        <v>1256</v>
      </c>
      <c r="G93" s="788" t="s">
        <v>1256</v>
      </c>
      <c r="H93" s="1399"/>
      <c r="I93" s="1399"/>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3"/>
      <c r="BX93" s="981"/>
      <c r="BY93" s="981"/>
      <c r="BZ93" s="981"/>
      <c r="CA93" s="1333"/>
      <c r="CB93" s="981"/>
      <c r="CC93" s="981"/>
      <c r="CD93" s="1333"/>
      <c r="CE93" s="981"/>
      <c r="CF93" s="981"/>
      <c r="CG93" s="981"/>
      <c r="CH93" s="981"/>
      <c r="CI93" s="981"/>
      <c r="CJ93" s="981"/>
      <c r="CK93" s="981"/>
      <c r="CL93" s="981"/>
      <c r="CM93" s="981"/>
      <c r="CN93" s="981"/>
      <c r="CO93" s="981"/>
      <c r="CP93" s="981"/>
      <c r="CQ93" s="981"/>
      <c r="CR93" s="981"/>
      <c r="CS93" s="981"/>
      <c r="CT93" s="981"/>
      <c r="CU93" s="981"/>
    </row>
    <row r="94">
      <c r="A94" s="1394"/>
      <c r="B94" s="788" t="s">
        <v>1256</v>
      </c>
      <c r="C94" s="784" t="s">
        <v>1256</v>
      </c>
      <c r="D94" s="785" t="s">
        <v>1256</v>
      </c>
      <c r="E94" s="786" t="s">
        <v>1256</v>
      </c>
      <c r="F94" s="787" t="s">
        <v>1256</v>
      </c>
      <c r="G94" s="788" t="s">
        <v>1256</v>
      </c>
      <c r="H94" s="1399"/>
      <c r="I94" s="1399"/>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3"/>
      <c r="BX94" s="981"/>
      <c r="BY94" s="981"/>
      <c r="BZ94" s="981"/>
      <c r="CA94" s="1333"/>
      <c r="CB94" s="981"/>
      <c r="CC94" s="981"/>
      <c r="CD94" s="1333"/>
      <c r="CE94" s="981"/>
      <c r="CF94" s="981"/>
      <c r="CG94" s="981"/>
      <c r="CH94" s="981"/>
      <c r="CI94" s="981"/>
      <c r="CJ94" s="981"/>
      <c r="CK94" s="981"/>
      <c r="CL94" s="981"/>
      <c r="CM94" s="981"/>
      <c r="CN94" s="981"/>
      <c r="CO94" s="981"/>
      <c r="CP94" s="981"/>
      <c r="CQ94" s="981"/>
      <c r="CR94" s="981"/>
      <c r="CS94" s="981"/>
      <c r="CT94" s="981"/>
      <c r="CU94" s="981"/>
    </row>
    <row r="95">
      <c r="A95" s="1394"/>
      <c r="B95" s="788" t="s">
        <v>1256</v>
      </c>
      <c r="C95" s="784" t="s">
        <v>1256</v>
      </c>
      <c r="D95" s="785" t="s">
        <v>1256</v>
      </c>
      <c r="E95" s="786" t="s">
        <v>1256</v>
      </c>
      <c r="F95" s="787" t="s">
        <v>1256</v>
      </c>
      <c r="G95" s="788" t="s">
        <v>1256</v>
      </c>
      <c r="H95" s="1399"/>
      <c r="I95" s="1399"/>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3"/>
      <c r="BX95" s="981"/>
      <c r="BY95" s="981"/>
      <c r="BZ95" s="981"/>
      <c r="CA95" s="1333"/>
      <c r="CB95" s="981"/>
      <c r="CC95" s="981"/>
      <c r="CD95" s="1333"/>
      <c r="CE95" s="981"/>
      <c r="CF95" s="981"/>
      <c r="CG95" s="981"/>
      <c r="CH95" s="981"/>
      <c r="CI95" s="981"/>
      <c r="CJ95" s="981"/>
      <c r="CK95" s="981"/>
      <c r="CL95" s="981"/>
      <c r="CM95" s="981"/>
      <c r="CN95" s="981"/>
      <c r="CO95" s="981"/>
      <c r="CP95" s="981"/>
      <c r="CQ95" s="981"/>
      <c r="CR95" s="981"/>
      <c r="CS95" s="981"/>
      <c r="CT95" s="981"/>
      <c r="CU95" s="981"/>
    </row>
    <row r="96">
      <c r="A96" s="1394"/>
      <c r="B96" s="788" t="s">
        <v>1256</v>
      </c>
      <c r="C96" s="784" t="s">
        <v>1256</v>
      </c>
      <c r="D96" s="785" t="s">
        <v>1256</v>
      </c>
      <c r="E96" s="786" t="s">
        <v>1256</v>
      </c>
      <c r="F96" s="787" t="s">
        <v>1256</v>
      </c>
      <c r="G96" s="788" t="s">
        <v>1256</v>
      </c>
      <c r="H96" s="1399"/>
      <c r="I96" s="1399"/>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3"/>
      <c r="BX96" s="981"/>
      <c r="BY96" s="981"/>
      <c r="BZ96" s="981"/>
      <c r="CA96" s="1333"/>
      <c r="CB96" s="981"/>
      <c r="CC96" s="981"/>
      <c r="CD96" s="1333"/>
      <c r="CE96" s="981"/>
      <c r="CF96" s="981"/>
      <c r="CG96" s="981"/>
      <c r="CH96" s="981"/>
      <c r="CI96" s="981"/>
      <c r="CJ96" s="981"/>
      <c r="CK96" s="981"/>
      <c r="CL96" s="981"/>
      <c r="CM96" s="981"/>
      <c r="CN96" s="981"/>
      <c r="CO96" s="981"/>
      <c r="CP96" s="981"/>
      <c r="CQ96" s="981"/>
      <c r="CR96" s="981"/>
      <c r="CS96" s="981"/>
      <c r="CT96" s="981"/>
      <c r="CU96" s="981"/>
    </row>
    <row r="97">
      <c r="A97" s="1394"/>
      <c r="B97" s="788" t="s">
        <v>1256</v>
      </c>
      <c r="C97" s="784" t="s">
        <v>1256</v>
      </c>
      <c r="D97" s="785" t="s">
        <v>1256</v>
      </c>
      <c r="E97" s="786" t="s">
        <v>1256</v>
      </c>
      <c r="F97" s="787" t="s">
        <v>1256</v>
      </c>
      <c r="G97" s="788" t="s">
        <v>1256</v>
      </c>
      <c r="H97" s="1399"/>
      <c r="I97" s="1399"/>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3"/>
      <c r="BX97" s="981"/>
      <c r="BY97" s="981"/>
      <c r="BZ97" s="981"/>
      <c r="CA97" s="1333"/>
      <c r="CB97" s="981"/>
      <c r="CC97" s="981"/>
      <c r="CD97" s="1333"/>
      <c r="CE97" s="981"/>
      <c r="CF97" s="981"/>
      <c r="CG97" s="981"/>
      <c r="CH97" s="981"/>
      <c r="CI97" s="981"/>
      <c r="CJ97" s="981"/>
      <c r="CK97" s="981"/>
      <c r="CL97" s="981"/>
      <c r="CM97" s="981"/>
      <c r="CN97" s="981"/>
      <c r="CO97" s="981"/>
      <c r="CP97" s="981"/>
      <c r="CQ97" s="981"/>
      <c r="CR97" s="981"/>
      <c r="CS97" s="981"/>
      <c r="CT97" s="981"/>
      <c r="CU97" s="981"/>
    </row>
    <row r="98">
      <c r="A98" s="1394"/>
      <c r="B98" s="788" t="s">
        <v>1256</v>
      </c>
      <c r="C98" s="784" t="s">
        <v>1256</v>
      </c>
      <c r="D98" s="785" t="s">
        <v>1256</v>
      </c>
      <c r="E98" s="786" t="s">
        <v>1256</v>
      </c>
      <c r="F98" s="787" t="s">
        <v>1256</v>
      </c>
      <c r="G98" s="788" t="s">
        <v>1256</v>
      </c>
      <c r="H98" s="1399"/>
      <c r="I98" s="1399"/>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3"/>
      <c r="BX98" s="981"/>
      <c r="BY98" s="981"/>
      <c r="BZ98" s="981"/>
      <c r="CA98" s="1333"/>
      <c r="CB98" s="981"/>
      <c r="CC98" s="981"/>
      <c r="CD98" s="1333"/>
      <c r="CE98" s="981"/>
      <c r="CF98" s="981"/>
      <c r="CG98" s="981"/>
      <c r="CH98" s="981"/>
      <c r="CI98" s="981"/>
      <c r="CJ98" s="981"/>
      <c r="CK98" s="981"/>
      <c r="CL98" s="981"/>
      <c r="CM98" s="981"/>
      <c r="CN98" s="981"/>
      <c r="CO98" s="981"/>
      <c r="CP98" s="981"/>
      <c r="CQ98" s="981"/>
      <c r="CR98" s="981"/>
      <c r="CS98" s="981"/>
      <c r="CT98" s="981"/>
      <c r="CU98" s="981"/>
    </row>
    <row r="99">
      <c r="A99" s="1394"/>
      <c r="B99" s="788" t="s">
        <v>1256</v>
      </c>
      <c r="C99" s="784" t="s">
        <v>1256</v>
      </c>
      <c r="D99" s="785" t="s">
        <v>1256</v>
      </c>
      <c r="E99" s="786" t="s">
        <v>1256</v>
      </c>
      <c r="F99" s="787" t="s">
        <v>1256</v>
      </c>
      <c r="G99" s="788" t="s">
        <v>1256</v>
      </c>
      <c r="H99" s="1399"/>
      <c r="I99" s="1399"/>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3"/>
      <c r="BX99" s="981"/>
      <c r="BY99" s="981"/>
      <c r="BZ99" s="981"/>
      <c r="CA99" s="1333"/>
      <c r="CB99" s="981"/>
      <c r="CC99" s="981"/>
      <c r="CD99" s="1333"/>
      <c r="CE99" s="981"/>
      <c r="CF99" s="981"/>
      <c r="CG99" s="981"/>
      <c r="CH99" s="981"/>
      <c r="CI99" s="981"/>
      <c r="CJ99" s="981"/>
      <c r="CK99" s="981"/>
      <c r="CL99" s="981"/>
      <c r="CM99" s="981"/>
      <c r="CN99" s="981"/>
      <c r="CO99" s="981"/>
      <c r="CP99" s="981"/>
      <c r="CQ99" s="981"/>
      <c r="CR99" s="981"/>
      <c r="CS99" s="981"/>
      <c r="CT99" s="981"/>
      <c r="CU99" s="981"/>
    </row>
    <row r="100">
      <c r="A100" s="1394"/>
      <c r="B100" s="788" t="s">
        <v>1256</v>
      </c>
      <c r="C100" s="784" t="s">
        <v>1256</v>
      </c>
      <c r="D100" s="785" t="s">
        <v>1256</v>
      </c>
      <c r="E100" s="786" t="s">
        <v>1256</v>
      </c>
      <c r="F100" s="787" t="s">
        <v>1256</v>
      </c>
      <c r="G100" s="788" t="s">
        <v>1256</v>
      </c>
      <c r="H100" s="1399"/>
      <c r="I100" s="1399"/>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3"/>
      <c r="BX100" s="981"/>
      <c r="BY100" s="981"/>
      <c r="BZ100" s="981"/>
      <c r="CA100" s="1333"/>
      <c r="CB100" s="981"/>
      <c r="CC100" s="981"/>
      <c r="CD100" s="1333"/>
      <c r="CE100" s="981"/>
      <c r="CF100" s="981"/>
      <c r="CG100" s="981"/>
      <c r="CH100" s="981"/>
      <c r="CI100" s="981"/>
      <c r="CJ100" s="981"/>
      <c r="CK100" s="981"/>
      <c r="CL100" s="981"/>
      <c r="CM100" s="981"/>
      <c r="CN100" s="981"/>
      <c r="CO100" s="981"/>
      <c r="CP100" s="981"/>
      <c r="CQ100" s="981"/>
      <c r="CR100" s="981"/>
      <c r="CS100" s="981"/>
      <c r="CT100" s="981"/>
      <c r="CU100" s="981"/>
    </row>
    <row r="101">
      <c r="A101" s="1394"/>
      <c r="B101" s="788" t="s">
        <v>1256</v>
      </c>
      <c r="C101" s="784" t="s">
        <v>1256</v>
      </c>
      <c r="D101" s="785" t="s">
        <v>1256</v>
      </c>
      <c r="E101" s="786" t="s">
        <v>1256</v>
      </c>
      <c r="F101" s="787" t="s">
        <v>1256</v>
      </c>
      <c r="G101" s="788" t="s">
        <v>1256</v>
      </c>
      <c r="H101" s="1399"/>
      <c r="I101" s="1399"/>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3"/>
      <c r="BX101" s="981"/>
      <c r="BY101" s="981"/>
      <c r="BZ101" s="981"/>
      <c r="CA101" s="1333"/>
      <c r="CB101" s="981"/>
      <c r="CC101" s="981"/>
      <c r="CD101" s="1333"/>
      <c r="CE101" s="981"/>
      <c r="CF101" s="981"/>
      <c r="CG101" s="981"/>
      <c r="CH101" s="981"/>
      <c r="CI101" s="981"/>
      <c r="CJ101" s="981"/>
      <c r="CK101" s="981"/>
      <c r="CL101" s="981"/>
      <c r="CM101" s="981"/>
      <c r="CN101" s="981"/>
      <c r="CO101" s="981"/>
      <c r="CP101" s="981"/>
      <c r="CQ101" s="981"/>
      <c r="CR101" s="981"/>
      <c r="CS101" s="981"/>
      <c r="CT101" s="981"/>
      <c r="CU101" s="981"/>
    </row>
    <row r="102">
      <c r="A102" s="1394"/>
      <c r="B102" s="788" t="s">
        <v>1256</v>
      </c>
      <c r="C102" s="784" t="s">
        <v>1256</v>
      </c>
      <c r="D102" s="785" t="s">
        <v>1256</v>
      </c>
      <c r="E102" s="786" t="s">
        <v>1256</v>
      </c>
      <c r="F102" s="787" t="s">
        <v>1256</v>
      </c>
      <c r="G102" s="788" t="s">
        <v>1256</v>
      </c>
      <c r="H102" s="1399"/>
      <c r="I102" s="1399"/>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3"/>
      <c r="BX102" s="981"/>
      <c r="BY102" s="981"/>
      <c r="BZ102" s="981"/>
      <c r="CA102" s="1333"/>
      <c r="CB102" s="981"/>
      <c r="CC102" s="981"/>
      <c r="CD102" s="1333"/>
      <c r="CE102" s="981"/>
      <c r="CF102" s="981"/>
      <c r="CG102" s="981"/>
      <c r="CH102" s="981"/>
      <c r="CI102" s="981"/>
      <c r="CJ102" s="981"/>
      <c r="CK102" s="981"/>
      <c r="CL102" s="981"/>
      <c r="CM102" s="981"/>
      <c r="CN102" s="981"/>
      <c r="CO102" s="981"/>
      <c r="CP102" s="981"/>
      <c r="CQ102" s="981"/>
      <c r="CR102" s="981"/>
      <c r="CS102" s="981"/>
      <c r="CT102" s="981"/>
      <c r="CU102" s="981"/>
    </row>
    <row r="103">
      <c r="A103" s="1394"/>
      <c r="B103" s="788" t="s">
        <v>1256</v>
      </c>
      <c r="C103" s="784" t="s">
        <v>1256</v>
      </c>
      <c r="D103" s="785" t="s">
        <v>1256</v>
      </c>
      <c r="E103" s="786" t="s">
        <v>1256</v>
      </c>
      <c r="F103" s="787" t="s">
        <v>1256</v>
      </c>
      <c r="G103" s="788" t="s">
        <v>1256</v>
      </c>
      <c r="H103" s="1399"/>
      <c r="I103" s="1399"/>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3"/>
      <c r="BX103" s="981"/>
      <c r="BY103" s="981"/>
      <c r="BZ103" s="981"/>
      <c r="CA103" s="1333"/>
      <c r="CB103" s="981"/>
      <c r="CC103" s="981"/>
      <c r="CD103" s="1333"/>
      <c r="CE103" s="981"/>
      <c r="CF103" s="981"/>
      <c r="CG103" s="981"/>
      <c r="CH103" s="981"/>
      <c r="CI103" s="981"/>
      <c r="CJ103" s="981"/>
      <c r="CK103" s="981"/>
      <c r="CL103" s="981"/>
      <c r="CM103" s="981"/>
      <c r="CN103" s="981"/>
      <c r="CO103" s="981"/>
      <c r="CP103" s="981"/>
      <c r="CQ103" s="981"/>
      <c r="CR103" s="981"/>
      <c r="CS103" s="981"/>
      <c r="CT103" s="981"/>
      <c r="CU103" s="981"/>
    </row>
    <row r="104">
      <c r="A104" s="1394"/>
      <c r="B104" s="788" t="s">
        <v>1256</v>
      </c>
      <c r="C104" s="784" t="s">
        <v>1256</v>
      </c>
      <c r="D104" s="785" t="s">
        <v>1256</v>
      </c>
      <c r="E104" s="786" t="s">
        <v>1256</v>
      </c>
      <c r="F104" s="787" t="s">
        <v>1256</v>
      </c>
      <c r="G104" s="788" t="s">
        <v>1256</v>
      </c>
      <c r="H104" s="1399"/>
      <c r="I104" s="1399"/>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3"/>
      <c r="BX104" s="981"/>
      <c r="BY104" s="981"/>
      <c r="BZ104" s="981"/>
      <c r="CA104" s="1333"/>
      <c r="CB104" s="981"/>
      <c r="CC104" s="981"/>
      <c r="CD104" s="1333"/>
      <c r="CE104" s="981"/>
      <c r="CF104" s="981"/>
      <c r="CG104" s="981"/>
      <c r="CH104" s="981"/>
      <c r="CI104" s="981"/>
      <c r="CJ104" s="981"/>
      <c r="CK104" s="981"/>
      <c r="CL104" s="981"/>
      <c r="CM104" s="981"/>
      <c r="CN104" s="981"/>
      <c r="CO104" s="981"/>
      <c r="CP104" s="981"/>
      <c r="CQ104" s="981"/>
      <c r="CR104" s="981"/>
      <c r="CS104" s="981"/>
      <c r="CT104" s="981"/>
      <c r="CU104" s="981"/>
    </row>
    <row r="105">
      <c r="A105" s="1394"/>
      <c r="B105" s="788" t="s">
        <v>1256</v>
      </c>
      <c r="C105" s="784" t="s">
        <v>1256</v>
      </c>
      <c r="D105" s="785" t="s">
        <v>1256</v>
      </c>
      <c r="E105" s="786" t="s">
        <v>1256</v>
      </c>
      <c r="F105" s="787" t="s">
        <v>1256</v>
      </c>
      <c r="G105" s="788" t="s">
        <v>1256</v>
      </c>
      <c r="H105" s="1399"/>
      <c r="I105" s="1399"/>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3"/>
      <c r="BX105" s="981"/>
      <c r="BY105" s="981"/>
      <c r="BZ105" s="981"/>
      <c r="CA105" s="1333"/>
      <c r="CB105" s="981"/>
      <c r="CC105" s="981"/>
      <c r="CD105" s="1333"/>
      <c r="CE105" s="981"/>
      <c r="CF105" s="981"/>
      <c r="CG105" s="981"/>
      <c r="CH105" s="981"/>
      <c r="CI105" s="981"/>
      <c r="CJ105" s="981"/>
      <c r="CK105" s="981"/>
      <c r="CL105" s="981"/>
      <c r="CM105" s="981"/>
      <c r="CN105" s="981"/>
      <c r="CO105" s="981"/>
      <c r="CP105" s="981"/>
      <c r="CQ105" s="981"/>
      <c r="CR105" s="981"/>
      <c r="CS105" s="981"/>
      <c r="CT105" s="981"/>
      <c r="CU105" s="981"/>
    </row>
    <row r="106">
      <c r="A106" s="1394"/>
      <c r="B106" s="788" t="s">
        <v>1256</v>
      </c>
      <c r="C106" s="784" t="s">
        <v>1256</v>
      </c>
      <c r="D106" s="785" t="s">
        <v>1256</v>
      </c>
      <c r="E106" s="786" t="s">
        <v>1256</v>
      </c>
      <c r="F106" s="787" t="s">
        <v>1256</v>
      </c>
      <c r="G106" s="788" t="s">
        <v>1256</v>
      </c>
      <c r="H106" s="1399"/>
      <c r="I106" s="1399"/>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3"/>
      <c r="BX106" s="981"/>
      <c r="BY106" s="981"/>
      <c r="BZ106" s="981"/>
      <c r="CA106" s="1333"/>
      <c r="CB106" s="981"/>
      <c r="CC106" s="981"/>
      <c r="CD106" s="1333"/>
      <c r="CE106" s="981"/>
      <c r="CF106" s="981"/>
      <c r="CG106" s="981"/>
      <c r="CH106" s="981"/>
      <c r="CI106" s="981"/>
      <c r="CJ106" s="981"/>
      <c r="CK106" s="981"/>
      <c r="CL106" s="981"/>
      <c r="CM106" s="981"/>
      <c r="CN106" s="981"/>
      <c r="CO106" s="981"/>
      <c r="CP106" s="981"/>
      <c r="CQ106" s="981"/>
      <c r="CR106" s="981"/>
      <c r="CS106" s="981"/>
      <c r="CT106" s="981"/>
      <c r="CU106" s="981"/>
    </row>
    <row r="107">
      <c r="A107" s="1394"/>
      <c r="B107" s="788" t="s">
        <v>1256</v>
      </c>
      <c r="C107" s="784" t="s">
        <v>1256</v>
      </c>
      <c r="D107" s="785" t="s">
        <v>1256</v>
      </c>
      <c r="E107" s="786" t="s">
        <v>1256</v>
      </c>
      <c r="F107" s="787" t="s">
        <v>1256</v>
      </c>
      <c r="G107" s="788" t="s">
        <v>1256</v>
      </c>
      <c r="H107" s="1399"/>
      <c r="I107" s="1399"/>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3"/>
      <c r="BX107" s="981"/>
      <c r="BY107" s="981"/>
      <c r="BZ107" s="981"/>
      <c r="CA107" s="1333"/>
      <c r="CB107" s="981"/>
      <c r="CC107" s="981"/>
      <c r="CD107" s="1333"/>
      <c r="CE107" s="981"/>
      <c r="CF107" s="981"/>
      <c r="CG107" s="981"/>
      <c r="CH107" s="981"/>
      <c r="CI107" s="981"/>
      <c r="CJ107" s="981"/>
      <c r="CK107" s="981"/>
      <c r="CL107" s="981"/>
      <c r="CM107" s="981"/>
      <c r="CN107" s="981"/>
      <c r="CO107" s="981"/>
      <c r="CP107" s="981"/>
      <c r="CQ107" s="981"/>
      <c r="CR107" s="981"/>
      <c r="CS107" s="981"/>
      <c r="CT107" s="981"/>
      <c r="CU107" s="981"/>
    </row>
    <row r="108">
      <c r="A108" s="1394"/>
      <c r="B108" s="788" t="s">
        <v>1256</v>
      </c>
      <c r="C108" s="784" t="s">
        <v>1256</v>
      </c>
      <c r="D108" s="785" t="s">
        <v>1256</v>
      </c>
      <c r="E108" s="786" t="s">
        <v>1256</v>
      </c>
      <c r="F108" s="787" t="s">
        <v>1256</v>
      </c>
      <c r="G108" s="788" t="s">
        <v>1256</v>
      </c>
      <c r="H108" s="1399"/>
      <c r="I108" s="1399"/>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3"/>
      <c r="BX108" s="981"/>
      <c r="BY108" s="981"/>
      <c r="BZ108" s="981"/>
      <c r="CA108" s="1333"/>
      <c r="CB108" s="981"/>
      <c r="CC108" s="981"/>
      <c r="CD108" s="1333"/>
      <c r="CE108" s="981"/>
      <c r="CF108" s="981"/>
      <c r="CG108" s="981"/>
      <c r="CH108" s="981"/>
      <c r="CI108" s="981"/>
      <c r="CJ108" s="981"/>
      <c r="CK108" s="981"/>
      <c r="CL108" s="981"/>
      <c r="CM108" s="981"/>
      <c r="CN108" s="981"/>
      <c r="CO108" s="981"/>
      <c r="CP108" s="981"/>
      <c r="CQ108" s="981"/>
      <c r="CR108" s="981"/>
      <c r="CS108" s="981"/>
      <c r="CT108" s="981"/>
      <c r="CU108" s="981"/>
    </row>
    <row r="109">
      <c r="A109" s="1394"/>
      <c r="B109" s="788" t="s">
        <v>1256</v>
      </c>
      <c r="C109" s="784" t="s">
        <v>1256</v>
      </c>
      <c r="D109" s="785" t="s">
        <v>1256</v>
      </c>
      <c r="E109" s="786" t="s">
        <v>1256</v>
      </c>
      <c r="F109" s="787" t="s">
        <v>1256</v>
      </c>
      <c r="G109" s="788" t="s">
        <v>1256</v>
      </c>
      <c r="H109" s="1399"/>
      <c r="I109" s="1399"/>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3"/>
      <c r="BX109" s="981"/>
      <c r="BY109" s="981"/>
      <c r="BZ109" s="981"/>
      <c r="CA109" s="1333"/>
      <c r="CB109" s="981"/>
      <c r="CC109" s="981"/>
      <c r="CD109" s="1333"/>
      <c r="CE109" s="981"/>
      <c r="CF109" s="981"/>
      <c r="CG109" s="981"/>
      <c r="CH109" s="981"/>
      <c r="CI109" s="981"/>
      <c r="CJ109" s="981"/>
      <c r="CK109" s="981"/>
      <c r="CL109" s="981"/>
      <c r="CM109" s="981"/>
      <c r="CN109" s="981"/>
      <c r="CO109" s="981"/>
      <c r="CP109" s="981"/>
      <c r="CQ109" s="981"/>
      <c r="CR109" s="981"/>
      <c r="CS109" s="981"/>
      <c r="CT109" s="981"/>
      <c r="CU109" s="981"/>
    </row>
    <row r="110">
      <c r="A110" s="1394"/>
      <c r="B110" s="788" t="s">
        <v>1256</v>
      </c>
      <c r="C110" s="784" t="s">
        <v>1256</v>
      </c>
      <c r="D110" s="785" t="s">
        <v>1256</v>
      </c>
      <c r="E110" s="786" t="s">
        <v>1256</v>
      </c>
      <c r="F110" s="787" t="s">
        <v>1256</v>
      </c>
      <c r="G110" s="788" t="s">
        <v>1256</v>
      </c>
      <c r="H110" s="1399"/>
      <c r="I110" s="1399"/>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3"/>
      <c r="BX110" s="981"/>
      <c r="BY110" s="981"/>
      <c r="BZ110" s="981"/>
      <c r="CA110" s="1333"/>
      <c r="CB110" s="981"/>
      <c r="CC110" s="981"/>
      <c r="CD110" s="1333"/>
      <c r="CE110" s="981"/>
      <c r="CF110" s="981"/>
      <c r="CG110" s="981"/>
      <c r="CH110" s="981"/>
      <c r="CI110" s="981"/>
      <c r="CJ110" s="981"/>
      <c r="CK110" s="981"/>
      <c r="CL110" s="981"/>
      <c r="CM110" s="981"/>
      <c r="CN110" s="981"/>
      <c r="CO110" s="981"/>
      <c r="CP110" s="981"/>
      <c r="CQ110" s="981"/>
      <c r="CR110" s="981"/>
      <c r="CS110" s="981"/>
      <c r="CT110" s="981"/>
      <c r="CU110" s="981"/>
    </row>
    <row r="111">
      <c r="A111" s="1394"/>
      <c r="B111" s="788" t="s">
        <v>1256</v>
      </c>
      <c r="C111" s="784" t="s">
        <v>1256</v>
      </c>
      <c r="D111" s="785" t="s">
        <v>1256</v>
      </c>
      <c r="E111" s="786" t="s">
        <v>1256</v>
      </c>
      <c r="F111" s="787" t="s">
        <v>1256</v>
      </c>
      <c r="G111" s="788" t="s">
        <v>1256</v>
      </c>
      <c r="H111" s="1399"/>
      <c r="I111" s="1399"/>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3"/>
      <c r="BX111" s="981"/>
      <c r="BY111" s="981"/>
      <c r="BZ111" s="981"/>
      <c r="CA111" s="1333"/>
      <c r="CB111" s="981"/>
      <c r="CC111" s="981"/>
      <c r="CD111" s="1333"/>
      <c r="CE111" s="981"/>
      <c r="CF111" s="981"/>
      <c r="CG111" s="981"/>
      <c r="CH111" s="981"/>
      <c r="CI111" s="981"/>
      <c r="CJ111" s="981"/>
      <c r="CK111" s="981"/>
      <c r="CL111" s="981"/>
      <c r="CM111" s="981"/>
      <c r="CN111" s="981"/>
      <c r="CO111" s="981"/>
      <c r="CP111" s="981"/>
      <c r="CQ111" s="981"/>
      <c r="CR111" s="981"/>
      <c r="CS111" s="981"/>
      <c r="CT111" s="981"/>
      <c r="CU111" s="981"/>
    </row>
    <row r="112">
      <c r="A112" s="1394"/>
      <c r="B112" s="788" t="s">
        <v>1256</v>
      </c>
      <c r="C112" s="784" t="s">
        <v>1256</v>
      </c>
      <c r="D112" s="785" t="s">
        <v>1256</v>
      </c>
      <c r="E112" s="786" t="s">
        <v>1256</v>
      </c>
      <c r="F112" s="787" t="s">
        <v>1256</v>
      </c>
      <c r="G112" s="788" t="s">
        <v>1256</v>
      </c>
      <c r="H112" s="1399"/>
      <c r="I112" s="1399"/>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3"/>
      <c r="BX112" s="981"/>
      <c r="BY112" s="981"/>
      <c r="BZ112" s="981"/>
      <c r="CA112" s="1333"/>
      <c r="CB112" s="981"/>
      <c r="CC112" s="981"/>
      <c r="CD112" s="1333"/>
      <c r="CE112" s="981"/>
      <c r="CF112" s="981"/>
      <c r="CG112" s="981"/>
      <c r="CH112" s="981"/>
      <c r="CI112" s="981"/>
      <c r="CJ112" s="981"/>
      <c r="CK112" s="981"/>
      <c r="CL112" s="981"/>
      <c r="CM112" s="981"/>
      <c r="CN112" s="981"/>
      <c r="CO112" s="981"/>
      <c r="CP112" s="981"/>
      <c r="CQ112" s="981"/>
      <c r="CR112" s="981"/>
      <c r="CS112" s="981"/>
      <c r="CT112" s="981"/>
      <c r="CU112" s="981"/>
    </row>
    <row r="113">
      <c r="A113" s="1394"/>
      <c r="B113" s="788" t="s">
        <v>1256</v>
      </c>
      <c r="C113" s="784" t="s">
        <v>1256</v>
      </c>
      <c r="D113" s="785" t="s">
        <v>1256</v>
      </c>
      <c r="E113" s="786" t="s">
        <v>1256</v>
      </c>
      <c r="F113" s="787" t="s">
        <v>1256</v>
      </c>
      <c r="G113" s="788" t="s">
        <v>1256</v>
      </c>
      <c r="H113" s="1399"/>
      <c r="I113" s="1399"/>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3"/>
      <c r="BX113" s="981"/>
      <c r="BY113" s="981"/>
      <c r="BZ113" s="981"/>
      <c r="CA113" s="1333"/>
      <c r="CB113" s="981"/>
      <c r="CC113" s="981"/>
      <c r="CD113" s="1333"/>
      <c r="CE113" s="981"/>
      <c r="CF113" s="981"/>
      <c r="CG113" s="981"/>
      <c r="CH113" s="981"/>
      <c r="CI113" s="981"/>
      <c r="CJ113" s="981"/>
      <c r="CK113" s="981"/>
      <c r="CL113" s="981"/>
      <c r="CM113" s="981"/>
      <c r="CN113" s="981"/>
      <c r="CO113" s="981"/>
      <c r="CP113" s="981"/>
      <c r="CQ113" s="981"/>
      <c r="CR113" s="981"/>
      <c r="CS113" s="981"/>
      <c r="CT113" s="981"/>
      <c r="CU113" s="981"/>
    </row>
    <row r="114">
      <c r="A114" s="1394"/>
      <c r="B114" s="788" t="s">
        <v>1256</v>
      </c>
      <c r="C114" s="784" t="s">
        <v>1256</v>
      </c>
      <c r="D114" s="785" t="s">
        <v>1256</v>
      </c>
      <c r="E114" s="786" t="s">
        <v>1256</v>
      </c>
      <c r="F114" s="787" t="s">
        <v>1256</v>
      </c>
      <c r="G114" s="788" t="s">
        <v>1256</v>
      </c>
      <c r="H114" s="1399"/>
      <c r="I114" s="1399"/>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3"/>
      <c r="BX114" s="981"/>
      <c r="BY114" s="981"/>
      <c r="BZ114" s="981"/>
      <c r="CA114" s="1333"/>
      <c r="CB114" s="981"/>
      <c r="CC114" s="981"/>
      <c r="CD114" s="1333"/>
      <c r="CE114" s="981"/>
      <c r="CF114" s="981"/>
      <c r="CG114" s="981"/>
      <c r="CH114" s="981"/>
      <c r="CI114" s="981"/>
      <c r="CJ114" s="981"/>
      <c r="CK114" s="981"/>
      <c r="CL114" s="981"/>
      <c r="CM114" s="981"/>
      <c r="CN114" s="981"/>
      <c r="CO114" s="981"/>
      <c r="CP114" s="981"/>
      <c r="CQ114" s="981"/>
      <c r="CR114" s="981"/>
      <c r="CS114" s="981"/>
      <c r="CT114" s="981"/>
      <c r="CU114" s="981"/>
    </row>
    <row r="115">
      <c r="A115" s="1394"/>
      <c r="B115" s="788" t="s">
        <v>1256</v>
      </c>
      <c r="C115" s="784" t="s">
        <v>1256</v>
      </c>
      <c r="D115" s="785" t="s">
        <v>1256</v>
      </c>
      <c r="E115" s="786" t="s">
        <v>1256</v>
      </c>
      <c r="F115" s="787" t="s">
        <v>1256</v>
      </c>
      <c r="G115" s="788" t="s">
        <v>1256</v>
      </c>
      <c r="H115" s="1399"/>
      <c r="I115" s="1399"/>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3"/>
      <c r="BX115" s="981"/>
      <c r="BY115" s="981"/>
      <c r="BZ115" s="981"/>
      <c r="CA115" s="1333"/>
      <c r="CB115" s="981"/>
      <c r="CC115" s="981"/>
      <c r="CD115" s="1333"/>
      <c r="CE115" s="981"/>
      <c r="CF115" s="981"/>
      <c r="CG115" s="981"/>
      <c r="CH115" s="981"/>
      <c r="CI115" s="981"/>
      <c r="CJ115" s="981"/>
      <c r="CK115" s="981"/>
      <c r="CL115" s="981"/>
      <c r="CM115" s="981"/>
      <c r="CN115" s="981"/>
      <c r="CO115" s="981"/>
      <c r="CP115" s="981"/>
      <c r="CQ115" s="981"/>
      <c r="CR115" s="981"/>
      <c r="CS115" s="981"/>
      <c r="CT115" s="981"/>
      <c r="CU115" s="981"/>
    </row>
    <row r="116">
      <c r="A116" s="1394"/>
      <c r="B116" s="788" t="s">
        <v>1256</v>
      </c>
      <c r="C116" s="784" t="s">
        <v>1256</v>
      </c>
      <c r="D116" s="785" t="s">
        <v>1256</v>
      </c>
      <c r="E116" s="786" t="s">
        <v>1256</v>
      </c>
      <c r="F116" s="787" t="s">
        <v>1256</v>
      </c>
      <c r="G116" s="788" t="s">
        <v>1256</v>
      </c>
      <c r="H116" s="1399"/>
      <c r="I116" s="1399"/>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3"/>
      <c r="BX116" s="981"/>
      <c r="BY116" s="981"/>
      <c r="BZ116" s="981"/>
      <c r="CA116" s="1333"/>
      <c r="CB116" s="981"/>
      <c r="CC116" s="981"/>
      <c r="CD116" s="1333"/>
      <c r="CE116" s="981"/>
      <c r="CF116" s="981"/>
      <c r="CG116" s="981"/>
      <c r="CH116" s="981"/>
      <c r="CI116" s="981"/>
      <c r="CJ116" s="981"/>
      <c r="CK116" s="981"/>
      <c r="CL116" s="981"/>
      <c r="CM116" s="981"/>
      <c r="CN116" s="981"/>
      <c r="CO116" s="981"/>
      <c r="CP116" s="981"/>
      <c r="CQ116" s="981"/>
      <c r="CR116" s="981"/>
      <c r="CS116" s="981"/>
      <c r="CT116" s="981"/>
      <c r="CU116" s="981"/>
    </row>
    <row r="117">
      <c r="A117" s="1394"/>
      <c r="B117" s="788" t="s">
        <v>1256</v>
      </c>
      <c r="C117" s="784" t="s">
        <v>1256</v>
      </c>
      <c r="D117" s="785" t="s">
        <v>1256</v>
      </c>
      <c r="E117" s="786" t="s">
        <v>1256</v>
      </c>
      <c r="F117" s="787" t="s">
        <v>1256</v>
      </c>
      <c r="G117" s="788" t="s">
        <v>1256</v>
      </c>
      <c r="H117" s="1399"/>
      <c r="I117" s="1399"/>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3"/>
      <c r="BX117" s="981"/>
      <c r="BY117" s="981"/>
      <c r="BZ117" s="981"/>
      <c r="CA117" s="1333"/>
      <c r="CB117" s="981"/>
      <c r="CC117" s="981"/>
      <c r="CD117" s="1333"/>
      <c r="CE117" s="981"/>
      <c r="CF117" s="981"/>
      <c r="CG117" s="981"/>
      <c r="CH117" s="981"/>
      <c r="CI117" s="981"/>
      <c r="CJ117" s="981"/>
      <c r="CK117" s="981"/>
      <c r="CL117" s="981"/>
      <c r="CM117" s="981"/>
      <c r="CN117" s="981"/>
      <c r="CO117" s="981"/>
      <c r="CP117" s="981"/>
      <c r="CQ117" s="981"/>
      <c r="CR117" s="981"/>
      <c r="CS117" s="981"/>
      <c r="CT117" s="981"/>
      <c r="CU117" s="981"/>
    </row>
    <row r="118">
      <c r="A118" s="1394"/>
      <c r="B118" s="788" t="s">
        <v>1256</v>
      </c>
      <c r="C118" s="784" t="s">
        <v>1256</v>
      </c>
      <c r="D118" s="785" t="s">
        <v>1256</v>
      </c>
      <c r="E118" s="786" t="s">
        <v>1256</v>
      </c>
      <c r="F118" s="787" t="s">
        <v>1256</v>
      </c>
      <c r="G118" s="788" t="s">
        <v>1256</v>
      </c>
      <c r="H118" s="1399"/>
      <c r="I118" s="1399"/>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3"/>
      <c r="BX118" s="981"/>
      <c r="BY118" s="981"/>
      <c r="BZ118" s="981"/>
      <c r="CA118" s="1333"/>
      <c r="CB118" s="981"/>
      <c r="CC118" s="981"/>
      <c r="CD118" s="1333"/>
      <c r="CE118" s="981"/>
      <c r="CF118" s="981"/>
      <c r="CG118" s="981"/>
      <c r="CH118" s="981"/>
      <c r="CI118" s="981"/>
      <c r="CJ118" s="981"/>
      <c r="CK118" s="981"/>
      <c r="CL118" s="981"/>
      <c r="CM118" s="981"/>
      <c r="CN118" s="981"/>
      <c r="CO118" s="981"/>
      <c r="CP118" s="981"/>
      <c r="CQ118" s="981"/>
      <c r="CR118" s="981"/>
      <c r="CS118" s="981"/>
      <c r="CT118" s="981"/>
      <c r="CU118" s="981"/>
    </row>
    <row r="119">
      <c r="A119" s="1394"/>
      <c r="B119" s="788" t="s">
        <v>1256</v>
      </c>
      <c r="C119" s="784" t="s">
        <v>1256</v>
      </c>
      <c r="D119" s="785" t="s">
        <v>1256</v>
      </c>
      <c r="E119" s="786" t="s">
        <v>1256</v>
      </c>
      <c r="F119" s="787" t="s">
        <v>1256</v>
      </c>
      <c r="G119" s="788" t="s">
        <v>1256</v>
      </c>
      <c r="H119" s="1399"/>
      <c r="I119" s="1399"/>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3"/>
      <c r="BX119" s="981"/>
      <c r="BY119" s="981"/>
      <c r="BZ119" s="981"/>
      <c r="CA119" s="1333"/>
      <c r="CB119" s="981"/>
      <c r="CC119" s="981"/>
      <c r="CD119" s="1333"/>
      <c r="CE119" s="981"/>
      <c r="CF119" s="981"/>
      <c r="CG119" s="981"/>
      <c r="CH119" s="981"/>
      <c r="CI119" s="981"/>
      <c r="CJ119" s="981"/>
      <c r="CK119" s="981"/>
      <c r="CL119" s="981"/>
      <c r="CM119" s="981"/>
      <c r="CN119" s="981"/>
      <c r="CO119" s="981"/>
      <c r="CP119" s="981"/>
      <c r="CQ119" s="981"/>
      <c r="CR119" s="981"/>
      <c r="CS119" s="981"/>
      <c r="CT119" s="981"/>
      <c r="CU119" s="981"/>
    </row>
    <row r="120">
      <c r="A120" s="1394"/>
      <c r="B120" s="788" t="s">
        <v>1256</v>
      </c>
      <c r="C120" s="784" t="s">
        <v>1256</v>
      </c>
      <c r="D120" s="785" t="s">
        <v>1256</v>
      </c>
      <c r="E120" s="786" t="s">
        <v>1256</v>
      </c>
      <c r="F120" s="787" t="s">
        <v>1256</v>
      </c>
      <c r="G120" s="788" t="s">
        <v>1256</v>
      </c>
      <c r="H120" s="1399"/>
      <c r="I120" s="1399"/>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3"/>
      <c r="BX120" s="981"/>
      <c r="BY120" s="981"/>
      <c r="BZ120" s="981"/>
      <c r="CA120" s="1333"/>
      <c r="CB120" s="981"/>
      <c r="CC120" s="981"/>
      <c r="CD120" s="1333"/>
      <c r="CE120" s="981"/>
      <c r="CF120" s="981"/>
      <c r="CG120" s="981"/>
      <c r="CH120" s="981"/>
      <c r="CI120" s="981"/>
      <c r="CJ120" s="981"/>
      <c r="CK120" s="981"/>
      <c r="CL120" s="981"/>
      <c r="CM120" s="981"/>
      <c r="CN120" s="981"/>
      <c r="CO120" s="981"/>
      <c r="CP120" s="981"/>
      <c r="CQ120" s="981"/>
      <c r="CR120" s="981"/>
      <c r="CS120" s="981"/>
      <c r="CT120" s="981"/>
      <c r="CU120" s="981"/>
    </row>
    <row r="121">
      <c r="A121" s="1394"/>
      <c r="B121" s="788" t="s">
        <v>1256</v>
      </c>
      <c r="C121" s="784" t="s">
        <v>1256</v>
      </c>
      <c r="D121" s="785" t="s">
        <v>1256</v>
      </c>
      <c r="E121" s="786" t="s">
        <v>1256</v>
      </c>
      <c r="F121" s="787" t="s">
        <v>1256</v>
      </c>
      <c r="G121" s="788" t="s">
        <v>1256</v>
      </c>
      <c r="H121" s="1399"/>
      <c r="I121" s="1399"/>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3"/>
      <c r="BX121" s="981"/>
      <c r="BY121" s="981"/>
      <c r="BZ121" s="981"/>
      <c r="CA121" s="1333"/>
      <c r="CB121" s="981"/>
      <c r="CC121" s="981"/>
      <c r="CD121" s="1333"/>
      <c r="CE121" s="981"/>
      <c r="CF121" s="981"/>
      <c r="CG121" s="981"/>
      <c r="CH121" s="981"/>
      <c r="CI121" s="981"/>
      <c r="CJ121" s="981"/>
      <c r="CK121" s="981"/>
      <c r="CL121" s="981"/>
      <c r="CM121" s="981"/>
      <c r="CN121" s="981"/>
      <c r="CO121" s="981"/>
      <c r="CP121" s="981"/>
      <c r="CQ121" s="981"/>
      <c r="CR121" s="981"/>
      <c r="CS121" s="981"/>
      <c r="CT121" s="981"/>
      <c r="CU121" s="981"/>
    </row>
    <row r="122">
      <c r="A122" s="1394"/>
      <c r="B122" s="788" t="s">
        <v>1256</v>
      </c>
      <c r="C122" s="784" t="s">
        <v>1256</v>
      </c>
      <c r="D122" s="785" t="s">
        <v>1256</v>
      </c>
      <c r="E122" s="786" t="s">
        <v>1256</v>
      </c>
      <c r="F122" s="787" t="s">
        <v>1256</v>
      </c>
      <c r="G122" s="788" t="s">
        <v>1256</v>
      </c>
      <c r="H122" s="1399"/>
      <c r="I122" s="1399"/>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3"/>
      <c r="BX122" s="981"/>
      <c r="BY122" s="981"/>
      <c r="BZ122" s="981"/>
      <c r="CA122" s="1333"/>
      <c r="CB122" s="981"/>
      <c r="CC122" s="981"/>
      <c r="CD122" s="1333"/>
      <c r="CE122" s="981"/>
      <c r="CF122" s="981"/>
      <c r="CG122" s="981"/>
      <c r="CH122" s="981"/>
      <c r="CI122" s="981"/>
      <c r="CJ122" s="981"/>
      <c r="CK122" s="981"/>
      <c r="CL122" s="981"/>
      <c r="CM122" s="981"/>
      <c r="CN122" s="981"/>
      <c r="CO122" s="981"/>
      <c r="CP122" s="981"/>
      <c r="CQ122" s="981"/>
      <c r="CR122" s="981"/>
      <c r="CS122" s="981"/>
      <c r="CT122" s="981"/>
      <c r="CU122" s="981"/>
    </row>
    <row r="123">
      <c r="A123" s="1394"/>
      <c r="B123" s="788" t="s">
        <v>1256</v>
      </c>
      <c r="C123" s="784" t="s">
        <v>1256</v>
      </c>
      <c r="D123" s="785" t="s">
        <v>1256</v>
      </c>
      <c r="E123" s="786" t="s">
        <v>1256</v>
      </c>
      <c r="F123" s="787" t="s">
        <v>1256</v>
      </c>
      <c r="G123" s="788" t="s">
        <v>1256</v>
      </c>
      <c r="H123" s="1399"/>
      <c r="I123" s="1399"/>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3"/>
      <c r="BX123" s="981"/>
      <c r="BY123" s="981"/>
      <c r="BZ123" s="981"/>
      <c r="CA123" s="1333"/>
      <c r="CB123" s="981"/>
      <c r="CC123" s="981"/>
      <c r="CD123" s="1333"/>
      <c r="CE123" s="981"/>
      <c r="CF123" s="981"/>
      <c r="CG123" s="981"/>
      <c r="CH123" s="981"/>
      <c r="CI123" s="981"/>
      <c r="CJ123" s="981"/>
      <c r="CK123" s="981"/>
      <c r="CL123" s="981"/>
      <c r="CM123" s="981"/>
      <c r="CN123" s="981"/>
      <c r="CO123" s="981"/>
      <c r="CP123" s="981"/>
      <c r="CQ123" s="981"/>
      <c r="CR123" s="981"/>
      <c r="CS123" s="981"/>
      <c r="CT123" s="981"/>
      <c r="CU123" s="981"/>
    </row>
    <row r="124">
      <c r="A124" s="1394"/>
      <c r="B124" s="788" t="s">
        <v>1256</v>
      </c>
      <c r="C124" s="784" t="s">
        <v>1256</v>
      </c>
      <c r="D124" s="785" t="s">
        <v>1256</v>
      </c>
      <c r="E124" s="786" t="s">
        <v>1256</v>
      </c>
      <c r="F124" s="787" t="s">
        <v>1256</v>
      </c>
      <c r="G124" s="788" t="s">
        <v>1256</v>
      </c>
      <c r="H124" s="1399"/>
      <c r="I124" s="1399"/>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3"/>
      <c r="BX124" s="981"/>
      <c r="BY124" s="981"/>
      <c r="BZ124" s="981"/>
      <c r="CA124" s="1333"/>
      <c r="CB124" s="981"/>
      <c r="CC124" s="981"/>
      <c r="CD124" s="1333"/>
      <c r="CE124" s="981"/>
      <c r="CF124" s="981"/>
      <c r="CG124" s="981"/>
      <c r="CH124" s="981"/>
      <c r="CI124" s="981"/>
      <c r="CJ124" s="981"/>
      <c r="CK124" s="981"/>
      <c r="CL124" s="981"/>
      <c r="CM124" s="981"/>
      <c r="CN124" s="981"/>
      <c r="CO124" s="981"/>
      <c r="CP124" s="981"/>
      <c r="CQ124" s="981"/>
      <c r="CR124" s="981"/>
      <c r="CS124" s="981"/>
      <c r="CT124" s="981"/>
      <c r="CU124" s="981"/>
    </row>
    <row r="125">
      <c r="A125" s="1394"/>
      <c r="B125" s="788" t="s">
        <v>1256</v>
      </c>
      <c r="C125" s="784" t="s">
        <v>1256</v>
      </c>
      <c r="D125" s="785" t="s">
        <v>1256</v>
      </c>
      <c r="E125" s="786" t="s">
        <v>1256</v>
      </c>
      <c r="F125" s="787" t="s">
        <v>1256</v>
      </c>
      <c r="G125" s="788" t="s">
        <v>1256</v>
      </c>
      <c r="H125" s="1399"/>
      <c r="I125" s="1399"/>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3"/>
      <c r="BX125" s="981"/>
      <c r="BY125" s="981"/>
      <c r="BZ125" s="981"/>
      <c r="CA125" s="1333"/>
      <c r="CB125" s="981"/>
      <c r="CC125" s="981"/>
      <c r="CD125" s="1333"/>
      <c r="CE125" s="981"/>
      <c r="CF125" s="981"/>
      <c r="CG125" s="981"/>
      <c r="CH125" s="981"/>
      <c r="CI125" s="981"/>
      <c r="CJ125" s="981"/>
      <c r="CK125" s="981"/>
      <c r="CL125" s="981"/>
      <c r="CM125" s="981"/>
      <c r="CN125" s="981"/>
      <c r="CO125" s="981"/>
      <c r="CP125" s="981"/>
      <c r="CQ125" s="981"/>
      <c r="CR125" s="981"/>
      <c r="CS125" s="981"/>
      <c r="CT125" s="981"/>
      <c r="CU125" s="981"/>
    </row>
    <row r="126">
      <c r="A126" s="1394"/>
      <c r="B126" s="788" t="s">
        <v>1256</v>
      </c>
      <c r="C126" s="784" t="s">
        <v>1256</v>
      </c>
      <c r="D126" s="785" t="s">
        <v>1256</v>
      </c>
      <c r="E126" s="786" t="s">
        <v>1256</v>
      </c>
      <c r="F126" s="787" t="s">
        <v>1256</v>
      </c>
      <c r="G126" s="788" t="s">
        <v>1256</v>
      </c>
      <c r="H126" s="1399"/>
      <c r="I126" s="1399"/>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3"/>
      <c r="BX126" s="981"/>
      <c r="BY126" s="981"/>
      <c r="BZ126" s="981"/>
      <c r="CA126" s="1333"/>
      <c r="CB126" s="981"/>
      <c r="CC126" s="981"/>
      <c r="CD126" s="1333"/>
      <c r="CE126" s="981"/>
      <c r="CF126" s="981"/>
      <c r="CG126" s="981"/>
      <c r="CH126" s="981"/>
      <c r="CI126" s="981"/>
      <c r="CJ126" s="981"/>
      <c r="CK126" s="981"/>
      <c r="CL126" s="981"/>
      <c r="CM126" s="981"/>
      <c r="CN126" s="981"/>
      <c r="CO126" s="981"/>
      <c r="CP126" s="981"/>
      <c r="CQ126" s="981"/>
      <c r="CR126" s="981"/>
      <c r="CS126" s="981"/>
      <c r="CT126" s="981"/>
      <c r="CU126" s="981"/>
    </row>
    <row r="127">
      <c r="A127" s="1394"/>
      <c r="B127" s="788" t="s">
        <v>1256</v>
      </c>
      <c r="C127" s="784" t="s">
        <v>1256</v>
      </c>
      <c r="D127" s="785" t="s">
        <v>1256</v>
      </c>
      <c r="E127" s="786" t="s">
        <v>1256</v>
      </c>
      <c r="F127" s="787" t="s">
        <v>1256</v>
      </c>
      <c r="G127" s="788" t="s">
        <v>1256</v>
      </c>
      <c r="H127" s="1399"/>
      <c r="I127" s="1399"/>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3"/>
      <c r="BX127" s="981"/>
      <c r="BY127" s="981"/>
      <c r="BZ127" s="981"/>
      <c r="CA127" s="1333"/>
      <c r="CB127" s="981"/>
      <c r="CC127" s="981"/>
      <c r="CD127" s="1333"/>
      <c r="CE127" s="981"/>
      <c r="CF127" s="981"/>
      <c r="CG127" s="981"/>
      <c r="CH127" s="981"/>
      <c r="CI127" s="981"/>
      <c r="CJ127" s="981"/>
      <c r="CK127" s="981"/>
      <c r="CL127" s="981"/>
      <c r="CM127" s="981"/>
      <c r="CN127" s="981"/>
      <c r="CO127" s="981"/>
      <c r="CP127" s="981"/>
      <c r="CQ127" s="981"/>
      <c r="CR127" s="981"/>
      <c r="CS127" s="981"/>
      <c r="CT127" s="981"/>
      <c r="CU127" s="981"/>
    </row>
    <row r="128">
      <c r="A128" s="1394"/>
      <c r="B128" s="788" t="s">
        <v>1256</v>
      </c>
      <c r="C128" s="784" t="s">
        <v>1256</v>
      </c>
      <c r="D128" s="785" t="s">
        <v>1256</v>
      </c>
      <c r="E128" s="786" t="s">
        <v>1256</v>
      </c>
      <c r="F128" s="787" t="s">
        <v>1256</v>
      </c>
      <c r="G128" s="788" t="s">
        <v>1256</v>
      </c>
      <c r="H128" s="1399"/>
      <c r="I128" s="1399"/>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3"/>
      <c r="BX128" s="981"/>
      <c r="BY128" s="981"/>
      <c r="BZ128" s="981"/>
      <c r="CA128" s="1333"/>
      <c r="CB128" s="981"/>
      <c r="CC128" s="981"/>
      <c r="CD128" s="1333"/>
      <c r="CE128" s="981"/>
      <c r="CF128" s="981"/>
      <c r="CG128" s="981"/>
      <c r="CH128" s="981"/>
      <c r="CI128" s="981"/>
      <c r="CJ128" s="981"/>
      <c r="CK128" s="981"/>
      <c r="CL128" s="981"/>
      <c r="CM128" s="981"/>
      <c r="CN128" s="981"/>
      <c r="CO128" s="981"/>
      <c r="CP128" s="981"/>
      <c r="CQ128" s="981"/>
      <c r="CR128" s="981"/>
      <c r="CS128" s="981"/>
      <c r="CT128" s="981"/>
      <c r="CU128" s="981"/>
    </row>
    <row r="129">
      <c r="A129" s="1394"/>
      <c r="B129" s="788" t="s">
        <v>1256</v>
      </c>
      <c r="C129" s="784" t="s">
        <v>1256</v>
      </c>
      <c r="D129" s="785" t="s">
        <v>1256</v>
      </c>
      <c r="E129" s="786" t="s">
        <v>1256</v>
      </c>
      <c r="F129" s="787" t="s">
        <v>1256</v>
      </c>
      <c r="G129" s="788" t="s">
        <v>1256</v>
      </c>
      <c r="H129" s="1399"/>
      <c r="I129" s="1399"/>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3"/>
      <c r="BX129" s="981"/>
      <c r="BY129" s="981"/>
      <c r="BZ129" s="981"/>
      <c r="CA129" s="1333"/>
      <c r="CB129" s="981"/>
      <c r="CC129" s="981"/>
      <c r="CD129" s="1333"/>
      <c r="CE129" s="981"/>
      <c r="CF129" s="981"/>
      <c r="CG129" s="981"/>
      <c r="CH129" s="981"/>
      <c r="CI129" s="981"/>
      <c r="CJ129" s="981"/>
      <c r="CK129" s="981"/>
      <c r="CL129" s="981"/>
      <c r="CM129" s="981"/>
      <c r="CN129" s="981"/>
      <c r="CO129" s="981"/>
      <c r="CP129" s="981"/>
      <c r="CQ129" s="981"/>
      <c r="CR129" s="981"/>
      <c r="CS129" s="981"/>
      <c r="CT129" s="981"/>
      <c r="CU129" s="981"/>
    </row>
    <row r="130">
      <c r="A130" s="1394"/>
      <c r="B130" s="788" t="s">
        <v>1256</v>
      </c>
      <c r="C130" s="784" t="s">
        <v>1256</v>
      </c>
      <c r="D130" s="785" t="s">
        <v>1256</v>
      </c>
      <c r="E130" s="786" t="s">
        <v>1256</v>
      </c>
      <c r="F130" s="787" t="s">
        <v>1256</v>
      </c>
      <c r="G130" s="788" t="s">
        <v>1256</v>
      </c>
      <c r="H130" s="1399"/>
      <c r="I130" s="1399"/>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3"/>
      <c r="BX130" s="981"/>
      <c r="BY130" s="981"/>
      <c r="BZ130" s="981"/>
      <c r="CA130" s="1333"/>
      <c r="CB130" s="981"/>
      <c r="CC130" s="981"/>
      <c r="CD130" s="1333"/>
      <c r="CE130" s="981"/>
      <c r="CF130" s="981"/>
      <c r="CG130" s="981"/>
      <c r="CH130" s="981"/>
      <c r="CI130" s="981"/>
      <c r="CJ130" s="981"/>
      <c r="CK130" s="981"/>
      <c r="CL130" s="981"/>
      <c r="CM130" s="981"/>
      <c r="CN130" s="981"/>
      <c r="CO130" s="981"/>
      <c r="CP130" s="981"/>
      <c r="CQ130" s="981"/>
      <c r="CR130" s="981"/>
      <c r="CS130" s="981"/>
      <c r="CT130" s="981"/>
      <c r="CU130" s="981"/>
    </row>
    <row r="131">
      <c r="A131" s="1394"/>
      <c r="B131" s="788" t="s">
        <v>1256</v>
      </c>
      <c r="C131" s="784" t="s">
        <v>1256</v>
      </c>
      <c r="D131" s="785" t="s">
        <v>1256</v>
      </c>
      <c r="E131" s="786" t="s">
        <v>1256</v>
      </c>
      <c r="F131" s="787" t="s">
        <v>1256</v>
      </c>
      <c r="G131" s="788" t="s">
        <v>1256</v>
      </c>
      <c r="H131" s="1399"/>
      <c r="I131" s="1399"/>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3"/>
      <c r="BX131" s="981"/>
      <c r="BY131" s="981"/>
      <c r="BZ131" s="981"/>
      <c r="CA131" s="1333"/>
      <c r="CB131" s="981"/>
      <c r="CC131" s="981"/>
      <c r="CD131" s="1333"/>
      <c r="CE131" s="981"/>
      <c r="CF131" s="981"/>
      <c r="CG131" s="981"/>
      <c r="CH131" s="981"/>
      <c r="CI131" s="981"/>
      <c r="CJ131" s="981"/>
      <c r="CK131" s="981"/>
      <c r="CL131" s="981"/>
      <c r="CM131" s="981"/>
      <c r="CN131" s="981"/>
      <c r="CO131" s="981"/>
      <c r="CP131" s="981"/>
      <c r="CQ131" s="981"/>
      <c r="CR131" s="981"/>
      <c r="CS131" s="981"/>
      <c r="CT131" s="981"/>
      <c r="CU131" s="981"/>
    </row>
    <row r="132">
      <c r="A132" s="1394"/>
      <c r="B132" s="788" t="s">
        <v>1256</v>
      </c>
      <c r="C132" s="784" t="s">
        <v>1256</v>
      </c>
      <c r="D132" s="785" t="s">
        <v>1256</v>
      </c>
      <c r="E132" s="786" t="s">
        <v>1256</v>
      </c>
      <c r="F132" s="787" t="s">
        <v>1256</v>
      </c>
      <c r="G132" s="788" t="s">
        <v>1256</v>
      </c>
      <c r="H132" s="1399"/>
      <c r="I132" s="1399"/>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3"/>
      <c r="BX132" s="981"/>
      <c r="BY132" s="981"/>
      <c r="BZ132" s="981"/>
      <c r="CA132" s="1333"/>
      <c r="CB132" s="981"/>
      <c r="CC132" s="981"/>
      <c r="CD132" s="1333"/>
      <c r="CE132" s="981"/>
      <c r="CF132" s="981"/>
      <c r="CG132" s="981"/>
      <c r="CH132" s="981"/>
      <c r="CI132" s="981"/>
      <c r="CJ132" s="981"/>
      <c r="CK132" s="981"/>
      <c r="CL132" s="981"/>
      <c r="CM132" s="981"/>
      <c r="CN132" s="981"/>
      <c r="CO132" s="981"/>
      <c r="CP132" s="981"/>
      <c r="CQ132" s="981"/>
      <c r="CR132" s="981"/>
      <c r="CS132" s="981"/>
      <c r="CT132" s="981"/>
      <c r="CU132" s="981"/>
    </row>
    <row r="133">
      <c r="A133" s="1394"/>
      <c r="B133" s="788" t="s">
        <v>1256</v>
      </c>
      <c r="C133" s="784" t="s">
        <v>1256</v>
      </c>
      <c r="D133" s="785" t="s">
        <v>1256</v>
      </c>
      <c r="E133" s="786" t="s">
        <v>1256</v>
      </c>
      <c r="F133" s="787" t="s">
        <v>1256</v>
      </c>
      <c r="G133" s="788" t="s">
        <v>1256</v>
      </c>
      <c r="H133" s="1399"/>
      <c r="I133" s="1399"/>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3"/>
      <c r="BX133" s="981"/>
      <c r="BY133" s="981"/>
      <c r="BZ133" s="981"/>
      <c r="CA133" s="1333"/>
      <c r="CB133" s="981"/>
      <c r="CC133" s="981"/>
      <c r="CD133" s="1333"/>
      <c r="CE133" s="981"/>
      <c r="CF133" s="981"/>
      <c r="CG133" s="981"/>
      <c r="CH133" s="981"/>
      <c r="CI133" s="981"/>
      <c r="CJ133" s="981"/>
      <c r="CK133" s="981"/>
      <c r="CL133" s="981"/>
      <c r="CM133" s="981"/>
      <c r="CN133" s="981"/>
      <c r="CO133" s="981"/>
      <c r="CP133" s="981"/>
      <c r="CQ133" s="981"/>
      <c r="CR133" s="981"/>
      <c r="CS133" s="981"/>
      <c r="CT133" s="981"/>
      <c r="CU133" s="981"/>
    </row>
    <row r="134">
      <c r="A134" s="1394"/>
      <c r="B134" s="788" t="s">
        <v>1256</v>
      </c>
      <c r="C134" s="784" t="s">
        <v>1256</v>
      </c>
      <c r="D134" s="785" t="s">
        <v>1256</v>
      </c>
      <c r="E134" s="786" t="s">
        <v>1256</v>
      </c>
      <c r="F134" s="787" t="s">
        <v>1256</v>
      </c>
      <c r="G134" s="788" t="s">
        <v>1256</v>
      </c>
      <c r="H134" s="1399"/>
      <c r="I134" s="1399"/>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3"/>
      <c r="BX134" s="981"/>
      <c r="BY134" s="981"/>
      <c r="BZ134" s="981"/>
      <c r="CA134" s="1333"/>
      <c r="CB134" s="981"/>
      <c r="CC134" s="981"/>
      <c r="CD134" s="1333"/>
      <c r="CE134" s="981"/>
      <c r="CF134" s="981"/>
      <c r="CG134" s="981"/>
      <c r="CH134" s="981"/>
      <c r="CI134" s="981"/>
      <c r="CJ134" s="981"/>
      <c r="CK134" s="981"/>
      <c r="CL134" s="981"/>
      <c r="CM134" s="981"/>
      <c r="CN134" s="981"/>
      <c r="CO134" s="981"/>
      <c r="CP134" s="981"/>
      <c r="CQ134" s="981"/>
      <c r="CR134" s="981"/>
      <c r="CS134" s="981"/>
      <c r="CT134" s="981"/>
      <c r="CU134" s="981"/>
    </row>
    <row r="135">
      <c r="A135" s="1394"/>
      <c r="B135" s="788" t="s">
        <v>1256</v>
      </c>
      <c r="C135" s="784" t="s">
        <v>1256</v>
      </c>
      <c r="D135" s="785" t="s">
        <v>1256</v>
      </c>
      <c r="E135" s="786" t="s">
        <v>1256</v>
      </c>
      <c r="F135" s="787" t="s">
        <v>1256</v>
      </c>
      <c r="G135" s="788" t="s">
        <v>1256</v>
      </c>
      <c r="H135" s="1399"/>
      <c r="I135" s="1399"/>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3"/>
      <c r="BX135" s="981"/>
      <c r="BY135" s="981"/>
      <c r="BZ135" s="981"/>
      <c r="CA135" s="1333"/>
      <c r="CB135" s="981"/>
      <c r="CC135" s="981"/>
      <c r="CD135" s="1333"/>
      <c r="CE135" s="981"/>
      <c r="CF135" s="981"/>
      <c r="CG135" s="981"/>
      <c r="CH135" s="981"/>
      <c r="CI135" s="981"/>
      <c r="CJ135" s="981"/>
      <c r="CK135" s="981"/>
      <c r="CL135" s="981"/>
      <c r="CM135" s="981"/>
      <c r="CN135" s="981"/>
      <c r="CO135" s="981"/>
      <c r="CP135" s="981"/>
      <c r="CQ135" s="981"/>
      <c r="CR135" s="981"/>
      <c r="CS135" s="981"/>
      <c r="CT135" s="981"/>
      <c r="CU135" s="981"/>
    </row>
    <row r="136">
      <c r="A136" s="1394"/>
      <c r="B136" s="788" t="s">
        <v>1256</v>
      </c>
      <c r="C136" s="784" t="s">
        <v>1256</v>
      </c>
      <c r="D136" s="785" t="s">
        <v>1256</v>
      </c>
      <c r="E136" s="786" t="s">
        <v>1256</v>
      </c>
      <c r="F136" s="787" t="s">
        <v>1256</v>
      </c>
      <c r="G136" s="788" t="s">
        <v>1256</v>
      </c>
      <c r="H136" s="1399"/>
      <c r="I136" s="1399"/>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3"/>
      <c r="BX136" s="981"/>
      <c r="BY136" s="981"/>
      <c r="BZ136" s="981"/>
      <c r="CA136" s="1333"/>
      <c r="CB136" s="981"/>
      <c r="CC136" s="981"/>
      <c r="CD136" s="1333"/>
      <c r="CE136" s="981"/>
      <c r="CF136" s="981"/>
      <c r="CG136" s="981"/>
      <c r="CH136" s="981"/>
      <c r="CI136" s="981"/>
      <c r="CJ136" s="981"/>
      <c r="CK136" s="981"/>
      <c r="CL136" s="981"/>
      <c r="CM136" s="981"/>
      <c r="CN136" s="981"/>
      <c r="CO136" s="981"/>
      <c r="CP136" s="981"/>
      <c r="CQ136" s="981"/>
      <c r="CR136" s="981"/>
      <c r="CS136" s="981"/>
      <c r="CT136" s="981"/>
      <c r="CU136" s="981"/>
    </row>
    <row r="137">
      <c r="A137" s="1394"/>
      <c r="B137" s="788" t="s">
        <v>1256</v>
      </c>
      <c r="C137" s="784" t="s">
        <v>1256</v>
      </c>
      <c r="D137" s="785" t="s">
        <v>1256</v>
      </c>
      <c r="E137" s="786" t="s">
        <v>1256</v>
      </c>
      <c r="F137" s="787" t="s">
        <v>1256</v>
      </c>
      <c r="G137" s="788" t="s">
        <v>1256</v>
      </c>
      <c r="H137" s="1399"/>
      <c r="I137" s="1399"/>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3"/>
      <c r="BX137" s="981"/>
      <c r="BY137" s="981"/>
      <c r="BZ137" s="981"/>
      <c r="CA137" s="1333"/>
      <c r="CB137" s="981"/>
      <c r="CC137" s="981"/>
      <c r="CD137" s="1333"/>
      <c r="CE137" s="981"/>
      <c r="CF137" s="981"/>
      <c r="CG137" s="981"/>
      <c r="CH137" s="981"/>
      <c r="CI137" s="981"/>
      <c r="CJ137" s="981"/>
      <c r="CK137" s="981"/>
      <c r="CL137" s="981"/>
      <c r="CM137" s="981"/>
      <c r="CN137" s="981"/>
      <c r="CO137" s="981"/>
      <c r="CP137" s="981"/>
      <c r="CQ137" s="981"/>
      <c r="CR137" s="981"/>
      <c r="CS137" s="981"/>
      <c r="CT137" s="981"/>
      <c r="CU137" s="981"/>
    </row>
    <row r="138">
      <c r="A138" s="1394"/>
      <c r="B138" s="788" t="s">
        <v>1256</v>
      </c>
      <c r="C138" s="784" t="s">
        <v>1256</v>
      </c>
      <c r="D138" s="785" t="s">
        <v>1256</v>
      </c>
      <c r="E138" s="786" t="s">
        <v>1256</v>
      </c>
      <c r="F138" s="787" t="s">
        <v>1256</v>
      </c>
      <c r="G138" s="788" t="s">
        <v>1256</v>
      </c>
      <c r="H138" s="1399"/>
      <c r="I138" s="1399"/>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3"/>
      <c r="BX138" s="981"/>
      <c r="BY138" s="981"/>
      <c r="BZ138" s="981"/>
      <c r="CA138" s="1333"/>
      <c r="CB138" s="981"/>
      <c r="CC138" s="981"/>
      <c r="CD138" s="1333"/>
      <c r="CE138" s="981"/>
      <c r="CF138" s="981"/>
      <c r="CG138" s="981"/>
      <c r="CH138" s="981"/>
      <c r="CI138" s="981"/>
      <c r="CJ138" s="981"/>
      <c r="CK138" s="981"/>
      <c r="CL138" s="981"/>
      <c r="CM138" s="981"/>
      <c r="CN138" s="981"/>
      <c r="CO138" s="981"/>
      <c r="CP138" s="981"/>
      <c r="CQ138" s="981"/>
      <c r="CR138" s="981"/>
      <c r="CS138" s="981"/>
      <c r="CT138" s="981"/>
      <c r="CU138" s="981"/>
    </row>
    <row r="139">
      <c r="A139" s="1394"/>
      <c r="B139" s="788" t="s">
        <v>1256</v>
      </c>
      <c r="C139" s="784" t="s">
        <v>1256</v>
      </c>
      <c r="D139" s="785" t="s">
        <v>1256</v>
      </c>
      <c r="E139" s="786" t="s">
        <v>1256</v>
      </c>
      <c r="F139" s="787" t="s">
        <v>1256</v>
      </c>
      <c r="G139" s="788" t="s">
        <v>1256</v>
      </c>
      <c r="H139" s="1399"/>
      <c r="I139" s="1399"/>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3"/>
      <c r="BX139" s="981"/>
      <c r="BY139" s="981"/>
      <c r="BZ139" s="981"/>
      <c r="CA139" s="1333"/>
      <c r="CB139" s="981"/>
      <c r="CC139" s="981"/>
      <c r="CD139" s="1333"/>
      <c r="CE139" s="981"/>
      <c r="CF139" s="981"/>
      <c r="CG139" s="981"/>
      <c r="CH139" s="981"/>
      <c r="CI139" s="981"/>
      <c r="CJ139" s="981"/>
      <c r="CK139" s="981"/>
      <c r="CL139" s="981"/>
      <c r="CM139" s="981"/>
      <c r="CN139" s="981"/>
      <c r="CO139" s="981"/>
      <c r="CP139" s="981"/>
      <c r="CQ139" s="981"/>
      <c r="CR139" s="981"/>
      <c r="CS139" s="981"/>
      <c r="CT139" s="981"/>
      <c r="CU139" s="981"/>
    </row>
    <row r="140">
      <c r="A140" s="1394"/>
      <c r="B140" s="788" t="s">
        <v>1256</v>
      </c>
      <c r="C140" s="784" t="s">
        <v>1256</v>
      </c>
      <c r="D140" s="785" t="s">
        <v>1256</v>
      </c>
      <c r="E140" s="786" t="s">
        <v>1256</v>
      </c>
      <c r="F140" s="787" t="s">
        <v>1256</v>
      </c>
      <c r="G140" s="788" t="s">
        <v>1256</v>
      </c>
      <c r="H140" s="1399"/>
      <c r="I140" s="1399"/>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3"/>
      <c r="BX140" s="981"/>
      <c r="BY140" s="981"/>
      <c r="BZ140" s="981"/>
      <c r="CA140" s="1333"/>
      <c r="CB140" s="981"/>
      <c r="CC140" s="981"/>
      <c r="CD140" s="1333"/>
      <c r="CE140" s="981"/>
      <c r="CF140" s="981"/>
      <c r="CG140" s="981"/>
      <c r="CH140" s="981"/>
      <c r="CI140" s="981"/>
      <c r="CJ140" s="981"/>
      <c r="CK140" s="981"/>
      <c r="CL140" s="981"/>
      <c r="CM140" s="981"/>
      <c r="CN140" s="981"/>
      <c r="CO140" s="981"/>
      <c r="CP140" s="981"/>
      <c r="CQ140" s="981"/>
      <c r="CR140" s="981"/>
      <c r="CS140" s="981"/>
      <c r="CT140" s="981"/>
      <c r="CU140" s="981"/>
    </row>
    <row r="141">
      <c r="A141" s="1394"/>
      <c r="B141" s="788" t="s">
        <v>1256</v>
      </c>
      <c r="C141" s="784" t="s">
        <v>1256</v>
      </c>
      <c r="D141" s="785" t="s">
        <v>1256</v>
      </c>
      <c r="E141" s="786" t="s">
        <v>1256</v>
      </c>
      <c r="F141" s="787" t="s">
        <v>1256</v>
      </c>
      <c r="G141" s="788" t="s">
        <v>1256</v>
      </c>
      <c r="H141" s="1399"/>
      <c r="I141" s="1399"/>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3"/>
      <c r="BX141" s="981"/>
      <c r="BY141" s="981"/>
      <c r="BZ141" s="981"/>
      <c r="CA141" s="1333"/>
      <c r="CB141" s="981"/>
      <c r="CC141" s="981"/>
      <c r="CD141" s="1333"/>
      <c r="CE141" s="981"/>
      <c r="CF141" s="981"/>
      <c r="CG141" s="981"/>
      <c r="CH141" s="981"/>
      <c r="CI141" s="981"/>
      <c r="CJ141" s="981"/>
      <c r="CK141" s="981"/>
      <c r="CL141" s="981"/>
      <c r="CM141" s="981"/>
      <c r="CN141" s="981"/>
      <c r="CO141" s="981"/>
      <c r="CP141" s="981"/>
      <c r="CQ141" s="981"/>
      <c r="CR141" s="981"/>
      <c r="CS141" s="981"/>
      <c r="CT141" s="981"/>
      <c r="CU141" s="981"/>
    </row>
    <row r="142">
      <c r="A142" s="1394"/>
      <c r="B142" s="788" t="s">
        <v>1256</v>
      </c>
      <c r="C142" s="784" t="s">
        <v>1256</v>
      </c>
      <c r="D142" s="785" t="s">
        <v>1256</v>
      </c>
      <c r="E142" s="786" t="s">
        <v>1256</v>
      </c>
      <c r="F142" s="787" t="s">
        <v>1256</v>
      </c>
      <c r="G142" s="788" t="s">
        <v>1256</v>
      </c>
      <c r="H142" s="1399"/>
      <c r="I142" s="1399"/>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3"/>
      <c r="BX142" s="981"/>
      <c r="BY142" s="981"/>
      <c r="BZ142" s="981"/>
      <c r="CA142" s="1333"/>
      <c r="CB142" s="981"/>
      <c r="CC142" s="981"/>
      <c r="CD142" s="1333"/>
      <c r="CE142" s="981"/>
      <c r="CF142" s="981"/>
      <c r="CG142" s="981"/>
      <c r="CH142" s="981"/>
      <c r="CI142" s="981"/>
      <c r="CJ142" s="981"/>
      <c r="CK142" s="981"/>
      <c r="CL142" s="981"/>
      <c r="CM142" s="981"/>
      <c r="CN142" s="981"/>
      <c r="CO142" s="981"/>
      <c r="CP142" s="981"/>
      <c r="CQ142" s="981"/>
      <c r="CR142" s="981"/>
      <c r="CS142" s="981"/>
      <c r="CT142" s="981"/>
      <c r="CU142" s="981"/>
    </row>
    <row r="143">
      <c r="A143" s="1394"/>
      <c r="B143" s="788" t="s">
        <v>1256</v>
      </c>
      <c r="C143" s="784" t="s">
        <v>1256</v>
      </c>
      <c r="D143" s="785" t="s">
        <v>1256</v>
      </c>
      <c r="E143" s="786" t="s">
        <v>1256</v>
      </c>
      <c r="F143" s="787" t="s">
        <v>1256</v>
      </c>
      <c r="G143" s="788" t="s">
        <v>1256</v>
      </c>
      <c r="H143" s="1399"/>
      <c r="I143" s="1399"/>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3"/>
      <c r="BX143" s="981"/>
      <c r="BY143" s="981"/>
      <c r="BZ143" s="981"/>
      <c r="CA143" s="1333"/>
      <c r="CB143" s="981"/>
      <c r="CC143" s="981"/>
      <c r="CD143" s="1333"/>
      <c r="CE143" s="981"/>
      <c r="CF143" s="981"/>
      <c r="CG143" s="981"/>
      <c r="CH143" s="981"/>
      <c r="CI143" s="981"/>
      <c r="CJ143" s="981"/>
      <c r="CK143" s="981"/>
      <c r="CL143" s="981"/>
      <c r="CM143" s="981"/>
      <c r="CN143" s="981"/>
      <c r="CO143" s="981"/>
      <c r="CP143" s="981"/>
      <c r="CQ143" s="981"/>
      <c r="CR143" s="981"/>
      <c r="CS143" s="981"/>
      <c r="CT143" s="981"/>
      <c r="CU143" s="981"/>
    </row>
    <row r="144">
      <c r="A144" s="1394"/>
      <c r="B144" s="788" t="s">
        <v>1256</v>
      </c>
      <c r="C144" s="784" t="s">
        <v>1256</v>
      </c>
      <c r="D144" s="785" t="s">
        <v>1256</v>
      </c>
      <c r="E144" s="786" t="s">
        <v>1256</v>
      </c>
      <c r="F144" s="787" t="s">
        <v>1256</v>
      </c>
      <c r="G144" s="788" t="s">
        <v>1256</v>
      </c>
      <c r="H144" s="1399"/>
      <c r="I144" s="1399"/>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3"/>
      <c r="BX144" s="981"/>
      <c r="BY144" s="981"/>
      <c r="BZ144" s="981"/>
      <c r="CA144" s="1333"/>
      <c r="CB144" s="981"/>
      <c r="CC144" s="981"/>
      <c r="CD144" s="1333"/>
      <c r="CE144" s="981"/>
      <c r="CF144" s="981"/>
      <c r="CG144" s="981"/>
      <c r="CH144" s="981"/>
      <c r="CI144" s="981"/>
      <c r="CJ144" s="981"/>
      <c r="CK144" s="981"/>
      <c r="CL144" s="981"/>
      <c r="CM144" s="981"/>
      <c r="CN144" s="981"/>
      <c r="CO144" s="981"/>
      <c r="CP144" s="981"/>
      <c r="CQ144" s="981"/>
      <c r="CR144" s="981"/>
      <c r="CS144" s="981"/>
      <c r="CT144" s="981"/>
      <c r="CU144" s="981"/>
    </row>
    <row r="145">
      <c r="A145" s="1394"/>
      <c r="B145" s="788" t="s">
        <v>1256</v>
      </c>
      <c r="C145" s="784" t="s">
        <v>1256</v>
      </c>
      <c r="D145" s="785" t="s">
        <v>1256</v>
      </c>
      <c r="E145" s="786" t="s">
        <v>1256</v>
      </c>
      <c r="F145" s="787" t="s">
        <v>1256</v>
      </c>
      <c r="G145" s="788" t="s">
        <v>1256</v>
      </c>
      <c r="H145" s="1399"/>
      <c r="I145" s="1399"/>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3"/>
      <c r="BX145" s="981"/>
      <c r="BY145" s="981"/>
      <c r="BZ145" s="981"/>
      <c r="CA145" s="1333"/>
      <c r="CB145" s="981"/>
      <c r="CC145" s="981"/>
      <c r="CD145" s="1333"/>
      <c r="CE145" s="981"/>
      <c r="CF145" s="981"/>
      <c r="CG145" s="981"/>
      <c r="CH145" s="981"/>
      <c r="CI145" s="981"/>
      <c r="CJ145" s="981"/>
      <c r="CK145" s="981"/>
      <c r="CL145" s="981"/>
      <c r="CM145" s="981"/>
      <c r="CN145" s="981"/>
      <c r="CO145" s="981"/>
      <c r="CP145" s="981"/>
      <c r="CQ145" s="981"/>
      <c r="CR145" s="981"/>
      <c r="CS145" s="981"/>
      <c r="CT145" s="981"/>
      <c r="CU145" s="981"/>
    </row>
    <row r="146">
      <c r="A146" s="1394"/>
      <c r="B146" s="788" t="s">
        <v>1256</v>
      </c>
      <c r="C146" s="784" t="s">
        <v>1256</v>
      </c>
      <c r="D146" s="785" t="s">
        <v>1256</v>
      </c>
      <c r="E146" s="786" t="s">
        <v>1256</v>
      </c>
      <c r="F146" s="787" t="s">
        <v>1256</v>
      </c>
      <c r="G146" s="788" t="s">
        <v>1256</v>
      </c>
      <c r="H146" s="1399"/>
      <c r="I146" s="1399"/>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3"/>
      <c r="BX146" s="981"/>
      <c r="BY146" s="981"/>
      <c r="BZ146" s="981"/>
      <c r="CA146" s="1333"/>
      <c r="CB146" s="981"/>
      <c r="CC146" s="981"/>
      <c r="CD146" s="1333"/>
      <c r="CE146" s="981"/>
      <c r="CF146" s="981"/>
      <c r="CG146" s="981"/>
      <c r="CH146" s="981"/>
      <c r="CI146" s="981"/>
      <c r="CJ146" s="981"/>
      <c r="CK146" s="981"/>
      <c r="CL146" s="981"/>
      <c r="CM146" s="981"/>
      <c r="CN146" s="981"/>
      <c r="CO146" s="981"/>
      <c r="CP146" s="981"/>
      <c r="CQ146" s="981"/>
      <c r="CR146" s="981"/>
      <c r="CS146" s="981"/>
      <c r="CT146" s="981"/>
      <c r="CU146" s="981"/>
    </row>
    <row r="147">
      <c r="A147" s="1394"/>
      <c r="B147" s="788" t="s">
        <v>1256</v>
      </c>
      <c r="C147" s="784" t="s">
        <v>1256</v>
      </c>
      <c r="D147" s="785" t="s">
        <v>1256</v>
      </c>
      <c r="E147" s="786" t="s">
        <v>1256</v>
      </c>
      <c r="F147" s="787" t="s">
        <v>1256</v>
      </c>
      <c r="G147" s="788" t="s">
        <v>1256</v>
      </c>
      <c r="H147" s="1399"/>
      <c r="I147" s="1399"/>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3"/>
      <c r="BX147" s="981"/>
      <c r="BY147" s="981"/>
      <c r="BZ147" s="981"/>
      <c r="CA147" s="1333"/>
      <c r="CB147" s="981"/>
      <c r="CC147" s="981"/>
      <c r="CD147" s="1333"/>
      <c r="CE147" s="981"/>
      <c r="CF147" s="981"/>
      <c r="CG147" s="981"/>
      <c r="CH147" s="981"/>
      <c r="CI147" s="981"/>
      <c r="CJ147" s="981"/>
      <c r="CK147" s="981"/>
      <c r="CL147" s="981"/>
      <c r="CM147" s="981"/>
      <c r="CN147" s="981"/>
      <c r="CO147" s="981"/>
      <c r="CP147" s="981"/>
      <c r="CQ147" s="981"/>
      <c r="CR147" s="981"/>
      <c r="CS147" s="981"/>
      <c r="CT147" s="981"/>
      <c r="CU147" s="981"/>
    </row>
    <row r="148">
      <c r="A148" s="1394"/>
      <c r="B148" s="788" t="s">
        <v>1256</v>
      </c>
      <c r="C148" s="784" t="s">
        <v>1256</v>
      </c>
      <c r="D148" s="785" t="s">
        <v>1256</v>
      </c>
      <c r="E148" s="786" t="s">
        <v>1256</v>
      </c>
      <c r="F148" s="787" t="s">
        <v>1256</v>
      </c>
      <c r="G148" s="788" t="s">
        <v>1256</v>
      </c>
      <c r="H148" s="1399"/>
      <c r="I148" s="1399"/>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3"/>
      <c r="BX148" s="981"/>
      <c r="BY148" s="981"/>
      <c r="BZ148" s="981"/>
      <c r="CA148" s="1333"/>
      <c r="CB148" s="981"/>
      <c r="CC148" s="981"/>
      <c r="CD148" s="1333"/>
      <c r="CE148" s="981"/>
      <c r="CF148" s="981"/>
      <c r="CG148" s="981"/>
      <c r="CH148" s="981"/>
      <c r="CI148" s="981"/>
      <c r="CJ148" s="981"/>
      <c r="CK148" s="981"/>
      <c r="CL148" s="981"/>
      <c r="CM148" s="981"/>
      <c r="CN148" s="981"/>
      <c r="CO148" s="981"/>
      <c r="CP148" s="981"/>
      <c r="CQ148" s="981"/>
      <c r="CR148" s="981"/>
      <c r="CS148" s="981"/>
      <c r="CT148" s="981"/>
      <c r="CU148" s="981"/>
    </row>
    <row r="149">
      <c r="A149" s="1394"/>
      <c r="B149" s="788" t="s">
        <v>1256</v>
      </c>
      <c r="C149" s="784" t="s">
        <v>1256</v>
      </c>
      <c r="D149" s="785" t="s">
        <v>1256</v>
      </c>
      <c r="E149" s="786" t="s">
        <v>1256</v>
      </c>
      <c r="F149" s="787" t="s">
        <v>1256</v>
      </c>
      <c r="G149" s="788" t="s">
        <v>1256</v>
      </c>
      <c r="H149" s="1399"/>
      <c r="I149" s="1399"/>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3"/>
      <c r="BX149" s="981"/>
      <c r="BY149" s="981"/>
      <c r="BZ149" s="981"/>
      <c r="CA149" s="1333"/>
      <c r="CB149" s="981"/>
      <c r="CC149" s="981"/>
      <c r="CD149" s="1333"/>
      <c r="CE149" s="981"/>
      <c r="CF149" s="981"/>
      <c r="CG149" s="981"/>
      <c r="CH149" s="981"/>
      <c r="CI149" s="981"/>
      <c r="CJ149" s="981"/>
      <c r="CK149" s="981"/>
      <c r="CL149" s="981"/>
      <c r="CM149" s="981"/>
      <c r="CN149" s="981"/>
      <c r="CO149" s="981"/>
      <c r="CP149" s="981"/>
      <c r="CQ149" s="981"/>
      <c r="CR149" s="981"/>
      <c r="CS149" s="981"/>
      <c r="CT149" s="981"/>
      <c r="CU149" s="981"/>
    </row>
    <row r="150">
      <c r="A150" s="1394"/>
      <c r="B150" s="788" t="s">
        <v>1256</v>
      </c>
      <c r="C150" s="784" t="s">
        <v>1256</v>
      </c>
      <c r="D150" s="785" t="s">
        <v>1256</v>
      </c>
      <c r="E150" s="786" t="s">
        <v>1256</v>
      </c>
      <c r="F150" s="787" t="s">
        <v>1256</v>
      </c>
      <c r="G150" s="788" t="s">
        <v>1256</v>
      </c>
      <c r="H150" s="1399"/>
      <c r="I150" s="1399"/>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3"/>
      <c r="BX150" s="981"/>
      <c r="BY150" s="981"/>
      <c r="BZ150" s="981"/>
      <c r="CA150" s="1333"/>
      <c r="CB150" s="981"/>
      <c r="CC150" s="981"/>
      <c r="CD150" s="1333"/>
      <c r="CE150" s="981"/>
      <c r="CF150" s="981"/>
      <c r="CG150" s="981"/>
      <c r="CH150" s="981"/>
      <c r="CI150" s="981"/>
      <c r="CJ150" s="981"/>
      <c r="CK150" s="981"/>
      <c r="CL150" s="981"/>
      <c r="CM150" s="981"/>
      <c r="CN150" s="981"/>
      <c r="CO150" s="981"/>
      <c r="CP150" s="981"/>
      <c r="CQ150" s="981"/>
      <c r="CR150" s="981"/>
      <c r="CS150" s="981"/>
      <c r="CT150" s="981"/>
      <c r="CU150" s="981"/>
    </row>
    <row r="151">
      <c r="A151" s="1394"/>
      <c r="B151" s="788" t="s">
        <v>1256</v>
      </c>
      <c r="C151" s="784" t="s">
        <v>1256</v>
      </c>
      <c r="D151" s="785" t="s">
        <v>1256</v>
      </c>
      <c r="E151" s="786" t="s">
        <v>1256</v>
      </c>
      <c r="F151" s="787" t="s">
        <v>1256</v>
      </c>
      <c r="G151" s="788" t="s">
        <v>1256</v>
      </c>
      <c r="H151" s="1399"/>
      <c r="I151" s="1399"/>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3"/>
      <c r="BX151" s="981"/>
      <c r="BY151" s="981"/>
      <c r="BZ151" s="981"/>
      <c r="CA151" s="1333"/>
      <c r="CB151" s="981"/>
      <c r="CC151" s="981"/>
      <c r="CD151" s="1333"/>
      <c r="CE151" s="981"/>
      <c r="CF151" s="981"/>
      <c r="CG151" s="981"/>
      <c r="CH151" s="981"/>
      <c r="CI151" s="981"/>
      <c r="CJ151" s="981"/>
      <c r="CK151" s="981"/>
      <c r="CL151" s="981"/>
      <c r="CM151" s="981"/>
      <c r="CN151" s="981"/>
      <c r="CO151" s="981"/>
      <c r="CP151" s="981"/>
      <c r="CQ151" s="981"/>
      <c r="CR151" s="981"/>
      <c r="CS151" s="981"/>
      <c r="CT151" s="981"/>
      <c r="CU151" s="981"/>
    </row>
    <row r="152">
      <c r="A152" s="1394"/>
      <c r="B152" s="788" t="s">
        <v>1256</v>
      </c>
      <c r="C152" s="784" t="s">
        <v>1256</v>
      </c>
      <c r="D152" s="785" t="s">
        <v>1256</v>
      </c>
      <c r="E152" s="786" t="s">
        <v>1256</v>
      </c>
      <c r="F152" s="787" t="s">
        <v>1256</v>
      </c>
      <c r="G152" s="788" t="s">
        <v>1256</v>
      </c>
      <c r="H152" s="1399"/>
      <c r="I152" s="1399"/>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3"/>
      <c r="BX152" s="981"/>
      <c r="BY152" s="981"/>
      <c r="BZ152" s="981"/>
      <c r="CA152" s="1333"/>
      <c r="CB152" s="981"/>
      <c r="CC152" s="981"/>
      <c r="CD152" s="1333"/>
      <c r="CE152" s="981"/>
      <c r="CF152" s="981"/>
      <c r="CG152" s="981"/>
      <c r="CH152" s="981"/>
      <c r="CI152" s="981"/>
      <c r="CJ152" s="981"/>
      <c r="CK152" s="981"/>
      <c r="CL152" s="981"/>
      <c r="CM152" s="981"/>
      <c r="CN152" s="981"/>
      <c r="CO152" s="981"/>
      <c r="CP152" s="981"/>
      <c r="CQ152" s="981"/>
      <c r="CR152" s="981"/>
      <c r="CS152" s="981"/>
      <c r="CT152" s="981"/>
      <c r="CU152" s="981"/>
    </row>
    <row r="153">
      <c r="A153" s="1394"/>
      <c r="B153" s="788" t="s">
        <v>1256</v>
      </c>
      <c r="C153" s="784" t="s">
        <v>1256</v>
      </c>
      <c r="D153" s="785" t="s">
        <v>1256</v>
      </c>
      <c r="E153" s="786" t="s">
        <v>1256</v>
      </c>
      <c r="F153" s="787" t="s">
        <v>1256</v>
      </c>
      <c r="G153" s="788" t="s">
        <v>1256</v>
      </c>
      <c r="H153" s="1399"/>
      <c r="I153" s="1399"/>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3"/>
      <c r="BX153" s="981"/>
      <c r="BY153" s="981"/>
      <c r="BZ153" s="981"/>
      <c r="CA153" s="1333"/>
      <c r="CB153" s="981"/>
      <c r="CC153" s="981"/>
      <c r="CD153" s="1333"/>
      <c r="CE153" s="981"/>
      <c r="CF153" s="981"/>
      <c r="CG153" s="981"/>
      <c r="CH153" s="981"/>
      <c r="CI153" s="981"/>
      <c r="CJ153" s="981"/>
      <c r="CK153" s="981"/>
      <c r="CL153" s="981"/>
      <c r="CM153" s="981"/>
      <c r="CN153" s="981"/>
      <c r="CO153" s="981"/>
      <c r="CP153" s="981"/>
      <c r="CQ153" s="981"/>
      <c r="CR153" s="981"/>
      <c r="CS153" s="981"/>
      <c r="CT153" s="981"/>
      <c r="CU153" s="981"/>
    </row>
    <row r="154">
      <c r="A154" s="1394"/>
      <c r="B154" s="788" t="s">
        <v>1256</v>
      </c>
      <c r="C154" s="784" t="s">
        <v>1256</v>
      </c>
      <c r="D154" s="785" t="s">
        <v>1256</v>
      </c>
      <c r="E154" s="786" t="s">
        <v>1256</v>
      </c>
      <c r="F154" s="787" t="s">
        <v>1256</v>
      </c>
      <c r="G154" s="788" t="s">
        <v>1256</v>
      </c>
      <c r="H154" s="1399"/>
      <c r="I154" s="1399"/>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3"/>
      <c r="BX154" s="981"/>
      <c r="BY154" s="981"/>
      <c r="BZ154" s="981"/>
      <c r="CA154" s="1333"/>
      <c r="CB154" s="981"/>
      <c r="CC154" s="981"/>
      <c r="CD154" s="1333"/>
      <c r="CE154" s="981"/>
      <c r="CF154" s="981"/>
      <c r="CG154" s="981"/>
      <c r="CH154" s="981"/>
      <c r="CI154" s="981"/>
      <c r="CJ154" s="981"/>
      <c r="CK154" s="981"/>
      <c r="CL154" s="981"/>
      <c r="CM154" s="981"/>
      <c r="CN154" s="981"/>
      <c r="CO154" s="981"/>
      <c r="CP154" s="981"/>
      <c r="CQ154" s="981"/>
      <c r="CR154" s="981"/>
      <c r="CS154" s="981"/>
      <c r="CT154" s="981"/>
      <c r="CU154" s="981"/>
    </row>
    <row r="155">
      <c r="A155" s="1394"/>
      <c r="B155" s="788" t="s">
        <v>1256</v>
      </c>
      <c r="C155" s="784" t="s">
        <v>1256</v>
      </c>
      <c r="D155" s="785" t="s">
        <v>1256</v>
      </c>
      <c r="E155" s="786" t="s">
        <v>1256</v>
      </c>
      <c r="F155" s="787" t="s">
        <v>1256</v>
      </c>
      <c r="G155" s="788" t="s">
        <v>1256</v>
      </c>
      <c r="H155" s="1399"/>
      <c r="I155" s="1399"/>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3"/>
      <c r="BX155" s="981"/>
      <c r="BY155" s="981"/>
      <c r="BZ155" s="981"/>
      <c r="CA155" s="1333"/>
      <c r="CB155" s="981"/>
      <c r="CC155" s="981"/>
      <c r="CD155" s="1333"/>
      <c r="CE155" s="981"/>
      <c r="CF155" s="981"/>
      <c r="CG155" s="981"/>
      <c r="CH155" s="981"/>
      <c r="CI155" s="981"/>
      <c r="CJ155" s="981"/>
      <c r="CK155" s="981"/>
      <c r="CL155" s="981"/>
      <c r="CM155" s="981"/>
      <c r="CN155" s="981"/>
      <c r="CO155" s="981"/>
      <c r="CP155" s="981"/>
      <c r="CQ155" s="981"/>
      <c r="CR155" s="981"/>
      <c r="CS155" s="981"/>
      <c r="CT155" s="981"/>
      <c r="CU155" s="981"/>
    </row>
    <row r="156">
      <c r="A156" s="1394"/>
      <c r="B156" s="788" t="s">
        <v>1256</v>
      </c>
      <c r="C156" s="784" t="s">
        <v>1256</v>
      </c>
      <c r="D156" s="785" t="s">
        <v>1256</v>
      </c>
      <c r="E156" s="786" t="s">
        <v>1256</v>
      </c>
      <c r="F156" s="787" t="s">
        <v>1256</v>
      </c>
      <c r="G156" s="788" t="s">
        <v>1256</v>
      </c>
      <c r="H156" s="1399"/>
      <c r="I156" s="1399"/>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3"/>
      <c r="BX156" s="981"/>
      <c r="BY156" s="981"/>
      <c r="BZ156" s="981"/>
      <c r="CA156" s="1333"/>
      <c r="CB156" s="981"/>
      <c r="CC156" s="981"/>
      <c r="CD156" s="1333"/>
      <c r="CE156" s="981"/>
      <c r="CF156" s="981"/>
      <c r="CG156" s="981"/>
      <c r="CH156" s="981"/>
      <c r="CI156" s="981"/>
      <c r="CJ156" s="981"/>
      <c r="CK156" s="981"/>
      <c r="CL156" s="981"/>
      <c r="CM156" s="981"/>
      <c r="CN156" s="981"/>
      <c r="CO156" s="981"/>
      <c r="CP156" s="981"/>
      <c r="CQ156" s="981"/>
      <c r="CR156" s="981"/>
      <c r="CS156" s="981"/>
      <c r="CT156" s="981"/>
      <c r="CU156" s="981"/>
    </row>
    <row r="157">
      <c r="A157" s="1394"/>
      <c r="B157" s="788" t="s">
        <v>1256</v>
      </c>
      <c r="C157" s="784" t="s">
        <v>1256</v>
      </c>
      <c r="D157" s="785" t="s">
        <v>1256</v>
      </c>
      <c r="E157" s="786" t="s">
        <v>1256</v>
      </c>
      <c r="F157" s="787" t="s">
        <v>1256</v>
      </c>
      <c r="G157" s="788" t="s">
        <v>1256</v>
      </c>
      <c r="H157" s="1399"/>
      <c r="I157" s="1399"/>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3"/>
      <c r="BX157" s="981"/>
      <c r="BY157" s="981"/>
      <c r="BZ157" s="981"/>
      <c r="CA157" s="1333"/>
      <c r="CB157" s="981"/>
      <c r="CC157" s="981"/>
      <c r="CD157" s="1333"/>
      <c r="CE157" s="981"/>
      <c r="CF157" s="981"/>
      <c r="CG157" s="981"/>
      <c r="CH157" s="981"/>
      <c r="CI157" s="981"/>
      <c r="CJ157" s="981"/>
      <c r="CK157" s="981"/>
      <c r="CL157" s="981"/>
      <c r="CM157" s="981"/>
      <c r="CN157" s="981"/>
      <c r="CO157" s="981"/>
      <c r="CP157" s="981"/>
      <c r="CQ157" s="981"/>
      <c r="CR157" s="981"/>
      <c r="CS157" s="981"/>
      <c r="CT157" s="981"/>
      <c r="CU157" s="981"/>
    </row>
    <row r="158">
      <c r="A158" s="1394"/>
      <c r="B158" s="788" t="s">
        <v>1256</v>
      </c>
      <c r="C158" s="784" t="s">
        <v>1256</v>
      </c>
      <c r="D158" s="785" t="s">
        <v>1256</v>
      </c>
      <c r="E158" s="786" t="s">
        <v>1256</v>
      </c>
      <c r="F158" s="787" t="s">
        <v>1256</v>
      </c>
      <c r="G158" s="788" t="s">
        <v>1256</v>
      </c>
      <c r="H158" s="1399"/>
      <c r="I158" s="1399"/>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3"/>
      <c r="BX158" s="981"/>
      <c r="BY158" s="981"/>
      <c r="BZ158" s="981"/>
      <c r="CA158" s="1333"/>
      <c r="CB158" s="981"/>
      <c r="CC158" s="981"/>
      <c r="CD158" s="1333"/>
      <c r="CE158" s="981"/>
      <c r="CF158" s="981"/>
      <c r="CG158" s="981"/>
      <c r="CH158" s="981"/>
      <c r="CI158" s="981"/>
      <c r="CJ158" s="981"/>
      <c r="CK158" s="981"/>
      <c r="CL158" s="981"/>
      <c r="CM158" s="981"/>
      <c r="CN158" s="981"/>
      <c r="CO158" s="981"/>
      <c r="CP158" s="981"/>
      <c r="CQ158" s="981"/>
      <c r="CR158" s="981"/>
      <c r="CS158" s="981"/>
      <c r="CT158" s="981"/>
      <c r="CU158" s="981"/>
    </row>
    <row r="159">
      <c r="A159" s="1394"/>
      <c r="B159" s="788" t="s">
        <v>1256</v>
      </c>
      <c r="C159" s="784" t="s">
        <v>1256</v>
      </c>
      <c r="D159" s="785" t="s">
        <v>1256</v>
      </c>
      <c r="E159" s="786" t="s">
        <v>1256</v>
      </c>
      <c r="F159" s="787" t="s">
        <v>1256</v>
      </c>
      <c r="G159" s="788" t="s">
        <v>1256</v>
      </c>
      <c r="H159" s="1399"/>
      <c r="I159" s="1399"/>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3"/>
      <c r="BX159" s="981"/>
      <c r="BY159" s="981"/>
      <c r="BZ159" s="981"/>
      <c r="CA159" s="1333"/>
      <c r="CB159" s="981"/>
      <c r="CC159" s="981"/>
      <c r="CD159" s="1333"/>
      <c r="CE159" s="981"/>
      <c r="CF159" s="981"/>
      <c r="CG159" s="981"/>
      <c r="CH159" s="981"/>
      <c r="CI159" s="981"/>
      <c r="CJ159" s="981"/>
      <c r="CK159" s="981"/>
      <c r="CL159" s="981"/>
      <c r="CM159" s="981"/>
      <c r="CN159" s="981"/>
      <c r="CO159" s="981"/>
      <c r="CP159" s="981"/>
      <c r="CQ159" s="981"/>
      <c r="CR159" s="981"/>
      <c r="CS159" s="981"/>
      <c r="CT159" s="981"/>
      <c r="CU159" s="981"/>
    </row>
    <row r="160">
      <c r="A160" s="1394"/>
      <c r="B160" s="788" t="s">
        <v>1256</v>
      </c>
      <c r="C160" s="784" t="s">
        <v>1256</v>
      </c>
      <c r="D160" s="785" t="s">
        <v>1256</v>
      </c>
      <c r="E160" s="786" t="s">
        <v>1256</v>
      </c>
      <c r="F160" s="787" t="s">
        <v>1256</v>
      </c>
      <c r="G160" s="788" t="s">
        <v>1256</v>
      </c>
      <c r="H160" s="1399"/>
      <c r="I160" s="1399"/>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3"/>
      <c r="BX160" s="981"/>
      <c r="BY160" s="981"/>
      <c r="BZ160" s="981"/>
      <c r="CA160" s="1333"/>
      <c r="CB160" s="981"/>
      <c r="CC160" s="981"/>
      <c r="CD160" s="1333"/>
      <c r="CE160" s="981"/>
      <c r="CF160" s="981"/>
      <c r="CG160" s="981"/>
      <c r="CH160" s="981"/>
      <c r="CI160" s="981"/>
      <c r="CJ160" s="981"/>
      <c r="CK160" s="981"/>
      <c r="CL160" s="981"/>
      <c r="CM160" s="981"/>
      <c r="CN160" s="981"/>
      <c r="CO160" s="981"/>
      <c r="CP160" s="981"/>
      <c r="CQ160" s="981"/>
      <c r="CR160" s="981"/>
      <c r="CS160" s="981"/>
      <c r="CT160" s="981"/>
      <c r="CU160" s="981"/>
    </row>
    <row r="161">
      <c r="A161" s="1394"/>
      <c r="B161" s="788" t="s">
        <v>1256</v>
      </c>
      <c r="C161" s="784" t="s">
        <v>1256</v>
      </c>
      <c r="D161" s="785" t="s">
        <v>1256</v>
      </c>
      <c r="E161" s="786" t="s">
        <v>1256</v>
      </c>
      <c r="F161" s="787" t="s">
        <v>1256</v>
      </c>
      <c r="G161" s="788" t="s">
        <v>1256</v>
      </c>
      <c r="H161" s="1399"/>
      <c r="I161" s="1399"/>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3"/>
      <c r="BX161" s="981"/>
      <c r="BY161" s="981"/>
      <c r="BZ161" s="981"/>
      <c r="CA161" s="1333"/>
      <c r="CB161" s="981"/>
      <c r="CC161" s="981"/>
      <c r="CD161" s="1333"/>
      <c r="CE161" s="981"/>
      <c r="CF161" s="981"/>
      <c r="CG161" s="981"/>
      <c r="CH161" s="981"/>
      <c r="CI161" s="981"/>
      <c r="CJ161" s="981"/>
      <c r="CK161" s="981"/>
      <c r="CL161" s="981"/>
      <c r="CM161" s="981"/>
      <c r="CN161" s="981"/>
      <c r="CO161" s="981"/>
      <c r="CP161" s="981"/>
      <c r="CQ161" s="981"/>
      <c r="CR161" s="981"/>
      <c r="CS161" s="981"/>
      <c r="CT161" s="981"/>
      <c r="CU161" s="981"/>
    </row>
    <row r="162">
      <c r="A162" s="1394"/>
      <c r="B162" s="788" t="s">
        <v>1256</v>
      </c>
      <c r="C162" s="784" t="s">
        <v>1256</v>
      </c>
      <c r="D162" s="785" t="s">
        <v>1256</v>
      </c>
      <c r="E162" s="786" t="s">
        <v>1256</v>
      </c>
      <c r="F162" s="787" t="s">
        <v>1256</v>
      </c>
      <c r="G162" s="788" t="s">
        <v>1256</v>
      </c>
      <c r="H162" s="1399"/>
      <c r="I162" s="1399"/>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3"/>
      <c r="BX162" s="981"/>
      <c r="BY162" s="981"/>
      <c r="BZ162" s="981"/>
      <c r="CA162" s="1333"/>
      <c r="CB162" s="981"/>
      <c r="CC162" s="981"/>
      <c r="CD162" s="1333"/>
      <c r="CE162" s="981"/>
      <c r="CF162" s="981"/>
      <c r="CG162" s="981"/>
      <c r="CH162" s="981"/>
      <c r="CI162" s="981"/>
      <c r="CJ162" s="981"/>
      <c r="CK162" s="981"/>
      <c r="CL162" s="981"/>
      <c r="CM162" s="981"/>
      <c r="CN162" s="981"/>
      <c r="CO162" s="981"/>
      <c r="CP162" s="981"/>
      <c r="CQ162" s="981"/>
      <c r="CR162" s="981"/>
      <c r="CS162" s="981"/>
      <c r="CT162" s="981"/>
      <c r="CU162" s="981"/>
    </row>
    <row r="163">
      <c r="A163" s="1394"/>
      <c r="B163" s="788" t="s">
        <v>1256</v>
      </c>
      <c r="C163" s="784" t="s">
        <v>1256</v>
      </c>
      <c r="D163" s="785" t="s">
        <v>1256</v>
      </c>
      <c r="E163" s="786" t="s">
        <v>1256</v>
      </c>
      <c r="F163" s="787" t="s">
        <v>1256</v>
      </c>
      <c r="G163" s="788" t="s">
        <v>1256</v>
      </c>
      <c r="H163" s="1399"/>
      <c r="I163" s="1399"/>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3"/>
      <c r="BX163" s="981"/>
      <c r="BY163" s="981"/>
      <c r="BZ163" s="981"/>
      <c r="CA163" s="1333"/>
      <c r="CB163" s="981"/>
      <c r="CC163" s="981"/>
      <c r="CD163" s="1333"/>
      <c r="CE163" s="981"/>
      <c r="CF163" s="981"/>
      <c r="CG163" s="981"/>
      <c r="CH163" s="981"/>
      <c r="CI163" s="981"/>
      <c r="CJ163" s="981"/>
      <c r="CK163" s="981"/>
      <c r="CL163" s="981"/>
      <c r="CM163" s="981"/>
      <c r="CN163" s="981"/>
      <c r="CO163" s="981"/>
      <c r="CP163" s="981"/>
      <c r="CQ163" s="981"/>
      <c r="CR163" s="981"/>
      <c r="CS163" s="981"/>
      <c r="CT163" s="981"/>
      <c r="CU163" s="981"/>
    </row>
    <row r="164">
      <c r="A164" s="1394"/>
      <c r="B164" s="788" t="s">
        <v>1256</v>
      </c>
      <c r="C164" s="784" t="s">
        <v>1256</v>
      </c>
      <c r="D164" s="785" t="s">
        <v>1256</v>
      </c>
      <c r="E164" s="786" t="s">
        <v>1256</v>
      </c>
      <c r="F164" s="787" t="s">
        <v>1256</v>
      </c>
      <c r="G164" s="788" t="s">
        <v>1256</v>
      </c>
      <c r="H164" s="1399"/>
      <c r="I164" s="1399"/>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3"/>
      <c r="BX164" s="1333"/>
      <c r="BY164" s="981"/>
      <c r="BZ164" s="981"/>
      <c r="CA164" s="1333"/>
      <c r="CB164" s="981"/>
      <c r="CC164" s="981"/>
      <c r="CD164" s="1333"/>
      <c r="CE164" s="981"/>
      <c r="CF164" s="981"/>
      <c r="CG164" s="981"/>
      <c r="CH164" s="981"/>
      <c r="CI164" s="981"/>
      <c r="CJ164" s="981"/>
      <c r="CK164" s="981"/>
      <c r="CL164" s="981"/>
      <c r="CM164" s="981"/>
      <c r="CN164" s="981"/>
      <c r="CO164" s="981"/>
      <c r="CP164" s="981"/>
      <c r="CQ164" s="981"/>
      <c r="CR164" s="981"/>
      <c r="CS164" s="981"/>
      <c r="CT164" s="981"/>
      <c r="CU164" s="981"/>
    </row>
    <row r="165">
      <c r="A165" s="1394"/>
      <c r="B165" s="788" t="s">
        <v>1256</v>
      </c>
      <c r="C165" s="784" t="s">
        <v>1256</v>
      </c>
      <c r="D165" s="785" t="s">
        <v>1256</v>
      </c>
      <c r="E165" s="786" t="s">
        <v>1256</v>
      </c>
      <c r="F165" s="787" t="s">
        <v>1256</v>
      </c>
      <c r="G165" s="788" t="s">
        <v>1256</v>
      </c>
      <c r="H165" s="1399"/>
      <c r="I165" s="1399"/>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3"/>
      <c r="BX165" s="1333"/>
      <c r="BY165" s="981"/>
      <c r="BZ165" s="981"/>
      <c r="CA165" s="1333"/>
      <c r="CB165" s="981"/>
      <c r="CC165" s="981"/>
      <c r="CD165" s="1333"/>
      <c r="CE165" s="981"/>
      <c r="CF165" s="981"/>
      <c r="CG165" s="981"/>
      <c r="CH165" s="981"/>
      <c r="CI165" s="981"/>
      <c r="CJ165" s="981"/>
      <c r="CK165" s="981"/>
      <c r="CL165" s="981"/>
      <c r="CM165" s="981"/>
      <c r="CN165" s="981"/>
      <c r="CO165" s="981"/>
      <c r="CP165" s="981"/>
      <c r="CQ165" s="981"/>
      <c r="CR165" s="981"/>
      <c r="CS165" s="981"/>
      <c r="CT165" s="981"/>
      <c r="CU165" s="981"/>
    </row>
    <row r="166">
      <c r="A166" s="1394"/>
      <c r="B166" s="788" t="s">
        <v>1256</v>
      </c>
      <c r="C166" s="784" t="s">
        <v>1256</v>
      </c>
      <c r="D166" s="785" t="s">
        <v>1256</v>
      </c>
      <c r="E166" s="786" t="s">
        <v>1256</v>
      </c>
      <c r="F166" s="787" t="s">
        <v>1256</v>
      </c>
      <c r="G166" s="788" t="s">
        <v>1256</v>
      </c>
      <c r="H166" s="1399"/>
      <c r="I166" s="1399"/>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3"/>
      <c r="BX166" s="1333"/>
      <c r="BY166" s="981"/>
      <c r="BZ166" s="981"/>
      <c r="CA166" s="1333"/>
      <c r="CB166" s="981"/>
      <c r="CC166" s="981"/>
      <c r="CD166" s="1333"/>
      <c r="CE166" s="981"/>
      <c r="CF166" s="981"/>
      <c r="CG166" s="981"/>
      <c r="CH166" s="981"/>
      <c r="CI166" s="981"/>
      <c r="CJ166" s="981"/>
      <c r="CK166" s="981"/>
      <c r="CL166" s="981"/>
      <c r="CM166" s="981"/>
      <c r="CN166" s="981"/>
      <c r="CO166" s="981"/>
      <c r="CP166" s="981"/>
      <c r="CQ166" s="981"/>
      <c r="CR166" s="981"/>
      <c r="CS166" s="981"/>
      <c r="CT166" s="981"/>
      <c r="CU166" s="981"/>
    </row>
    <row r="167">
      <c r="A167" s="1394"/>
      <c r="B167" s="788" t="s">
        <v>1256</v>
      </c>
      <c r="C167" s="784" t="s">
        <v>1256</v>
      </c>
      <c r="D167" s="785" t="s">
        <v>1256</v>
      </c>
      <c r="E167" s="786" t="s">
        <v>1256</v>
      </c>
      <c r="F167" s="787" t="s">
        <v>1256</v>
      </c>
      <c r="G167" s="788" t="s">
        <v>1256</v>
      </c>
      <c r="H167" s="1399"/>
      <c r="I167" s="1399"/>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3"/>
      <c r="BX167" s="1333"/>
      <c r="BY167" s="981"/>
      <c r="BZ167" s="981"/>
      <c r="CA167" s="1333"/>
      <c r="CB167" s="981"/>
      <c r="CC167" s="981"/>
      <c r="CD167" s="1333"/>
      <c r="CE167" s="981"/>
      <c r="CF167" s="981"/>
      <c r="CG167" s="981"/>
      <c r="CH167" s="981"/>
      <c r="CI167" s="981"/>
      <c r="CJ167" s="981"/>
      <c r="CK167" s="981"/>
      <c r="CL167" s="981"/>
      <c r="CM167" s="981"/>
      <c r="CN167" s="981"/>
      <c r="CO167" s="981"/>
      <c r="CP167" s="981"/>
      <c r="CQ167" s="981"/>
      <c r="CR167" s="981"/>
      <c r="CS167" s="981"/>
      <c r="CT167" s="981"/>
      <c r="CU167" s="981"/>
    </row>
    <row r="168">
      <c r="A168" s="1394"/>
      <c r="B168" s="788" t="s">
        <v>1256</v>
      </c>
      <c r="C168" s="784" t="s">
        <v>1256</v>
      </c>
      <c r="D168" s="785" t="s">
        <v>1256</v>
      </c>
      <c r="E168" s="786" t="s">
        <v>1256</v>
      </c>
      <c r="F168" s="787" t="s">
        <v>1256</v>
      </c>
      <c r="G168" s="788" t="s">
        <v>1256</v>
      </c>
      <c r="H168" s="1399"/>
      <c r="I168" s="1399"/>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3"/>
      <c r="BX168" s="1333"/>
      <c r="BY168" s="981"/>
      <c r="BZ168" s="981"/>
      <c r="CA168" s="1333"/>
      <c r="CB168" s="981"/>
      <c r="CC168" s="981"/>
      <c r="CD168" s="1333"/>
      <c r="CE168" s="981"/>
      <c r="CF168" s="981"/>
      <c r="CG168" s="981"/>
      <c r="CH168" s="981"/>
      <c r="CI168" s="981"/>
      <c r="CJ168" s="981"/>
      <c r="CK168" s="981"/>
      <c r="CL168" s="981"/>
      <c r="CM168" s="981"/>
      <c r="CN168" s="981"/>
      <c r="CO168" s="981"/>
      <c r="CP168" s="981"/>
      <c r="CQ168" s="981"/>
      <c r="CR168" s="981"/>
      <c r="CS168" s="981"/>
      <c r="CT168" s="981"/>
      <c r="CU168" s="981"/>
    </row>
    <row r="169">
      <c r="A169" s="1394"/>
      <c r="B169" s="788" t="s">
        <v>1256</v>
      </c>
      <c r="C169" s="784" t="s">
        <v>1256</v>
      </c>
      <c r="D169" s="785" t="s">
        <v>1256</v>
      </c>
      <c r="E169" s="786" t="s">
        <v>1256</v>
      </c>
      <c r="F169" s="787" t="s">
        <v>1256</v>
      </c>
      <c r="G169" s="788" t="s">
        <v>1256</v>
      </c>
      <c r="H169" s="1399"/>
      <c r="I169" s="1399"/>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3"/>
      <c r="BX169" s="1333"/>
      <c r="BY169" s="981"/>
      <c r="BZ169" s="981"/>
      <c r="CA169" s="1333"/>
      <c r="CB169" s="981"/>
      <c r="CC169" s="981"/>
      <c r="CD169" s="1333"/>
      <c r="CE169" s="981"/>
      <c r="CF169" s="981"/>
      <c r="CG169" s="981"/>
      <c r="CH169" s="981"/>
      <c r="CI169" s="981"/>
      <c r="CJ169" s="981"/>
      <c r="CK169" s="981"/>
      <c r="CL169" s="981"/>
      <c r="CM169" s="981"/>
      <c r="CN169" s="981"/>
      <c r="CO169" s="981"/>
      <c r="CP169" s="981"/>
      <c r="CQ169" s="981"/>
      <c r="CR169" s="981"/>
      <c r="CS169" s="981"/>
      <c r="CT169" s="981"/>
      <c r="CU169" s="981"/>
    </row>
    <row r="170">
      <c r="A170" s="1394"/>
      <c r="B170" s="788" t="s">
        <v>1256</v>
      </c>
      <c r="C170" s="784" t="s">
        <v>1256</v>
      </c>
      <c r="D170" s="785" t="s">
        <v>1256</v>
      </c>
      <c r="E170" s="786" t="s">
        <v>1256</v>
      </c>
      <c r="F170" s="787" t="s">
        <v>1256</v>
      </c>
      <c r="G170" s="788" t="s">
        <v>1256</v>
      </c>
      <c r="H170" s="1399"/>
      <c r="I170" s="1399"/>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3"/>
      <c r="BX170" s="1333"/>
      <c r="BY170" s="981"/>
      <c r="BZ170" s="1333"/>
      <c r="CA170" s="1333"/>
      <c r="CB170" s="981"/>
      <c r="CC170" s="981"/>
      <c r="CD170" s="1333"/>
      <c r="CE170" s="981"/>
      <c r="CF170" s="981"/>
      <c r="CG170" s="981"/>
      <c r="CH170" s="981"/>
      <c r="CI170" s="981"/>
      <c r="CJ170" s="981"/>
      <c r="CK170" s="981"/>
      <c r="CL170" s="981"/>
      <c r="CM170" s="981"/>
      <c r="CN170" s="981"/>
      <c r="CO170" s="981"/>
      <c r="CP170" s="981"/>
      <c r="CQ170" s="981"/>
      <c r="CR170" s="981"/>
      <c r="CS170" s="981"/>
      <c r="CT170" s="981"/>
      <c r="CU170" s="981"/>
    </row>
    <row r="171">
      <c r="A171" s="1394"/>
      <c r="B171" s="788" t="s">
        <v>1256</v>
      </c>
      <c r="C171" s="784" t="s">
        <v>1256</v>
      </c>
      <c r="D171" s="785" t="s">
        <v>1256</v>
      </c>
      <c r="E171" s="786" t="s">
        <v>1256</v>
      </c>
      <c r="F171" s="787" t="s">
        <v>1256</v>
      </c>
      <c r="G171" s="788" t="s">
        <v>1256</v>
      </c>
      <c r="H171" s="1399"/>
      <c r="I171" s="1399"/>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3"/>
      <c r="BX171" s="1333"/>
      <c r="BY171" s="981"/>
      <c r="BZ171" s="1333"/>
      <c r="CA171" s="1333"/>
      <c r="CB171" s="981"/>
      <c r="CC171" s="981"/>
      <c r="CD171" s="1333"/>
      <c r="CE171" s="981"/>
      <c r="CF171" s="981"/>
      <c r="CG171" s="981"/>
      <c r="CH171" s="981"/>
      <c r="CI171" s="981"/>
      <c r="CJ171" s="981"/>
      <c r="CK171" s="981"/>
      <c r="CL171" s="981"/>
      <c r="CM171" s="981"/>
      <c r="CN171" s="981"/>
      <c r="CO171" s="981"/>
      <c r="CP171" s="981"/>
      <c r="CQ171" s="981"/>
      <c r="CR171" s="981"/>
      <c r="CS171" s="981"/>
      <c r="CT171" s="981"/>
      <c r="CU171" s="981"/>
    </row>
    <row r="172">
      <c r="A172" s="1394"/>
      <c r="B172" s="788" t="s">
        <v>1256</v>
      </c>
      <c r="C172" s="784" t="s">
        <v>1256</v>
      </c>
      <c r="D172" s="785" t="s">
        <v>1256</v>
      </c>
      <c r="E172" s="786" t="s">
        <v>1256</v>
      </c>
      <c r="F172" s="787" t="s">
        <v>1256</v>
      </c>
      <c r="G172" s="788" t="s">
        <v>1256</v>
      </c>
      <c r="H172" s="1399"/>
      <c r="I172" s="1399"/>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3"/>
      <c r="BX172" s="1333"/>
      <c r="BY172" s="981"/>
      <c r="BZ172" s="1333"/>
      <c r="CA172" s="1333"/>
      <c r="CB172" s="981"/>
      <c r="CC172" s="981"/>
      <c r="CD172" s="1333"/>
      <c r="CE172" s="981"/>
      <c r="CF172" s="981"/>
      <c r="CG172" s="981"/>
      <c r="CH172" s="981"/>
      <c r="CI172" s="981"/>
      <c r="CJ172" s="981"/>
      <c r="CK172" s="981"/>
      <c r="CL172" s="981"/>
      <c r="CM172" s="981"/>
      <c r="CN172" s="981"/>
      <c r="CO172" s="981"/>
      <c r="CP172" s="981"/>
      <c r="CQ172" s="981"/>
      <c r="CR172" s="981"/>
      <c r="CS172" s="981"/>
      <c r="CT172" s="981"/>
      <c r="CU172" s="981"/>
    </row>
    <row r="173">
      <c r="A173" s="1394"/>
      <c r="B173" s="788" t="s">
        <v>1256</v>
      </c>
      <c r="C173" s="784" t="s">
        <v>1256</v>
      </c>
      <c r="D173" s="785" t="s">
        <v>1256</v>
      </c>
      <c r="E173" s="786" t="s">
        <v>1256</v>
      </c>
      <c r="F173" s="787" t="s">
        <v>1256</v>
      </c>
      <c r="G173" s="788" t="s">
        <v>1256</v>
      </c>
      <c r="H173" s="1399"/>
      <c r="I173" s="1399"/>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3"/>
      <c r="BX173" s="1333"/>
      <c r="BY173" s="981"/>
      <c r="BZ173" s="1333"/>
      <c r="CA173" s="1333"/>
      <c r="CB173" s="981"/>
      <c r="CC173" s="981"/>
      <c r="CD173" s="1333"/>
      <c r="CE173" s="981"/>
      <c r="CF173" s="981"/>
      <c r="CG173" s="981"/>
      <c r="CH173" s="981"/>
      <c r="CI173" s="981"/>
      <c r="CJ173" s="981"/>
      <c r="CK173" s="981"/>
      <c r="CL173" s="981"/>
      <c r="CM173" s="981"/>
      <c r="CN173" s="981"/>
      <c r="CO173" s="981"/>
      <c r="CP173" s="981"/>
      <c r="CQ173" s="981"/>
      <c r="CR173" s="981"/>
      <c r="CS173" s="981"/>
      <c r="CT173" s="981"/>
      <c r="CU173" s="981"/>
    </row>
    <row r="174">
      <c r="A174" s="1394"/>
      <c r="B174" s="788" t="s">
        <v>1256</v>
      </c>
      <c r="C174" s="784" t="s">
        <v>1256</v>
      </c>
      <c r="D174" s="785" t="s">
        <v>1256</v>
      </c>
      <c r="E174" s="786" t="s">
        <v>1256</v>
      </c>
      <c r="F174" s="787" t="s">
        <v>1256</v>
      </c>
      <c r="G174" s="788" t="s">
        <v>1256</v>
      </c>
      <c r="H174" s="1399"/>
      <c r="I174" s="1399"/>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3"/>
      <c r="BX174" s="1333"/>
      <c r="BY174" s="981"/>
      <c r="BZ174" s="1333"/>
      <c r="CA174" s="1333"/>
      <c r="CB174" s="981"/>
      <c r="CC174" s="981"/>
      <c r="CD174" s="1333"/>
      <c r="CE174" s="981"/>
      <c r="CF174" s="981"/>
      <c r="CG174" s="981"/>
      <c r="CH174" s="981"/>
      <c r="CI174" s="981"/>
      <c r="CJ174" s="981"/>
      <c r="CK174" s="981"/>
      <c r="CL174" s="981"/>
      <c r="CM174" s="981"/>
      <c r="CN174" s="981"/>
      <c r="CO174" s="981"/>
      <c r="CP174" s="981"/>
      <c r="CQ174" s="981"/>
      <c r="CR174" s="981"/>
      <c r="CS174" s="981"/>
      <c r="CT174" s="981"/>
      <c r="CU174" s="981"/>
    </row>
    <row r="175">
      <c r="A175" s="1394"/>
      <c r="B175" s="788" t="s">
        <v>1256</v>
      </c>
      <c r="C175" s="784" t="s">
        <v>1256</v>
      </c>
      <c r="D175" s="785" t="s">
        <v>1256</v>
      </c>
      <c r="E175" s="786" t="s">
        <v>1256</v>
      </c>
      <c r="F175" s="787" t="s">
        <v>1256</v>
      </c>
      <c r="G175" s="788" t="s">
        <v>1256</v>
      </c>
      <c r="H175" s="1399"/>
      <c r="I175" s="1399"/>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3"/>
      <c r="BX175" s="1333"/>
      <c r="BY175" s="981"/>
      <c r="BZ175" s="1333"/>
      <c r="CA175" s="1333"/>
      <c r="CB175" s="981"/>
      <c r="CC175" s="981"/>
      <c r="CD175" s="1333"/>
      <c r="CE175" s="981"/>
      <c r="CF175" s="981"/>
      <c r="CG175" s="981"/>
      <c r="CH175" s="981"/>
      <c r="CI175" s="981"/>
      <c r="CJ175" s="981"/>
      <c r="CK175" s="981"/>
      <c r="CL175" s="981"/>
      <c r="CM175" s="981"/>
      <c r="CN175" s="981"/>
      <c r="CO175" s="981"/>
      <c r="CP175" s="981"/>
      <c r="CQ175" s="981"/>
      <c r="CR175" s="981"/>
      <c r="CS175" s="981"/>
      <c r="CT175" s="981"/>
      <c r="CU175" s="981"/>
    </row>
    <row r="176">
      <c r="A176" s="1394"/>
      <c r="B176" s="788" t="s">
        <v>1256</v>
      </c>
      <c r="C176" s="784" t="s">
        <v>1256</v>
      </c>
      <c r="D176" s="785" t="s">
        <v>1256</v>
      </c>
      <c r="E176" s="786" t="s">
        <v>1256</v>
      </c>
      <c r="F176" s="787" t="s">
        <v>1256</v>
      </c>
      <c r="G176" s="788" t="s">
        <v>1256</v>
      </c>
      <c r="H176" s="1399"/>
      <c r="I176" s="1399"/>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3"/>
      <c r="BX176" s="1333"/>
      <c r="BY176" s="981"/>
      <c r="BZ176" s="1333"/>
      <c r="CA176" s="1333"/>
      <c r="CB176" s="981"/>
      <c r="CC176" s="981"/>
      <c r="CD176" s="1333"/>
      <c r="CE176" s="981"/>
      <c r="CF176" s="981"/>
      <c r="CG176" s="981"/>
      <c r="CH176" s="981"/>
      <c r="CI176" s="981"/>
      <c r="CJ176" s="981"/>
      <c r="CK176" s="981"/>
      <c r="CL176" s="981"/>
      <c r="CM176" s="981"/>
      <c r="CN176" s="981"/>
      <c r="CO176" s="981"/>
      <c r="CP176" s="981"/>
      <c r="CQ176" s="981"/>
      <c r="CR176" s="981"/>
      <c r="CS176" s="981"/>
      <c r="CT176" s="981"/>
      <c r="CU176" s="981"/>
    </row>
    <row r="177">
      <c r="A177" s="1394"/>
      <c r="B177" s="788" t="s">
        <v>1256</v>
      </c>
      <c r="C177" s="784" t="s">
        <v>1256</v>
      </c>
      <c r="D177" s="785" t="s">
        <v>1256</v>
      </c>
      <c r="E177" s="786" t="s">
        <v>1256</v>
      </c>
      <c r="F177" s="787" t="s">
        <v>1256</v>
      </c>
      <c r="G177" s="788" t="s">
        <v>1256</v>
      </c>
      <c r="H177" s="1399"/>
      <c r="I177" s="1399"/>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3"/>
      <c r="BX177" s="1333"/>
      <c r="BY177" s="981"/>
      <c r="BZ177" s="1333"/>
      <c r="CA177" s="1333"/>
      <c r="CB177" s="981"/>
      <c r="CC177" s="981"/>
      <c r="CD177" s="1333"/>
      <c r="CE177" s="981"/>
      <c r="CF177" s="981"/>
      <c r="CG177" s="981"/>
      <c r="CH177" s="981"/>
      <c r="CI177" s="981"/>
      <c r="CJ177" s="981"/>
      <c r="CK177" s="981"/>
      <c r="CL177" s="981"/>
      <c r="CM177" s="981"/>
      <c r="CN177" s="981"/>
      <c r="CO177" s="981"/>
      <c r="CP177" s="981"/>
      <c r="CQ177" s="981"/>
      <c r="CR177" s="981"/>
      <c r="CS177" s="981"/>
      <c r="CT177" s="981"/>
      <c r="CU177" s="981"/>
    </row>
    <row r="178">
      <c r="A178" s="1394"/>
      <c r="B178" s="788" t="s">
        <v>1256</v>
      </c>
      <c r="C178" s="784" t="s">
        <v>1256</v>
      </c>
      <c r="D178" s="785" t="s">
        <v>1256</v>
      </c>
      <c r="E178" s="786" t="s">
        <v>1256</v>
      </c>
      <c r="F178" s="787" t="s">
        <v>1256</v>
      </c>
      <c r="G178" s="788" t="s">
        <v>1256</v>
      </c>
      <c r="H178" s="1399"/>
      <c r="I178" s="1399"/>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3"/>
      <c r="BX178" s="1333"/>
      <c r="BY178" s="981"/>
      <c r="BZ178" s="1333"/>
      <c r="CA178" s="1333"/>
      <c r="CB178" s="981"/>
      <c r="CC178" s="981"/>
      <c r="CD178" s="1333"/>
      <c r="CE178" s="981"/>
      <c r="CF178" s="981"/>
      <c r="CG178" s="981"/>
      <c r="CH178" s="981"/>
      <c r="CI178" s="981"/>
      <c r="CJ178" s="981"/>
      <c r="CK178" s="981"/>
      <c r="CL178" s="981"/>
      <c r="CM178" s="981"/>
      <c r="CN178" s="981"/>
      <c r="CO178" s="981"/>
      <c r="CP178" s="981"/>
      <c r="CQ178" s="981"/>
      <c r="CR178" s="981"/>
      <c r="CS178" s="981"/>
      <c r="CT178" s="981"/>
      <c r="CU178" s="981"/>
    </row>
    <row r="179">
      <c r="A179" s="1394"/>
      <c r="B179" s="788" t="s">
        <v>1256</v>
      </c>
      <c r="C179" s="784" t="s">
        <v>1256</v>
      </c>
      <c r="D179" s="785" t="s">
        <v>1256</v>
      </c>
      <c r="E179" s="786" t="s">
        <v>1256</v>
      </c>
      <c r="F179" s="787" t="s">
        <v>1256</v>
      </c>
      <c r="G179" s="788" t="s">
        <v>1256</v>
      </c>
      <c r="H179" s="1399"/>
      <c r="I179" s="1399"/>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3"/>
      <c r="BX179" s="1333"/>
      <c r="BY179" s="981"/>
      <c r="BZ179" s="1333"/>
      <c r="CA179" s="1333"/>
      <c r="CB179" s="981"/>
      <c r="CC179" s="981"/>
      <c r="CD179" s="1333"/>
      <c r="CE179" s="981"/>
      <c r="CF179" s="981"/>
      <c r="CG179" s="981"/>
      <c r="CH179" s="981"/>
      <c r="CI179" s="981"/>
      <c r="CJ179" s="981"/>
      <c r="CK179" s="981"/>
      <c r="CL179" s="981"/>
      <c r="CM179" s="981"/>
      <c r="CN179" s="981"/>
      <c r="CO179" s="981"/>
      <c r="CP179" s="981"/>
      <c r="CQ179" s="981"/>
      <c r="CR179" s="981"/>
      <c r="CS179" s="981"/>
      <c r="CT179" s="981"/>
      <c r="CU179" s="981"/>
    </row>
    <row r="180">
      <c r="A180" s="1394"/>
      <c r="B180" s="788" t="s">
        <v>1256</v>
      </c>
      <c r="C180" s="784" t="s">
        <v>1256</v>
      </c>
      <c r="D180" s="785" t="s">
        <v>1256</v>
      </c>
      <c r="E180" s="786" t="s">
        <v>1256</v>
      </c>
      <c r="F180" s="787" t="s">
        <v>1256</v>
      </c>
      <c r="G180" s="788" t="s">
        <v>1256</v>
      </c>
      <c r="H180" s="1399"/>
      <c r="I180" s="1399"/>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3"/>
      <c r="BX180" s="1333"/>
      <c r="BY180" s="981"/>
      <c r="BZ180" s="1333"/>
      <c r="CA180" s="1333"/>
      <c r="CB180" s="981"/>
      <c r="CC180" s="981"/>
      <c r="CD180" s="1333"/>
      <c r="CE180" s="981"/>
      <c r="CF180" s="981"/>
      <c r="CG180" s="981"/>
      <c r="CH180" s="981"/>
      <c r="CI180" s="981"/>
      <c r="CJ180" s="981"/>
      <c r="CK180" s="981"/>
      <c r="CL180" s="981"/>
      <c r="CM180" s="981"/>
      <c r="CN180" s="981"/>
      <c r="CO180" s="981"/>
      <c r="CP180" s="981"/>
      <c r="CQ180" s="981"/>
      <c r="CR180" s="981"/>
      <c r="CS180" s="981"/>
      <c r="CT180" s="981"/>
      <c r="CU180" s="981"/>
    </row>
    <row r="181">
      <c r="A181" s="1394"/>
      <c r="B181" s="788" t="s">
        <v>1256</v>
      </c>
      <c r="C181" s="784" t="s">
        <v>1256</v>
      </c>
      <c r="D181" s="785" t="s">
        <v>1256</v>
      </c>
      <c r="E181" s="786" t="s">
        <v>1256</v>
      </c>
      <c r="F181" s="787" t="s">
        <v>1256</v>
      </c>
      <c r="G181" s="788" t="s">
        <v>1256</v>
      </c>
      <c r="H181" s="1399"/>
      <c r="I181" s="1399"/>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3"/>
      <c r="BX181" s="1333"/>
      <c r="BY181" s="981"/>
      <c r="BZ181" s="1333"/>
      <c r="CA181" s="1333"/>
      <c r="CB181" s="981"/>
      <c r="CC181" s="981"/>
      <c r="CD181" s="1333"/>
      <c r="CE181" s="981"/>
      <c r="CF181" s="981"/>
      <c r="CG181" s="981"/>
      <c r="CH181" s="981"/>
      <c r="CI181" s="981"/>
      <c r="CJ181" s="981"/>
      <c r="CK181" s="981"/>
      <c r="CL181" s="981"/>
      <c r="CM181" s="981"/>
      <c r="CN181" s="981"/>
      <c r="CO181" s="981"/>
      <c r="CP181" s="981"/>
      <c r="CQ181" s="981"/>
      <c r="CR181" s="981"/>
      <c r="CS181" s="981"/>
      <c r="CT181" s="981"/>
      <c r="CU181" s="981"/>
    </row>
    <row r="182">
      <c r="A182" s="1394"/>
      <c r="B182" s="788" t="s">
        <v>1256</v>
      </c>
      <c r="C182" s="784" t="s">
        <v>1256</v>
      </c>
      <c r="D182" s="785" t="s">
        <v>1256</v>
      </c>
      <c r="E182" s="786" t="s">
        <v>1256</v>
      </c>
      <c r="F182" s="787" t="s">
        <v>1256</v>
      </c>
      <c r="G182" s="788" t="s">
        <v>1256</v>
      </c>
      <c r="H182" s="1399"/>
      <c r="I182" s="1399"/>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3"/>
      <c r="BX182" s="1333"/>
      <c r="BY182" s="981"/>
      <c r="BZ182" s="1333"/>
      <c r="CA182" s="1333"/>
      <c r="CB182" s="981"/>
      <c r="CC182" s="981"/>
      <c r="CD182" s="1333"/>
      <c r="CE182" s="981"/>
      <c r="CF182" s="981"/>
      <c r="CG182" s="981"/>
      <c r="CH182" s="981"/>
      <c r="CI182" s="981"/>
      <c r="CJ182" s="981"/>
      <c r="CK182" s="981"/>
      <c r="CL182" s="981"/>
      <c r="CM182" s="981"/>
      <c r="CN182" s="981"/>
      <c r="CO182" s="981"/>
      <c r="CP182" s="981"/>
      <c r="CQ182" s="981"/>
      <c r="CR182" s="981"/>
      <c r="CS182" s="981"/>
      <c r="CT182" s="981"/>
      <c r="CU182" s="981"/>
    </row>
    <row r="183">
      <c r="A183" s="1394"/>
      <c r="B183" s="788" t="s">
        <v>1256</v>
      </c>
      <c r="C183" s="784" t="s">
        <v>1256</v>
      </c>
      <c r="D183" s="785" t="s">
        <v>1256</v>
      </c>
      <c r="E183" s="786" t="s">
        <v>1256</v>
      </c>
      <c r="F183" s="787" t="s">
        <v>1256</v>
      </c>
      <c r="G183" s="788" t="s">
        <v>1256</v>
      </c>
      <c r="H183" s="1399"/>
      <c r="I183" s="1399"/>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3"/>
      <c r="BX183" s="1333"/>
      <c r="BY183" s="981"/>
      <c r="BZ183" s="1333"/>
      <c r="CA183" s="1333"/>
      <c r="CB183" s="981"/>
      <c r="CC183" s="981"/>
      <c r="CD183" s="1333"/>
      <c r="CE183" s="981"/>
      <c r="CF183" s="981"/>
      <c r="CG183" s="981"/>
      <c r="CH183" s="981"/>
      <c r="CI183" s="981"/>
      <c r="CJ183" s="981"/>
      <c r="CK183" s="981"/>
      <c r="CL183" s="981"/>
      <c r="CM183" s="981"/>
      <c r="CN183" s="981"/>
      <c r="CO183" s="981"/>
      <c r="CP183" s="981"/>
      <c r="CQ183" s="981"/>
      <c r="CR183" s="981"/>
      <c r="CS183" s="981"/>
      <c r="CT183" s="981"/>
      <c r="CU183" s="981"/>
    </row>
    <row r="184">
      <c r="A184" s="1394"/>
      <c r="B184" s="788" t="s">
        <v>1256</v>
      </c>
      <c r="C184" s="784" t="s">
        <v>1256</v>
      </c>
      <c r="D184" s="785" t="s">
        <v>1256</v>
      </c>
      <c r="E184" s="786" t="s">
        <v>1256</v>
      </c>
      <c r="F184" s="787" t="s">
        <v>1256</v>
      </c>
      <c r="G184" s="788" t="s">
        <v>1256</v>
      </c>
      <c r="H184" s="1399"/>
      <c r="I184" s="1399"/>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3"/>
      <c r="BX184" s="1333"/>
      <c r="BY184" s="981"/>
      <c r="BZ184" s="1333"/>
      <c r="CA184" s="1333"/>
      <c r="CB184" s="981"/>
      <c r="CC184" s="981"/>
      <c r="CD184" s="1333"/>
      <c r="CE184" s="981"/>
      <c r="CF184" s="981"/>
      <c r="CG184" s="981"/>
      <c r="CH184" s="981"/>
      <c r="CI184" s="981"/>
      <c r="CJ184" s="981"/>
      <c r="CK184" s="981"/>
      <c r="CL184" s="981"/>
      <c r="CM184" s="981"/>
      <c r="CN184" s="981"/>
      <c r="CO184" s="981"/>
      <c r="CP184" s="981"/>
      <c r="CQ184" s="981"/>
      <c r="CR184" s="981"/>
      <c r="CS184" s="981"/>
      <c r="CT184" s="981"/>
      <c r="CU184" s="981"/>
    </row>
    <row r="185">
      <c r="A185" s="1394"/>
      <c r="B185" s="788" t="s">
        <v>1256</v>
      </c>
      <c r="C185" s="784" t="s">
        <v>1256</v>
      </c>
      <c r="D185" s="785" t="s">
        <v>1256</v>
      </c>
      <c r="E185" s="786" t="s">
        <v>1256</v>
      </c>
      <c r="F185" s="787" t="s">
        <v>1256</v>
      </c>
      <c r="G185" s="788" t="s">
        <v>1256</v>
      </c>
      <c r="H185" s="1399"/>
      <c r="I185" s="1399"/>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3"/>
      <c r="BX185" s="1333"/>
      <c r="BY185" s="981"/>
      <c r="BZ185" s="1333"/>
      <c r="CA185" s="1333"/>
      <c r="CB185" s="981"/>
      <c r="CC185" s="981"/>
      <c r="CD185" s="1333"/>
      <c r="CE185" s="981"/>
      <c r="CF185" s="981"/>
      <c r="CG185" s="981"/>
      <c r="CH185" s="981"/>
      <c r="CI185" s="981"/>
      <c r="CJ185" s="981"/>
      <c r="CK185" s="981"/>
      <c r="CL185" s="981"/>
      <c r="CM185" s="981"/>
      <c r="CN185" s="981"/>
      <c r="CO185" s="981"/>
      <c r="CP185" s="981"/>
      <c r="CQ185" s="981"/>
      <c r="CR185" s="981"/>
      <c r="CS185" s="981"/>
      <c r="CT185" s="981"/>
      <c r="CU185" s="981"/>
    </row>
    <row r="186">
      <c r="A186" s="1394"/>
      <c r="B186" s="788" t="s">
        <v>1256</v>
      </c>
      <c r="C186" s="784" t="s">
        <v>1256</v>
      </c>
      <c r="D186" s="785" t="s">
        <v>1256</v>
      </c>
      <c r="E186" s="786" t="s">
        <v>1256</v>
      </c>
      <c r="F186" s="787" t="s">
        <v>1256</v>
      </c>
      <c r="G186" s="788" t="s">
        <v>1256</v>
      </c>
      <c r="H186" s="1399"/>
      <c r="I186" s="1399"/>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3"/>
      <c r="BX186" s="1333"/>
      <c r="BY186" s="981"/>
      <c r="BZ186" s="1333"/>
      <c r="CA186" s="1333"/>
      <c r="CB186" s="981"/>
      <c r="CC186" s="981"/>
      <c r="CD186" s="1333"/>
      <c r="CE186" s="981"/>
      <c r="CF186" s="981"/>
      <c r="CG186" s="981"/>
      <c r="CH186" s="981"/>
      <c r="CI186" s="981"/>
      <c r="CJ186" s="981"/>
      <c r="CK186" s="981"/>
      <c r="CL186" s="981"/>
      <c r="CM186" s="981"/>
      <c r="CN186" s="981"/>
      <c r="CO186" s="981"/>
      <c r="CP186" s="981"/>
      <c r="CQ186" s="981"/>
      <c r="CR186" s="981"/>
      <c r="CS186" s="981"/>
      <c r="CT186" s="981"/>
      <c r="CU186" s="981"/>
    </row>
    <row r="187">
      <c r="A187" s="1394"/>
      <c r="B187" s="788" t="s">
        <v>1256</v>
      </c>
      <c r="C187" s="784" t="s">
        <v>1256</v>
      </c>
      <c r="D187" s="785" t="s">
        <v>1256</v>
      </c>
      <c r="E187" s="786" t="s">
        <v>1256</v>
      </c>
      <c r="F187" s="787" t="s">
        <v>1256</v>
      </c>
      <c r="G187" s="788" t="s">
        <v>1256</v>
      </c>
      <c r="H187" s="1399"/>
      <c r="I187" s="1399"/>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3"/>
      <c r="BX187" s="1333"/>
      <c r="BY187" s="981"/>
      <c r="BZ187" s="1333"/>
      <c r="CA187" s="1333"/>
      <c r="CB187" s="981"/>
      <c r="CC187" s="981"/>
      <c r="CD187" s="1333"/>
      <c r="CE187" s="981"/>
      <c r="CF187" s="981"/>
      <c r="CG187" s="981"/>
      <c r="CH187" s="981"/>
      <c r="CI187" s="981"/>
      <c r="CJ187" s="981"/>
      <c r="CK187" s="981"/>
      <c r="CL187" s="981"/>
      <c r="CM187" s="981"/>
      <c r="CN187" s="981"/>
      <c r="CO187" s="981"/>
      <c r="CP187" s="981"/>
      <c r="CQ187" s="981"/>
      <c r="CR187" s="981"/>
      <c r="CS187" s="981"/>
      <c r="CT187" s="981"/>
      <c r="CU187" s="981"/>
    </row>
    <row r="188">
      <c r="A188" s="1394"/>
      <c r="B188" s="788" t="s">
        <v>1256</v>
      </c>
      <c r="C188" s="784" t="s">
        <v>1256</v>
      </c>
      <c r="D188" s="785" t="s">
        <v>1256</v>
      </c>
      <c r="E188" s="786" t="s">
        <v>1256</v>
      </c>
      <c r="F188" s="787" t="s">
        <v>1256</v>
      </c>
      <c r="G188" s="788" t="s">
        <v>1256</v>
      </c>
      <c r="H188" s="1399"/>
      <c r="I188" s="1399"/>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3"/>
      <c r="BX188" s="1333"/>
      <c r="BY188" s="981"/>
      <c r="BZ188" s="1333"/>
      <c r="CA188" s="1333"/>
      <c r="CB188" s="981"/>
      <c r="CC188" s="981"/>
      <c r="CD188" s="1333"/>
      <c r="CE188" s="981"/>
      <c r="CF188" s="981"/>
      <c r="CG188" s="981"/>
      <c r="CH188" s="981"/>
      <c r="CI188" s="981"/>
      <c r="CJ188" s="981"/>
      <c r="CK188" s="981"/>
      <c r="CL188" s="981"/>
      <c r="CM188" s="981"/>
      <c r="CN188" s="981"/>
      <c r="CO188" s="981"/>
      <c r="CP188" s="981"/>
      <c r="CQ188" s="981"/>
      <c r="CR188" s="981"/>
      <c r="CS188" s="981"/>
      <c r="CT188" s="981"/>
      <c r="CU188" s="981"/>
    </row>
    <row r="189">
      <c r="A189" s="1394"/>
      <c r="B189" s="788" t="s">
        <v>1256</v>
      </c>
      <c r="C189" s="784" t="s">
        <v>1256</v>
      </c>
      <c r="D189" s="785" t="s">
        <v>1256</v>
      </c>
      <c r="E189" s="786" t="s">
        <v>1256</v>
      </c>
      <c r="F189" s="787" t="s">
        <v>1256</v>
      </c>
      <c r="G189" s="788" t="s">
        <v>1256</v>
      </c>
      <c r="H189" s="1399"/>
      <c r="I189" s="1399"/>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3"/>
      <c r="BX189" s="1333"/>
      <c r="BY189" s="981"/>
      <c r="BZ189" s="1333"/>
      <c r="CA189" s="1333"/>
      <c r="CB189" s="981"/>
      <c r="CC189" s="981"/>
      <c r="CD189" s="1333"/>
      <c r="CE189" s="981"/>
      <c r="CF189" s="981"/>
      <c r="CG189" s="981"/>
      <c r="CH189" s="981"/>
      <c r="CI189" s="981"/>
      <c r="CJ189" s="981"/>
      <c r="CK189" s="981"/>
      <c r="CL189" s="981"/>
      <c r="CM189" s="981"/>
      <c r="CN189" s="981"/>
      <c r="CO189" s="981"/>
      <c r="CP189" s="981"/>
      <c r="CQ189" s="981"/>
      <c r="CR189" s="981"/>
      <c r="CS189" s="981"/>
      <c r="CT189" s="981"/>
      <c r="CU189" s="981"/>
    </row>
    <row r="190">
      <c r="A190" s="1394"/>
      <c r="B190" s="788" t="s">
        <v>1256</v>
      </c>
      <c r="C190" s="784" t="s">
        <v>1256</v>
      </c>
      <c r="D190" s="785" t="s">
        <v>1256</v>
      </c>
      <c r="E190" s="786" t="s">
        <v>1256</v>
      </c>
      <c r="F190" s="787" t="s">
        <v>1256</v>
      </c>
      <c r="G190" s="788" t="s">
        <v>1256</v>
      </c>
      <c r="H190" s="1399"/>
      <c r="I190" s="1399"/>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3"/>
      <c r="BX190" s="1333"/>
      <c r="BY190" s="981"/>
      <c r="BZ190" s="1333"/>
      <c r="CA190" s="1333"/>
      <c r="CB190" s="981"/>
      <c r="CC190" s="981"/>
      <c r="CD190" s="1333"/>
      <c r="CE190" s="981"/>
      <c r="CF190" s="981"/>
      <c r="CG190" s="981"/>
      <c r="CH190" s="981"/>
      <c r="CI190" s="981"/>
      <c r="CJ190" s="981"/>
      <c r="CK190" s="981"/>
      <c r="CL190" s="981"/>
      <c r="CM190" s="981"/>
      <c r="CN190" s="981"/>
      <c r="CO190" s="981"/>
      <c r="CP190" s="981"/>
      <c r="CQ190" s="981"/>
      <c r="CR190" s="981"/>
      <c r="CS190" s="981"/>
      <c r="CT190" s="981"/>
      <c r="CU190" s="981"/>
    </row>
    <row r="191">
      <c r="A191" s="1394"/>
      <c r="B191" s="788" t="s">
        <v>1256</v>
      </c>
      <c r="C191" s="784" t="s">
        <v>1256</v>
      </c>
      <c r="D191" s="785" t="s">
        <v>1256</v>
      </c>
      <c r="E191" s="786" t="s">
        <v>1256</v>
      </c>
      <c r="F191" s="787" t="s">
        <v>1256</v>
      </c>
      <c r="G191" s="788" t="s">
        <v>1256</v>
      </c>
      <c r="H191" s="1399"/>
      <c r="I191" s="1399"/>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3"/>
      <c r="BX191" s="1333"/>
      <c r="BY191" s="981"/>
      <c r="BZ191" s="1333"/>
      <c r="CA191" s="1333"/>
      <c r="CB191" s="981"/>
      <c r="CC191" s="981"/>
      <c r="CD191" s="1333"/>
      <c r="CE191" s="981"/>
      <c r="CF191" s="981"/>
      <c r="CG191" s="981"/>
      <c r="CH191" s="981"/>
      <c r="CI191" s="981"/>
      <c r="CJ191" s="981"/>
      <c r="CK191" s="981"/>
      <c r="CL191" s="981"/>
      <c r="CM191" s="981"/>
      <c r="CN191" s="981"/>
      <c r="CO191" s="981"/>
      <c r="CP191" s="981"/>
      <c r="CQ191" s="981"/>
      <c r="CR191" s="981"/>
      <c r="CS191" s="981"/>
      <c r="CT191" s="981"/>
      <c r="CU191" s="981"/>
    </row>
    <row r="192">
      <c r="A192" s="1394"/>
      <c r="B192" s="788" t="s">
        <v>1256</v>
      </c>
      <c r="C192" s="784" t="s">
        <v>1256</v>
      </c>
      <c r="D192" s="785" t="s">
        <v>1256</v>
      </c>
      <c r="E192" s="786" t="s">
        <v>1256</v>
      </c>
      <c r="F192" s="787" t="s">
        <v>1256</v>
      </c>
      <c r="G192" s="788" t="s">
        <v>1256</v>
      </c>
      <c r="H192" s="1399"/>
      <c r="I192" s="1399"/>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3"/>
      <c r="BX192" s="1333"/>
      <c r="BY192" s="981"/>
      <c r="BZ192" s="1333"/>
      <c r="CA192" s="1333"/>
      <c r="CB192" s="981"/>
      <c r="CC192" s="981"/>
      <c r="CD192" s="1333"/>
      <c r="CE192" s="981"/>
      <c r="CF192" s="981"/>
      <c r="CG192" s="981"/>
      <c r="CH192" s="981"/>
      <c r="CI192" s="981"/>
      <c r="CJ192" s="981"/>
      <c r="CK192" s="981"/>
      <c r="CL192" s="981"/>
      <c r="CM192" s="981"/>
      <c r="CN192" s="981"/>
      <c r="CO192" s="981"/>
      <c r="CP192" s="981"/>
      <c r="CQ192" s="981"/>
      <c r="CR192" s="981"/>
      <c r="CS192" s="981"/>
      <c r="CT192" s="981"/>
      <c r="CU192" s="981"/>
    </row>
    <row r="193">
      <c r="A193" s="1394"/>
      <c r="B193" s="788" t="s">
        <v>1256</v>
      </c>
      <c r="C193" s="784" t="s">
        <v>1256</v>
      </c>
      <c r="D193" s="785" t="s">
        <v>1256</v>
      </c>
      <c r="E193" s="786" t="s">
        <v>1256</v>
      </c>
      <c r="F193" s="787" t="s">
        <v>1256</v>
      </c>
      <c r="G193" s="788" t="s">
        <v>1256</v>
      </c>
      <c r="H193" s="1399"/>
      <c r="I193" s="1399"/>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3"/>
      <c r="BX193" s="1333"/>
      <c r="BY193" s="981"/>
      <c r="BZ193" s="1333"/>
      <c r="CA193" s="1333"/>
      <c r="CB193" s="981"/>
      <c r="CC193" s="981"/>
      <c r="CD193" s="1333"/>
      <c r="CE193" s="981"/>
      <c r="CF193" s="981"/>
      <c r="CG193" s="981"/>
      <c r="CH193" s="981"/>
      <c r="CI193" s="981"/>
      <c r="CJ193" s="981"/>
      <c r="CK193" s="981"/>
      <c r="CL193" s="981"/>
      <c r="CM193" s="981"/>
      <c r="CN193" s="981"/>
      <c r="CO193" s="981"/>
      <c r="CP193" s="981"/>
      <c r="CQ193" s="981"/>
      <c r="CR193" s="981"/>
      <c r="CS193" s="981"/>
      <c r="CT193" s="981"/>
      <c r="CU193" s="981"/>
    </row>
    <row r="194">
      <c r="A194" s="1394"/>
      <c r="B194" s="788" t="s">
        <v>1256</v>
      </c>
      <c r="C194" s="784" t="s">
        <v>1256</v>
      </c>
      <c r="D194" s="785" t="s">
        <v>1256</v>
      </c>
      <c r="E194" s="786" t="s">
        <v>1256</v>
      </c>
      <c r="F194" s="787" t="s">
        <v>1256</v>
      </c>
      <c r="G194" s="788" t="s">
        <v>1256</v>
      </c>
      <c r="H194" s="1399"/>
      <c r="I194" s="1399"/>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3"/>
      <c r="BX194" s="1333"/>
      <c r="BY194" s="981"/>
      <c r="BZ194" s="1333"/>
      <c r="CA194" s="1333"/>
      <c r="CB194" s="981"/>
      <c r="CC194" s="981"/>
      <c r="CD194" s="1333"/>
      <c r="CE194" s="981"/>
      <c r="CF194" s="981"/>
      <c r="CG194" s="981"/>
      <c r="CH194" s="981"/>
      <c r="CI194" s="981"/>
      <c r="CJ194" s="981"/>
      <c r="CK194" s="981"/>
      <c r="CL194" s="981"/>
      <c r="CM194" s="981"/>
      <c r="CN194" s="981"/>
      <c r="CO194" s="981"/>
      <c r="CP194" s="981"/>
      <c r="CQ194" s="981"/>
      <c r="CR194" s="981"/>
      <c r="CS194" s="981"/>
      <c r="CT194" s="981"/>
      <c r="CU194" s="981"/>
    </row>
    <row r="195">
      <c r="A195" s="1394"/>
      <c r="B195" s="788" t="s">
        <v>1256</v>
      </c>
      <c r="C195" s="784" t="s">
        <v>1256</v>
      </c>
      <c r="D195" s="785" t="s">
        <v>1256</v>
      </c>
      <c r="E195" s="786" t="s">
        <v>1256</v>
      </c>
      <c r="F195" s="787" t="s">
        <v>1256</v>
      </c>
      <c r="G195" s="788" t="s">
        <v>1256</v>
      </c>
      <c r="H195" s="1399"/>
      <c r="I195" s="1399"/>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3"/>
      <c r="BX195" s="1333"/>
      <c r="BY195" s="981"/>
      <c r="BZ195" s="1333"/>
      <c r="CA195" s="1333"/>
      <c r="CB195" s="981"/>
      <c r="CC195" s="981"/>
      <c r="CD195" s="1333"/>
      <c r="CE195" s="981"/>
      <c r="CF195" s="981"/>
      <c r="CG195" s="981"/>
      <c r="CH195" s="981"/>
      <c r="CI195" s="981"/>
      <c r="CJ195" s="981"/>
      <c r="CK195" s="981"/>
      <c r="CL195" s="981"/>
      <c r="CM195" s="981"/>
      <c r="CN195" s="981"/>
      <c r="CO195" s="981"/>
      <c r="CP195" s="981"/>
      <c r="CQ195" s="981"/>
      <c r="CR195" s="981"/>
      <c r="CS195" s="981"/>
      <c r="CT195" s="981"/>
      <c r="CU195" s="981"/>
    </row>
    <row r="196">
      <c r="A196" s="1394"/>
      <c r="B196" s="788" t="s">
        <v>1256</v>
      </c>
      <c r="C196" s="784" t="s">
        <v>1256</v>
      </c>
      <c r="D196" s="785" t="s">
        <v>1256</v>
      </c>
      <c r="E196" s="786" t="s">
        <v>1256</v>
      </c>
      <c r="F196" s="787" t="s">
        <v>1256</v>
      </c>
      <c r="G196" s="788" t="s">
        <v>1256</v>
      </c>
      <c r="H196" s="1399"/>
      <c r="I196" s="1399"/>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3"/>
      <c r="BX196" s="1333"/>
      <c r="BY196" s="981"/>
      <c r="BZ196" s="1333"/>
      <c r="CA196" s="1333"/>
      <c r="CB196" s="981"/>
      <c r="CC196" s="981"/>
      <c r="CD196" s="1333"/>
      <c r="CE196" s="981"/>
      <c r="CF196" s="981"/>
      <c r="CG196" s="981"/>
      <c r="CH196" s="981"/>
      <c r="CI196" s="981"/>
      <c r="CJ196" s="981"/>
      <c r="CK196" s="981"/>
      <c r="CL196" s="981"/>
      <c r="CM196" s="981"/>
      <c r="CN196" s="981"/>
      <c r="CO196" s="981"/>
      <c r="CP196" s="981"/>
      <c r="CQ196" s="981"/>
      <c r="CR196" s="981"/>
      <c r="CS196" s="981"/>
      <c r="CT196" s="981"/>
      <c r="CU196" s="981"/>
    </row>
    <row r="197">
      <c r="A197" s="1394"/>
      <c r="B197" s="788" t="s">
        <v>1256</v>
      </c>
      <c r="C197" s="784" t="s">
        <v>1256</v>
      </c>
      <c r="D197" s="785" t="s">
        <v>1256</v>
      </c>
      <c r="E197" s="786" t="s">
        <v>1256</v>
      </c>
      <c r="F197" s="787" t="s">
        <v>1256</v>
      </c>
      <c r="G197" s="788" t="s">
        <v>1256</v>
      </c>
      <c r="H197" s="1399"/>
      <c r="I197" s="1399"/>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3"/>
      <c r="BX197" s="1333"/>
      <c r="BY197" s="981"/>
      <c r="BZ197" s="1333"/>
      <c r="CA197" s="1333"/>
      <c r="CB197" s="981"/>
      <c r="CC197" s="981"/>
      <c r="CD197" s="1333"/>
      <c r="CE197" s="981"/>
      <c r="CF197" s="981"/>
      <c r="CG197" s="981"/>
      <c r="CH197" s="981"/>
      <c r="CI197" s="981"/>
      <c r="CJ197" s="981"/>
      <c r="CK197" s="981"/>
      <c r="CL197" s="981"/>
      <c r="CM197" s="981"/>
      <c r="CN197" s="981"/>
      <c r="CO197" s="981"/>
      <c r="CP197" s="981"/>
      <c r="CQ197" s="981"/>
      <c r="CR197" s="981"/>
      <c r="CS197" s="981"/>
      <c r="CT197" s="981"/>
      <c r="CU197" s="981"/>
    </row>
    <row r="198">
      <c r="A198" s="1394"/>
      <c r="B198" s="788" t="s">
        <v>1256</v>
      </c>
      <c r="C198" s="784" t="s">
        <v>1256</v>
      </c>
      <c r="D198" s="785" t="s">
        <v>1256</v>
      </c>
      <c r="E198" s="786" t="s">
        <v>1256</v>
      </c>
      <c r="F198" s="787" t="s">
        <v>1256</v>
      </c>
      <c r="G198" s="788" t="s">
        <v>1256</v>
      </c>
      <c r="H198" s="1399"/>
      <c r="I198" s="1399"/>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3"/>
      <c r="BX198" s="1333"/>
      <c r="BY198" s="981"/>
      <c r="BZ198" s="1333"/>
      <c r="CA198" s="1333"/>
      <c r="CB198" s="981"/>
      <c r="CC198" s="981"/>
      <c r="CD198" s="1333"/>
      <c r="CE198" s="981"/>
      <c r="CF198" s="981"/>
      <c r="CG198" s="981"/>
      <c r="CH198" s="981"/>
      <c r="CI198" s="981"/>
      <c r="CJ198" s="981"/>
      <c r="CK198" s="981"/>
      <c r="CL198" s="981"/>
      <c r="CM198" s="981"/>
      <c r="CN198" s="981"/>
      <c r="CO198" s="981"/>
      <c r="CP198" s="981"/>
      <c r="CQ198" s="981"/>
      <c r="CR198" s="981"/>
      <c r="CS198" s="981"/>
      <c r="CT198" s="981"/>
      <c r="CU198" s="981"/>
    </row>
    <row r="199">
      <c r="A199" s="1394"/>
      <c r="B199" s="788" t="s">
        <v>1256</v>
      </c>
      <c r="C199" s="784" t="s">
        <v>1256</v>
      </c>
      <c r="D199" s="785" t="s">
        <v>1256</v>
      </c>
      <c r="E199" s="786" t="s">
        <v>1256</v>
      </c>
      <c r="F199" s="787" t="s">
        <v>1256</v>
      </c>
      <c r="G199" s="788" t="s">
        <v>1256</v>
      </c>
      <c r="H199" s="1399"/>
      <c r="I199" s="1399"/>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3"/>
      <c r="BX199" s="1333"/>
      <c r="BY199" s="981"/>
      <c r="BZ199" s="1333"/>
      <c r="CA199" s="1333"/>
      <c r="CB199" s="981"/>
      <c r="CC199" s="981"/>
      <c r="CD199" s="1333"/>
      <c r="CE199" s="981"/>
      <c r="CF199" s="981"/>
      <c r="CG199" s="981"/>
      <c r="CH199" s="981"/>
      <c r="CI199" s="981"/>
      <c r="CJ199" s="981"/>
      <c r="CK199" s="981"/>
      <c r="CL199" s="981"/>
      <c r="CM199" s="981"/>
      <c r="CN199" s="981"/>
      <c r="CO199" s="981"/>
      <c r="CP199" s="981"/>
      <c r="CQ199" s="981"/>
      <c r="CR199" s="981"/>
      <c r="CS199" s="981"/>
      <c r="CT199" s="981"/>
      <c r="CU199" s="981"/>
    </row>
    <row r="200">
      <c r="A200" s="1394"/>
      <c r="B200" s="788" t="s">
        <v>1256</v>
      </c>
      <c r="C200" s="784" t="s">
        <v>1256</v>
      </c>
      <c r="D200" s="785" t="s">
        <v>1256</v>
      </c>
      <c r="E200" s="786" t="s">
        <v>1256</v>
      </c>
      <c r="F200" s="787" t="s">
        <v>1256</v>
      </c>
      <c r="G200" s="788" t="s">
        <v>1256</v>
      </c>
      <c r="H200" s="1399"/>
      <c r="I200" s="1399"/>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3"/>
      <c r="BX200" s="1333"/>
      <c r="BY200" s="981"/>
      <c r="BZ200" s="1333"/>
      <c r="CA200" s="1333"/>
      <c r="CB200" s="981"/>
      <c r="CC200" s="981"/>
      <c r="CD200" s="1333"/>
      <c r="CE200" s="981"/>
      <c r="CF200" s="981"/>
      <c r="CG200" s="981"/>
      <c r="CH200" s="981"/>
      <c r="CI200" s="981"/>
      <c r="CJ200" s="981"/>
      <c r="CK200" s="981"/>
      <c r="CL200" s="981"/>
      <c r="CM200" s="981"/>
      <c r="CN200" s="981"/>
      <c r="CO200" s="981"/>
      <c r="CP200" s="981"/>
      <c r="CQ200" s="981"/>
      <c r="CR200" s="981"/>
      <c r="CS200" s="981"/>
      <c r="CT200" s="981"/>
      <c r="CU200" s="981"/>
    </row>
    <row r="201">
      <c r="A201" s="1394"/>
      <c r="B201" s="788" t="s">
        <v>1256</v>
      </c>
      <c r="C201" s="784" t="s">
        <v>1256</v>
      </c>
      <c r="D201" s="785" t="s">
        <v>1256</v>
      </c>
      <c r="E201" s="786" t="s">
        <v>1256</v>
      </c>
      <c r="F201" s="787" t="s">
        <v>1256</v>
      </c>
      <c r="G201" s="788" t="s">
        <v>1256</v>
      </c>
      <c r="H201" s="1399"/>
      <c r="I201" s="1399"/>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3"/>
      <c r="BX201" s="1333"/>
      <c r="BY201" s="981"/>
      <c r="BZ201" s="1333"/>
      <c r="CA201" s="1333"/>
      <c r="CB201" s="981"/>
      <c r="CC201" s="981"/>
      <c r="CD201" s="1333"/>
      <c r="CE201" s="981"/>
      <c r="CF201" s="981"/>
      <c r="CG201" s="981"/>
      <c r="CH201" s="981"/>
      <c r="CI201" s="981"/>
      <c r="CJ201" s="981"/>
      <c r="CK201" s="981"/>
      <c r="CL201" s="981"/>
      <c r="CM201" s="981"/>
      <c r="CN201" s="981"/>
      <c r="CO201" s="981"/>
      <c r="CP201" s="981"/>
      <c r="CQ201" s="981"/>
      <c r="CR201" s="981"/>
      <c r="CS201" s="981"/>
      <c r="CT201" s="981"/>
      <c r="CU201" s="981"/>
    </row>
    <row r="202">
      <c r="A202" s="1394"/>
      <c r="B202" s="788" t="s">
        <v>1256</v>
      </c>
      <c r="C202" s="784" t="s">
        <v>1256</v>
      </c>
      <c r="D202" s="785" t="s">
        <v>1256</v>
      </c>
      <c r="E202" s="786" t="s">
        <v>1256</v>
      </c>
      <c r="F202" s="787" t="s">
        <v>1256</v>
      </c>
      <c r="G202" s="788" t="s">
        <v>1256</v>
      </c>
      <c r="H202" s="1399"/>
      <c r="I202" s="1399"/>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3"/>
      <c r="BX202" s="1333"/>
      <c r="BY202" s="981"/>
      <c r="BZ202" s="1333"/>
      <c r="CA202" s="1333"/>
      <c r="CB202" s="981"/>
      <c r="CC202" s="981"/>
      <c r="CD202" s="1333"/>
      <c r="CE202" s="981"/>
      <c r="CF202" s="981"/>
      <c r="CG202" s="981"/>
      <c r="CH202" s="981"/>
      <c r="CI202" s="981"/>
      <c r="CJ202" s="981"/>
      <c r="CK202" s="981"/>
      <c r="CL202" s="981"/>
      <c r="CM202" s="981"/>
      <c r="CN202" s="981"/>
      <c r="CO202" s="981"/>
      <c r="CP202" s="981"/>
      <c r="CQ202" s="981"/>
      <c r="CR202" s="981"/>
      <c r="CS202" s="981"/>
      <c r="CT202" s="981"/>
      <c r="CU202" s="981"/>
    </row>
    <row r="203">
      <c r="A203" s="1394"/>
      <c r="B203" s="788" t="s">
        <v>1256</v>
      </c>
      <c r="C203" s="784" t="s">
        <v>1256</v>
      </c>
      <c r="D203" s="785" t="s">
        <v>1256</v>
      </c>
      <c r="E203" s="786" t="s">
        <v>1256</v>
      </c>
      <c r="F203" s="787" t="s">
        <v>1256</v>
      </c>
      <c r="G203" s="788" t="s">
        <v>1256</v>
      </c>
      <c r="H203" s="1399"/>
      <c r="I203" s="1399"/>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3"/>
      <c r="BX203" s="1333"/>
      <c r="BY203" s="981"/>
      <c r="BZ203" s="1333"/>
      <c r="CA203" s="1333"/>
      <c r="CB203" s="981"/>
      <c r="CC203" s="981"/>
      <c r="CD203" s="1333"/>
      <c r="CE203" s="981"/>
      <c r="CF203" s="981"/>
      <c r="CG203" s="981"/>
      <c r="CH203" s="981"/>
      <c r="CI203" s="981"/>
      <c r="CJ203" s="981"/>
      <c r="CK203" s="981"/>
      <c r="CL203" s="981"/>
      <c r="CM203" s="981"/>
      <c r="CN203" s="981"/>
      <c r="CO203" s="981"/>
      <c r="CP203" s="981"/>
      <c r="CQ203" s="981"/>
      <c r="CR203" s="981"/>
      <c r="CS203" s="981"/>
      <c r="CT203" s="981"/>
      <c r="CU203" s="981"/>
    </row>
    <row r="204">
      <c r="A204" s="1394"/>
      <c r="B204" s="788" t="s">
        <v>1256</v>
      </c>
      <c r="C204" s="784" t="s">
        <v>1256</v>
      </c>
      <c r="D204" s="785" t="s">
        <v>1256</v>
      </c>
      <c r="E204" s="786" t="s">
        <v>1256</v>
      </c>
      <c r="F204" s="787" t="s">
        <v>1256</v>
      </c>
      <c r="G204" s="788" t="s">
        <v>1256</v>
      </c>
      <c r="H204" s="1399"/>
      <c r="I204" s="1399"/>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3"/>
      <c r="BX204" s="1333"/>
      <c r="BY204" s="981"/>
      <c r="BZ204" s="1333"/>
      <c r="CA204" s="1333"/>
      <c r="CB204" s="981"/>
      <c r="CC204" s="981"/>
      <c r="CD204" s="1333"/>
      <c r="CE204" s="981"/>
      <c r="CF204" s="981"/>
      <c r="CG204" s="981"/>
      <c r="CH204" s="981"/>
      <c r="CI204" s="981"/>
      <c r="CJ204" s="981"/>
      <c r="CK204" s="981"/>
      <c r="CL204" s="981"/>
      <c r="CM204" s="981"/>
      <c r="CN204" s="981"/>
      <c r="CO204" s="981"/>
      <c r="CP204" s="981"/>
      <c r="CQ204" s="981"/>
      <c r="CR204" s="981"/>
      <c r="CS204" s="981"/>
      <c r="CT204" s="981"/>
      <c r="CU204" s="981"/>
    </row>
    <row r="205">
      <c r="A205" s="1394"/>
      <c r="B205" s="788" t="s">
        <v>1256</v>
      </c>
      <c r="C205" s="784" t="s">
        <v>1256</v>
      </c>
      <c r="D205" s="785" t="s">
        <v>1256</v>
      </c>
      <c r="E205" s="786" t="s">
        <v>1256</v>
      </c>
      <c r="F205" s="787" t="s">
        <v>1256</v>
      </c>
      <c r="G205" s="788" t="s">
        <v>1256</v>
      </c>
      <c r="H205" s="1399"/>
      <c r="I205" s="1399"/>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3"/>
      <c r="BX205" s="1333"/>
      <c r="BY205" s="981"/>
      <c r="BZ205" s="1333"/>
      <c r="CA205" s="1333"/>
      <c r="CB205" s="981"/>
      <c r="CC205" s="981"/>
      <c r="CD205" s="1333"/>
      <c r="CE205" s="981"/>
      <c r="CF205" s="981"/>
      <c r="CG205" s="981"/>
      <c r="CH205" s="981"/>
      <c r="CI205" s="981"/>
      <c r="CJ205" s="981"/>
      <c r="CK205" s="981"/>
      <c r="CL205" s="981"/>
      <c r="CM205" s="981"/>
      <c r="CN205" s="981"/>
      <c r="CO205" s="981"/>
      <c r="CP205" s="981"/>
      <c r="CQ205" s="981"/>
      <c r="CR205" s="981"/>
      <c r="CS205" s="981"/>
      <c r="CT205" s="981"/>
      <c r="CU205" s="981"/>
    </row>
    <row r="206">
      <c r="A206" s="1394"/>
      <c r="B206" s="788" t="s">
        <v>1256</v>
      </c>
      <c r="C206" s="784" t="s">
        <v>1256</v>
      </c>
      <c r="D206" s="785" t="s">
        <v>1256</v>
      </c>
      <c r="E206" s="786" t="s">
        <v>1256</v>
      </c>
      <c r="F206" s="787" t="s">
        <v>1256</v>
      </c>
      <c r="G206" s="788" t="s">
        <v>1256</v>
      </c>
      <c r="H206" s="1399"/>
      <c r="I206" s="1399"/>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3"/>
      <c r="BX206" s="1333"/>
      <c r="BY206" s="981"/>
      <c r="BZ206" s="1333"/>
      <c r="CA206" s="1333"/>
      <c r="CB206" s="981"/>
      <c r="CC206" s="981"/>
      <c r="CD206" s="1333"/>
      <c r="CE206" s="981"/>
      <c r="CF206" s="981"/>
      <c r="CG206" s="981"/>
      <c r="CH206" s="981"/>
      <c r="CI206" s="981"/>
      <c r="CJ206" s="981"/>
      <c r="CK206" s="981"/>
      <c r="CL206" s="981"/>
      <c r="CM206" s="981"/>
      <c r="CN206" s="981"/>
      <c r="CO206" s="981"/>
      <c r="CP206" s="981"/>
      <c r="CQ206" s="981"/>
      <c r="CR206" s="981"/>
      <c r="CS206" s="981"/>
      <c r="CT206" s="981"/>
      <c r="CU206" s="981"/>
    </row>
    <row r="207">
      <c r="A207" s="1394"/>
      <c r="B207" s="788" t="s">
        <v>1256</v>
      </c>
      <c r="C207" s="784" t="s">
        <v>1256</v>
      </c>
      <c r="D207" s="785" t="s">
        <v>1256</v>
      </c>
      <c r="E207" s="786" t="s">
        <v>1256</v>
      </c>
      <c r="F207" s="787" t="s">
        <v>1256</v>
      </c>
      <c r="G207" s="788" t="s">
        <v>1256</v>
      </c>
      <c r="H207" s="1399"/>
      <c r="I207" s="1399"/>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3"/>
      <c r="BX207" s="1333"/>
      <c r="BY207" s="981"/>
      <c r="BZ207" s="1333"/>
      <c r="CA207" s="1333"/>
      <c r="CB207" s="981"/>
      <c r="CC207" s="981"/>
      <c r="CD207" s="1333"/>
      <c r="CE207" s="981"/>
      <c r="CF207" s="981"/>
      <c r="CG207" s="981"/>
      <c r="CH207" s="981"/>
      <c r="CI207" s="981"/>
      <c r="CJ207" s="981"/>
      <c r="CK207" s="981"/>
      <c r="CL207" s="981"/>
      <c r="CM207" s="981"/>
      <c r="CN207" s="981"/>
      <c r="CO207" s="981"/>
      <c r="CP207" s="981"/>
      <c r="CQ207" s="981"/>
      <c r="CR207" s="981"/>
      <c r="CS207" s="981"/>
      <c r="CT207" s="981"/>
      <c r="CU207" s="981"/>
    </row>
    <row r="208">
      <c r="A208" s="1394"/>
      <c r="B208" s="788" t="s">
        <v>1256</v>
      </c>
      <c r="C208" s="784" t="s">
        <v>1256</v>
      </c>
      <c r="D208" s="785" t="s">
        <v>1256</v>
      </c>
      <c r="E208" s="786" t="s">
        <v>1256</v>
      </c>
      <c r="F208" s="787" t="s">
        <v>1256</v>
      </c>
      <c r="G208" s="788" t="s">
        <v>1256</v>
      </c>
      <c r="H208" s="1399"/>
      <c r="I208" s="1399"/>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3"/>
      <c r="BX208" s="1333"/>
      <c r="BY208" s="981"/>
      <c r="BZ208" s="1333"/>
      <c r="CA208" s="1333"/>
      <c r="CB208" s="981"/>
      <c r="CC208" s="981"/>
      <c r="CD208" s="1333"/>
      <c r="CE208" s="981"/>
      <c r="CF208" s="981"/>
      <c r="CG208" s="981"/>
      <c r="CH208" s="981"/>
      <c r="CI208" s="981"/>
      <c r="CJ208" s="981"/>
      <c r="CK208" s="981"/>
      <c r="CL208" s="981"/>
      <c r="CM208" s="981"/>
      <c r="CN208" s="981"/>
      <c r="CO208" s="981"/>
      <c r="CP208" s="981"/>
      <c r="CQ208" s="981"/>
      <c r="CR208" s="981"/>
      <c r="CS208" s="981"/>
      <c r="CT208" s="981"/>
      <c r="CU208" s="981"/>
    </row>
    <row r="209">
      <c r="A209" s="1394"/>
      <c r="B209" s="788" t="s">
        <v>1256</v>
      </c>
      <c r="C209" s="784" t="s">
        <v>1256</v>
      </c>
      <c r="D209" s="785" t="s">
        <v>1256</v>
      </c>
      <c r="E209" s="786" t="s">
        <v>1256</v>
      </c>
      <c r="F209" s="787" t="s">
        <v>1256</v>
      </c>
      <c r="G209" s="788" t="s">
        <v>1256</v>
      </c>
      <c r="H209" s="1399"/>
      <c r="I209" s="1399"/>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3"/>
      <c r="BX209" s="1333"/>
      <c r="BY209" s="981"/>
      <c r="BZ209" s="1333"/>
      <c r="CA209" s="1333"/>
      <c r="CB209" s="981"/>
      <c r="CC209" s="981"/>
      <c r="CD209" s="1333"/>
      <c r="CE209" s="981"/>
      <c r="CF209" s="981"/>
      <c r="CG209" s="981"/>
      <c r="CH209" s="981"/>
      <c r="CI209" s="981"/>
      <c r="CJ209" s="981"/>
      <c r="CK209" s="981"/>
      <c r="CL209" s="981"/>
      <c r="CM209" s="981"/>
      <c r="CN209" s="981"/>
      <c r="CO209" s="981"/>
      <c r="CP209" s="981"/>
      <c r="CQ209" s="981"/>
      <c r="CR209" s="981"/>
      <c r="CS209" s="981"/>
      <c r="CT209" s="981"/>
      <c r="CU209" s="981"/>
    </row>
    <row r="210">
      <c r="A210" s="1394"/>
      <c r="B210" s="788" t="s">
        <v>1256</v>
      </c>
      <c r="C210" s="784" t="s">
        <v>1256</v>
      </c>
      <c r="D210" s="785" t="s">
        <v>1256</v>
      </c>
      <c r="E210" s="786" t="s">
        <v>1256</v>
      </c>
      <c r="F210" s="787" t="s">
        <v>1256</v>
      </c>
      <c r="G210" s="788" t="s">
        <v>1256</v>
      </c>
      <c r="H210" s="1399"/>
      <c r="I210" s="1399"/>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3"/>
      <c r="BX210" s="1333"/>
      <c r="BY210" s="981"/>
      <c r="BZ210" s="1333"/>
      <c r="CA210" s="1333"/>
      <c r="CB210" s="981"/>
      <c r="CC210" s="981"/>
      <c r="CD210" s="1333"/>
      <c r="CE210" s="981"/>
      <c r="CF210" s="981"/>
      <c r="CG210" s="981"/>
      <c r="CH210" s="981"/>
      <c r="CI210" s="981"/>
      <c r="CJ210" s="981"/>
      <c r="CK210" s="981"/>
      <c r="CL210" s="981"/>
      <c r="CM210" s="981"/>
      <c r="CN210" s="981"/>
      <c r="CO210" s="981"/>
      <c r="CP210" s="981"/>
      <c r="CQ210" s="981"/>
      <c r="CR210" s="981"/>
      <c r="CS210" s="981"/>
      <c r="CT210" s="981"/>
      <c r="CU210" s="981"/>
    </row>
    <row r="211">
      <c r="A211" s="1394"/>
      <c r="B211" s="788" t="s">
        <v>1256</v>
      </c>
      <c r="C211" s="784" t="s">
        <v>1256</v>
      </c>
      <c r="D211" s="785" t="s">
        <v>1256</v>
      </c>
      <c r="E211" s="786" t="s">
        <v>1256</v>
      </c>
      <c r="F211" s="787" t="s">
        <v>1256</v>
      </c>
      <c r="G211" s="788" t="s">
        <v>1256</v>
      </c>
      <c r="H211" s="1399"/>
      <c r="I211" s="1399"/>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3"/>
      <c r="BX211" s="1333"/>
      <c r="BY211" s="981"/>
      <c r="BZ211" s="1333"/>
      <c r="CA211" s="1333"/>
      <c r="CB211" s="981"/>
      <c r="CC211" s="981"/>
      <c r="CD211" s="1333"/>
      <c r="CE211" s="981"/>
      <c r="CF211" s="981"/>
      <c r="CG211" s="981"/>
      <c r="CH211" s="981"/>
      <c r="CI211" s="981"/>
      <c r="CJ211" s="981"/>
      <c r="CK211" s="981"/>
      <c r="CL211" s="981"/>
      <c r="CM211" s="981"/>
      <c r="CN211" s="981"/>
      <c r="CO211" s="981"/>
      <c r="CP211" s="981"/>
      <c r="CQ211" s="981"/>
      <c r="CR211" s="981"/>
      <c r="CS211" s="981"/>
      <c r="CT211" s="981"/>
      <c r="CU211" s="981"/>
    </row>
    <row r="212">
      <c r="A212" s="1394"/>
      <c r="B212" s="788" t="s">
        <v>1256</v>
      </c>
      <c r="C212" s="784" t="s">
        <v>1256</v>
      </c>
      <c r="D212" s="785" t="s">
        <v>1256</v>
      </c>
      <c r="E212" s="786" t="s">
        <v>1256</v>
      </c>
      <c r="F212" s="787" t="s">
        <v>1256</v>
      </c>
      <c r="G212" s="788" t="s">
        <v>1256</v>
      </c>
      <c r="H212" s="1399"/>
      <c r="I212" s="1399"/>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3"/>
      <c r="BX212" s="1333"/>
      <c r="BY212" s="981"/>
      <c r="BZ212" s="1333"/>
      <c r="CA212" s="1333"/>
      <c r="CB212" s="981"/>
      <c r="CC212" s="981"/>
      <c r="CD212" s="1333"/>
      <c r="CE212" s="981"/>
      <c r="CF212" s="981"/>
      <c r="CG212" s="981"/>
      <c r="CH212" s="981"/>
      <c r="CI212" s="981"/>
      <c r="CJ212" s="981"/>
      <c r="CK212" s="981"/>
      <c r="CL212" s="981"/>
      <c r="CM212" s="981"/>
      <c r="CN212" s="981"/>
      <c r="CO212" s="981"/>
      <c r="CP212" s="981"/>
      <c r="CQ212" s="981"/>
      <c r="CR212" s="981"/>
      <c r="CS212" s="981"/>
      <c r="CT212" s="981"/>
      <c r="CU212" s="981"/>
    </row>
    <row r="213">
      <c r="A213" s="1394"/>
      <c r="B213" s="788" t="s">
        <v>1256</v>
      </c>
      <c r="C213" s="784" t="s">
        <v>1256</v>
      </c>
      <c r="D213" s="785" t="s">
        <v>1256</v>
      </c>
      <c r="E213" s="786" t="s">
        <v>1256</v>
      </c>
      <c r="F213" s="787" t="s">
        <v>1256</v>
      </c>
      <c r="G213" s="788" t="s">
        <v>1256</v>
      </c>
      <c r="H213" s="1399"/>
      <c r="I213" s="1399"/>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3"/>
      <c r="BX213" s="1333"/>
      <c r="BY213" s="981"/>
      <c r="BZ213" s="1333"/>
      <c r="CA213" s="1333"/>
      <c r="CB213" s="981"/>
      <c r="CC213" s="981"/>
      <c r="CD213" s="1333"/>
      <c r="CE213" s="981"/>
      <c r="CF213" s="981"/>
      <c r="CG213" s="981"/>
      <c r="CH213" s="981"/>
      <c r="CI213" s="981"/>
      <c r="CJ213" s="981"/>
      <c r="CK213" s="981"/>
      <c r="CL213" s="981"/>
      <c r="CM213" s="981"/>
      <c r="CN213" s="981"/>
      <c r="CO213" s="981"/>
      <c r="CP213" s="981"/>
      <c r="CQ213" s="981"/>
      <c r="CR213" s="981"/>
      <c r="CS213" s="981"/>
      <c r="CT213" s="981"/>
      <c r="CU213" s="981"/>
    </row>
    <row r="214">
      <c r="A214" s="1394"/>
      <c r="B214" s="788" t="s">
        <v>1256</v>
      </c>
      <c r="C214" s="784" t="s">
        <v>1256</v>
      </c>
      <c r="D214" s="785" t="s">
        <v>1256</v>
      </c>
      <c r="E214" s="786" t="s">
        <v>1256</v>
      </c>
      <c r="F214" s="787" t="s">
        <v>1256</v>
      </c>
      <c r="G214" s="788" t="s">
        <v>1256</v>
      </c>
      <c r="H214" s="1399"/>
      <c r="I214" s="1399"/>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3"/>
      <c r="BX214" s="1333"/>
      <c r="BY214" s="981"/>
      <c r="BZ214" s="1333"/>
      <c r="CA214" s="1333"/>
      <c r="CB214" s="981"/>
      <c r="CC214" s="981"/>
      <c r="CD214" s="1333"/>
      <c r="CE214" s="981"/>
      <c r="CF214" s="981"/>
      <c r="CG214" s="981"/>
      <c r="CH214" s="981"/>
      <c r="CI214" s="981"/>
      <c r="CJ214" s="981"/>
      <c r="CK214" s="981"/>
      <c r="CL214" s="981"/>
      <c r="CM214" s="981"/>
      <c r="CN214" s="981"/>
      <c r="CO214" s="981"/>
      <c r="CP214" s="981"/>
      <c r="CQ214" s="981"/>
      <c r="CR214" s="981"/>
      <c r="CS214" s="981"/>
      <c r="CT214" s="981"/>
      <c r="CU214" s="981"/>
    </row>
    <row r="215">
      <c r="A215" s="1394"/>
      <c r="B215" s="788" t="s">
        <v>1256</v>
      </c>
      <c r="C215" s="784" t="s">
        <v>1256</v>
      </c>
      <c r="D215" s="785" t="s">
        <v>1256</v>
      </c>
      <c r="E215" s="786" t="s">
        <v>1256</v>
      </c>
      <c r="F215" s="787" t="s">
        <v>1256</v>
      </c>
      <c r="G215" s="788" t="s">
        <v>1256</v>
      </c>
      <c r="H215" s="1399"/>
      <c r="I215" s="1399"/>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3"/>
      <c r="BX215" s="1333"/>
      <c r="BY215" s="981"/>
      <c r="BZ215" s="1333"/>
      <c r="CA215" s="1333"/>
      <c r="CB215" s="981"/>
      <c r="CC215" s="981"/>
      <c r="CD215" s="1333"/>
      <c r="CE215" s="981"/>
      <c r="CF215" s="981"/>
      <c r="CG215" s="981"/>
      <c r="CH215" s="981"/>
      <c r="CI215" s="981"/>
      <c r="CJ215" s="981"/>
      <c r="CK215" s="981"/>
      <c r="CL215" s="981"/>
      <c r="CM215" s="981"/>
      <c r="CN215" s="981"/>
      <c r="CO215" s="981"/>
      <c r="CP215" s="981"/>
      <c r="CQ215" s="981"/>
      <c r="CR215" s="981"/>
      <c r="CS215" s="981"/>
      <c r="CT215" s="981"/>
      <c r="CU215" s="981"/>
    </row>
    <row r="216">
      <c r="A216" s="1394"/>
      <c r="B216" s="788" t="s">
        <v>1256</v>
      </c>
      <c r="C216" s="784" t="s">
        <v>1256</v>
      </c>
      <c r="D216" s="785" t="s">
        <v>1256</v>
      </c>
      <c r="E216" s="786" t="s">
        <v>1256</v>
      </c>
      <c r="F216" s="787" t="s">
        <v>1256</v>
      </c>
      <c r="G216" s="788" t="s">
        <v>1256</v>
      </c>
      <c r="H216" s="1399"/>
      <c r="I216" s="1399"/>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3"/>
      <c r="BX216" s="1333"/>
      <c r="BY216" s="981"/>
      <c r="BZ216" s="1333"/>
      <c r="CA216" s="1333"/>
      <c r="CB216" s="981"/>
      <c r="CC216" s="981"/>
      <c r="CD216" s="1333"/>
      <c r="CE216" s="981"/>
      <c r="CF216" s="981"/>
      <c r="CG216" s="981"/>
      <c r="CH216" s="981"/>
      <c r="CI216" s="981"/>
      <c r="CJ216" s="981"/>
      <c r="CK216" s="981"/>
      <c r="CL216" s="981"/>
      <c r="CM216" s="981"/>
      <c r="CN216" s="981"/>
      <c r="CO216" s="981"/>
      <c r="CP216" s="981"/>
      <c r="CQ216" s="981"/>
      <c r="CR216" s="981"/>
      <c r="CS216" s="981"/>
      <c r="CT216" s="981"/>
      <c r="CU216" s="981"/>
    </row>
    <row r="217">
      <c r="A217" s="1394"/>
      <c r="B217" s="788" t="s">
        <v>1256</v>
      </c>
      <c r="C217" s="784" t="s">
        <v>1256</v>
      </c>
      <c r="D217" s="785" t="s">
        <v>1256</v>
      </c>
      <c r="E217" s="786" t="s">
        <v>1256</v>
      </c>
      <c r="F217" s="787" t="s">
        <v>1256</v>
      </c>
      <c r="G217" s="788" t="s">
        <v>1256</v>
      </c>
      <c r="H217" s="1399"/>
      <c r="I217" s="1399"/>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3"/>
      <c r="BX217" s="1333"/>
      <c r="BY217" s="981"/>
      <c r="BZ217" s="1333"/>
      <c r="CA217" s="1333"/>
      <c r="CB217" s="981"/>
      <c r="CC217" s="981"/>
      <c r="CD217" s="1333"/>
      <c r="CE217" s="981"/>
      <c r="CF217" s="981"/>
      <c r="CG217" s="981"/>
      <c r="CH217" s="981"/>
      <c r="CI217" s="981"/>
      <c r="CJ217" s="981"/>
      <c r="CK217" s="981"/>
      <c r="CL217" s="981"/>
      <c r="CM217" s="981"/>
      <c r="CN217" s="981"/>
      <c r="CO217" s="981"/>
      <c r="CP217" s="981"/>
      <c r="CQ217" s="981"/>
      <c r="CR217" s="981"/>
      <c r="CS217" s="981"/>
      <c r="CT217" s="981"/>
      <c r="CU217" s="981"/>
    </row>
    <row r="218">
      <c r="A218" s="1394"/>
      <c r="B218" s="788" t="s">
        <v>1256</v>
      </c>
      <c r="C218" s="784" t="s">
        <v>1256</v>
      </c>
      <c r="D218" s="785" t="s">
        <v>1256</v>
      </c>
      <c r="E218" s="786" t="s">
        <v>1256</v>
      </c>
      <c r="F218" s="787" t="s">
        <v>1256</v>
      </c>
      <c r="G218" s="788" t="s">
        <v>1256</v>
      </c>
      <c r="H218" s="1399"/>
      <c r="I218" s="1399"/>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3"/>
      <c r="BX218" s="1333"/>
      <c r="BY218" s="981"/>
      <c r="BZ218" s="1333"/>
      <c r="CA218" s="1333"/>
      <c r="CB218" s="981"/>
      <c r="CC218" s="981"/>
      <c r="CD218" s="1333"/>
      <c r="CE218" s="981"/>
      <c r="CF218" s="981"/>
      <c r="CG218" s="981"/>
      <c r="CH218" s="981"/>
      <c r="CI218" s="981"/>
      <c r="CJ218" s="981"/>
      <c r="CK218" s="981"/>
      <c r="CL218" s="981"/>
      <c r="CM218" s="981"/>
      <c r="CN218" s="981"/>
      <c r="CO218" s="981"/>
      <c r="CP218" s="981"/>
      <c r="CQ218" s="981"/>
      <c r="CR218" s="981"/>
      <c r="CS218" s="981"/>
      <c r="CT218" s="981"/>
      <c r="CU218" s="981"/>
    </row>
    <row r="219">
      <c r="A219" s="1394"/>
      <c r="B219" s="788" t="s">
        <v>1256</v>
      </c>
      <c r="C219" s="784" t="s">
        <v>1256</v>
      </c>
      <c r="D219" s="785" t="s">
        <v>1256</v>
      </c>
      <c r="E219" s="786" t="s">
        <v>1256</v>
      </c>
      <c r="F219" s="787" t="s">
        <v>1256</v>
      </c>
      <c r="G219" s="788" t="s">
        <v>1256</v>
      </c>
      <c r="H219" s="1399"/>
      <c r="I219" s="1399"/>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3"/>
      <c r="BX219" s="1333"/>
      <c r="BY219" s="981"/>
      <c r="BZ219" s="1333"/>
      <c r="CA219" s="1333"/>
      <c r="CB219" s="981"/>
      <c r="CC219" s="981"/>
      <c r="CD219" s="1333"/>
      <c r="CE219" s="981"/>
      <c r="CF219" s="981"/>
      <c r="CG219" s="981"/>
      <c r="CH219" s="981"/>
      <c r="CI219" s="981"/>
      <c r="CJ219" s="981"/>
      <c r="CK219" s="981"/>
      <c r="CL219" s="981"/>
      <c r="CM219" s="981"/>
      <c r="CN219" s="981"/>
      <c r="CO219" s="981"/>
      <c r="CP219" s="981"/>
      <c r="CQ219" s="981"/>
      <c r="CR219" s="981"/>
      <c r="CS219" s="981"/>
      <c r="CT219" s="981"/>
      <c r="CU219" s="981"/>
    </row>
    <row r="220">
      <c r="A220" s="1394"/>
      <c r="B220" s="788" t="s">
        <v>1256</v>
      </c>
      <c r="C220" s="784" t="s">
        <v>1256</v>
      </c>
      <c r="D220" s="785" t="s">
        <v>1256</v>
      </c>
      <c r="E220" s="786" t="s">
        <v>1256</v>
      </c>
      <c r="F220" s="787" t="s">
        <v>1256</v>
      </c>
      <c r="G220" s="788" t="s">
        <v>1256</v>
      </c>
      <c r="H220" s="1399"/>
      <c r="I220" s="1399"/>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3"/>
      <c r="BX220" s="1333"/>
      <c r="BY220" s="981"/>
      <c r="BZ220" s="1333"/>
      <c r="CA220" s="1333"/>
      <c r="CB220" s="981"/>
      <c r="CC220" s="981"/>
      <c r="CD220" s="1333"/>
      <c r="CE220" s="981"/>
      <c r="CF220" s="981"/>
      <c r="CG220" s="981"/>
      <c r="CH220" s="981"/>
      <c r="CI220" s="981"/>
      <c r="CJ220" s="981"/>
      <c r="CK220" s="981"/>
      <c r="CL220" s="981"/>
      <c r="CM220" s="981"/>
      <c r="CN220" s="981"/>
      <c r="CO220" s="981"/>
      <c r="CP220" s="981"/>
      <c r="CQ220" s="981"/>
      <c r="CR220" s="981"/>
      <c r="CS220" s="981"/>
      <c r="CT220" s="981"/>
      <c r="CU220" s="981"/>
    </row>
    <row r="221">
      <c r="A221" s="1394"/>
      <c r="B221" s="788" t="s">
        <v>1256</v>
      </c>
      <c r="C221" s="784" t="s">
        <v>1256</v>
      </c>
      <c r="D221" s="785" t="s">
        <v>1256</v>
      </c>
      <c r="E221" s="786" t="s">
        <v>1256</v>
      </c>
      <c r="F221" s="787" t="s">
        <v>1256</v>
      </c>
      <c r="G221" s="788" t="s">
        <v>1256</v>
      </c>
      <c r="H221" s="1399"/>
      <c r="I221" s="1399"/>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3"/>
      <c r="BX221" s="1333"/>
      <c r="BY221" s="981"/>
      <c r="BZ221" s="1333"/>
      <c r="CA221" s="1333"/>
      <c r="CB221" s="981"/>
      <c r="CC221" s="981"/>
      <c r="CD221" s="1333"/>
      <c r="CE221" s="981"/>
      <c r="CF221" s="981"/>
      <c r="CG221" s="981"/>
      <c r="CH221" s="981"/>
      <c r="CI221" s="981"/>
      <c r="CJ221" s="981"/>
      <c r="CK221" s="981"/>
      <c r="CL221" s="981"/>
      <c r="CM221" s="981"/>
      <c r="CN221" s="981"/>
      <c r="CO221" s="981"/>
      <c r="CP221" s="981"/>
      <c r="CQ221" s="981"/>
      <c r="CR221" s="981"/>
      <c r="CS221" s="981"/>
      <c r="CT221" s="981"/>
      <c r="CU221" s="981"/>
    </row>
    <row r="222">
      <c r="A222" s="1394"/>
      <c r="B222" s="788" t="s">
        <v>1256</v>
      </c>
      <c r="C222" s="784" t="s">
        <v>1256</v>
      </c>
      <c r="D222" s="785" t="s">
        <v>1256</v>
      </c>
      <c r="E222" s="786" t="s">
        <v>1256</v>
      </c>
      <c r="F222" s="787" t="s">
        <v>1256</v>
      </c>
      <c r="G222" s="788" t="s">
        <v>1256</v>
      </c>
      <c r="H222" s="1399"/>
      <c r="I222" s="1399"/>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3"/>
      <c r="BX222" s="1333"/>
      <c r="BY222" s="981"/>
      <c r="BZ222" s="1333"/>
      <c r="CA222" s="1333"/>
      <c r="CB222" s="981"/>
      <c r="CC222" s="981"/>
      <c r="CD222" s="1333"/>
      <c r="CE222" s="981"/>
      <c r="CF222" s="981"/>
      <c r="CG222" s="981"/>
      <c r="CH222" s="981"/>
      <c r="CI222" s="981"/>
      <c r="CJ222" s="981"/>
      <c r="CK222" s="981"/>
      <c r="CL222" s="981"/>
      <c r="CM222" s="981"/>
      <c r="CN222" s="981"/>
      <c r="CO222" s="981"/>
      <c r="CP222" s="981"/>
      <c r="CQ222" s="981"/>
      <c r="CR222" s="981"/>
      <c r="CS222" s="981"/>
      <c r="CT222" s="981"/>
      <c r="CU222" s="981"/>
    </row>
    <row r="223">
      <c r="A223" s="1394"/>
      <c r="B223" s="788" t="s">
        <v>1256</v>
      </c>
      <c r="C223" s="784" t="s">
        <v>1256</v>
      </c>
      <c r="D223" s="785" t="s">
        <v>1256</v>
      </c>
      <c r="E223" s="786" t="s">
        <v>1256</v>
      </c>
      <c r="F223" s="787" t="s">
        <v>1256</v>
      </c>
      <c r="G223" s="788" t="s">
        <v>1256</v>
      </c>
      <c r="H223" s="1399"/>
      <c r="I223" s="1399"/>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3"/>
      <c r="BX223" s="1333"/>
      <c r="BY223" s="981"/>
      <c r="BZ223" s="1333"/>
      <c r="CA223" s="1333"/>
      <c r="CB223" s="981"/>
      <c r="CC223" s="981"/>
      <c r="CD223" s="1333"/>
      <c r="CE223" s="981"/>
      <c r="CF223" s="981"/>
      <c r="CG223" s="981"/>
      <c r="CH223" s="981"/>
      <c r="CI223" s="981"/>
      <c r="CJ223" s="981"/>
      <c r="CK223" s="981"/>
      <c r="CL223" s="981"/>
      <c r="CM223" s="981"/>
      <c r="CN223" s="981"/>
      <c r="CO223" s="981"/>
      <c r="CP223" s="981"/>
      <c r="CQ223" s="981"/>
      <c r="CR223" s="981"/>
      <c r="CS223" s="981"/>
      <c r="CT223" s="981"/>
      <c r="CU223" s="981"/>
    </row>
    <row r="224">
      <c r="A224" s="1394"/>
      <c r="B224" s="788" t="s">
        <v>1256</v>
      </c>
      <c r="C224" s="784" t="s">
        <v>1256</v>
      </c>
      <c r="D224" s="785" t="s">
        <v>1256</v>
      </c>
      <c r="E224" s="786" t="s">
        <v>1256</v>
      </c>
      <c r="F224" s="787" t="s">
        <v>1256</v>
      </c>
      <c r="G224" s="788" t="s">
        <v>1256</v>
      </c>
      <c r="H224" s="1399"/>
      <c r="I224" s="1399"/>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3"/>
      <c r="BX224" s="1333"/>
      <c r="BY224" s="981"/>
      <c r="BZ224" s="1333"/>
      <c r="CA224" s="1333"/>
      <c r="CB224" s="981"/>
      <c r="CC224" s="981"/>
      <c r="CD224" s="1333"/>
      <c r="CE224" s="981"/>
      <c r="CF224" s="981"/>
      <c r="CG224" s="981"/>
      <c r="CH224" s="981"/>
      <c r="CI224" s="981"/>
      <c r="CJ224" s="981"/>
      <c r="CK224" s="981"/>
      <c r="CL224" s="981"/>
      <c r="CM224" s="981"/>
      <c r="CN224" s="981"/>
      <c r="CO224" s="981"/>
      <c r="CP224" s="981"/>
      <c r="CQ224" s="981"/>
      <c r="CR224" s="981"/>
      <c r="CS224" s="981"/>
      <c r="CT224" s="981"/>
      <c r="CU224" s="981"/>
    </row>
    <row r="225">
      <c r="A225" s="1394"/>
      <c r="B225" s="788" t="s">
        <v>1256</v>
      </c>
      <c r="C225" s="784" t="s">
        <v>1256</v>
      </c>
      <c r="D225" s="785" t="s">
        <v>1256</v>
      </c>
      <c r="E225" s="786" t="s">
        <v>1256</v>
      </c>
      <c r="F225" s="787" t="s">
        <v>1256</v>
      </c>
      <c r="G225" s="788" t="s">
        <v>1256</v>
      </c>
      <c r="H225" s="1399"/>
      <c r="I225" s="1399"/>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3"/>
      <c r="BX225" s="1333"/>
      <c r="BY225" s="981"/>
      <c r="BZ225" s="1333"/>
      <c r="CA225" s="1333"/>
      <c r="CB225" s="981"/>
      <c r="CC225" s="981"/>
      <c r="CD225" s="1333"/>
      <c r="CE225" s="981"/>
      <c r="CF225" s="981"/>
      <c r="CG225" s="981"/>
      <c r="CH225" s="981"/>
      <c r="CI225" s="981"/>
      <c r="CJ225" s="981"/>
      <c r="CK225" s="981"/>
      <c r="CL225" s="981"/>
      <c r="CM225" s="981"/>
      <c r="CN225" s="981"/>
      <c r="CO225" s="981"/>
      <c r="CP225" s="981"/>
      <c r="CQ225" s="981"/>
      <c r="CR225" s="981"/>
      <c r="CS225" s="981"/>
      <c r="CT225" s="981"/>
      <c r="CU225" s="981"/>
    </row>
    <row r="226">
      <c r="A226" s="1394"/>
      <c r="B226" s="788" t="s">
        <v>1256</v>
      </c>
      <c r="C226" s="784" t="s">
        <v>1256</v>
      </c>
      <c r="D226" s="785" t="s">
        <v>1256</v>
      </c>
      <c r="E226" s="786" t="s">
        <v>1256</v>
      </c>
      <c r="F226" s="787" t="s">
        <v>1256</v>
      </c>
      <c r="G226" s="788" t="s">
        <v>1256</v>
      </c>
      <c r="H226" s="1399"/>
      <c r="I226" s="1399"/>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3"/>
      <c r="BX226" s="1333"/>
      <c r="BY226" s="981"/>
      <c r="BZ226" s="1333"/>
      <c r="CA226" s="1333"/>
      <c r="CB226" s="981"/>
      <c r="CC226" s="981"/>
      <c r="CD226" s="1333"/>
      <c r="CE226" s="981"/>
      <c r="CF226" s="981"/>
      <c r="CG226" s="981"/>
      <c r="CH226" s="981"/>
      <c r="CI226" s="981"/>
      <c r="CJ226" s="981"/>
      <c r="CK226" s="981"/>
      <c r="CL226" s="981"/>
      <c r="CM226" s="981"/>
      <c r="CN226" s="981"/>
      <c r="CO226" s="981"/>
      <c r="CP226" s="981"/>
      <c r="CQ226" s="981"/>
      <c r="CR226" s="981"/>
      <c r="CS226" s="981"/>
      <c r="CT226" s="981"/>
      <c r="CU226" s="981"/>
    </row>
    <row r="227">
      <c r="A227" s="1394"/>
      <c r="B227" s="788" t="s">
        <v>1256</v>
      </c>
      <c r="C227" s="784" t="s">
        <v>1256</v>
      </c>
      <c r="D227" s="785" t="s">
        <v>1256</v>
      </c>
      <c r="E227" s="786" t="s">
        <v>1256</v>
      </c>
      <c r="F227" s="787" t="s">
        <v>1256</v>
      </c>
      <c r="G227" s="788" t="s">
        <v>1256</v>
      </c>
      <c r="H227" s="1399"/>
      <c r="I227" s="1399"/>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3"/>
      <c r="BX227" s="1333"/>
      <c r="BY227" s="981"/>
      <c r="BZ227" s="1333"/>
      <c r="CA227" s="1333"/>
      <c r="CB227" s="981"/>
      <c r="CC227" s="981"/>
      <c r="CD227" s="1333"/>
      <c r="CE227" s="981"/>
      <c r="CF227" s="981"/>
      <c r="CG227" s="981"/>
      <c r="CH227" s="981"/>
      <c r="CI227" s="981"/>
      <c r="CJ227" s="981"/>
      <c r="CK227" s="981"/>
      <c r="CL227" s="981"/>
      <c r="CM227" s="981"/>
      <c r="CN227" s="981"/>
      <c r="CO227" s="981"/>
      <c r="CP227" s="981"/>
      <c r="CQ227" s="981"/>
      <c r="CR227" s="981"/>
      <c r="CS227" s="981"/>
      <c r="CT227" s="981"/>
      <c r="CU227" s="981"/>
    </row>
    <row r="228">
      <c r="A228" s="1394"/>
      <c r="B228" s="788" t="s">
        <v>1256</v>
      </c>
      <c r="C228" s="784" t="s">
        <v>1256</v>
      </c>
      <c r="D228" s="785" t="s">
        <v>1256</v>
      </c>
      <c r="E228" s="786" t="s">
        <v>1256</v>
      </c>
      <c r="F228" s="787" t="s">
        <v>1256</v>
      </c>
      <c r="G228" s="788" t="s">
        <v>1256</v>
      </c>
      <c r="H228" s="1399"/>
      <c r="I228" s="1399"/>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3"/>
      <c r="BX228" s="1333"/>
      <c r="BY228" s="981"/>
      <c r="BZ228" s="1333"/>
      <c r="CA228" s="1333"/>
      <c r="CB228" s="981"/>
      <c r="CC228" s="981"/>
      <c r="CD228" s="1333"/>
      <c r="CE228" s="981"/>
      <c r="CF228" s="981"/>
      <c r="CG228" s="981"/>
      <c r="CH228" s="981"/>
      <c r="CI228" s="981"/>
      <c r="CJ228" s="981"/>
      <c r="CK228" s="981"/>
      <c r="CL228" s="981"/>
      <c r="CM228" s="981"/>
      <c r="CN228" s="981"/>
      <c r="CO228" s="981"/>
      <c r="CP228" s="981"/>
      <c r="CQ228" s="981"/>
      <c r="CR228" s="981"/>
      <c r="CS228" s="981"/>
      <c r="CT228" s="981"/>
      <c r="CU228" s="981"/>
    </row>
    <row r="229">
      <c r="A229" s="1394"/>
      <c r="B229" s="788" t="s">
        <v>1256</v>
      </c>
      <c r="C229" s="784" t="s">
        <v>1256</v>
      </c>
      <c r="D229" s="785" t="s">
        <v>1256</v>
      </c>
      <c r="E229" s="786" t="s">
        <v>1256</v>
      </c>
      <c r="F229" s="787" t="s">
        <v>1256</v>
      </c>
      <c r="G229" s="788" t="s">
        <v>1256</v>
      </c>
      <c r="H229" s="1399"/>
      <c r="I229" s="1399"/>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3"/>
      <c r="BX229" s="1333"/>
      <c r="BY229" s="981"/>
      <c r="BZ229" s="1333"/>
      <c r="CA229" s="1333"/>
      <c r="CB229" s="981"/>
      <c r="CC229" s="981"/>
      <c r="CD229" s="1333"/>
      <c r="CE229" s="981"/>
      <c r="CF229" s="981"/>
      <c r="CG229" s="981"/>
      <c r="CH229" s="981"/>
      <c r="CI229" s="981"/>
      <c r="CJ229" s="981"/>
      <c r="CK229" s="981"/>
      <c r="CL229" s="981"/>
      <c r="CM229" s="981"/>
      <c r="CN229" s="981"/>
      <c r="CO229" s="981"/>
      <c r="CP229" s="981"/>
      <c r="CQ229" s="981"/>
      <c r="CR229" s="981"/>
      <c r="CS229" s="981"/>
      <c r="CT229" s="981"/>
      <c r="CU229" s="981"/>
    </row>
    <row r="230">
      <c r="A230" s="1394"/>
      <c r="B230" s="788" t="s">
        <v>1256</v>
      </c>
      <c r="C230" s="784" t="s">
        <v>1256</v>
      </c>
      <c r="D230" s="785" t="s">
        <v>1256</v>
      </c>
      <c r="E230" s="786" t="s">
        <v>1256</v>
      </c>
      <c r="F230" s="787" t="s">
        <v>1256</v>
      </c>
      <c r="G230" s="788" t="s">
        <v>1256</v>
      </c>
      <c r="H230" s="1399"/>
      <c r="I230" s="1399"/>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3"/>
      <c r="BX230" s="1333"/>
      <c r="BY230" s="981"/>
      <c r="BZ230" s="1333"/>
      <c r="CA230" s="1333"/>
      <c r="CB230" s="981"/>
      <c r="CC230" s="981"/>
      <c r="CD230" s="1333"/>
      <c r="CE230" s="981"/>
      <c r="CF230" s="981"/>
      <c r="CG230" s="981"/>
      <c r="CH230" s="981"/>
      <c r="CI230" s="981"/>
      <c r="CJ230" s="981"/>
      <c r="CK230" s="981"/>
      <c r="CL230" s="981"/>
      <c r="CM230" s="981"/>
      <c r="CN230" s="981"/>
      <c r="CO230" s="981"/>
      <c r="CP230" s="981"/>
      <c r="CQ230" s="981"/>
      <c r="CR230" s="981"/>
      <c r="CS230" s="981"/>
      <c r="CT230" s="981"/>
      <c r="CU230" s="981"/>
    </row>
    <row r="231">
      <c r="A231" s="1394"/>
      <c r="B231" s="788" t="s">
        <v>1256</v>
      </c>
      <c r="C231" s="784" t="s">
        <v>1256</v>
      </c>
      <c r="D231" s="785" t="s">
        <v>1256</v>
      </c>
      <c r="E231" s="786" t="s">
        <v>1256</v>
      </c>
      <c r="F231" s="787" t="s">
        <v>1256</v>
      </c>
      <c r="G231" s="788" t="s">
        <v>1256</v>
      </c>
      <c r="H231" s="1399"/>
      <c r="I231" s="1399"/>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3"/>
      <c r="BX231" s="1333"/>
      <c r="BY231" s="981"/>
      <c r="BZ231" s="1333"/>
      <c r="CA231" s="1333"/>
      <c r="CB231" s="981"/>
      <c r="CC231" s="981"/>
      <c r="CD231" s="1333"/>
      <c r="CE231" s="981"/>
      <c r="CF231" s="981"/>
      <c r="CG231" s="981"/>
      <c r="CH231" s="981"/>
      <c r="CI231" s="981"/>
      <c r="CJ231" s="981"/>
      <c r="CK231" s="981"/>
      <c r="CL231" s="981"/>
      <c r="CM231" s="981"/>
      <c r="CN231" s="981"/>
      <c r="CO231" s="981"/>
      <c r="CP231" s="981"/>
      <c r="CQ231" s="981"/>
      <c r="CR231" s="981"/>
      <c r="CS231" s="981"/>
      <c r="CT231" s="981"/>
      <c r="CU231" s="981"/>
    </row>
    <row r="232">
      <c r="A232" s="1394"/>
      <c r="B232" s="788" t="s">
        <v>1256</v>
      </c>
      <c r="C232" s="784" t="s">
        <v>1256</v>
      </c>
      <c r="D232" s="785" t="s">
        <v>1256</v>
      </c>
      <c r="E232" s="786" t="s">
        <v>1256</v>
      </c>
      <c r="F232" s="787" t="s">
        <v>1256</v>
      </c>
      <c r="G232" s="788" t="s">
        <v>1256</v>
      </c>
      <c r="H232" s="1399"/>
      <c r="I232" s="1399"/>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3"/>
      <c r="BX232" s="1333"/>
      <c r="BY232" s="981"/>
      <c r="BZ232" s="1333"/>
      <c r="CA232" s="1333"/>
      <c r="CB232" s="981"/>
      <c r="CC232" s="981"/>
      <c r="CD232" s="1333"/>
      <c r="CE232" s="981"/>
      <c r="CF232" s="981"/>
      <c r="CG232" s="981"/>
      <c r="CH232" s="981"/>
      <c r="CI232" s="981"/>
      <c r="CJ232" s="981"/>
      <c r="CK232" s="981"/>
      <c r="CL232" s="981"/>
      <c r="CM232" s="981"/>
      <c r="CN232" s="981"/>
      <c r="CO232" s="981"/>
      <c r="CP232" s="981"/>
      <c r="CQ232" s="981"/>
      <c r="CR232" s="981"/>
      <c r="CS232" s="981"/>
      <c r="CT232" s="981"/>
      <c r="CU232" s="981"/>
    </row>
    <row r="233">
      <c r="A233" s="1394"/>
      <c r="B233" s="788" t="s">
        <v>1256</v>
      </c>
      <c r="C233" s="784" t="s">
        <v>1256</v>
      </c>
      <c r="D233" s="785" t="s">
        <v>1256</v>
      </c>
      <c r="E233" s="786" t="s">
        <v>1256</v>
      </c>
      <c r="F233" s="787" t="s">
        <v>1256</v>
      </c>
      <c r="G233" s="788" t="s">
        <v>1256</v>
      </c>
      <c r="H233" s="1399"/>
      <c r="I233" s="1399"/>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3"/>
      <c r="BX233" s="1333"/>
      <c r="BY233" s="981"/>
      <c r="BZ233" s="1333"/>
      <c r="CA233" s="1333"/>
      <c r="CB233" s="981"/>
      <c r="CC233" s="981"/>
      <c r="CD233" s="1333"/>
      <c r="CE233" s="981"/>
      <c r="CF233" s="981"/>
      <c r="CG233" s="981"/>
      <c r="CH233" s="981"/>
      <c r="CI233" s="981"/>
      <c r="CJ233" s="981"/>
      <c r="CK233" s="981"/>
      <c r="CL233" s="981"/>
      <c r="CM233" s="981"/>
      <c r="CN233" s="981"/>
      <c r="CO233" s="981"/>
      <c r="CP233" s="981"/>
      <c r="CQ233" s="981"/>
      <c r="CR233" s="981"/>
      <c r="CS233" s="981"/>
      <c r="CT233" s="981"/>
      <c r="CU233" s="981"/>
    </row>
    <row r="234">
      <c r="A234" s="1394"/>
      <c r="B234" s="788" t="s">
        <v>1256</v>
      </c>
      <c r="C234" s="784" t="s">
        <v>1256</v>
      </c>
      <c r="D234" s="785" t="s">
        <v>1256</v>
      </c>
      <c r="E234" s="786" t="s">
        <v>1256</v>
      </c>
      <c r="F234" s="787" t="s">
        <v>1256</v>
      </c>
      <c r="G234" s="788" t="s">
        <v>1256</v>
      </c>
      <c r="H234" s="1399"/>
      <c r="I234" s="1399"/>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3"/>
      <c r="BX234" s="1333"/>
      <c r="BY234" s="981"/>
      <c r="BZ234" s="1333"/>
      <c r="CA234" s="1333"/>
      <c r="CB234" s="981"/>
      <c r="CC234" s="981"/>
      <c r="CD234" s="1333"/>
      <c r="CE234" s="981"/>
      <c r="CF234" s="981"/>
      <c r="CG234" s="981"/>
      <c r="CH234" s="981"/>
      <c r="CI234" s="981"/>
      <c r="CJ234" s="981"/>
      <c r="CK234" s="981"/>
      <c r="CL234" s="981"/>
      <c r="CM234" s="981"/>
      <c r="CN234" s="981"/>
      <c r="CO234" s="981"/>
      <c r="CP234" s="981"/>
      <c r="CQ234" s="981"/>
      <c r="CR234" s="981"/>
      <c r="CS234" s="981"/>
      <c r="CT234" s="981"/>
      <c r="CU234" s="981"/>
    </row>
    <row r="235">
      <c r="A235" s="1394"/>
      <c r="B235" s="788" t="s">
        <v>1256</v>
      </c>
      <c r="C235" s="784" t="s">
        <v>1256</v>
      </c>
      <c r="D235" s="785" t="s">
        <v>1256</v>
      </c>
      <c r="E235" s="786" t="s">
        <v>1256</v>
      </c>
      <c r="F235" s="787" t="s">
        <v>1256</v>
      </c>
      <c r="G235" s="788" t="s">
        <v>1256</v>
      </c>
      <c r="H235" s="1399"/>
      <c r="I235" s="1399"/>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3"/>
      <c r="BX235" s="1333"/>
      <c r="BY235" s="981"/>
      <c r="BZ235" s="1333"/>
      <c r="CA235" s="1333"/>
      <c r="CB235" s="981"/>
      <c r="CC235" s="981"/>
      <c r="CD235" s="1333"/>
      <c r="CE235" s="981"/>
      <c r="CF235" s="981"/>
      <c r="CG235" s="981"/>
      <c r="CH235" s="981"/>
      <c r="CI235" s="981"/>
      <c r="CJ235" s="981"/>
      <c r="CK235" s="981"/>
      <c r="CL235" s="981"/>
      <c r="CM235" s="981"/>
      <c r="CN235" s="981"/>
      <c r="CO235" s="981"/>
      <c r="CP235" s="981"/>
      <c r="CQ235" s="981"/>
      <c r="CR235" s="981"/>
      <c r="CS235" s="981"/>
      <c r="CT235" s="981"/>
      <c r="CU235" s="981"/>
    </row>
    <row r="236">
      <c r="A236" s="1394"/>
      <c r="B236" s="788" t="s">
        <v>1256</v>
      </c>
      <c r="C236" s="784" t="s">
        <v>1256</v>
      </c>
      <c r="D236" s="785" t="s">
        <v>1256</v>
      </c>
      <c r="E236" s="786" t="s">
        <v>1256</v>
      </c>
      <c r="F236" s="787" t="s">
        <v>1256</v>
      </c>
      <c r="G236" s="788" t="s">
        <v>1256</v>
      </c>
      <c r="H236" s="1399"/>
      <c r="I236" s="1399"/>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3"/>
      <c r="BX236" s="1333"/>
      <c r="BY236" s="981"/>
      <c r="BZ236" s="1333"/>
      <c r="CA236" s="1333"/>
      <c r="CB236" s="981"/>
      <c r="CC236" s="981"/>
      <c r="CD236" s="1333"/>
      <c r="CE236" s="981"/>
      <c r="CF236" s="981"/>
      <c r="CG236" s="981"/>
      <c r="CH236" s="981"/>
      <c r="CI236" s="981"/>
      <c r="CJ236" s="981"/>
      <c r="CK236" s="981"/>
      <c r="CL236" s="981"/>
      <c r="CM236" s="981"/>
      <c r="CN236" s="981"/>
      <c r="CO236" s="981"/>
      <c r="CP236" s="981"/>
      <c r="CQ236" s="981"/>
      <c r="CR236" s="981"/>
      <c r="CS236" s="981"/>
      <c r="CT236" s="981"/>
      <c r="CU236" s="981"/>
    </row>
    <row r="237">
      <c r="A237" s="1394"/>
      <c r="B237" s="788" t="s">
        <v>1256</v>
      </c>
      <c r="C237" s="784" t="s">
        <v>1256</v>
      </c>
      <c r="D237" s="785" t="s">
        <v>1256</v>
      </c>
      <c r="E237" s="786" t="s">
        <v>1256</v>
      </c>
      <c r="F237" s="787" t="s">
        <v>1256</v>
      </c>
      <c r="G237" s="788" t="s">
        <v>1256</v>
      </c>
      <c r="H237" s="1399"/>
      <c r="I237" s="1399"/>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3"/>
      <c r="BX237" s="1333"/>
      <c r="BY237" s="981"/>
      <c r="BZ237" s="1333"/>
      <c r="CA237" s="1333"/>
      <c r="CB237" s="981"/>
      <c r="CC237" s="981"/>
      <c r="CD237" s="1333"/>
      <c r="CE237" s="981"/>
      <c r="CF237" s="981"/>
      <c r="CG237" s="981"/>
      <c r="CH237" s="981"/>
      <c r="CI237" s="981"/>
      <c r="CJ237" s="981"/>
      <c r="CK237" s="981"/>
      <c r="CL237" s="981"/>
      <c r="CM237" s="981"/>
      <c r="CN237" s="981"/>
      <c r="CO237" s="981"/>
      <c r="CP237" s="981"/>
      <c r="CQ237" s="981"/>
      <c r="CR237" s="981"/>
      <c r="CS237" s="981"/>
      <c r="CT237" s="981"/>
      <c r="CU237" s="981"/>
    </row>
    <row r="238">
      <c r="A238" s="1394"/>
      <c r="B238" s="788" t="s">
        <v>1256</v>
      </c>
      <c r="C238" s="784" t="s">
        <v>1256</v>
      </c>
      <c r="D238" s="785" t="s">
        <v>1256</v>
      </c>
      <c r="E238" s="786" t="s">
        <v>1256</v>
      </c>
      <c r="F238" s="787" t="s">
        <v>1256</v>
      </c>
      <c r="G238" s="788" t="s">
        <v>1256</v>
      </c>
      <c r="H238" s="1399"/>
      <c r="I238" s="1399"/>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3"/>
      <c r="BX238" s="1333"/>
      <c r="BY238" s="981"/>
      <c r="BZ238" s="1333"/>
      <c r="CA238" s="1333"/>
      <c r="CB238" s="981"/>
      <c r="CC238" s="981"/>
      <c r="CD238" s="1333"/>
      <c r="CE238" s="981"/>
      <c r="CF238" s="981"/>
      <c r="CG238" s="981"/>
      <c r="CH238" s="981"/>
      <c r="CI238" s="981"/>
      <c r="CJ238" s="981"/>
      <c r="CK238" s="981"/>
      <c r="CL238" s="981"/>
      <c r="CM238" s="981"/>
      <c r="CN238" s="981"/>
      <c r="CO238" s="981"/>
      <c r="CP238" s="981"/>
      <c r="CQ238" s="981"/>
      <c r="CR238" s="981"/>
      <c r="CS238" s="981"/>
      <c r="CT238" s="981"/>
      <c r="CU238" s="981"/>
    </row>
    <row r="239">
      <c r="A239" s="1394"/>
      <c r="B239" s="788" t="s">
        <v>1256</v>
      </c>
      <c r="C239" s="784" t="s">
        <v>1256</v>
      </c>
      <c r="D239" s="785" t="s">
        <v>1256</v>
      </c>
      <c r="E239" s="786" t="s">
        <v>1256</v>
      </c>
      <c r="F239" s="787" t="s">
        <v>1256</v>
      </c>
      <c r="G239" s="788" t="s">
        <v>1256</v>
      </c>
      <c r="H239" s="1399"/>
      <c r="I239" s="1399"/>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3"/>
      <c r="BX239" s="1333"/>
      <c r="BY239" s="981"/>
      <c r="BZ239" s="1333"/>
      <c r="CA239" s="1333"/>
      <c r="CB239" s="981"/>
      <c r="CC239" s="981"/>
      <c r="CD239" s="1333"/>
      <c r="CE239" s="981"/>
      <c r="CF239" s="981"/>
      <c r="CG239" s="981"/>
      <c r="CH239" s="981"/>
      <c r="CI239" s="981"/>
      <c r="CJ239" s="981"/>
      <c r="CK239" s="981"/>
      <c r="CL239" s="981"/>
      <c r="CM239" s="981"/>
      <c r="CN239" s="981"/>
      <c r="CO239" s="981"/>
      <c r="CP239" s="981"/>
      <c r="CQ239" s="981"/>
      <c r="CR239" s="981"/>
      <c r="CS239" s="981"/>
      <c r="CT239" s="981"/>
      <c r="CU239" s="981"/>
    </row>
    <row r="240">
      <c r="A240" s="1394"/>
      <c r="B240" s="788" t="s">
        <v>1256</v>
      </c>
      <c r="C240" s="784" t="s">
        <v>1256</v>
      </c>
      <c r="D240" s="785" t="s">
        <v>1256</v>
      </c>
      <c r="E240" s="786" t="s">
        <v>1256</v>
      </c>
      <c r="F240" s="787" t="s">
        <v>1256</v>
      </c>
      <c r="G240" s="788" t="s">
        <v>1256</v>
      </c>
      <c r="H240" s="1399"/>
      <c r="I240" s="1399"/>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3"/>
      <c r="BX240" s="1333"/>
      <c r="BY240" s="981"/>
      <c r="BZ240" s="1333"/>
      <c r="CA240" s="1333"/>
      <c r="CB240" s="981"/>
      <c r="CC240" s="981"/>
      <c r="CD240" s="1333"/>
      <c r="CE240" s="981"/>
      <c r="CF240" s="981"/>
      <c r="CG240" s="981"/>
      <c r="CH240" s="981"/>
      <c r="CI240" s="981"/>
      <c r="CJ240" s="981"/>
      <c r="CK240" s="981"/>
      <c r="CL240" s="981"/>
      <c r="CM240" s="981"/>
      <c r="CN240" s="981"/>
      <c r="CO240" s="981"/>
      <c r="CP240" s="981"/>
      <c r="CQ240" s="981"/>
      <c r="CR240" s="981"/>
      <c r="CS240" s="981"/>
      <c r="CT240" s="981"/>
      <c r="CU240" s="981"/>
    </row>
    <row r="241">
      <c r="A241" s="1394"/>
      <c r="B241" s="788" t="s">
        <v>1256</v>
      </c>
      <c r="C241" s="784" t="s">
        <v>1256</v>
      </c>
      <c r="D241" s="785" t="s">
        <v>1256</v>
      </c>
      <c r="E241" s="786" t="s">
        <v>1256</v>
      </c>
      <c r="F241" s="787" t="s">
        <v>1256</v>
      </c>
      <c r="G241" s="788" t="s">
        <v>1256</v>
      </c>
      <c r="H241" s="1399"/>
      <c r="I241" s="1399"/>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3"/>
      <c r="BX241" s="1333"/>
      <c r="BY241" s="981"/>
      <c r="BZ241" s="1333"/>
      <c r="CA241" s="1333"/>
      <c r="CB241" s="981"/>
      <c r="CC241" s="981"/>
      <c r="CD241" s="1333"/>
      <c r="CE241" s="981"/>
      <c r="CF241" s="981"/>
      <c r="CG241" s="981"/>
      <c r="CH241" s="981"/>
      <c r="CI241" s="981"/>
      <c r="CJ241" s="981"/>
      <c r="CK241" s="981"/>
      <c r="CL241" s="981"/>
      <c r="CM241" s="981"/>
      <c r="CN241" s="981"/>
      <c r="CO241" s="981"/>
      <c r="CP241" s="981"/>
      <c r="CQ241" s="981"/>
      <c r="CR241" s="981"/>
      <c r="CS241" s="981"/>
      <c r="CT241" s="981"/>
      <c r="CU241" s="981"/>
    </row>
    <row r="242">
      <c r="A242" s="1394"/>
      <c r="B242" s="788" t="s">
        <v>1256</v>
      </c>
      <c r="C242" s="784" t="s">
        <v>1256</v>
      </c>
      <c r="D242" s="785" t="s">
        <v>1256</v>
      </c>
      <c r="E242" s="786" t="s">
        <v>1256</v>
      </c>
      <c r="F242" s="787" t="s">
        <v>1256</v>
      </c>
      <c r="G242" s="788" t="s">
        <v>1256</v>
      </c>
      <c r="H242" s="1399"/>
      <c r="I242" s="1399"/>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3"/>
      <c r="BX242" s="1333"/>
      <c r="BY242" s="981"/>
      <c r="BZ242" s="1333"/>
      <c r="CA242" s="1333"/>
      <c r="CB242" s="981"/>
      <c r="CC242" s="981"/>
      <c r="CD242" s="1333"/>
      <c r="CE242" s="981"/>
      <c r="CF242" s="981"/>
      <c r="CG242" s="981"/>
      <c r="CH242" s="981"/>
      <c r="CI242" s="981"/>
      <c r="CJ242" s="981"/>
      <c r="CK242" s="981"/>
      <c r="CL242" s="981"/>
      <c r="CM242" s="981"/>
      <c r="CN242" s="981"/>
      <c r="CO242" s="981"/>
      <c r="CP242" s="981"/>
      <c r="CQ242" s="981"/>
      <c r="CR242" s="981"/>
      <c r="CS242" s="981"/>
      <c r="CT242" s="981"/>
      <c r="CU242" s="981"/>
    </row>
    <row r="243">
      <c r="A243" s="1394"/>
      <c r="B243" s="788" t="s">
        <v>1256</v>
      </c>
      <c r="C243" s="784" t="s">
        <v>1256</v>
      </c>
      <c r="D243" s="785" t="s">
        <v>1256</v>
      </c>
      <c r="E243" s="786" t="s">
        <v>1256</v>
      </c>
      <c r="F243" s="787" t="s">
        <v>1256</v>
      </c>
      <c r="G243" s="788" t="s">
        <v>1256</v>
      </c>
      <c r="H243" s="1399"/>
      <c r="I243" s="1399"/>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3"/>
      <c r="BX243" s="1333"/>
      <c r="BY243" s="981"/>
      <c r="BZ243" s="1333"/>
      <c r="CA243" s="1333"/>
      <c r="CB243" s="981"/>
      <c r="CC243" s="981"/>
      <c r="CD243" s="1333"/>
      <c r="CE243" s="981"/>
      <c r="CF243" s="981"/>
      <c r="CG243" s="981"/>
      <c r="CH243" s="981"/>
      <c r="CI243" s="981"/>
      <c r="CJ243" s="981"/>
      <c r="CK243" s="981"/>
      <c r="CL243" s="981"/>
      <c r="CM243" s="981"/>
      <c r="CN243" s="981"/>
      <c r="CO243" s="981"/>
      <c r="CP243" s="981"/>
      <c r="CQ243" s="981"/>
      <c r="CR243" s="981"/>
      <c r="CS243" s="981"/>
      <c r="CT243" s="981"/>
      <c r="CU243" s="981"/>
    </row>
    <row r="244">
      <c r="A244" s="1394"/>
      <c r="B244" s="788" t="s">
        <v>1256</v>
      </c>
      <c r="C244" s="784" t="s">
        <v>1256</v>
      </c>
      <c r="D244" s="785" t="s">
        <v>1256</v>
      </c>
      <c r="E244" s="786" t="s">
        <v>1256</v>
      </c>
      <c r="F244" s="787" t="s">
        <v>1256</v>
      </c>
      <c r="G244" s="788" t="s">
        <v>1256</v>
      </c>
      <c r="H244" s="1399"/>
      <c r="I244" s="1399"/>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3"/>
      <c r="BX244" s="1333"/>
      <c r="BY244" s="981"/>
      <c r="BZ244" s="1333"/>
      <c r="CA244" s="1333"/>
      <c r="CB244" s="981"/>
      <c r="CC244" s="981"/>
      <c r="CD244" s="1333"/>
      <c r="CE244" s="981"/>
      <c r="CF244" s="981"/>
      <c r="CG244" s="981"/>
      <c r="CH244" s="981"/>
      <c r="CI244" s="981"/>
      <c r="CJ244" s="981"/>
      <c r="CK244" s="981"/>
      <c r="CL244" s="981"/>
      <c r="CM244" s="981"/>
      <c r="CN244" s="981"/>
      <c r="CO244" s="981"/>
      <c r="CP244" s="981"/>
      <c r="CQ244" s="981"/>
      <c r="CR244" s="981"/>
      <c r="CS244" s="981"/>
      <c r="CT244" s="981"/>
      <c r="CU244" s="981"/>
    </row>
    <row r="245">
      <c r="A245" s="1394"/>
      <c r="B245" s="788" t="s">
        <v>1256</v>
      </c>
      <c r="C245" s="784" t="s">
        <v>1256</v>
      </c>
      <c r="D245" s="785" t="s">
        <v>1256</v>
      </c>
      <c r="E245" s="786" t="s">
        <v>1256</v>
      </c>
      <c r="F245" s="787" t="s">
        <v>1256</v>
      </c>
      <c r="G245" s="788" t="s">
        <v>1256</v>
      </c>
      <c r="H245" s="1399"/>
      <c r="I245" s="1399"/>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3"/>
      <c r="BX245" s="1333"/>
      <c r="BY245" s="981"/>
      <c r="BZ245" s="1333"/>
      <c r="CA245" s="1333"/>
      <c r="CB245" s="981"/>
      <c r="CC245" s="981"/>
      <c r="CD245" s="1333"/>
      <c r="CE245" s="981"/>
      <c r="CF245" s="981"/>
      <c r="CG245" s="981"/>
      <c r="CH245" s="981"/>
      <c r="CI245" s="981"/>
      <c r="CJ245" s="981"/>
      <c r="CK245" s="981"/>
      <c r="CL245" s="981"/>
      <c r="CM245" s="981"/>
      <c r="CN245" s="981"/>
      <c r="CO245" s="981"/>
      <c r="CP245" s="981"/>
      <c r="CQ245" s="981"/>
      <c r="CR245" s="981"/>
      <c r="CS245" s="981"/>
      <c r="CT245" s="981"/>
      <c r="CU245" s="981"/>
    </row>
    <row r="246">
      <c r="A246" s="1394"/>
      <c r="B246" s="788" t="s">
        <v>1256</v>
      </c>
      <c r="C246" s="784" t="s">
        <v>1256</v>
      </c>
      <c r="D246" s="785" t="s">
        <v>1256</v>
      </c>
      <c r="E246" s="786" t="s">
        <v>1256</v>
      </c>
      <c r="F246" s="787" t="s">
        <v>1256</v>
      </c>
      <c r="G246" s="788" t="s">
        <v>1256</v>
      </c>
      <c r="H246" s="1399"/>
      <c r="I246" s="1399"/>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3"/>
      <c r="BX246" s="1333"/>
      <c r="BY246" s="981"/>
      <c r="BZ246" s="1333"/>
      <c r="CA246" s="1333"/>
      <c r="CB246" s="981"/>
      <c r="CC246" s="981"/>
      <c r="CD246" s="1333"/>
      <c r="CE246" s="981"/>
      <c r="CF246" s="981"/>
      <c r="CG246" s="981"/>
      <c r="CH246" s="981"/>
      <c r="CI246" s="981"/>
      <c r="CJ246" s="981"/>
      <c r="CK246" s="981"/>
      <c r="CL246" s="981"/>
      <c r="CM246" s="981"/>
      <c r="CN246" s="981"/>
      <c r="CO246" s="981"/>
      <c r="CP246" s="981"/>
      <c r="CQ246" s="981"/>
      <c r="CR246" s="981"/>
      <c r="CS246" s="981"/>
      <c r="CT246" s="981"/>
      <c r="CU246" s="981"/>
    </row>
    <row r="247">
      <c r="A247" s="1394"/>
      <c r="B247" s="788" t="s">
        <v>1256</v>
      </c>
      <c r="C247" s="784" t="s">
        <v>1256</v>
      </c>
      <c r="D247" s="785" t="s">
        <v>1256</v>
      </c>
      <c r="E247" s="786" t="s">
        <v>1256</v>
      </c>
      <c r="F247" s="787" t="s">
        <v>1256</v>
      </c>
      <c r="G247" s="788" t="s">
        <v>1256</v>
      </c>
      <c r="H247" s="1399"/>
      <c r="I247" s="1399"/>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3"/>
      <c r="BX247" s="1333"/>
      <c r="BY247" s="981"/>
      <c r="BZ247" s="1333"/>
      <c r="CA247" s="1333"/>
      <c r="CB247" s="981"/>
      <c r="CC247" s="981"/>
      <c r="CD247" s="1333"/>
      <c r="CE247" s="981"/>
      <c r="CF247" s="981"/>
      <c r="CG247" s="981"/>
      <c r="CH247" s="981"/>
      <c r="CI247" s="981"/>
      <c r="CJ247" s="981"/>
      <c r="CK247" s="981"/>
      <c r="CL247" s="981"/>
      <c r="CM247" s="981"/>
      <c r="CN247" s="981"/>
      <c r="CO247" s="981"/>
      <c r="CP247" s="981"/>
      <c r="CQ247" s="981"/>
      <c r="CR247" s="981"/>
      <c r="CS247" s="981"/>
      <c r="CT247" s="981"/>
      <c r="CU247" s="981"/>
    </row>
    <row r="248">
      <c r="A248" s="1394"/>
      <c r="B248" s="788" t="s">
        <v>1256</v>
      </c>
      <c r="C248" s="784" t="s">
        <v>1256</v>
      </c>
      <c r="D248" s="785" t="s">
        <v>1256</v>
      </c>
      <c r="E248" s="786" t="s">
        <v>1256</v>
      </c>
      <c r="F248" s="787" t="s">
        <v>1256</v>
      </c>
      <c r="G248" s="788" t="s">
        <v>1256</v>
      </c>
      <c r="H248" s="1399"/>
      <c r="I248" s="1399"/>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3"/>
      <c r="BX248" s="1333"/>
      <c r="BY248" s="981"/>
      <c r="BZ248" s="1333"/>
      <c r="CA248" s="1333"/>
      <c r="CB248" s="981"/>
      <c r="CC248" s="981"/>
      <c r="CD248" s="1333"/>
      <c r="CE248" s="981"/>
      <c r="CF248" s="981"/>
      <c r="CG248" s="981"/>
      <c r="CH248" s="981"/>
      <c r="CI248" s="981"/>
      <c r="CJ248" s="981"/>
      <c r="CK248" s="981"/>
      <c r="CL248" s="981"/>
      <c r="CM248" s="981"/>
      <c r="CN248" s="981"/>
      <c r="CO248" s="981"/>
      <c r="CP248" s="981"/>
      <c r="CQ248" s="981"/>
      <c r="CR248" s="981"/>
      <c r="CS248" s="981"/>
      <c r="CT248" s="981"/>
      <c r="CU248" s="981"/>
    </row>
    <row r="249">
      <c r="A249" s="1394"/>
      <c r="B249" s="788" t="s">
        <v>1256</v>
      </c>
      <c r="C249" s="784" t="s">
        <v>1256</v>
      </c>
      <c r="D249" s="785" t="s">
        <v>1256</v>
      </c>
      <c r="E249" s="786" t="s">
        <v>1256</v>
      </c>
      <c r="F249" s="787" t="s">
        <v>1256</v>
      </c>
      <c r="G249" s="788" t="s">
        <v>1256</v>
      </c>
      <c r="H249" s="1399"/>
      <c r="I249" s="1399"/>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3"/>
      <c r="BX249" s="1333"/>
      <c r="BY249" s="981"/>
      <c r="BZ249" s="1333"/>
      <c r="CA249" s="1333"/>
      <c r="CB249" s="981"/>
      <c r="CC249" s="981"/>
      <c r="CD249" s="1333"/>
      <c r="CE249" s="981"/>
      <c r="CF249" s="981"/>
      <c r="CG249" s="981"/>
      <c r="CH249" s="981"/>
      <c r="CI249" s="981"/>
      <c r="CJ249" s="981"/>
      <c r="CK249" s="981"/>
      <c r="CL249" s="981"/>
      <c r="CM249" s="981"/>
      <c r="CN249" s="981"/>
      <c r="CO249" s="981"/>
      <c r="CP249" s="981"/>
      <c r="CQ249" s="981"/>
      <c r="CR249" s="981"/>
      <c r="CS249" s="981"/>
      <c r="CT249" s="981"/>
      <c r="CU249" s="981"/>
    </row>
    <row r="250">
      <c r="A250" s="1394"/>
      <c r="B250" s="788" t="s">
        <v>1256</v>
      </c>
      <c r="C250" s="784" t="s">
        <v>1256</v>
      </c>
      <c r="D250" s="785" t="s">
        <v>1256</v>
      </c>
      <c r="E250" s="786" t="s">
        <v>1256</v>
      </c>
      <c r="F250" s="787" t="s">
        <v>1256</v>
      </c>
      <c r="G250" s="788" t="s">
        <v>1256</v>
      </c>
      <c r="H250" s="1399"/>
      <c r="I250" s="1399"/>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3"/>
      <c r="BX250" s="1333"/>
      <c r="BY250" s="981"/>
      <c r="BZ250" s="1333"/>
      <c r="CA250" s="1333"/>
      <c r="CB250" s="981"/>
      <c r="CC250" s="981"/>
      <c r="CD250" s="1333"/>
      <c r="CE250" s="981"/>
      <c r="CF250" s="981"/>
      <c r="CG250" s="981"/>
      <c r="CH250" s="981"/>
      <c r="CI250" s="981"/>
      <c r="CJ250" s="981"/>
      <c r="CK250" s="981"/>
      <c r="CL250" s="981"/>
      <c r="CM250" s="981"/>
      <c r="CN250" s="981"/>
      <c r="CO250" s="981"/>
      <c r="CP250" s="981"/>
      <c r="CQ250" s="981"/>
      <c r="CR250" s="981"/>
      <c r="CS250" s="981"/>
      <c r="CT250" s="981"/>
      <c r="CU250" s="981"/>
    </row>
    <row r="251">
      <c r="A251" s="1394"/>
      <c r="B251" s="788" t="s">
        <v>1256</v>
      </c>
      <c r="C251" s="784" t="s">
        <v>1256</v>
      </c>
      <c r="D251" s="785" t="s">
        <v>1256</v>
      </c>
      <c r="E251" s="786" t="s">
        <v>1256</v>
      </c>
      <c r="F251" s="787" t="s">
        <v>1256</v>
      </c>
      <c r="G251" s="788" t="s">
        <v>1256</v>
      </c>
      <c r="H251" s="1399"/>
      <c r="I251" s="1399"/>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3"/>
      <c r="BX251" s="1333"/>
      <c r="BY251" s="981"/>
      <c r="BZ251" s="1333"/>
      <c r="CA251" s="1333"/>
      <c r="CB251" s="981"/>
      <c r="CC251" s="981"/>
      <c r="CD251" s="1333"/>
      <c r="CE251" s="981"/>
      <c r="CF251" s="981"/>
      <c r="CG251" s="981"/>
      <c r="CH251" s="981"/>
      <c r="CI251" s="981"/>
      <c r="CJ251" s="981"/>
      <c r="CK251" s="981"/>
      <c r="CL251" s="981"/>
      <c r="CM251" s="981"/>
      <c r="CN251" s="981"/>
      <c r="CO251" s="981"/>
      <c r="CP251" s="981"/>
      <c r="CQ251" s="981"/>
      <c r="CR251" s="981"/>
      <c r="CS251" s="981"/>
      <c r="CT251" s="981"/>
      <c r="CU251" s="981"/>
    </row>
    <row r="252">
      <c r="A252" s="1394"/>
      <c r="B252" s="788" t="s">
        <v>1256</v>
      </c>
      <c r="C252" s="784" t="s">
        <v>1256</v>
      </c>
      <c r="D252" s="785" t="s">
        <v>1256</v>
      </c>
      <c r="E252" s="786" t="s">
        <v>1256</v>
      </c>
      <c r="F252" s="787" t="s">
        <v>1256</v>
      </c>
      <c r="G252" s="788" t="s">
        <v>1256</v>
      </c>
      <c r="H252" s="1399"/>
      <c r="I252" s="1399"/>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3"/>
      <c r="BX252" s="1333"/>
      <c r="BY252" s="981"/>
      <c r="BZ252" s="1333"/>
      <c r="CA252" s="1333"/>
      <c r="CB252" s="981"/>
      <c r="CC252" s="981"/>
      <c r="CD252" s="1333"/>
      <c r="CE252" s="981"/>
      <c r="CF252" s="981"/>
      <c r="CG252" s="981"/>
      <c r="CH252" s="981"/>
      <c r="CI252" s="981"/>
      <c r="CJ252" s="981"/>
      <c r="CK252" s="981"/>
      <c r="CL252" s="981"/>
      <c r="CM252" s="981"/>
      <c r="CN252" s="981"/>
      <c r="CO252" s="981"/>
      <c r="CP252" s="981"/>
      <c r="CQ252" s="981"/>
      <c r="CR252" s="981"/>
      <c r="CS252" s="981"/>
      <c r="CT252" s="981"/>
      <c r="CU252" s="981"/>
    </row>
    <row r="253">
      <c r="A253" s="1394"/>
      <c r="B253" s="788" t="s">
        <v>1256</v>
      </c>
      <c r="C253" s="784" t="s">
        <v>1256</v>
      </c>
      <c r="D253" s="785" t="s">
        <v>1256</v>
      </c>
      <c r="E253" s="786" t="s">
        <v>1256</v>
      </c>
      <c r="F253" s="787" t="s">
        <v>1256</v>
      </c>
      <c r="G253" s="788" t="s">
        <v>1256</v>
      </c>
      <c r="H253" s="1399"/>
      <c r="I253" s="1399"/>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3"/>
      <c r="BX253" s="1333"/>
      <c r="BY253" s="981"/>
      <c r="BZ253" s="1333"/>
      <c r="CA253" s="1333"/>
      <c r="CB253" s="981"/>
      <c r="CC253" s="981"/>
      <c r="CD253" s="1333"/>
      <c r="CE253" s="981"/>
      <c r="CF253" s="981"/>
      <c r="CG253" s="981"/>
      <c r="CH253" s="981"/>
      <c r="CI253" s="981"/>
      <c r="CJ253" s="981"/>
      <c r="CK253" s="981"/>
      <c r="CL253" s="981"/>
      <c r="CM253" s="981"/>
      <c r="CN253" s="981"/>
      <c r="CO253" s="981"/>
      <c r="CP253" s="981"/>
      <c r="CQ253" s="981"/>
      <c r="CR253" s="981"/>
      <c r="CS253" s="981"/>
      <c r="CT253" s="981"/>
      <c r="CU253" s="981"/>
    </row>
    <row r="254">
      <c r="A254" s="1394"/>
      <c r="B254" s="788" t="s">
        <v>1256</v>
      </c>
      <c r="C254" s="784" t="s">
        <v>1256</v>
      </c>
      <c r="D254" s="785" t="s">
        <v>1256</v>
      </c>
      <c r="E254" s="786" t="s">
        <v>1256</v>
      </c>
      <c r="F254" s="787" t="s">
        <v>1256</v>
      </c>
      <c r="G254" s="788" t="s">
        <v>1256</v>
      </c>
      <c r="H254" s="1399"/>
      <c r="I254" s="1399"/>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3"/>
      <c r="BX254" s="1333"/>
      <c r="BY254" s="981"/>
      <c r="BZ254" s="1333"/>
      <c r="CA254" s="1333"/>
      <c r="CB254" s="981"/>
      <c r="CC254" s="981"/>
      <c r="CD254" s="1333"/>
      <c r="CE254" s="981"/>
      <c r="CF254" s="981"/>
      <c r="CG254" s="981"/>
      <c r="CH254" s="981"/>
      <c r="CI254" s="981"/>
      <c r="CJ254" s="981"/>
      <c r="CK254" s="981"/>
      <c r="CL254" s="981"/>
      <c r="CM254" s="981"/>
      <c r="CN254" s="981"/>
      <c r="CO254" s="981"/>
      <c r="CP254" s="981"/>
      <c r="CQ254" s="981"/>
      <c r="CR254" s="981"/>
      <c r="CS254" s="981"/>
      <c r="CT254" s="981"/>
      <c r="CU254" s="981"/>
    </row>
    <row r="255">
      <c r="A255" s="1394"/>
      <c r="B255" s="788" t="s">
        <v>1256</v>
      </c>
      <c r="C255" s="784" t="s">
        <v>1256</v>
      </c>
      <c r="D255" s="785" t="s">
        <v>1256</v>
      </c>
      <c r="E255" s="786" t="s">
        <v>1256</v>
      </c>
      <c r="F255" s="787" t="s">
        <v>1256</v>
      </c>
      <c r="G255" s="788" t="s">
        <v>1256</v>
      </c>
      <c r="H255" s="1399"/>
      <c r="I255" s="1399"/>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3"/>
      <c r="BX255" s="1333"/>
      <c r="BY255" s="981"/>
      <c r="BZ255" s="1333"/>
      <c r="CA255" s="1333"/>
      <c r="CB255" s="981"/>
      <c r="CC255" s="981"/>
      <c r="CD255" s="1333"/>
      <c r="CE255" s="981"/>
      <c r="CF255" s="981"/>
      <c r="CG255" s="981"/>
      <c r="CH255" s="981"/>
      <c r="CI255" s="981"/>
      <c r="CJ255" s="981"/>
      <c r="CK255" s="981"/>
      <c r="CL255" s="981"/>
      <c r="CM255" s="981"/>
      <c r="CN255" s="981"/>
      <c r="CO255" s="981"/>
      <c r="CP255" s="981"/>
      <c r="CQ255" s="981"/>
      <c r="CR255" s="981"/>
      <c r="CS255" s="981"/>
      <c r="CT255" s="981"/>
      <c r="CU255" s="981"/>
    </row>
    <row r="256">
      <c r="A256" s="1394"/>
      <c r="B256" s="788" t="s">
        <v>1256</v>
      </c>
      <c r="C256" s="784" t="s">
        <v>1256</v>
      </c>
      <c r="D256" s="785" t="s">
        <v>1256</v>
      </c>
      <c r="E256" s="786" t="s">
        <v>1256</v>
      </c>
      <c r="F256" s="787" t="s">
        <v>1256</v>
      </c>
      <c r="G256" s="788" t="s">
        <v>1256</v>
      </c>
      <c r="H256" s="1399"/>
      <c r="I256" s="1399"/>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3"/>
      <c r="BX256" s="1333"/>
      <c r="BY256" s="981"/>
      <c r="BZ256" s="1333"/>
      <c r="CA256" s="1333"/>
      <c r="CB256" s="981"/>
      <c r="CC256" s="981"/>
      <c r="CD256" s="1333"/>
      <c r="CE256" s="981"/>
      <c r="CF256" s="981"/>
      <c r="CG256" s="981"/>
      <c r="CH256" s="981"/>
      <c r="CI256" s="981"/>
      <c r="CJ256" s="981"/>
      <c r="CK256" s="981"/>
      <c r="CL256" s="981"/>
      <c r="CM256" s="981"/>
      <c r="CN256" s="981"/>
      <c r="CO256" s="981"/>
      <c r="CP256" s="981"/>
      <c r="CQ256" s="981"/>
      <c r="CR256" s="981"/>
      <c r="CS256" s="981"/>
      <c r="CT256" s="981"/>
      <c r="CU256" s="981"/>
    </row>
    <row r="257">
      <c r="A257" s="1394"/>
      <c r="B257" s="788" t="s">
        <v>1256</v>
      </c>
      <c r="C257" s="784" t="s">
        <v>1256</v>
      </c>
      <c r="D257" s="785" t="s">
        <v>1256</v>
      </c>
      <c r="E257" s="786" t="s">
        <v>1256</v>
      </c>
      <c r="F257" s="787" t="s">
        <v>1256</v>
      </c>
      <c r="G257" s="788" t="s">
        <v>1256</v>
      </c>
      <c r="H257" s="1399"/>
      <c r="I257" s="1399"/>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3"/>
      <c r="BX257" s="1333"/>
      <c r="BY257" s="981"/>
      <c r="BZ257" s="1333"/>
      <c r="CA257" s="1333"/>
      <c r="CB257" s="981"/>
      <c r="CC257" s="981"/>
      <c r="CD257" s="1333"/>
      <c r="CE257" s="981"/>
      <c r="CF257" s="981"/>
      <c r="CG257" s="981"/>
      <c r="CH257" s="981"/>
      <c r="CI257" s="981"/>
      <c r="CJ257" s="981"/>
      <c r="CK257" s="981"/>
      <c r="CL257" s="981"/>
      <c r="CM257" s="981"/>
      <c r="CN257" s="981"/>
      <c r="CO257" s="981"/>
      <c r="CP257" s="981"/>
      <c r="CQ257" s="981"/>
      <c r="CR257" s="981"/>
      <c r="CS257" s="981"/>
      <c r="CT257" s="981"/>
      <c r="CU257" s="981"/>
    </row>
    <row r="258">
      <c r="A258" s="1394"/>
      <c r="B258" s="788" t="s">
        <v>1256</v>
      </c>
      <c r="C258" s="784" t="s">
        <v>1256</v>
      </c>
      <c r="D258" s="785" t="s">
        <v>1256</v>
      </c>
      <c r="E258" s="786" t="s">
        <v>1256</v>
      </c>
      <c r="F258" s="787" t="s">
        <v>1256</v>
      </c>
      <c r="G258" s="788" t="s">
        <v>1256</v>
      </c>
      <c r="H258" s="1399"/>
      <c r="I258" s="1399"/>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3"/>
      <c r="BX258" s="1333"/>
      <c r="BY258" s="981"/>
      <c r="BZ258" s="1333"/>
      <c r="CA258" s="1333"/>
      <c r="CB258" s="981"/>
      <c r="CC258" s="981"/>
      <c r="CD258" s="1333"/>
      <c r="CE258" s="981"/>
      <c r="CF258" s="981"/>
      <c r="CG258" s="981"/>
      <c r="CH258" s="981"/>
      <c r="CI258" s="981"/>
      <c r="CJ258" s="981"/>
      <c r="CK258" s="981"/>
      <c r="CL258" s="981"/>
      <c r="CM258" s="981"/>
      <c r="CN258" s="981"/>
      <c r="CO258" s="981"/>
      <c r="CP258" s="981"/>
      <c r="CQ258" s="981"/>
      <c r="CR258" s="981"/>
      <c r="CS258" s="981"/>
      <c r="CT258" s="981"/>
      <c r="CU258" s="981"/>
    </row>
    <row r="259">
      <c r="A259" s="1394"/>
      <c r="B259" s="788" t="s">
        <v>1256</v>
      </c>
      <c r="C259" s="784" t="s">
        <v>1256</v>
      </c>
      <c r="D259" s="785" t="s">
        <v>1256</v>
      </c>
      <c r="E259" s="786" t="s">
        <v>1256</v>
      </c>
      <c r="F259" s="787" t="s">
        <v>1256</v>
      </c>
      <c r="G259" s="788" t="s">
        <v>1256</v>
      </c>
      <c r="H259" s="1399"/>
      <c r="I259" s="1399"/>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3"/>
      <c r="BX259" s="1333"/>
      <c r="BY259" s="981"/>
      <c r="BZ259" s="1333"/>
      <c r="CA259" s="1333"/>
      <c r="CB259" s="981"/>
      <c r="CC259" s="981"/>
      <c r="CD259" s="1333"/>
      <c r="CE259" s="981"/>
      <c r="CF259" s="981"/>
      <c r="CG259" s="981"/>
      <c r="CH259" s="981"/>
      <c r="CI259" s="981"/>
      <c r="CJ259" s="981"/>
      <c r="CK259" s="981"/>
      <c r="CL259" s="981"/>
      <c r="CM259" s="981"/>
      <c r="CN259" s="981"/>
      <c r="CO259" s="981"/>
      <c r="CP259" s="981"/>
      <c r="CQ259" s="981"/>
      <c r="CR259" s="981"/>
      <c r="CS259" s="981"/>
      <c r="CT259" s="981"/>
      <c r="CU259" s="981"/>
    </row>
    <row r="260">
      <c r="A260" s="1394"/>
      <c r="B260" s="788" t="s">
        <v>1256</v>
      </c>
      <c r="C260" s="784" t="s">
        <v>1256</v>
      </c>
      <c r="D260" s="785" t="s">
        <v>1256</v>
      </c>
      <c r="E260" s="786" t="s">
        <v>1256</v>
      </c>
      <c r="F260" s="787" t="s">
        <v>1256</v>
      </c>
      <c r="G260" s="788" t="s">
        <v>1256</v>
      </c>
      <c r="H260" s="1399"/>
      <c r="I260" s="1399"/>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3"/>
      <c r="BX260" s="1333"/>
      <c r="BY260" s="981"/>
      <c r="BZ260" s="1333"/>
      <c r="CA260" s="1333"/>
      <c r="CB260" s="981"/>
      <c r="CC260" s="981"/>
      <c r="CD260" s="1333"/>
      <c r="CE260" s="981"/>
      <c r="CF260" s="981"/>
      <c r="CG260" s="981"/>
      <c r="CH260" s="981"/>
      <c r="CI260" s="981"/>
      <c r="CJ260" s="981"/>
      <c r="CK260" s="981"/>
      <c r="CL260" s="981"/>
      <c r="CM260" s="981"/>
      <c r="CN260" s="981"/>
      <c r="CO260" s="981"/>
      <c r="CP260" s="981"/>
      <c r="CQ260" s="981"/>
      <c r="CR260" s="981"/>
      <c r="CS260" s="981"/>
      <c r="CT260" s="981"/>
      <c r="CU260" s="981"/>
    </row>
    <row r="261">
      <c r="A261" s="1394"/>
      <c r="B261" s="788" t="s">
        <v>1256</v>
      </c>
      <c r="C261" s="784" t="s">
        <v>1256</v>
      </c>
      <c r="D261" s="785" t="s">
        <v>1256</v>
      </c>
      <c r="E261" s="786" t="s">
        <v>1256</v>
      </c>
      <c r="F261" s="787" t="s">
        <v>1256</v>
      </c>
      <c r="G261" s="788" t="s">
        <v>1256</v>
      </c>
      <c r="H261" s="1399"/>
      <c r="I261" s="1399"/>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3"/>
      <c r="BX261" s="1333"/>
      <c r="BY261" s="981"/>
      <c r="BZ261" s="1333"/>
      <c r="CA261" s="1333"/>
      <c r="CB261" s="981"/>
      <c r="CC261" s="981"/>
      <c r="CD261" s="1333"/>
      <c r="CE261" s="981"/>
      <c r="CF261" s="981"/>
      <c r="CG261" s="981"/>
      <c r="CH261" s="981"/>
      <c r="CI261" s="981"/>
      <c r="CJ261" s="981"/>
      <c r="CK261" s="981"/>
      <c r="CL261" s="981"/>
      <c r="CM261" s="981"/>
      <c r="CN261" s="981"/>
      <c r="CO261" s="981"/>
      <c r="CP261" s="981"/>
      <c r="CQ261" s="981"/>
      <c r="CR261" s="981"/>
      <c r="CS261" s="981"/>
      <c r="CT261" s="981"/>
      <c r="CU261" s="981"/>
    </row>
    <row r="262">
      <c r="A262" s="1394"/>
      <c r="B262" s="788" t="s">
        <v>1256</v>
      </c>
      <c r="C262" s="784" t="s">
        <v>1256</v>
      </c>
      <c r="D262" s="785" t="s">
        <v>1256</v>
      </c>
      <c r="E262" s="786" t="s">
        <v>1256</v>
      </c>
      <c r="F262" s="787" t="s">
        <v>1256</v>
      </c>
      <c r="G262" s="788" t="s">
        <v>1256</v>
      </c>
      <c r="H262" s="1399"/>
      <c r="I262" s="1399"/>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3"/>
      <c r="BX262" s="1333"/>
      <c r="BY262" s="981"/>
      <c r="BZ262" s="1333"/>
      <c r="CA262" s="1333"/>
      <c r="CB262" s="981"/>
      <c r="CC262" s="981"/>
      <c r="CD262" s="1333"/>
      <c r="CE262" s="981"/>
      <c r="CF262" s="981"/>
      <c r="CG262" s="981"/>
      <c r="CH262" s="981"/>
      <c r="CI262" s="981"/>
      <c r="CJ262" s="981"/>
      <c r="CK262" s="981"/>
      <c r="CL262" s="981"/>
      <c r="CM262" s="981"/>
      <c r="CN262" s="981"/>
      <c r="CO262" s="981"/>
      <c r="CP262" s="981"/>
      <c r="CQ262" s="981"/>
      <c r="CR262" s="981"/>
      <c r="CS262" s="981"/>
      <c r="CT262" s="981"/>
      <c r="CU262" s="981"/>
    </row>
    <row r="263">
      <c r="A263" s="1394"/>
      <c r="B263" s="788" t="s">
        <v>1256</v>
      </c>
      <c r="C263" s="784" t="s">
        <v>1256</v>
      </c>
      <c r="D263" s="785" t="s">
        <v>1256</v>
      </c>
      <c r="E263" s="786" t="s">
        <v>1256</v>
      </c>
      <c r="F263" s="787" t="s">
        <v>1256</v>
      </c>
      <c r="G263" s="788" t="s">
        <v>1256</v>
      </c>
      <c r="H263" s="1399"/>
      <c r="I263" s="1399"/>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3"/>
      <c r="BX263" s="1333"/>
      <c r="BY263" s="981"/>
      <c r="BZ263" s="1333"/>
      <c r="CA263" s="1333"/>
      <c r="CB263" s="981"/>
      <c r="CC263" s="981"/>
      <c r="CD263" s="1333"/>
      <c r="CE263" s="981"/>
      <c r="CF263" s="981"/>
      <c r="CG263" s="981"/>
      <c r="CH263" s="981"/>
      <c r="CI263" s="981"/>
      <c r="CJ263" s="981"/>
      <c r="CK263" s="981"/>
      <c r="CL263" s="981"/>
      <c r="CM263" s="981"/>
      <c r="CN263" s="981"/>
      <c r="CO263" s="981"/>
      <c r="CP263" s="981"/>
      <c r="CQ263" s="981"/>
      <c r="CR263" s="981"/>
      <c r="CS263" s="981"/>
      <c r="CT263" s="981"/>
      <c r="CU263" s="981"/>
    </row>
    <row r="264">
      <c r="A264" s="1394"/>
      <c r="B264" s="788" t="s">
        <v>1256</v>
      </c>
      <c r="C264" s="784" t="s">
        <v>1256</v>
      </c>
      <c r="D264" s="785" t="s">
        <v>1256</v>
      </c>
      <c r="E264" s="786" t="s">
        <v>1256</v>
      </c>
      <c r="F264" s="787" t="s">
        <v>1256</v>
      </c>
      <c r="G264" s="788" t="s">
        <v>1256</v>
      </c>
      <c r="H264" s="1399"/>
      <c r="I264" s="1399"/>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3"/>
      <c r="BX264" s="1333"/>
      <c r="BY264" s="981"/>
      <c r="BZ264" s="1333"/>
      <c r="CA264" s="1333"/>
      <c r="CB264" s="981"/>
      <c r="CC264" s="981"/>
      <c r="CD264" s="1333"/>
      <c r="CE264" s="981"/>
      <c r="CF264" s="981"/>
      <c r="CG264" s="981"/>
      <c r="CH264" s="981"/>
      <c r="CI264" s="981"/>
      <c r="CJ264" s="981"/>
      <c r="CK264" s="981"/>
      <c r="CL264" s="981"/>
      <c r="CM264" s="981"/>
      <c r="CN264" s="981"/>
      <c r="CO264" s="981"/>
      <c r="CP264" s="981"/>
      <c r="CQ264" s="981"/>
      <c r="CR264" s="981"/>
      <c r="CS264" s="981"/>
      <c r="CT264" s="981"/>
      <c r="CU264" s="981"/>
    </row>
    <row r="265">
      <c r="A265" s="1394"/>
      <c r="B265" s="788" t="s">
        <v>1256</v>
      </c>
      <c r="C265" s="784" t="s">
        <v>1256</v>
      </c>
      <c r="D265" s="785" t="s">
        <v>1256</v>
      </c>
      <c r="E265" s="786" t="s">
        <v>1256</v>
      </c>
      <c r="F265" s="787" t="s">
        <v>1256</v>
      </c>
      <c r="G265" s="788" t="s">
        <v>1256</v>
      </c>
      <c r="H265" s="1399"/>
      <c r="I265" s="1399"/>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3"/>
      <c r="BX265" s="1333"/>
      <c r="BY265" s="981"/>
      <c r="BZ265" s="1333"/>
      <c r="CA265" s="1333"/>
      <c r="CB265" s="981"/>
      <c r="CC265" s="981"/>
      <c r="CD265" s="1333"/>
      <c r="CE265" s="981"/>
      <c r="CF265" s="981"/>
      <c r="CG265" s="981"/>
      <c r="CH265" s="981"/>
      <c r="CI265" s="981"/>
      <c r="CJ265" s="981"/>
      <c r="CK265" s="981"/>
      <c r="CL265" s="981"/>
      <c r="CM265" s="981"/>
      <c r="CN265" s="981"/>
      <c r="CO265" s="981"/>
      <c r="CP265" s="981"/>
      <c r="CQ265" s="981"/>
      <c r="CR265" s="981"/>
      <c r="CS265" s="981"/>
      <c r="CT265" s="981"/>
      <c r="CU265" s="981"/>
    </row>
    <row r="266">
      <c r="A266" s="1394"/>
      <c r="B266" s="788" t="s">
        <v>1256</v>
      </c>
      <c r="C266" s="784" t="s">
        <v>1256</v>
      </c>
      <c r="D266" s="785" t="s">
        <v>1256</v>
      </c>
      <c r="E266" s="786" t="s">
        <v>1256</v>
      </c>
      <c r="F266" s="787" t="s">
        <v>1256</v>
      </c>
      <c r="G266" s="788" t="s">
        <v>1256</v>
      </c>
      <c r="H266" s="1399"/>
      <c r="I266" s="1399"/>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3"/>
      <c r="BX266" s="1333"/>
      <c r="BY266" s="981"/>
      <c r="BZ266" s="1333"/>
      <c r="CA266" s="1333"/>
      <c r="CB266" s="981"/>
      <c r="CC266" s="981"/>
      <c r="CD266" s="1333"/>
      <c r="CE266" s="981"/>
      <c r="CF266" s="981"/>
      <c r="CG266" s="981"/>
      <c r="CH266" s="981"/>
      <c r="CI266" s="981"/>
      <c r="CJ266" s="981"/>
      <c r="CK266" s="981"/>
      <c r="CL266" s="981"/>
      <c r="CM266" s="981"/>
      <c r="CN266" s="981"/>
      <c r="CO266" s="981"/>
      <c r="CP266" s="981"/>
      <c r="CQ266" s="981"/>
      <c r="CR266" s="981"/>
      <c r="CS266" s="981"/>
      <c r="CT266" s="981"/>
      <c r="CU266" s="981"/>
    </row>
    <row r="267">
      <c r="A267" s="1394"/>
      <c r="B267" s="788" t="s">
        <v>1256</v>
      </c>
      <c r="C267" s="784" t="s">
        <v>1256</v>
      </c>
      <c r="D267" s="785" t="s">
        <v>1256</v>
      </c>
      <c r="E267" s="786" t="s">
        <v>1256</v>
      </c>
      <c r="F267" s="787" t="s">
        <v>1256</v>
      </c>
      <c r="G267" s="788" t="s">
        <v>1256</v>
      </c>
      <c r="H267" s="1399"/>
      <c r="I267" s="1399"/>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3"/>
      <c r="BX267" s="1333"/>
      <c r="BY267" s="981"/>
      <c r="BZ267" s="1333"/>
      <c r="CA267" s="1333"/>
      <c r="CB267" s="981"/>
      <c r="CC267" s="981"/>
      <c r="CD267" s="1333"/>
      <c r="CE267" s="981"/>
      <c r="CF267" s="981"/>
      <c r="CG267" s="981"/>
      <c r="CH267" s="981"/>
      <c r="CI267" s="981"/>
      <c r="CJ267" s="981"/>
      <c r="CK267" s="981"/>
      <c r="CL267" s="981"/>
      <c r="CM267" s="981"/>
      <c r="CN267" s="981"/>
      <c r="CO267" s="981"/>
      <c r="CP267" s="981"/>
      <c r="CQ267" s="981"/>
      <c r="CR267" s="981"/>
      <c r="CS267" s="981"/>
      <c r="CT267" s="981"/>
      <c r="CU267" s="981"/>
    </row>
    <row r="268">
      <c r="A268" s="1394"/>
      <c r="B268" s="788" t="s">
        <v>1256</v>
      </c>
      <c r="C268" s="784" t="s">
        <v>1256</v>
      </c>
      <c r="D268" s="785" t="s">
        <v>1256</v>
      </c>
      <c r="E268" s="786" t="s">
        <v>1256</v>
      </c>
      <c r="F268" s="787" t="s">
        <v>1256</v>
      </c>
      <c r="G268" s="788" t="s">
        <v>1256</v>
      </c>
      <c r="H268" s="1399"/>
      <c r="I268" s="1399"/>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3"/>
      <c r="BX268" s="1333"/>
      <c r="BY268" s="981"/>
      <c r="BZ268" s="1333"/>
      <c r="CA268" s="1333"/>
      <c r="CB268" s="981"/>
      <c r="CC268" s="981"/>
      <c r="CD268" s="1333"/>
      <c r="CE268" s="981"/>
      <c r="CF268" s="981"/>
      <c r="CG268" s="981"/>
      <c r="CH268" s="981"/>
      <c r="CI268" s="981"/>
      <c r="CJ268" s="981"/>
      <c r="CK268" s="981"/>
      <c r="CL268" s="981"/>
      <c r="CM268" s="981"/>
      <c r="CN268" s="981"/>
      <c r="CO268" s="981"/>
      <c r="CP268" s="981"/>
      <c r="CQ268" s="981"/>
      <c r="CR268" s="981"/>
      <c r="CS268" s="981"/>
      <c r="CT268" s="981"/>
      <c r="CU268" s="981"/>
    </row>
    <row r="269">
      <c r="A269" s="1394"/>
      <c r="B269" s="788" t="s">
        <v>1256</v>
      </c>
      <c r="C269" s="784" t="s">
        <v>1256</v>
      </c>
      <c r="D269" s="785" t="s">
        <v>1256</v>
      </c>
      <c r="E269" s="786" t="s">
        <v>1256</v>
      </c>
      <c r="F269" s="787" t="s">
        <v>1256</v>
      </c>
      <c r="G269" s="788" t="s">
        <v>1256</v>
      </c>
      <c r="H269" s="1399"/>
      <c r="I269" s="1399"/>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3"/>
      <c r="BX269" s="1333"/>
      <c r="BY269" s="981"/>
      <c r="BZ269" s="1333"/>
      <c r="CA269" s="1333"/>
      <c r="CB269" s="981"/>
      <c r="CC269" s="981"/>
      <c r="CD269" s="1333"/>
      <c r="CE269" s="981"/>
      <c r="CF269" s="981"/>
      <c r="CG269" s="981"/>
      <c r="CH269" s="981"/>
      <c r="CI269" s="981"/>
      <c r="CJ269" s="981"/>
      <c r="CK269" s="981"/>
      <c r="CL269" s="981"/>
      <c r="CM269" s="981"/>
      <c r="CN269" s="981"/>
      <c r="CO269" s="981"/>
      <c r="CP269" s="981"/>
      <c r="CQ269" s="981"/>
      <c r="CR269" s="981"/>
      <c r="CS269" s="981"/>
      <c r="CT269" s="981"/>
      <c r="CU269" s="981"/>
    </row>
    <row r="270">
      <c r="A270" s="1394"/>
      <c r="B270" s="788" t="s">
        <v>1256</v>
      </c>
      <c r="C270" s="784" t="s">
        <v>1256</v>
      </c>
      <c r="D270" s="785" t="s">
        <v>1256</v>
      </c>
      <c r="E270" s="786" t="s">
        <v>1256</v>
      </c>
      <c r="F270" s="787" t="s">
        <v>1256</v>
      </c>
      <c r="G270" s="788" t="s">
        <v>1256</v>
      </c>
      <c r="H270" s="1399"/>
      <c r="I270" s="1399"/>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3"/>
      <c r="BX270" s="1333"/>
      <c r="BY270" s="981"/>
      <c r="BZ270" s="1333"/>
      <c r="CA270" s="1333"/>
      <c r="CB270" s="981"/>
      <c r="CC270" s="981"/>
      <c r="CD270" s="1333"/>
      <c r="CE270" s="981"/>
      <c r="CF270" s="981"/>
      <c r="CG270" s="981"/>
      <c r="CH270" s="981"/>
      <c r="CI270" s="981"/>
      <c r="CJ270" s="981"/>
      <c r="CK270" s="981"/>
      <c r="CL270" s="981"/>
      <c r="CM270" s="981"/>
      <c r="CN270" s="981"/>
      <c r="CO270" s="981"/>
      <c r="CP270" s="981"/>
      <c r="CQ270" s="981"/>
      <c r="CR270" s="981"/>
      <c r="CS270" s="981"/>
      <c r="CT270" s="981"/>
      <c r="CU270" s="981"/>
    </row>
    <row r="271">
      <c r="A271" s="1394"/>
      <c r="B271" s="788" t="s">
        <v>1256</v>
      </c>
      <c r="C271" s="784" t="s">
        <v>1256</v>
      </c>
      <c r="D271" s="785" t="s">
        <v>1256</v>
      </c>
      <c r="E271" s="786" t="s">
        <v>1256</v>
      </c>
      <c r="F271" s="787" t="s">
        <v>1256</v>
      </c>
      <c r="G271" s="788" t="s">
        <v>1256</v>
      </c>
      <c r="H271" s="1399"/>
      <c r="I271" s="1399"/>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3"/>
      <c r="BX271" s="1333"/>
      <c r="BY271" s="981"/>
      <c r="BZ271" s="1333"/>
      <c r="CA271" s="1333"/>
      <c r="CB271" s="981"/>
      <c r="CC271" s="981"/>
      <c r="CD271" s="1333"/>
      <c r="CE271" s="981"/>
      <c r="CF271" s="981"/>
      <c r="CG271" s="981"/>
      <c r="CH271" s="981"/>
      <c r="CI271" s="981"/>
      <c r="CJ271" s="981"/>
      <c r="CK271" s="981"/>
      <c r="CL271" s="981"/>
      <c r="CM271" s="981"/>
      <c r="CN271" s="981"/>
      <c r="CO271" s="981"/>
      <c r="CP271" s="981"/>
      <c r="CQ271" s="981"/>
      <c r="CR271" s="981"/>
      <c r="CS271" s="981"/>
      <c r="CT271" s="981"/>
      <c r="CU271" s="981"/>
    </row>
    <row r="272">
      <c r="A272" s="1394"/>
      <c r="B272" s="788" t="s">
        <v>1256</v>
      </c>
      <c r="C272" s="784" t="s">
        <v>1256</v>
      </c>
      <c r="D272" s="785" t="s">
        <v>1256</v>
      </c>
      <c r="E272" s="786" t="s">
        <v>1256</v>
      </c>
      <c r="F272" s="787" t="s">
        <v>1256</v>
      </c>
      <c r="G272" s="788" t="s">
        <v>1256</v>
      </c>
      <c r="H272" s="1399"/>
      <c r="I272" s="1399"/>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3"/>
      <c r="BX272" s="1333"/>
      <c r="BY272" s="981"/>
      <c r="BZ272" s="1333"/>
      <c r="CA272" s="1333"/>
      <c r="CB272" s="981"/>
      <c r="CC272" s="981"/>
      <c r="CD272" s="1333"/>
      <c r="CE272" s="981"/>
      <c r="CF272" s="981"/>
      <c r="CG272" s="981"/>
      <c r="CH272" s="981"/>
      <c r="CI272" s="981"/>
      <c r="CJ272" s="981"/>
      <c r="CK272" s="981"/>
      <c r="CL272" s="981"/>
      <c r="CM272" s="981"/>
      <c r="CN272" s="981"/>
      <c r="CO272" s="981"/>
      <c r="CP272" s="981"/>
      <c r="CQ272" s="981"/>
      <c r="CR272" s="981"/>
      <c r="CS272" s="981"/>
      <c r="CT272" s="981"/>
      <c r="CU272" s="981"/>
    </row>
    <row r="273">
      <c r="A273" s="1394"/>
      <c r="B273" s="788" t="s">
        <v>1256</v>
      </c>
      <c r="C273" s="784" t="s">
        <v>1256</v>
      </c>
      <c r="D273" s="785" t="s">
        <v>1256</v>
      </c>
      <c r="E273" s="786" t="s">
        <v>1256</v>
      </c>
      <c r="F273" s="787" t="s">
        <v>1256</v>
      </c>
      <c r="G273" s="788" t="s">
        <v>1256</v>
      </c>
      <c r="H273" s="1399"/>
      <c r="I273" s="1399"/>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3"/>
      <c r="BX273" s="1333"/>
      <c r="BY273" s="981"/>
      <c r="BZ273" s="1333"/>
      <c r="CA273" s="1333"/>
      <c r="CB273" s="981"/>
      <c r="CC273" s="981"/>
      <c r="CD273" s="1333"/>
      <c r="CE273" s="981"/>
      <c r="CF273" s="981"/>
      <c r="CG273" s="981"/>
      <c r="CH273" s="981"/>
      <c r="CI273" s="981"/>
      <c r="CJ273" s="981"/>
      <c r="CK273" s="981"/>
      <c r="CL273" s="981"/>
      <c r="CM273" s="981"/>
      <c r="CN273" s="981"/>
      <c r="CO273" s="981"/>
      <c r="CP273" s="981"/>
      <c r="CQ273" s="981"/>
      <c r="CR273" s="981"/>
      <c r="CS273" s="981"/>
      <c r="CT273" s="981"/>
      <c r="CU273" s="981"/>
    </row>
    <row r="274">
      <c r="A274" s="1394"/>
      <c r="B274" s="788" t="s">
        <v>1256</v>
      </c>
      <c r="C274" s="784" t="s">
        <v>1256</v>
      </c>
      <c r="D274" s="785" t="s">
        <v>1256</v>
      </c>
      <c r="E274" s="786" t="s">
        <v>1256</v>
      </c>
      <c r="F274" s="787" t="s">
        <v>1256</v>
      </c>
      <c r="G274" s="788" t="s">
        <v>1256</v>
      </c>
      <c r="H274" s="1399"/>
      <c r="I274" s="1399"/>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3"/>
      <c r="BX274" s="1333"/>
      <c r="BY274" s="981"/>
      <c r="BZ274" s="1333"/>
      <c r="CA274" s="1333"/>
      <c r="CB274" s="981"/>
      <c r="CC274" s="981"/>
      <c r="CD274" s="1333"/>
      <c r="CE274" s="981"/>
      <c r="CF274" s="981"/>
      <c r="CG274" s="981"/>
      <c r="CH274" s="981"/>
      <c r="CI274" s="981"/>
      <c r="CJ274" s="981"/>
      <c r="CK274" s="981"/>
      <c r="CL274" s="981"/>
      <c r="CM274" s="981"/>
      <c r="CN274" s="981"/>
      <c r="CO274" s="981"/>
      <c r="CP274" s="981"/>
      <c r="CQ274" s="981"/>
      <c r="CR274" s="981"/>
      <c r="CS274" s="981"/>
      <c r="CT274" s="981"/>
      <c r="CU274" s="981"/>
    </row>
    <row r="275">
      <c r="A275" s="1394"/>
      <c r="B275" s="788" t="s">
        <v>1256</v>
      </c>
      <c r="C275" s="784" t="s">
        <v>1256</v>
      </c>
      <c r="D275" s="785" t="s">
        <v>1256</v>
      </c>
      <c r="E275" s="786" t="s">
        <v>1256</v>
      </c>
      <c r="F275" s="787" t="s">
        <v>1256</v>
      </c>
      <c r="G275" s="788" t="s">
        <v>1256</v>
      </c>
      <c r="H275" s="1399"/>
      <c r="I275" s="1399"/>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3"/>
      <c r="BX275" s="1333"/>
      <c r="BY275" s="981"/>
      <c r="BZ275" s="1333"/>
      <c r="CA275" s="1333"/>
      <c r="CB275" s="981"/>
      <c r="CC275" s="981"/>
      <c r="CD275" s="1333"/>
      <c r="CE275" s="981"/>
      <c r="CF275" s="981"/>
      <c r="CG275" s="981"/>
      <c r="CH275" s="981"/>
      <c r="CI275" s="981"/>
      <c r="CJ275" s="981"/>
      <c r="CK275" s="981"/>
      <c r="CL275" s="981"/>
      <c r="CM275" s="981"/>
      <c r="CN275" s="981"/>
      <c r="CO275" s="981"/>
      <c r="CP275" s="981"/>
      <c r="CQ275" s="981"/>
      <c r="CR275" s="981"/>
      <c r="CS275" s="981"/>
      <c r="CT275" s="981"/>
      <c r="CU275" s="981"/>
    </row>
    <row r="276">
      <c r="A276" s="1394"/>
      <c r="B276" s="788" t="s">
        <v>1256</v>
      </c>
      <c r="C276" s="784" t="s">
        <v>1256</v>
      </c>
      <c r="D276" s="785" t="s">
        <v>1256</v>
      </c>
      <c r="E276" s="786" t="s">
        <v>1256</v>
      </c>
      <c r="F276" s="787" t="s">
        <v>1256</v>
      </c>
      <c r="G276" s="788" t="s">
        <v>1256</v>
      </c>
      <c r="H276" s="1399"/>
      <c r="I276" s="1399"/>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3"/>
      <c r="BX276" s="1333"/>
      <c r="BY276" s="981"/>
      <c r="BZ276" s="1333"/>
      <c r="CA276" s="1333"/>
      <c r="CB276" s="981"/>
      <c r="CC276" s="981"/>
      <c r="CD276" s="1333"/>
      <c r="CE276" s="981"/>
      <c r="CF276" s="981"/>
      <c r="CG276" s="981"/>
      <c r="CH276" s="981"/>
      <c r="CI276" s="981"/>
      <c r="CJ276" s="981"/>
      <c r="CK276" s="981"/>
      <c r="CL276" s="981"/>
      <c r="CM276" s="981"/>
      <c r="CN276" s="981"/>
      <c r="CO276" s="981"/>
      <c r="CP276" s="981"/>
      <c r="CQ276" s="981"/>
      <c r="CR276" s="981"/>
      <c r="CS276" s="981"/>
      <c r="CT276" s="981"/>
      <c r="CU276" s="981"/>
    </row>
    <row r="277">
      <c r="A277" s="1394"/>
      <c r="B277" s="788" t="s">
        <v>1256</v>
      </c>
      <c r="C277" s="784" t="s">
        <v>1256</v>
      </c>
      <c r="D277" s="785" t="s">
        <v>1256</v>
      </c>
      <c r="E277" s="786" t="s">
        <v>1256</v>
      </c>
      <c r="F277" s="787" t="s">
        <v>1256</v>
      </c>
      <c r="G277" s="788" t="s">
        <v>1256</v>
      </c>
      <c r="H277" s="1399"/>
      <c r="I277" s="1399"/>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3"/>
      <c r="BX277" s="1333"/>
      <c r="BY277" s="981"/>
      <c r="BZ277" s="1333"/>
      <c r="CA277" s="1333"/>
      <c r="CB277" s="981"/>
      <c r="CC277" s="981"/>
      <c r="CD277" s="1333"/>
      <c r="CE277" s="981"/>
      <c r="CF277" s="981"/>
      <c r="CG277" s="981"/>
      <c r="CH277" s="981"/>
      <c r="CI277" s="981"/>
      <c r="CJ277" s="981"/>
      <c r="CK277" s="981"/>
      <c r="CL277" s="981"/>
      <c r="CM277" s="981"/>
      <c r="CN277" s="981"/>
      <c r="CO277" s="981"/>
      <c r="CP277" s="981"/>
      <c r="CQ277" s="981"/>
      <c r="CR277" s="981"/>
      <c r="CS277" s="981"/>
      <c r="CT277" s="981"/>
      <c r="CU277" s="981"/>
    </row>
    <row r="278">
      <c r="A278" s="1394"/>
      <c r="B278" s="788" t="s">
        <v>1256</v>
      </c>
      <c r="C278" s="784" t="s">
        <v>1256</v>
      </c>
      <c r="D278" s="785" t="s">
        <v>1256</v>
      </c>
      <c r="E278" s="786" t="s">
        <v>1256</v>
      </c>
      <c r="F278" s="787" t="s">
        <v>1256</v>
      </c>
      <c r="G278" s="788" t="s">
        <v>1256</v>
      </c>
      <c r="H278" s="1399"/>
      <c r="I278" s="1399"/>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3"/>
      <c r="BX278" s="1333"/>
      <c r="BY278" s="981"/>
      <c r="BZ278" s="1333"/>
      <c r="CA278" s="1333"/>
      <c r="CB278" s="981"/>
      <c r="CC278" s="981"/>
      <c r="CD278" s="1333"/>
      <c r="CE278" s="981"/>
      <c r="CF278" s="981"/>
      <c r="CG278" s="981"/>
      <c r="CH278" s="981"/>
      <c r="CI278" s="981"/>
      <c r="CJ278" s="981"/>
      <c r="CK278" s="981"/>
      <c r="CL278" s="981"/>
      <c r="CM278" s="981"/>
      <c r="CN278" s="981"/>
      <c r="CO278" s="981"/>
      <c r="CP278" s="981"/>
      <c r="CQ278" s="981"/>
      <c r="CR278" s="981"/>
      <c r="CS278" s="981"/>
      <c r="CT278" s="981"/>
      <c r="CU278" s="981"/>
    </row>
    <row r="279">
      <c r="A279" s="1394"/>
      <c r="B279" s="788" t="s">
        <v>1256</v>
      </c>
      <c r="C279" s="784" t="s">
        <v>1256</v>
      </c>
      <c r="D279" s="785" t="s">
        <v>1256</v>
      </c>
      <c r="E279" s="786" t="s">
        <v>1256</v>
      </c>
      <c r="F279" s="787" t="s">
        <v>1256</v>
      </c>
      <c r="G279" s="788" t="s">
        <v>1256</v>
      </c>
      <c r="H279" s="1399"/>
      <c r="I279" s="1399"/>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3"/>
      <c r="BX279" s="1333"/>
      <c r="BY279" s="981"/>
      <c r="BZ279" s="1333"/>
      <c r="CA279" s="1333"/>
      <c r="CB279" s="981"/>
      <c r="CC279" s="981"/>
      <c r="CD279" s="1333"/>
      <c r="CE279" s="981"/>
      <c r="CF279" s="981"/>
      <c r="CG279" s="981"/>
      <c r="CH279" s="981"/>
      <c r="CI279" s="981"/>
      <c r="CJ279" s="981"/>
      <c r="CK279" s="981"/>
      <c r="CL279" s="981"/>
      <c r="CM279" s="981"/>
      <c r="CN279" s="981"/>
      <c r="CO279" s="981"/>
      <c r="CP279" s="981"/>
      <c r="CQ279" s="981"/>
      <c r="CR279" s="981"/>
      <c r="CS279" s="981"/>
      <c r="CT279" s="981"/>
      <c r="CU279" s="981"/>
    </row>
    <row r="280">
      <c r="A280" s="1394"/>
      <c r="B280" s="788" t="s">
        <v>1256</v>
      </c>
      <c r="C280" s="784" t="s">
        <v>1256</v>
      </c>
      <c r="D280" s="785" t="s">
        <v>1256</v>
      </c>
      <c r="E280" s="786" t="s">
        <v>1256</v>
      </c>
      <c r="F280" s="787" t="s">
        <v>1256</v>
      </c>
      <c r="G280" s="788" t="s">
        <v>1256</v>
      </c>
      <c r="H280" s="1399"/>
      <c r="I280" s="1399"/>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3"/>
      <c r="BX280" s="1333"/>
      <c r="BY280" s="981"/>
      <c r="BZ280" s="1333"/>
      <c r="CA280" s="1333"/>
      <c r="CB280" s="981"/>
      <c r="CC280" s="981"/>
      <c r="CD280" s="1333"/>
      <c r="CE280" s="981"/>
      <c r="CF280" s="981"/>
      <c r="CG280" s="981"/>
      <c r="CH280" s="981"/>
      <c r="CI280" s="981"/>
      <c r="CJ280" s="981"/>
      <c r="CK280" s="981"/>
      <c r="CL280" s="981"/>
      <c r="CM280" s="981"/>
      <c r="CN280" s="981"/>
      <c r="CO280" s="981"/>
      <c r="CP280" s="981"/>
      <c r="CQ280" s="981"/>
      <c r="CR280" s="981"/>
      <c r="CS280" s="981"/>
      <c r="CT280" s="981"/>
      <c r="CU280" s="981"/>
    </row>
    <row r="281">
      <c r="A281" s="1394"/>
      <c r="B281" s="788" t="s">
        <v>1256</v>
      </c>
      <c r="C281" s="784" t="s">
        <v>1256</v>
      </c>
      <c r="D281" s="785" t="s">
        <v>1256</v>
      </c>
      <c r="E281" s="786" t="s">
        <v>1256</v>
      </c>
      <c r="F281" s="787" t="s">
        <v>1256</v>
      </c>
      <c r="G281" s="788" t="s">
        <v>1256</v>
      </c>
      <c r="H281" s="1399"/>
      <c r="I281" s="1399"/>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3"/>
      <c r="BX281" s="1333"/>
      <c r="BY281" s="981"/>
      <c r="BZ281" s="1333"/>
      <c r="CA281" s="1333"/>
      <c r="CB281" s="981"/>
      <c r="CC281" s="981"/>
      <c r="CD281" s="1333"/>
      <c r="CE281" s="981"/>
      <c r="CF281" s="981"/>
      <c r="CG281" s="981"/>
      <c r="CH281" s="981"/>
      <c r="CI281" s="981"/>
      <c r="CJ281" s="981"/>
      <c r="CK281" s="981"/>
      <c r="CL281" s="981"/>
      <c r="CM281" s="981"/>
      <c r="CN281" s="981"/>
      <c r="CO281" s="981"/>
      <c r="CP281" s="981"/>
      <c r="CQ281" s="981"/>
      <c r="CR281" s="981"/>
      <c r="CS281" s="981"/>
      <c r="CT281" s="981"/>
      <c r="CU281" s="981"/>
    </row>
    <row r="282">
      <c r="A282" s="1394"/>
      <c r="B282" s="788" t="s">
        <v>1256</v>
      </c>
      <c r="C282" s="784" t="s">
        <v>1256</v>
      </c>
      <c r="D282" s="785" t="s">
        <v>1256</v>
      </c>
      <c r="E282" s="786" t="s">
        <v>1256</v>
      </c>
      <c r="F282" s="787" t="s">
        <v>1256</v>
      </c>
      <c r="G282" s="788" t="s">
        <v>1256</v>
      </c>
      <c r="H282" s="1399"/>
      <c r="I282" s="1399"/>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3"/>
      <c r="BX282" s="1333"/>
      <c r="BY282" s="981"/>
      <c r="BZ282" s="1333"/>
      <c r="CA282" s="1333"/>
      <c r="CB282" s="981"/>
      <c r="CC282" s="981"/>
      <c r="CD282" s="1333"/>
      <c r="CE282" s="981"/>
      <c r="CF282" s="981"/>
      <c r="CG282" s="981"/>
      <c r="CH282" s="981"/>
      <c r="CI282" s="981"/>
      <c r="CJ282" s="981"/>
      <c r="CK282" s="981"/>
      <c r="CL282" s="981"/>
      <c r="CM282" s="981"/>
      <c r="CN282" s="981"/>
      <c r="CO282" s="981"/>
      <c r="CP282" s="981"/>
      <c r="CQ282" s="981"/>
      <c r="CR282" s="981"/>
      <c r="CS282" s="981"/>
      <c r="CT282" s="981"/>
      <c r="CU282" s="981"/>
    </row>
    <row r="283">
      <c r="A283" s="1394"/>
      <c r="B283" s="788" t="s">
        <v>1256</v>
      </c>
      <c r="C283" s="784" t="s">
        <v>1256</v>
      </c>
      <c r="D283" s="785" t="s">
        <v>1256</v>
      </c>
      <c r="E283" s="786" t="s">
        <v>1256</v>
      </c>
      <c r="F283" s="787" t="s">
        <v>1256</v>
      </c>
      <c r="G283" s="788" t="s">
        <v>1256</v>
      </c>
      <c r="H283" s="1399"/>
      <c r="I283" s="1399"/>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3"/>
      <c r="BX283" s="1333"/>
      <c r="BY283" s="981"/>
      <c r="BZ283" s="1333"/>
      <c r="CA283" s="1333"/>
      <c r="CB283" s="981"/>
      <c r="CC283" s="981"/>
      <c r="CD283" s="1333"/>
      <c r="CE283" s="981"/>
      <c r="CF283" s="981"/>
      <c r="CG283" s="981"/>
      <c r="CH283" s="981"/>
      <c r="CI283" s="981"/>
      <c r="CJ283" s="981"/>
      <c r="CK283" s="981"/>
      <c r="CL283" s="981"/>
      <c r="CM283" s="981"/>
      <c r="CN283" s="981"/>
      <c r="CO283" s="981"/>
      <c r="CP283" s="981"/>
      <c r="CQ283" s="981"/>
      <c r="CR283" s="981"/>
      <c r="CS283" s="981"/>
      <c r="CT283" s="981"/>
      <c r="CU283" s="981"/>
    </row>
    <row r="284">
      <c r="A284" s="1394"/>
      <c r="B284" s="788" t="s">
        <v>1256</v>
      </c>
      <c r="C284" s="784" t="s">
        <v>1256</v>
      </c>
      <c r="D284" s="785" t="s">
        <v>1256</v>
      </c>
      <c r="E284" s="786" t="s">
        <v>1256</v>
      </c>
      <c r="F284" s="787" t="s">
        <v>1256</v>
      </c>
      <c r="G284" s="788" t="s">
        <v>1256</v>
      </c>
      <c r="H284" s="1399"/>
      <c r="I284" s="1399"/>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3"/>
      <c r="BX284" s="1333"/>
      <c r="BY284" s="981"/>
      <c r="BZ284" s="1333"/>
      <c r="CA284" s="1333"/>
      <c r="CB284" s="981"/>
      <c r="CC284" s="981"/>
      <c r="CD284" s="1333"/>
      <c r="CE284" s="981"/>
      <c r="CF284" s="981"/>
      <c r="CG284" s="981"/>
      <c r="CH284" s="981"/>
      <c r="CI284" s="981"/>
      <c r="CJ284" s="981"/>
      <c r="CK284" s="981"/>
      <c r="CL284" s="981"/>
      <c r="CM284" s="981"/>
      <c r="CN284" s="981"/>
      <c r="CO284" s="981"/>
      <c r="CP284" s="981"/>
      <c r="CQ284" s="981"/>
      <c r="CR284" s="981"/>
      <c r="CS284" s="981"/>
      <c r="CT284" s="981"/>
      <c r="CU284" s="981"/>
    </row>
    <row r="285">
      <c r="A285" s="1394"/>
      <c r="B285" s="788" t="s">
        <v>1256</v>
      </c>
      <c r="C285" s="784" t="s">
        <v>1256</v>
      </c>
      <c r="D285" s="785" t="s">
        <v>1256</v>
      </c>
      <c r="E285" s="786" t="s">
        <v>1256</v>
      </c>
      <c r="F285" s="787" t="s">
        <v>1256</v>
      </c>
      <c r="G285" s="788" t="s">
        <v>1256</v>
      </c>
      <c r="H285" s="1399"/>
      <c r="I285" s="1399"/>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3"/>
      <c r="BX285" s="1333"/>
      <c r="BY285" s="981"/>
      <c r="BZ285" s="1333"/>
      <c r="CA285" s="1333"/>
      <c r="CB285" s="981"/>
      <c r="CC285" s="981"/>
      <c r="CD285" s="1333"/>
      <c r="CE285" s="981"/>
      <c r="CF285" s="981"/>
      <c r="CG285" s="981"/>
      <c r="CH285" s="981"/>
      <c r="CI285" s="981"/>
      <c r="CJ285" s="981"/>
      <c r="CK285" s="981"/>
      <c r="CL285" s="981"/>
      <c r="CM285" s="981"/>
      <c r="CN285" s="981"/>
      <c r="CO285" s="981"/>
      <c r="CP285" s="981"/>
      <c r="CQ285" s="981"/>
      <c r="CR285" s="981"/>
      <c r="CS285" s="981"/>
      <c r="CT285" s="981"/>
      <c r="CU285" s="981"/>
    </row>
    <row r="286">
      <c r="A286" s="1394"/>
      <c r="B286" s="788" t="s">
        <v>1256</v>
      </c>
      <c r="C286" s="784" t="s">
        <v>1256</v>
      </c>
      <c r="D286" s="785" t="s">
        <v>1256</v>
      </c>
      <c r="E286" s="786" t="s">
        <v>1256</v>
      </c>
      <c r="F286" s="787" t="s">
        <v>1256</v>
      </c>
      <c r="G286" s="788" t="s">
        <v>1256</v>
      </c>
      <c r="H286" s="1399"/>
      <c r="I286" s="1399"/>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3"/>
      <c r="BX286" s="1333"/>
      <c r="BY286" s="981"/>
      <c r="BZ286" s="1333"/>
      <c r="CA286" s="1333"/>
      <c r="CB286" s="981"/>
      <c r="CC286" s="981"/>
      <c r="CD286" s="1333"/>
      <c r="CE286" s="981"/>
      <c r="CF286" s="981"/>
      <c r="CG286" s="981"/>
      <c r="CH286" s="981"/>
      <c r="CI286" s="981"/>
      <c r="CJ286" s="981"/>
      <c r="CK286" s="981"/>
      <c r="CL286" s="981"/>
      <c r="CM286" s="981"/>
      <c r="CN286" s="981"/>
      <c r="CO286" s="981"/>
      <c r="CP286" s="981"/>
      <c r="CQ286" s="981"/>
      <c r="CR286" s="981"/>
      <c r="CS286" s="981"/>
      <c r="CT286" s="981"/>
      <c r="CU286" s="981"/>
    </row>
    <row r="287">
      <c r="A287" s="1394"/>
      <c r="B287" s="788" t="s">
        <v>1256</v>
      </c>
      <c r="C287" s="784" t="s">
        <v>1256</v>
      </c>
      <c r="D287" s="785" t="s">
        <v>1256</v>
      </c>
      <c r="E287" s="786" t="s">
        <v>1256</v>
      </c>
      <c r="F287" s="787" t="s">
        <v>1256</v>
      </c>
      <c r="G287" s="788" t="s">
        <v>1256</v>
      </c>
      <c r="H287" s="1399"/>
      <c r="I287" s="1399"/>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3"/>
      <c r="BX287" s="1333"/>
      <c r="BY287" s="981"/>
      <c r="BZ287" s="1333"/>
      <c r="CA287" s="1333"/>
      <c r="CB287" s="981"/>
      <c r="CC287" s="981"/>
      <c r="CD287" s="1333"/>
      <c r="CE287" s="981"/>
      <c r="CF287" s="981"/>
      <c r="CG287" s="981"/>
      <c r="CH287" s="981"/>
      <c r="CI287" s="981"/>
      <c r="CJ287" s="981"/>
      <c r="CK287" s="981"/>
      <c r="CL287" s="981"/>
      <c r="CM287" s="981"/>
      <c r="CN287" s="981"/>
      <c r="CO287" s="981"/>
      <c r="CP287" s="981"/>
      <c r="CQ287" s="981"/>
      <c r="CR287" s="981"/>
      <c r="CS287" s="981"/>
      <c r="CT287" s="981"/>
      <c r="CU287" s="981"/>
    </row>
    <row r="288">
      <c r="A288" s="1394"/>
      <c r="B288" s="788" t="s">
        <v>1256</v>
      </c>
      <c r="C288" s="784" t="s">
        <v>1256</v>
      </c>
      <c r="D288" s="785" t="s">
        <v>1256</v>
      </c>
      <c r="E288" s="786" t="s">
        <v>1256</v>
      </c>
      <c r="F288" s="787" t="s">
        <v>1256</v>
      </c>
      <c r="G288" s="788" t="s">
        <v>1256</v>
      </c>
      <c r="H288" s="1399"/>
      <c r="I288" s="1399"/>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3"/>
      <c r="BX288" s="1333"/>
      <c r="BY288" s="981"/>
      <c r="BZ288" s="1333"/>
      <c r="CA288" s="1333"/>
      <c r="CB288" s="981"/>
      <c r="CC288" s="981"/>
      <c r="CD288" s="1333"/>
      <c r="CE288" s="981"/>
      <c r="CF288" s="981"/>
      <c r="CG288" s="981"/>
      <c r="CH288" s="981"/>
      <c r="CI288" s="981"/>
      <c r="CJ288" s="981"/>
      <c r="CK288" s="981"/>
      <c r="CL288" s="981"/>
      <c r="CM288" s="981"/>
      <c r="CN288" s="981"/>
      <c r="CO288" s="981"/>
      <c r="CP288" s="981"/>
      <c r="CQ288" s="981"/>
      <c r="CR288" s="981"/>
      <c r="CS288" s="981"/>
      <c r="CT288" s="981"/>
      <c r="CU288" s="981"/>
    </row>
    <row r="289">
      <c r="A289" s="1394"/>
      <c r="B289" s="788" t="s">
        <v>1256</v>
      </c>
      <c r="C289" s="784" t="s">
        <v>1256</v>
      </c>
      <c r="D289" s="785" t="s">
        <v>1256</v>
      </c>
      <c r="E289" s="786" t="s">
        <v>1256</v>
      </c>
      <c r="F289" s="787" t="s">
        <v>1256</v>
      </c>
      <c r="G289" s="788" t="s">
        <v>1256</v>
      </c>
      <c r="H289" s="1399"/>
      <c r="I289" s="1399"/>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3"/>
      <c r="BX289" s="1333"/>
      <c r="BY289" s="981"/>
      <c r="BZ289" s="1333"/>
      <c r="CA289" s="1333"/>
      <c r="CB289" s="981"/>
      <c r="CC289" s="981"/>
      <c r="CD289" s="1333"/>
      <c r="CE289" s="981"/>
      <c r="CF289" s="981"/>
      <c r="CG289" s="981"/>
      <c r="CH289" s="981"/>
      <c r="CI289" s="981"/>
      <c r="CJ289" s="981"/>
      <c r="CK289" s="981"/>
      <c r="CL289" s="981"/>
      <c r="CM289" s="981"/>
      <c r="CN289" s="981"/>
      <c r="CO289" s="981"/>
      <c r="CP289" s="981"/>
      <c r="CQ289" s="981"/>
      <c r="CR289" s="981"/>
      <c r="CS289" s="981"/>
      <c r="CT289" s="981"/>
      <c r="CU289" s="981"/>
    </row>
    <row r="290">
      <c r="A290" s="1394"/>
      <c r="B290" s="788" t="s">
        <v>1256</v>
      </c>
      <c r="C290" s="784" t="s">
        <v>1256</v>
      </c>
      <c r="D290" s="785" t="s">
        <v>1256</v>
      </c>
      <c r="E290" s="786" t="s">
        <v>1256</v>
      </c>
      <c r="F290" s="787" t="s">
        <v>1256</v>
      </c>
      <c r="G290" s="788" t="s">
        <v>1256</v>
      </c>
      <c r="H290" s="1399"/>
      <c r="I290" s="1399"/>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3"/>
      <c r="BX290" s="1333"/>
      <c r="BY290" s="981"/>
      <c r="BZ290" s="1333"/>
      <c r="CA290" s="1333"/>
      <c r="CB290" s="981"/>
      <c r="CC290" s="981"/>
      <c r="CD290" s="1333"/>
      <c r="CE290" s="981"/>
      <c r="CF290" s="981"/>
      <c r="CG290" s="981"/>
      <c r="CH290" s="981"/>
      <c r="CI290" s="981"/>
      <c r="CJ290" s="981"/>
      <c r="CK290" s="981"/>
      <c r="CL290" s="981"/>
      <c r="CM290" s="981"/>
      <c r="CN290" s="981"/>
      <c r="CO290" s="981"/>
      <c r="CP290" s="981"/>
      <c r="CQ290" s="981"/>
      <c r="CR290" s="981"/>
      <c r="CS290" s="981"/>
      <c r="CT290" s="981"/>
      <c r="CU290" s="981"/>
    </row>
    <row r="291">
      <c r="A291" s="1394"/>
      <c r="B291" s="788" t="s">
        <v>1256</v>
      </c>
      <c r="C291" s="784" t="s">
        <v>1256</v>
      </c>
      <c r="D291" s="785" t="s">
        <v>1256</v>
      </c>
      <c r="E291" s="786" t="s">
        <v>1256</v>
      </c>
      <c r="F291" s="787" t="s">
        <v>1256</v>
      </c>
      <c r="G291" s="788" t="s">
        <v>1256</v>
      </c>
      <c r="H291" s="1399"/>
      <c r="I291" s="1399"/>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3"/>
      <c r="BX291" s="1333"/>
      <c r="BY291" s="981"/>
      <c r="BZ291" s="1333"/>
      <c r="CA291" s="1333"/>
      <c r="CB291" s="981"/>
      <c r="CC291" s="981"/>
      <c r="CD291" s="1333"/>
      <c r="CE291" s="981"/>
      <c r="CF291" s="981"/>
      <c r="CG291" s="981"/>
      <c r="CH291" s="981"/>
      <c r="CI291" s="981"/>
      <c r="CJ291" s="981"/>
      <c r="CK291" s="981"/>
      <c r="CL291" s="981"/>
      <c r="CM291" s="981"/>
      <c r="CN291" s="981"/>
      <c r="CO291" s="981"/>
      <c r="CP291" s="981"/>
      <c r="CQ291" s="981"/>
      <c r="CR291" s="981"/>
      <c r="CS291" s="981"/>
      <c r="CT291" s="981"/>
      <c r="CU291" s="981"/>
    </row>
    <row r="292">
      <c r="A292" s="1394"/>
      <c r="B292" s="788" t="s">
        <v>1256</v>
      </c>
      <c r="C292" s="784" t="s">
        <v>1256</v>
      </c>
      <c r="D292" s="785" t="s">
        <v>1256</v>
      </c>
      <c r="E292" s="786" t="s">
        <v>1256</v>
      </c>
      <c r="F292" s="787" t="s">
        <v>1256</v>
      </c>
      <c r="G292" s="788" t="s">
        <v>1256</v>
      </c>
      <c r="H292" s="1399"/>
      <c r="I292" s="1399"/>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3"/>
      <c r="BX292" s="1333"/>
      <c r="BY292" s="981"/>
      <c r="BZ292" s="1333"/>
      <c r="CA292" s="1333"/>
      <c r="CB292" s="981"/>
      <c r="CC292" s="981"/>
      <c r="CD292" s="1333"/>
      <c r="CE292" s="981"/>
      <c r="CF292" s="981"/>
      <c r="CG292" s="981"/>
      <c r="CH292" s="981"/>
      <c r="CI292" s="981"/>
      <c r="CJ292" s="981"/>
      <c r="CK292" s="981"/>
      <c r="CL292" s="981"/>
      <c r="CM292" s="981"/>
      <c r="CN292" s="981"/>
      <c r="CO292" s="981"/>
      <c r="CP292" s="981"/>
      <c r="CQ292" s="981"/>
      <c r="CR292" s="981"/>
      <c r="CS292" s="981"/>
      <c r="CT292" s="981"/>
      <c r="CU292" s="981"/>
    </row>
    <row r="293">
      <c r="A293" s="1394"/>
      <c r="B293" s="788" t="s">
        <v>1256</v>
      </c>
      <c r="C293" s="784" t="s">
        <v>1256</v>
      </c>
      <c r="D293" s="785" t="s">
        <v>1256</v>
      </c>
      <c r="E293" s="786" t="s">
        <v>1256</v>
      </c>
      <c r="F293" s="787" t="s">
        <v>1256</v>
      </c>
      <c r="G293" s="788" t="s">
        <v>1256</v>
      </c>
      <c r="H293" s="1399"/>
      <c r="I293" s="1399"/>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3"/>
      <c r="BX293" s="1333"/>
      <c r="BY293" s="981"/>
      <c r="BZ293" s="1333"/>
      <c r="CA293" s="1333"/>
      <c r="CB293" s="981"/>
      <c r="CC293" s="981"/>
      <c r="CD293" s="1333"/>
      <c r="CE293" s="981"/>
      <c r="CF293" s="981"/>
      <c r="CG293" s="981"/>
      <c r="CH293" s="981"/>
      <c r="CI293" s="981"/>
      <c r="CJ293" s="981"/>
      <c r="CK293" s="981"/>
      <c r="CL293" s="981"/>
      <c r="CM293" s="981"/>
      <c r="CN293" s="981"/>
      <c r="CO293" s="981"/>
      <c r="CP293" s="981"/>
      <c r="CQ293" s="981"/>
      <c r="CR293" s="981"/>
      <c r="CS293" s="981"/>
      <c r="CT293" s="981"/>
      <c r="CU293" s="981"/>
    </row>
    <row r="294">
      <c r="A294" s="1394"/>
      <c r="B294" s="788" t="s">
        <v>1256</v>
      </c>
      <c r="C294" s="784" t="s">
        <v>1256</v>
      </c>
      <c r="D294" s="785" t="s">
        <v>1256</v>
      </c>
      <c r="E294" s="786" t="s">
        <v>1256</v>
      </c>
      <c r="F294" s="787" t="s">
        <v>1256</v>
      </c>
      <c r="G294" s="788" t="s">
        <v>1256</v>
      </c>
      <c r="H294" s="1399"/>
      <c r="I294" s="1399"/>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3"/>
      <c r="BX294" s="1333"/>
      <c r="BY294" s="981"/>
      <c r="BZ294" s="1333"/>
      <c r="CA294" s="1333"/>
      <c r="CB294" s="981"/>
      <c r="CC294" s="981"/>
      <c r="CD294" s="1333"/>
      <c r="CE294" s="981"/>
      <c r="CF294" s="981"/>
      <c r="CG294" s="981"/>
      <c r="CH294" s="981"/>
      <c r="CI294" s="981"/>
      <c r="CJ294" s="981"/>
      <c r="CK294" s="981"/>
      <c r="CL294" s="981"/>
      <c r="CM294" s="981"/>
      <c r="CN294" s="981"/>
      <c r="CO294" s="981"/>
      <c r="CP294" s="981"/>
      <c r="CQ294" s="981"/>
      <c r="CR294" s="981"/>
      <c r="CS294" s="981"/>
      <c r="CT294" s="981"/>
      <c r="CU294" s="981"/>
    </row>
    <row r="295">
      <c r="A295" s="1394"/>
      <c r="B295" s="788" t="s">
        <v>1256</v>
      </c>
      <c r="C295" s="784" t="s">
        <v>1256</v>
      </c>
      <c r="D295" s="785" t="s">
        <v>1256</v>
      </c>
      <c r="E295" s="786" t="s">
        <v>1256</v>
      </c>
      <c r="F295" s="787" t="s">
        <v>1256</v>
      </c>
      <c r="G295" s="788" t="s">
        <v>1256</v>
      </c>
      <c r="H295" s="1399"/>
      <c r="I295" s="1399"/>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3"/>
      <c r="BX295" s="1333"/>
      <c r="BY295" s="981"/>
      <c r="BZ295" s="1333"/>
      <c r="CA295" s="1333"/>
      <c r="CB295" s="981"/>
      <c r="CC295" s="981"/>
      <c r="CD295" s="1333"/>
      <c r="CE295" s="981"/>
      <c r="CF295" s="981"/>
      <c r="CG295" s="981"/>
      <c r="CH295" s="981"/>
      <c r="CI295" s="981"/>
      <c r="CJ295" s="981"/>
      <c r="CK295" s="981"/>
      <c r="CL295" s="981"/>
      <c r="CM295" s="981"/>
      <c r="CN295" s="981"/>
      <c r="CO295" s="981"/>
      <c r="CP295" s="981"/>
      <c r="CQ295" s="981"/>
      <c r="CR295" s="981"/>
      <c r="CS295" s="981"/>
      <c r="CT295" s="981"/>
      <c r="CU295" s="981"/>
    </row>
    <row r="296">
      <c r="A296" s="1394"/>
      <c r="B296" s="788" t="s">
        <v>1256</v>
      </c>
      <c r="C296" s="784" t="s">
        <v>1256</v>
      </c>
      <c r="D296" s="785" t="s">
        <v>1256</v>
      </c>
      <c r="E296" s="786" t="s">
        <v>1256</v>
      </c>
      <c r="F296" s="787" t="s">
        <v>1256</v>
      </c>
      <c r="G296" s="788" t="s">
        <v>1256</v>
      </c>
      <c r="H296" s="1399"/>
      <c r="I296" s="1399"/>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3"/>
      <c r="BX296" s="1333"/>
      <c r="BY296" s="981"/>
      <c r="BZ296" s="1333"/>
      <c r="CA296" s="1333"/>
      <c r="CB296" s="981"/>
      <c r="CC296" s="981"/>
      <c r="CD296" s="1333"/>
      <c r="CE296" s="981"/>
      <c r="CF296" s="981"/>
      <c r="CG296" s="981"/>
      <c r="CH296" s="981"/>
      <c r="CI296" s="981"/>
      <c r="CJ296" s="981"/>
      <c r="CK296" s="981"/>
      <c r="CL296" s="981"/>
      <c r="CM296" s="981"/>
      <c r="CN296" s="981"/>
      <c r="CO296" s="981"/>
      <c r="CP296" s="981"/>
      <c r="CQ296" s="981"/>
      <c r="CR296" s="981"/>
      <c r="CS296" s="981"/>
      <c r="CT296" s="981"/>
      <c r="CU296" s="981"/>
    </row>
    <row r="297">
      <c r="A297" s="1394"/>
      <c r="B297" s="788" t="s">
        <v>1256</v>
      </c>
      <c r="C297" s="784" t="s">
        <v>1256</v>
      </c>
      <c r="D297" s="785" t="s">
        <v>1256</v>
      </c>
      <c r="E297" s="786" t="s">
        <v>1256</v>
      </c>
      <c r="F297" s="787" t="s">
        <v>1256</v>
      </c>
      <c r="G297" s="788" t="s">
        <v>1256</v>
      </c>
      <c r="H297" s="1399"/>
      <c r="I297" s="1399"/>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3"/>
      <c r="BX297" s="1333"/>
      <c r="BY297" s="981"/>
      <c r="BZ297" s="1333"/>
      <c r="CA297" s="1333"/>
      <c r="CB297" s="981"/>
      <c r="CC297" s="981"/>
      <c r="CD297" s="1333"/>
      <c r="CE297" s="981"/>
      <c r="CF297" s="981"/>
      <c r="CG297" s="981"/>
      <c r="CH297" s="981"/>
      <c r="CI297" s="981"/>
      <c r="CJ297" s="981"/>
      <c r="CK297" s="981"/>
      <c r="CL297" s="981"/>
      <c r="CM297" s="981"/>
      <c r="CN297" s="981"/>
      <c r="CO297" s="981"/>
      <c r="CP297" s="981"/>
      <c r="CQ297" s="981"/>
      <c r="CR297" s="981"/>
      <c r="CS297" s="981"/>
      <c r="CT297" s="981"/>
      <c r="CU297" s="981"/>
    </row>
    <row r="298">
      <c r="A298" s="1394"/>
      <c r="B298" s="788" t="s">
        <v>1256</v>
      </c>
      <c r="C298" s="784" t="s">
        <v>1256</v>
      </c>
      <c r="D298" s="785" t="s">
        <v>1256</v>
      </c>
      <c r="E298" s="786" t="s">
        <v>1256</v>
      </c>
      <c r="F298" s="787" t="s">
        <v>1256</v>
      </c>
      <c r="G298" s="788" t="s">
        <v>1256</v>
      </c>
      <c r="H298" s="1399"/>
      <c r="I298" s="1399"/>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3"/>
      <c r="BX298" s="1333"/>
      <c r="BY298" s="981"/>
      <c r="BZ298" s="1333"/>
      <c r="CA298" s="1333"/>
      <c r="CB298" s="981"/>
      <c r="CC298" s="981"/>
      <c r="CD298" s="1333"/>
      <c r="CE298" s="981"/>
      <c r="CF298" s="981"/>
      <c r="CG298" s="981"/>
      <c r="CH298" s="981"/>
      <c r="CI298" s="981"/>
      <c r="CJ298" s="981"/>
      <c r="CK298" s="981"/>
      <c r="CL298" s="981"/>
      <c r="CM298" s="981"/>
      <c r="CN298" s="981"/>
      <c r="CO298" s="981"/>
      <c r="CP298" s="981"/>
      <c r="CQ298" s="981"/>
      <c r="CR298" s="981"/>
      <c r="CS298" s="981"/>
      <c r="CT298" s="981"/>
      <c r="CU298" s="981"/>
    </row>
    <row r="299">
      <c r="A299" s="1394"/>
      <c r="B299" s="788" t="s">
        <v>1256</v>
      </c>
      <c r="C299" s="784" t="s">
        <v>1256</v>
      </c>
      <c r="D299" s="785" t="s">
        <v>1256</v>
      </c>
      <c r="E299" s="786" t="s">
        <v>1256</v>
      </c>
      <c r="F299" s="787" t="s">
        <v>1256</v>
      </c>
      <c r="G299" s="788" t="s">
        <v>1256</v>
      </c>
      <c r="H299" s="1399"/>
      <c r="I299" s="1399"/>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3"/>
      <c r="BX299" s="1333"/>
      <c r="BY299" s="981"/>
      <c r="BZ299" s="1333"/>
      <c r="CA299" s="1333"/>
      <c r="CB299" s="981"/>
      <c r="CC299" s="981"/>
      <c r="CD299" s="1333"/>
      <c r="CE299" s="981"/>
      <c r="CF299" s="981"/>
      <c r="CG299" s="981"/>
      <c r="CH299" s="981"/>
      <c r="CI299" s="981"/>
      <c r="CJ299" s="981"/>
      <c r="CK299" s="981"/>
      <c r="CL299" s="981"/>
      <c r="CM299" s="981"/>
      <c r="CN299" s="981"/>
      <c r="CO299" s="981"/>
      <c r="CP299" s="981"/>
      <c r="CQ299" s="981"/>
      <c r="CR299" s="981"/>
      <c r="CS299" s="981"/>
      <c r="CT299" s="981"/>
      <c r="CU299" s="981"/>
    </row>
    <row r="300">
      <c r="A300" s="1394"/>
      <c r="B300" s="788" t="s">
        <v>1256</v>
      </c>
      <c r="C300" s="784" t="s">
        <v>1256</v>
      </c>
      <c r="D300" s="785" t="s">
        <v>1256</v>
      </c>
      <c r="E300" s="786" t="s">
        <v>1256</v>
      </c>
      <c r="F300" s="787" t="s">
        <v>1256</v>
      </c>
      <c r="G300" s="788" t="s">
        <v>1256</v>
      </c>
      <c r="H300" s="1399"/>
      <c r="I300" s="1399"/>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3"/>
      <c r="BX300" s="1333"/>
      <c r="BY300" s="981"/>
      <c r="BZ300" s="1333"/>
      <c r="CA300" s="1333"/>
      <c r="CB300" s="981"/>
      <c r="CC300" s="981"/>
      <c r="CD300" s="1333"/>
      <c r="CE300" s="981"/>
      <c r="CF300" s="981"/>
      <c r="CG300" s="981"/>
      <c r="CH300" s="981"/>
      <c r="CI300" s="981"/>
      <c r="CJ300" s="981"/>
      <c r="CK300" s="981"/>
      <c r="CL300" s="981"/>
      <c r="CM300" s="981"/>
      <c r="CN300" s="981"/>
      <c r="CO300" s="981"/>
      <c r="CP300" s="981"/>
      <c r="CQ300" s="981"/>
      <c r="CR300" s="981"/>
      <c r="CS300" s="981"/>
      <c r="CT300" s="981"/>
      <c r="CU300" s="981"/>
    </row>
    <row r="301">
      <c r="A301" s="1394"/>
      <c r="B301" s="788" t="s">
        <v>1256</v>
      </c>
      <c r="C301" s="784" t="s">
        <v>1256</v>
      </c>
      <c r="D301" s="785" t="s">
        <v>1256</v>
      </c>
      <c r="E301" s="786" t="s">
        <v>1256</v>
      </c>
      <c r="F301" s="787" t="s">
        <v>1256</v>
      </c>
      <c r="G301" s="788" t="s">
        <v>1256</v>
      </c>
      <c r="H301" s="1399"/>
      <c r="I301" s="1399"/>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3"/>
      <c r="BX301" s="1333"/>
      <c r="BY301" s="981"/>
      <c r="BZ301" s="1333"/>
      <c r="CA301" s="1333"/>
      <c r="CB301" s="981"/>
      <c r="CC301" s="981"/>
      <c r="CD301" s="1333"/>
      <c r="CE301" s="981"/>
      <c r="CF301" s="981"/>
      <c r="CG301" s="981"/>
      <c r="CH301" s="981"/>
      <c r="CI301" s="981"/>
      <c r="CJ301" s="981"/>
      <c r="CK301" s="981"/>
      <c r="CL301" s="981"/>
      <c r="CM301" s="981"/>
      <c r="CN301" s="981"/>
      <c r="CO301" s="981"/>
      <c r="CP301" s="981"/>
      <c r="CQ301" s="981"/>
      <c r="CR301" s="981"/>
      <c r="CS301" s="981"/>
      <c r="CT301" s="981"/>
      <c r="CU301" s="981"/>
    </row>
    <row r="302">
      <c r="A302" s="1394"/>
      <c r="B302" s="788" t="s">
        <v>1256</v>
      </c>
      <c r="C302" s="784" t="s">
        <v>1256</v>
      </c>
      <c r="D302" s="785" t="s">
        <v>1256</v>
      </c>
      <c r="E302" s="786" t="s">
        <v>1256</v>
      </c>
      <c r="F302" s="787" t="s">
        <v>1256</v>
      </c>
      <c r="G302" s="788" t="s">
        <v>1256</v>
      </c>
      <c r="H302" s="1399"/>
      <c r="I302" s="1399"/>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3"/>
      <c r="BX302" s="1333"/>
      <c r="BY302" s="981"/>
      <c r="BZ302" s="1333"/>
      <c r="CA302" s="1333"/>
      <c r="CB302" s="981"/>
      <c r="CC302" s="981"/>
      <c r="CD302" s="1333"/>
      <c r="CE302" s="981"/>
      <c r="CF302" s="981"/>
      <c r="CG302" s="981"/>
      <c r="CH302" s="981"/>
      <c r="CI302" s="981"/>
      <c r="CJ302" s="981"/>
      <c r="CK302" s="981"/>
      <c r="CL302" s="981"/>
      <c r="CM302" s="981"/>
      <c r="CN302" s="981"/>
      <c r="CO302" s="981"/>
      <c r="CP302" s="981"/>
      <c r="CQ302" s="981"/>
      <c r="CR302" s="981"/>
      <c r="CS302" s="981"/>
      <c r="CT302" s="981"/>
      <c r="CU302" s="981"/>
    </row>
    <row r="303">
      <c r="A303" s="1394"/>
      <c r="B303" s="788"/>
      <c r="C303" s="784"/>
      <c r="D303" s="785"/>
      <c r="E303" s="786"/>
      <c r="F303" s="787"/>
      <c r="G303" s="788"/>
      <c r="H303" s="785"/>
      <c r="I303" s="1399"/>
      <c r="J303" s="1333"/>
      <c r="K303" s="1333"/>
      <c r="L303" s="1333"/>
      <c r="M303" s="1333"/>
      <c r="N303" s="1333"/>
      <c r="O303" s="981"/>
      <c r="P303" s="1333"/>
      <c r="Q303" s="1333"/>
      <c r="R303" s="1333"/>
      <c r="S303" s="981"/>
      <c r="T303" s="1333"/>
      <c r="U303" s="1333"/>
      <c r="V303" s="1333"/>
      <c r="W303" s="981"/>
      <c r="X303" s="1333"/>
      <c r="Y303" s="1333"/>
      <c r="Z303" s="1333"/>
      <c r="AA303" s="1333"/>
      <c r="AB303" s="1333"/>
      <c r="AC303" s="1333"/>
      <c r="AD303" s="1333"/>
      <c r="AE303" s="1333"/>
      <c r="AF303" s="981"/>
      <c r="AG303" s="1333"/>
      <c r="AH303" s="1333"/>
      <c r="AI303" s="1333"/>
      <c r="AJ303" s="1333"/>
      <c r="AK303" s="1333"/>
      <c r="AL303" s="1333"/>
      <c r="AM303" s="1333"/>
      <c r="AN303" s="1333"/>
      <c r="AO303" s="1333"/>
      <c r="AP303" s="1333"/>
      <c r="AQ303" s="981"/>
      <c r="AR303" s="1333"/>
      <c r="AS303" s="1333"/>
      <c r="AT303" s="1333"/>
      <c r="AU303" s="1333"/>
      <c r="AV303" s="1333"/>
      <c r="AW303" s="1333"/>
      <c r="AX303" s="1333"/>
      <c r="AY303" s="1333"/>
      <c r="AZ303" s="1333"/>
      <c r="BA303" s="1333"/>
      <c r="BB303" s="981"/>
      <c r="BC303" s="1333"/>
      <c r="BD303" s="1333"/>
      <c r="BE303" s="1333"/>
      <c r="BF303" s="1333"/>
      <c r="BG303" s="1333"/>
      <c r="BH303" s="1333"/>
      <c r="BI303" s="1333"/>
      <c r="BJ303" s="1333"/>
      <c r="BK303" s="1333"/>
      <c r="BL303" s="1333"/>
      <c r="BM303" s="1333"/>
      <c r="BN303" s="1333"/>
      <c r="BO303" s="1333"/>
      <c r="BP303" s="1333"/>
      <c r="BQ303" s="1333"/>
      <c r="BR303" s="1333"/>
      <c r="BS303" s="1333"/>
      <c r="BT303" s="1333"/>
      <c r="BU303" s="1333"/>
      <c r="BV303" s="1333"/>
      <c r="BW303" s="1333"/>
      <c r="BX303" s="1333"/>
      <c r="BY303" s="1333"/>
      <c r="BZ303" s="1333"/>
      <c r="CA303" s="1333"/>
      <c r="CB303" s="1333"/>
      <c r="CC303" s="1333"/>
      <c r="CD303" s="1333"/>
      <c r="CE303" s="1333"/>
      <c r="CF303" s="1333"/>
      <c r="CG303" s="1333"/>
      <c r="CH303" s="1333"/>
      <c r="CI303" s="1333"/>
      <c r="CJ303" s="1333"/>
      <c r="CK303" s="1333"/>
      <c r="CL303" s="1333"/>
      <c r="CM303" s="1333"/>
      <c r="CN303" s="981"/>
      <c r="CO303" s="1333"/>
      <c r="CP303" s="1333"/>
      <c r="CQ303" s="1333"/>
      <c r="CR303" s="1333"/>
      <c r="CS303" s="1333"/>
      <c r="CT303" s="1333"/>
      <c r="CU303" s="1333"/>
    </row>
    <row r="304">
      <c r="A304" s="1394"/>
      <c r="B304" s="788"/>
      <c r="C304" s="784"/>
      <c r="D304" s="785"/>
      <c r="E304" s="786"/>
      <c r="F304" s="787"/>
      <c r="G304" s="788"/>
      <c r="H304" s="785"/>
      <c r="I304" s="1399"/>
      <c r="J304" s="1333"/>
      <c r="K304" s="1333"/>
      <c r="L304" s="1333"/>
      <c r="M304" s="1333"/>
      <c r="N304" s="1333"/>
      <c r="O304" s="981"/>
      <c r="P304" s="1333"/>
      <c r="Q304" s="1333"/>
      <c r="R304" s="1333"/>
      <c r="S304" s="981"/>
      <c r="T304" s="1333"/>
      <c r="U304" s="1333"/>
      <c r="V304" s="1333"/>
      <c r="W304" s="981"/>
      <c r="X304" s="1333"/>
      <c r="Y304" s="1333"/>
      <c r="Z304" s="1333"/>
      <c r="AA304" s="1333"/>
      <c r="AB304" s="1333"/>
      <c r="AC304" s="1333"/>
      <c r="AD304" s="1333"/>
      <c r="AE304" s="1333"/>
      <c r="AF304" s="981"/>
      <c r="AG304" s="1333"/>
      <c r="AH304" s="1333"/>
      <c r="AI304" s="1333"/>
      <c r="AJ304" s="1333"/>
      <c r="AK304" s="1333"/>
      <c r="AL304" s="1333"/>
      <c r="AM304" s="1333"/>
      <c r="AN304" s="1333"/>
      <c r="AO304" s="1333"/>
      <c r="AP304" s="1333"/>
      <c r="AQ304" s="981"/>
      <c r="AR304" s="1333"/>
      <c r="AS304" s="1333"/>
      <c r="AT304" s="1333"/>
      <c r="AU304" s="1333"/>
      <c r="AV304" s="1333"/>
      <c r="AW304" s="1333"/>
      <c r="AX304" s="1333"/>
      <c r="AY304" s="1333"/>
      <c r="AZ304" s="1333"/>
      <c r="BA304" s="1333"/>
      <c r="BB304" s="981"/>
      <c r="BC304" s="1333"/>
      <c r="BD304" s="1333"/>
      <c r="BE304" s="1333"/>
      <c r="BF304" s="1333"/>
      <c r="BG304" s="1333"/>
      <c r="BH304" s="1333"/>
      <c r="BI304" s="1333"/>
      <c r="BJ304" s="1333"/>
      <c r="BK304" s="1333"/>
      <c r="BL304" s="1333"/>
      <c r="BM304" s="1333"/>
      <c r="BN304" s="1333"/>
      <c r="BO304" s="1333"/>
      <c r="BP304" s="1333"/>
      <c r="BQ304" s="1333"/>
      <c r="BR304" s="1333"/>
      <c r="BS304" s="1333"/>
      <c r="BT304" s="1333"/>
      <c r="BU304" s="1333"/>
      <c r="BV304" s="1333"/>
      <c r="BW304" s="1333"/>
      <c r="BX304" s="1333"/>
      <c r="BY304" s="1333"/>
      <c r="BZ304" s="1333"/>
      <c r="CA304" s="1333"/>
      <c r="CB304" s="1333"/>
      <c r="CC304" s="1333"/>
      <c r="CD304" s="1333"/>
      <c r="CE304" s="1333"/>
      <c r="CF304" s="1333"/>
      <c r="CG304" s="1333"/>
      <c r="CH304" s="1333"/>
      <c r="CI304" s="1333"/>
      <c r="CJ304" s="1333"/>
      <c r="CK304" s="1333"/>
      <c r="CL304" s="1333"/>
      <c r="CM304" s="1333"/>
      <c r="CN304" s="981"/>
      <c r="CO304" s="1333"/>
      <c r="CP304" s="1333"/>
      <c r="CQ304" s="1333"/>
      <c r="CR304" s="1333"/>
      <c r="CS304" s="1333"/>
      <c r="CT304" s="1333"/>
      <c r="CU304" s="133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J5"/>
    <hyperlink r:id="rId180" ref="BL5"/>
    <hyperlink r:id="rId181" ref="BO5"/>
    <hyperlink r:id="rId182" ref="CB5"/>
    <hyperlink r:id="rId183" ref="CC5"/>
    <hyperlink r:id="rId184" ref="CN5"/>
    <hyperlink r:id="rId185" ref="CO5"/>
    <hyperlink r:id="rId186" ref="CP5"/>
    <hyperlink r:id="rId187" ref="H6"/>
    <hyperlink r:id="rId188" ref="I6"/>
    <hyperlink r:id="rId189" ref="M6"/>
    <hyperlink r:id="rId190" ref="O6"/>
    <hyperlink r:id="rId191" ref="P6"/>
    <hyperlink r:id="rId192" ref="R6"/>
    <hyperlink r:id="rId193" ref="U6"/>
    <hyperlink r:id="rId194" ref="V6"/>
    <hyperlink r:id="rId195" ref="W6"/>
    <hyperlink r:id="rId196" ref="X6"/>
    <hyperlink r:id="rId197" ref="Y6"/>
    <hyperlink r:id="rId198" ref="Z6"/>
    <hyperlink r:id="rId199" ref="AB6"/>
    <hyperlink r:id="rId200" ref="AC6"/>
    <hyperlink r:id="rId201" ref="AD6"/>
    <hyperlink r:id="rId202" ref="AF6"/>
    <hyperlink r:id="rId203" ref="AH6"/>
    <hyperlink r:id="rId204" ref="AI6"/>
    <hyperlink r:id="rId205" ref="AK6"/>
    <hyperlink r:id="rId206" ref="AM6"/>
    <hyperlink r:id="rId207" ref="AP6"/>
    <hyperlink r:id="rId208" ref="AT6"/>
    <hyperlink r:id="rId209" ref="AU6"/>
    <hyperlink r:id="rId210" ref="AW6"/>
    <hyperlink r:id="rId211" ref="AZ6"/>
    <hyperlink r:id="rId212" ref="BA6"/>
    <hyperlink r:id="rId213" ref="BB6"/>
    <hyperlink r:id="rId214" ref="BC6"/>
    <hyperlink r:id="rId215" ref="BD6"/>
    <hyperlink r:id="rId216" ref="BW6"/>
    <hyperlink r:id="rId217" ref="BX6"/>
    <hyperlink r:id="rId218" ref="K7"/>
    <hyperlink r:id="rId219" ref="L7"/>
    <hyperlink r:id="rId220" ref="O7"/>
    <hyperlink r:id="rId221" ref="R7"/>
    <hyperlink r:id="rId222" ref="T7"/>
    <hyperlink r:id="rId223" ref="U7"/>
    <hyperlink r:id="rId224" ref="Z7"/>
    <hyperlink r:id="rId225" ref="AQ7"/>
    <hyperlink r:id="rId226" ref="AU7"/>
    <hyperlink r:id="rId227" ref="AW7"/>
    <hyperlink r:id="rId228" ref="BC7"/>
    <hyperlink r:id="rId229" ref="I8"/>
    <hyperlink r:id="rId230" ref="K8"/>
    <hyperlink r:id="rId231" ref="O8"/>
    <hyperlink r:id="rId232" ref="P8"/>
    <hyperlink r:id="rId233" ref="R8"/>
    <hyperlink r:id="rId234" ref="S8"/>
    <hyperlink r:id="rId235" ref="U8"/>
    <hyperlink r:id="rId236" ref="X8"/>
    <hyperlink r:id="rId237" ref="Y8"/>
    <hyperlink r:id="rId238" ref="AC8"/>
    <hyperlink r:id="rId239" ref="AG8"/>
    <hyperlink r:id="rId240" ref="AI8"/>
    <hyperlink r:id="rId241" ref="AM8"/>
    <hyperlink r:id="rId242" ref="AP8"/>
    <hyperlink r:id="rId243" ref="AQ8"/>
    <hyperlink r:id="rId244" ref="AR8"/>
    <hyperlink r:id="rId245" ref="AT8"/>
    <hyperlink r:id="rId246" ref="AU8"/>
    <hyperlink r:id="rId247" ref="AZ8"/>
    <hyperlink r:id="rId248" ref="BB8"/>
    <hyperlink r:id="rId249" ref="BC8"/>
    <hyperlink r:id="rId250" ref="BD8"/>
    <hyperlink r:id="rId251" ref="CE8"/>
    <hyperlink r:id="rId252" ref="CF8"/>
    <hyperlink r:id="rId253" ref="CG8"/>
    <hyperlink r:id="rId254" ref="CJ8"/>
    <hyperlink r:id="rId255" ref="CL8"/>
    <hyperlink r:id="rId256" ref="CN8"/>
    <hyperlink r:id="rId257" ref="CR8"/>
    <hyperlink r:id="rId258" ref="H9"/>
    <hyperlink r:id="rId259" ref="I9"/>
    <hyperlink r:id="rId260" ref="R9"/>
    <hyperlink r:id="rId261" ref="AC9"/>
    <hyperlink r:id="rId262" ref="AD9"/>
    <hyperlink r:id="rId263" ref="AM9"/>
    <hyperlink r:id="rId264" ref="AP9"/>
    <hyperlink r:id="rId265" ref="AT9"/>
    <hyperlink r:id="rId266" ref="AW9"/>
    <hyperlink r:id="rId267" ref="BB9"/>
    <hyperlink r:id="rId268" ref="BS9"/>
    <hyperlink r:id="rId269" ref="BV9"/>
    <hyperlink r:id="rId270" ref="BW9"/>
    <hyperlink r:id="rId271" ref="BX9"/>
    <hyperlink r:id="rId272" ref="CA9"/>
    <hyperlink r:id="rId273" ref="CC9"/>
    <hyperlink r:id="rId274" ref="CM9"/>
    <hyperlink r:id="rId275" ref="H10"/>
    <hyperlink r:id="rId276" ref="I10"/>
    <hyperlink r:id="rId277" ref="K10"/>
    <hyperlink r:id="rId278" ref="L10"/>
    <hyperlink r:id="rId279" ref="O10"/>
    <hyperlink r:id="rId280" ref="P10"/>
    <hyperlink r:id="rId281" ref="Q10"/>
    <hyperlink r:id="rId282" ref="R10"/>
    <hyperlink r:id="rId283" ref="S10"/>
    <hyperlink r:id="rId284" ref="T10"/>
    <hyperlink r:id="rId285" ref="U10"/>
    <hyperlink r:id="rId286" ref="X10"/>
    <hyperlink r:id="rId287" ref="AA10"/>
    <hyperlink r:id="rId288" ref="AC10"/>
    <hyperlink r:id="rId289" ref="AD10"/>
    <hyperlink r:id="rId290" ref="AE10"/>
    <hyperlink r:id="rId291" ref="AN10"/>
    <hyperlink r:id="rId292" ref="AQ10"/>
    <hyperlink r:id="rId293" ref="AR10"/>
    <hyperlink r:id="rId294" ref="AT10"/>
    <hyperlink r:id="rId295" ref="AU10"/>
    <hyperlink r:id="rId296" ref="AV10"/>
    <hyperlink r:id="rId297" ref="AW10"/>
    <hyperlink r:id="rId298" ref="AX10"/>
    <hyperlink r:id="rId299" ref="BB10"/>
    <hyperlink r:id="rId300" ref="BD10"/>
    <hyperlink r:id="rId301" ref="BE10"/>
    <hyperlink r:id="rId302" ref="BG10"/>
    <hyperlink r:id="rId303" ref="CT10"/>
    <hyperlink r:id="rId304" ref="L11"/>
    <hyperlink r:id="rId305" ref="S11"/>
    <hyperlink r:id="rId306" ref="X11"/>
    <hyperlink r:id="rId307" ref="Y11"/>
    <hyperlink r:id="rId308" ref="AA11"/>
    <hyperlink r:id="rId309" ref="AM11"/>
    <hyperlink r:id="rId310" ref="AN11"/>
    <hyperlink r:id="rId311" ref="AO11"/>
    <hyperlink r:id="rId312" ref="AR11"/>
    <hyperlink r:id="rId313" ref="AU11"/>
    <hyperlink r:id="rId314" ref="AY11"/>
    <hyperlink r:id="rId315" ref="I12"/>
    <hyperlink r:id="rId316" ref="K12"/>
    <hyperlink r:id="rId317" ref="L12"/>
    <hyperlink r:id="rId318" ref="M12"/>
    <hyperlink r:id="rId319" ref="P12"/>
    <hyperlink r:id="rId320" ref="R12"/>
    <hyperlink r:id="rId321" ref="S12"/>
    <hyperlink r:id="rId322" ref="U12"/>
    <hyperlink r:id="rId323" ref="Y12"/>
    <hyperlink r:id="rId324" ref="AC12"/>
    <hyperlink r:id="rId325" ref="AD12"/>
    <hyperlink r:id="rId326" ref="AE12"/>
    <hyperlink r:id="rId327" ref="AF12"/>
    <hyperlink r:id="rId328" ref="AM12"/>
    <hyperlink r:id="rId329" ref="AN12"/>
    <hyperlink r:id="rId330" ref="AO12"/>
    <hyperlink r:id="rId331" ref="AR12"/>
    <hyperlink r:id="rId332" ref="AT12"/>
    <hyperlink r:id="rId333" ref="AU12"/>
    <hyperlink r:id="rId334" ref="AW12"/>
    <hyperlink r:id="rId335" ref="BB12"/>
    <hyperlink r:id="rId336" ref="BC12"/>
    <hyperlink r:id="rId337" ref="BL12"/>
    <hyperlink r:id="rId338" ref="BV12"/>
    <hyperlink r:id="rId339" ref="CE12"/>
    <hyperlink r:id="rId340" ref="CL13"/>
    <hyperlink r:id="rId341" ref="I14"/>
    <hyperlink r:id="rId342" ref="S14"/>
    <hyperlink r:id="rId343" ref="V14"/>
    <hyperlink r:id="rId344" ref="AE14"/>
    <hyperlink r:id="rId345" ref="I15"/>
    <hyperlink r:id="rId346" ref="M15"/>
    <hyperlink r:id="rId347" ref="Q15"/>
    <hyperlink r:id="rId348" ref="Y15"/>
    <hyperlink r:id="rId349" ref="AD15"/>
    <hyperlink r:id="rId350" ref="BB15"/>
    <hyperlink r:id="rId351" ref="BC15"/>
    <hyperlink r:id="rId352" ref="BM15"/>
    <hyperlink r:id="rId353" ref="AK16"/>
    <hyperlink r:id="rId354" ref="H17"/>
    <hyperlink r:id="rId355" ref="S17"/>
    <hyperlink r:id="rId356" ref="T17"/>
    <hyperlink r:id="rId357" ref="AA17"/>
    <hyperlink r:id="rId358" ref="AE17"/>
    <hyperlink r:id="rId359" ref="AS17"/>
    <hyperlink r:id="rId360" ref="AT17"/>
    <hyperlink r:id="rId361" ref="H18"/>
    <hyperlink r:id="rId362" ref="I18"/>
    <hyperlink r:id="rId363" ref="J18"/>
    <hyperlink r:id="rId364" ref="K18"/>
    <hyperlink r:id="rId365" ref="N18"/>
    <hyperlink r:id="rId366" ref="O18"/>
    <hyperlink r:id="rId367" ref="S18"/>
    <hyperlink r:id="rId368" ref="T18"/>
    <hyperlink r:id="rId369" ref="W19"/>
    <hyperlink r:id="rId370" ref="X19"/>
    <hyperlink r:id="rId371" ref="AB19"/>
    <hyperlink r:id="rId372" ref="AC19"/>
    <hyperlink r:id="rId373" ref="AD19"/>
    <hyperlink r:id="rId374" ref="AF19"/>
    <hyperlink r:id="rId375" ref="AH19"/>
    <hyperlink r:id="rId376" ref="AI19"/>
    <hyperlink r:id="rId377" ref="AP19"/>
    <hyperlink r:id="rId378" ref="BV19"/>
    <hyperlink r:id="rId379" ref="AG20"/>
    <hyperlink r:id="rId380" ref="AH20"/>
    <hyperlink r:id="rId381" ref="AC21"/>
    <hyperlink r:id="rId382" ref="AF23"/>
    <hyperlink r:id="rId383" ref="CT23"/>
    <hyperlink r:id="rId384" ref="H24"/>
    <hyperlink r:id="rId385" ref="I24"/>
    <hyperlink r:id="rId386" ref="BG24"/>
    <hyperlink r:id="rId387" ref="BH24"/>
    <hyperlink r:id="rId388" ref="BY24"/>
    <hyperlink r:id="rId389" ref="CT24"/>
    <hyperlink r:id="rId390" ref="L26"/>
    <hyperlink r:id="rId391" ref="R26"/>
    <hyperlink r:id="rId392" ref="Y26"/>
    <hyperlink r:id="rId393" ref="AK26"/>
    <hyperlink r:id="rId394" ref="U27"/>
    <hyperlink r:id="rId395" ref="Y27"/>
    <hyperlink r:id="rId396" ref="AD27"/>
    <hyperlink r:id="rId397" ref="AE27"/>
    <hyperlink r:id="rId398" ref="X28"/>
    <hyperlink r:id="rId399" ref="Y28"/>
    <hyperlink r:id="rId400" ref="AC28"/>
    <hyperlink r:id="rId401" ref="BV28"/>
    <hyperlink r:id="rId402" ref="BX28"/>
    <hyperlink r:id="rId403" ref="BZ28"/>
    <hyperlink r:id="rId404" ref="CD28"/>
    <hyperlink r:id="rId405" ref="X29"/>
    <hyperlink r:id="rId406" ref="Y29"/>
    <hyperlink r:id="rId407" ref="AF29"/>
    <hyperlink r:id="rId408" ref="Y30"/>
    <hyperlink r:id="rId409" ref="AU30"/>
    <hyperlink r:id="rId410" ref="T33"/>
    <hyperlink r:id="rId411" ref="AC33"/>
    <hyperlink r:id="rId412" ref="CE33"/>
    <hyperlink r:id="rId413" ref="O34"/>
    <hyperlink r:id="rId414" ref="P34"/>
    <hyperlink r:id="rId415" ref="AD36"/>
    <hyperlink r:id="rId416" ref="AD37"/>
    <hyperlink r:id="rId417" ref="W39"/>
    <hyperlink r:id="rId418" ref="AP43"/>
    <hyperlink r:id="rId419" ref="R44"/>
    <hyperlink r:id="rId420" ref="Y47"/>
    <hyperlink r:id="rId421" ref="AD47"/>
    <hyperlink r:id="rId422" ref="AK50"/>
    <hyperlink r:id="rId423" ref="AH51"/>
    <hyperlink r:id="rId424" ref="AF52"/>
    <hyperlink r:id="rId425" ref="AE53"/>
    <hyperlink r:id="rId426" ref="BC55"/>
    <hyperlink r:id="rId427" ref="R57"/>
    <hyperlink r:id="rId428" ref="U57"/>
    <hyperlink r:id="rId429" ref="AQ57"/>
    <hyperlink r:id="rId430" ref="AR57"/>
    <hyperlink r:id="rId431" ref="CT58"/>
  </hyperlinks>
  <drawing r:id="rId432"/>
  <legacyDrawing r:id="rId433"/>
  <tableParts count="12">
    <tablePart r:id="rId446"/>
    <tablePart r:id="rId447"/>
    <tablePart r:id="rId448"/>
    <tablePart r:id="rId449"/>
    <tablePart r:id="rId450"/>
    <tablePart r:id="rId451"/>
    <tablePart r:id="rId452"/>
    <tablePart r:id="rId453"/>
    <tablePart r:id="rId454"/>
    <tablePart r:id="rId455"/>
    <tablePart r:id="rId456"/>
    <tablePart r:id="rId45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8959</v>
      </c>
      <c r="C1" s="1464" t="s">
        <v>8960</v>
      </c>
      <c r="D1" s="1465" t="s">
        <v>8961</v>
      </c>
      <c r="E1" s="1465" t="s">
        <v>8251</v>
      </c>
      <c r="F1" s="1465" t="s">
        <v>8252</v>
      </c>
      <c r="G1" s="1465" t="s">
        <v>8962</v>
      </c>
      <c r="H1" s="1466" t="s">
        <v>8963</v>
      </c>
      <c r="I1" s="1466" t="s">
        <v>8964</v>
      </c>
      <c r="J1" s="1467" t="s">
        <v>8263</v>
      </c>
      <c r="K1" s="1467" t="s">
        <v>8965</v>
      </c>
      <c r="L1" s="1467" t="s">
        <v>8966</v>
      </c>
      <c r="M1" s="1467" t="s">
        <v>8967</v>
      </c>
      <c r="N1" s="1467" t="s">
        <v>8326</v>
      </c>
      <c r="O1" s="1467" t="s">
        <v>8968</v>
      </c>
      <c r="P1" s="1467" t="s">
        <v>8969</v>
      </c>
      <c r="Q1" s="1468" t="s">
        <v>8970</v>
      </c>
      <c r="R1" s="1468" t="s">
        <v>8259</v>
      </c>
      <c r="S1" s="1468" t="s">
        <v>8971</v>
      </c>
      <c r="T1" s="1468" t="s">
        <v>8972</v>
      </c>
      <c r="U1" s="1468" t="s">
        <v>8973</v>
      </c>
      <c r="V1" s="1468" t="s">
        <v>8974</v>
      </c>
      <c r="W1" s="1469" t="s">
        <v>8253</v>
      </c>
      <c r="X1" s="1469" t="s">
        <v>8254</v>
      </c>
      <c r="Y1" s="1469" t="s">
        <v>8975</v>
      </c>
      <c r="Z1" s="1469" t="s">
        <v>8976</v>
      </c>
      <c r="AA1" s="1469" t="s">
        <v>8256</v>
      </c>
      <c r="AB1" s="1469" t="s">
        <v>8977</v>
      </c>
      <c r="AC1" s="1469" t="s">
        <v>8978</v>
      </c>
      <c r="AD1" s="1465" t="s">
        <v>8979</v>
      </c>
      <c r="AE1" s="1465" t="s">
        <v>8980</v>
      </c>
      <c r="AF1" s="1470" t="s">
        <v>8260</v>
      </c>
      <c r="AG1" s="1470" t="s">
        <v>8981</v>
      </c>
      <c r="AH1" s="1470" t="s">
        <v>8982</v>
      </c>
      <c r="AI1" s="1470" t="s">
        <v>8261</v>
      </c>
      <c r="AJ1" s="1470" t="s">
        <v>8983</v>
      </c>
      <c r="AK1" s="1470" t="s">
        <v>8984</v>
      </c>
      <c r="AL1" s="1470" t="s">
        <v>8985</v>
      </c>
      <c r="AM1" s="1471" t="s">
        <v>8262</v>
      </c>
      <c r="AN1" s="1471" t="s">
        <v>8986</v>
      </c>
      <c r="AO1" s="1471" t="s">
        <v>8987</v>
      </c>
      <c r="AP1" s="1471" t="s">
        <v>8988</v>
      </c>
      <c r="AQ1" s="1471" t="s">
        <v>8989</v>
      </c>
      <c r="AR1" s="1471" t="s">
        <v>8990</v>
      </c>
      <c r="AS1" s="1471" t="s">
        <v>8991</v>
      </c>
      <c r="AT1" s="1472" t="s">
        <v>8992</v>
      </c>
      <c r="AU1" s="1473" t="s">
        <v>8993</v>
      </c>
      <c r="AV1" s="1474" t="s">
        <v>8994</v>
      </c>
      <c r="AW1" s="1475" t="s">
        <v>8995</v>
      </c>
    </row>
    <row r="2" ht="15.75" customHeight="1">
      <c r="A2" s="1476" t="s">
        <v>8996</v>
      </c>
      <c r="B2" s="1477" t="s">
        <v>8997</v>
      </c>
      <c r="C2" s="1478">
        <v>0.04882025462962963</v>
      </c>
      <c r="D2" s="1479" t="s">
        <v>8998</v>
      </c>
      <c r="E2" s="1479" t="s">
        <v>8999</v>
      </c>
      <c r="F2" s="1480" t="s">
        <v>9000</v>
      </c>
      <c r="G2" s="1479" t="s">
        <v>9001</v>
      </c>
      <c r="H2" s="1481" t="s">
        <v>6316</v>
      </c>
      <c r="I2" s="1481" t="s">
        <v>9002</v>
      </c>
      <c r="J2" s="1482" t="s">
        <v>5201</v>
      </c>
      <c r="K2" s="1483" t="s">
        <v>9003</v>
      </c>
      <c r="L2" s="1483" t="s">
        <v>234</v>
      </c>
      <c r="M2" s="1483" t="s">
        <v>6291</v>
      </c>
      <c r="N2" s="1483" t="s">
        <v>4067</v>
      </c>
      <c r="O2" s="1483" t="s">
        <v>9004</v>
      </c>
      <c r="P2" s="1483" t="s">
        <v>9005</v>
      </c>
      <c r="Q2" s="1484" t="s">
        <v>9006</v>
      </c>
      <c r="R2" s="1485" t="s">
        <v>9007</v>
      </c>
      <c r="S2" s="1484" t="s">
        <v>6807</v>
      </c>
      <c r="T2" s="1485" t="s">
        <v>3273</v>
      </c>
      <c r="U2" s="1484" t="s">
        <v>6987</v>
      </c>
      <c r="V2" s="1484" t="s">
        <v>3772</v>
      </c>
      <c r="W2" s="1486" t="s">
        <v>6512</v>
      </c>
      <c r="X2" s="1487" t="s">
        <v>9008</v>
      </c>
      <c r="Y2" s="1487" t="s">
        <v>5882</v>
      </c>
      <c r="Z2" s="1488" t="s">
        <v>6870</v>
      </c>
      <c r="AA2" s="1487" t="s">
        <v>9009</v>
      </c>
      <c r="AB2" s="1487" t="s">
        <v>9010</v>
      </c>
      <c r="AC2" s="1488" t="s">
        <v>4093</v>
      </c>
      <c r="AD2" s="1489" t="s">
        <v>9011</v>
      </c>
      <c r="AE2" s="1490" t="s">
        <v>4797</v>
      </c>
      <c r="AF2" s="1491" t="s">
        <v>9012</v>
      </c>
      <c r="AG2" s="1491" t="s">
        <v>9013</v>
      </c>
      <c r="AH2" s="1491" t="s">
        <v>3848</v>
      </c>
      <c r="AI2" s="1492" t="s">
        <v>5414</v>
      </c>
      <c r="AJ2" s="1492" t="s">
        <v>9014</v>
      </c>
      <c r="AK2" s="1492" t="s">
        <v>9015</v>
      </c>
      <c r="AL2" s="1492" t="s">
        <v>5660</v>
      </c>
      <c r="AM2" s="1493" t="s">
        <v>9016</v>
      </c>
      <c r="AN2" s="1494" t="s">
        <v>9017</v>
      </c>
      <c r="AO2" s="1494" t="s">
        <v>7088</v>
      </c>
      <c r="AP2" s="1495" t="s">
        <v>9018</v>
      </c>
      <c r="AQ2" s="1493" t="s">
        <v>9019</v>
      </c>
      <c r="AR2" s="1494" t="s">
        <v>9020</v>
      </c>
      <c r="AS2" s="1493" t="s">
        <v>1331</v>
      </c>
      <c r="AT2" s="1496" t="s">
        <v>9021</v>
      </c>
      <c r="AU2" s="1497" t="s">
        <v>9022</v>
      </c>
      <c r="AV2" s="1497" t="str">
        <f t="shared" ref="AV2:AV101" si="1">TEXT(AU2-C2,"m:ss")</f>
        <v>2:23</v>
      </c>
      <c r="AW2" s="1498"/>
    </row>
    <row r="3" ht="15.75" customHeight="1">
      <c r="A3" s="1499" t="s">
        <v>9023</v>
      </c>
      <c r="B3" s="1500" t="s">
        <v>9024</v>
      </c>
      <c r="C3" s="1501">
        <v>0.04932685185185185</v>
      </c>
      <c r="D3" s="1502" t="s">
        <v>9025</v>
      </c>
      <c r="E3" s="1502" t="s">
        <v>6701</v>
      </c>
      <c r="F3" s="1502" t="s">
        <v>9026</v>
      </c>
      <c r="G3" s="1502" t="s">
        <v>9027</v>
      </c>
      <c r="H3" s="1503" t="s">
        <v>9028</v>
      </c>
      <c r="I3" s="1503" t="s">
        <v>9029</v>
      </c>
      <c r="J3" s="1504" t="s">
        <v>1350</v>
      </c>
      <c r="K3" s="1504" t="s">
        <v>9030</v>
      </c>
      <c r="L3" s="1504" t="s">
        <v>2948</v>
      </c>
      <c r="M3" s="1504" t="s">
        <v>9031</v>
      </c>
      <c r="N3" s="1504" t="s">
        <v>2500</v>
      </c>
      <c r="O3" s="1504" t="s">
        <v>9032</v>
      </c>
      <c r="P3" s="1504" t="s">
        <v>5598</v>
      </c>
      <c r="Q3" s="1505" t="s">
        <v>5833</v>
      </c>
      <c r="R3" s="1505" t="s">
        <v>9033</v>
      </c>
      <c r="S3" s="1505" t="s">
        <v>9034</v>
      </c>
      <c r="T3" s="1505" t="s">
        <v>9035</v>
      </c>
      <c r="U3" s="1506" t="s">
        <v>7351</v>
      </c>
      <c r="V3" s="1505" t="s">
        <v>9036</v>
      </c>
      <c r="W3" s="1507" t="s">
        <v>4149</v>
      </c>
      <c r="X3" s="1507" t="s">
        <v>6015</v>
      </c>
      <c r="Y3" s="1508" t="s">
        <v>9037</v>
      </c>
      <c r="Z3" s="1508" t="s">
        <v>1337</v>
      </c>
      <c r="AA3" s="1508" t="s">
        <v>5784</v>
      </c>
      <c r="AB3" s="1507" t="s">
        <v>6790</v>
      </c>
      <c r="AC3" s="1508" t="s">
        <v>9038</v>
      </c>
      <c r="AD3" s="1502" t="s">
        <v>9039</v>
      </c>
      <c r="AE3" s="1502" t="s">
        <v>9040</v>
      </c>
      <c r="AF3" s="1509" t="s">
        <v>9041</v>
      </c>
      <c r="AG3" s="1510" t="s">
        <v>4609</v>
      </c>
      <c r="AH3" s="1510" t="s">
        <v>9042</v>
      </c>
      <c r="AI3" s="1510" t="s">
        <v>9043</v>
      </c>
      <c r="AJ3" s="1509" t="s">
        <v>9044</v>
      </c>
      <c r="AK3" s="1510" t="s">
        <v>3377</v>
      </c>
      <c r="AL3" s="1510" t="s">
        <v>9045</v>
      </c>
      <c r="AM3" s="1511" t="s">
        <v>9046</v>
      </c>
      <c r="AN3" s="1511" t="s">
        <v>4750</v>
      </c>
      <c r="AO3" s="1512" t="s">
        <v>7299</v>
      </c>
      <c r="AP3" s="1512" t="s">
        <v>9047</v>
      </c>
      <c r="AQ3" s="1512" t="s">
        <v>9048</v>
      </c>
      <c r="AR3" s="1512" t="s">
        <v>4074</v>
      </c>
      <c r="AS3" s="1511" t="s">
        <v>4875</v>
      </c>
      <c r="AT3" s="1504" t="s">
        <v>9049</v>
      </c>
      <c r="AU3" s="1513" t="s">
        <v>9050</v>
      </c>
      <c r="AV3" s="1513" t="str">
        <f t="shared" si="1"/>
        <v>3:56</v>
      </c>
      <c r="AW3" s="1514"/>
    </row>
    <row r="4" ht="15.75" customHeight="1">
      <c r="A4" s="1515" t="s">
        <v>9051</v>
      </c>
      <c r="B4" s="1516" t="s">
        <v>9052</v>
      </c>
      <c r="C4" s="1517">
        <v>0.050637731481481485</v>
      </c>
      <c r="D4" s="1518" t="s">
        <v>9053</v>
      </c>
      <c r="E4" s="1518" t="s">
        <v>9054</v>
      </c>
      <c r="F4" s="1518" t="s">
        <v>9055</v>
      </c>
      <c r="G4" s="1518" t="s">
        <v>9056</v>
      </c>
      <c r="H4" s="1519" t="s">
        <v>9057</v>
      </c>
      <c r="I4" s="1519" t="s">
        <v>350</v>
      </c>
      <c r="J4" s="1520" t="s">
        <v>9058</v>
      </c>
      <c r="K4" s="1520" t="s">
        <v>6338</v>
      </c>
      <c r="L4" s="1520" t="s">
        <v>3806</v>
      </c>
      <c r="M4" s="1520" t="s">
        <v>9059</v>
      </c>
      <c r="N4" s="1520" t="s">
        <v>9016</v>
      </c>
      <c r="O4" s="1520" t="s">
        <v>9060</v>
      </c>
      <c r="P4" s="1520" t="s">
        <v>9061</v>
      </c>
      <c r="Q4" s="1521" t="s">
        <v>9062</v>
      </c>
      <c r="R4" s="1521" t="s">
        <v>9063</v>
      </c>
      <c r="S4" s="1521" t="s">
        <v>2267</v>
      </c>
      <c r="T4" s="1521" t="s">
        <v>9064</v>
      </c>
      <c r="U4" s="1521" t="s">
        <v>9065</v>
      </c>
      <c r="V4" s="1521" t="s">
        <v>4287</v>
      </c>
      <c r="W4" s="1522" t="s">
        <v>9066</v>
      </c>
      <c r="X4" s="1522" t="s">
        <v>9067</v>
      </c>
      <c r="Y4" s="1522">
        <v>47.93</v>
      </c>
      <c r="Z4" s="1522" t="s">
        <v>9068</v>
      </c>
      <c r="AA4" s="1522" t="s">
        <v>9069</v>
      </c>
      <c r="AB4" s="1522" t="s">
        <v>9070</v>
      </c>
      <c r="AC4" s="1522">
        <v>49.24</v>
      </c>
      <c r="AD4" s="1523" t="s">
        <v>9071</v>
      </c>
      <c r="AE4" s="1524" t="s">
        <v>5578</v>
      </c>
      <c r="AF4" s="1525" t="s">
        <v>2804</v>
      </c>
      <c r="AG4" s="1525" t="s">
        <v>4604</v>
      </c>
      <c r="AH4" s="1525" t="s">
        <v>5267</v>
      </c>
      <c r="AI4" s="1525" t="s">
        <v>9072</v>
      </c>
      <c r="AJ4" s="1525" t="s">
        <v>9073</v>
      </c>
      <c r="AK4" s="1525" t="s">
        <v>884</v>
      </c>
      <c r="AL4" s="1525" t="s">
        <v>9074</v>
      </c>
      <c r="AM4" s="1526" t="s">
        <v>9075</v>
      </c>
      <c r="AN4" s="1527" t="s">
        <v>9076</v>
      </c>
      <c r="AO4" s="1526" t="s">
        <v>9077</v>
      </c>
      <c r="AP4" s="1527" t="s">
        <v>9078</v>
      </c>
      <c r="AQ4" s="1526" t="s">
        <v>9079</v>
      </c>
      <c r="AR4" s="1526" t="s">
        <v>7506</v>
      </c>
      <c r="AS4" s="1526" t="s">
        <v>754</v>
      </c>
      <c r="AT4" s="1528" t="s">
        <v>9080</v>
      </c>
      <c r="AU4" s="1529" t="s">
        <v>9081</v>
      </c>
      <c r="AV4" s="1530" t="str">
        <f t="shared" si="1"/>
        <v>2:49</v>
      </c>
      <c r="AW4" s="1498"/>
    </row>
    <row r="5" ht="15.75" customHeight="1">
      <c r="A5" s="1531" t="s">
        <v>1056</v>
      </c>
      <c r="B5" s="1532" t="s">
        <v>8997</v>
      </c>
      <c r="C5" s="1533">
        <v>0.04900462962962963</v>
      </c>
      <c r="D5" s="1534" t="s">
        <v>8998</v>
      </c>
      <c r="E5" s="1534" t="s">
        <v>8999</v>
      </c>
      <c r="F5" s="1535" t="s">
        <v>9082</v>
      </c>
      <c r="G5" s="1536" t="s">
        <v>9001</v>
      </c>
      <c r="H5" s="1534" t="s">
        <v>6316</v>
      </c>
      <c r="I5" s="1534" t="s">
        <v>9002</v>
      </c>
      <c r="J5" s="1536" t="s">
        <v>5201</v>
      </c>
      <c r="K5" s="1537" t="s">
        <v>9083</v>
      </c>
      <c r="L5" s="1535" t="s">
        <v>2309</v>
      </c>
      <c r="M5" s="1537" t="s">
        <v>2572</v>
      </c>
      <c r="N5" s="1538" t="s">
        <v>4067</v>
      </c>
      <c r="O5" s="1539" t="s">
        <v>9084</v>
      </c>
      <c r="P5" s="1538" t="s">
        <v>9005</v>
      </c>
      <c r="Q5" s="1538" t="s">
        <v>9006</v>
      </c>
      <c r="R5" s="1536" t="s">
        <v>9007</v>
      </c>
      <c r="S5" s="1538" t="s">
        <v>6807</v>
      </c>
      <c r="T5" s="1536" t="s">
        <v>3273</v>
      </c>
      <c r="U5" s="1538" t="s">
        <v>6987</v>
      </c>
      <c r="V5" s="1540" t="s">
        <v>3772</v>
      </c>
      <c r="W5" s="1534" t="s">
        <v>6512</v>
      </c>
      <c r="X5" s="1536" t="s">
        <v>9008</v>
      </c>
      <c r="Y5" s="1536" t="s">
        <v>5882</v>
      </c>
      <c r="Z5" s="1539" t="s">
        <v>5060</v>
      </c>
      <c r="AA5" s="1536" t="s">
        <v>9009</v>
      </c>
      <c r="AB5" s="1535" t="s">
        <v>3294</v>
      </c>
      <c r="AC5" s="1538" t="s">
        <v>4093</v>
      </c>
      <c r="AD5" s="1536" t="s">
        <v>9011</v>
      </c>
      <c r="AE5" s="1537" t="s">
        <v>8075</v>
      </c>
      <c r="AF5" s="1451" t="s">
        <v>9085</v>
      </c>
      <c r="AG5" s="1329" t="s">
        <v>9086</v>
      </c>
      <c r="AH5" s="1535" t="s">
        <v>5650</v>
      </c>
      <c r="AI5" s="1538" t="s">
        <v>5414</v>
      </c>
      <c r="AJ5" s="1329" t="s">
        <v>9087</v>
      </c>
      <c r="AK5" s="1538" t="s">
        <v>9015</v>
      </c>
      <c r="AL5" s="1536" t="s">
        <v>5660</v>
      </c>
      <c r="AM5" s="1536" t="s">
        <v>9016</v>
      </c>
      <c r="AN5" s="1539" t="s">
        <v>5349</v>
      </c>
      <c r="AO5" s="1537" t="s">
        <v>6808</v>
      </c>
      <c r="AP5" s="1536" t="s">
        <v>9018</v>
      </c>
      <c r="AQ5" s="1536" t="s">
        <v>9019</v>
      </c>
      <c r="AR5" s="1329" t="s">
        <v>9088</v>
      </c>
      <c r="AS5" s="1539" t="s">
        <v>4498</v>
      </c>
      <c r="AT5" s="1535" t="s">
        <v>9089</v>
      </c>
      <c r="AU5" s="1541" t="s">
        <v>9090</v>
      </c>
      <c r="AV5" s="1451" t="str">
        <f t="shared" si="1"/>
        <v>2:03</v>
      </c>
      <c r="AW5" s="1542" t="s">
        <v>9091</v>
      </c>
    </row>
    <row r="6">
      <c r="A6" s="1543" t="s">
        <v>2543</v>
      </c>
      <c r="B6" s="1544" t="s">
        <v>8997</v>
      </c>
      <c r="C6" s="1545">
        <v>0.04926921296296296</v>
      </c>
      <c r="D6" s="1546" t="s">
        <v>9092</v>
      </c>
      <c r="E6" s="1546" t="s">
        <v>2780</v>
      </c>
      <c r="F6" s="1546" t="s">
        <v>9093</v>
      </c>
      <c r="G6" s="1546" t="s">
        <v>9094</v>
      </c>
      <c r="H6" s="1547" t="s">
        <v>9095</v>
      </c>
      <c r="I6" s="1547" t="s">
        <v>2552</v>
      </c>
      <c r="J6" s="1548" t="s">
        <v>9096</v>
      </c>
      <c r="K6" s="1548" t="s">
        <v>7509</v>
      </c>
      <c r="L6" s="1548" t="s">
        <v>9097</v>
      </c>
      <c r="M6" s="1548" t="s">
        <v>9098</v>
      </c>
      <c r="N6" s="1548" t="s">
        <v>102</v>
      </c>
      <c r="O6" s="1548" t="s">
        <v>9099</v>
      </c>
      <c r="P6" s="1548" t="s">
        <v>1090</v>
      </c>
      <c r="Q6" s="1549" t="s">
        <v>9100</v>
      </c>
      <c r="R6" s="1549" t="s">
        <v>3640</v>
      </c>
      <c r="S6" s="1549" t="s">
        <v>9101</v>
      </c>
      <c r="T6" s="1549" t="s">
        <v>3021</v>
      </c>
      <c r="U6" s="1549" t="s">
        <v>9102</v>
      </c>
      <c r="V6" s="1549" t="s">
        <v>9103</v>
      </c>
      <c r="W6" s="1550" t="s">
        <v>9104</v>
      </c>
      <c r="X6" s="1550" t="s">
        <v>4784</v>
      </c>
      <c r="Y6" s="1550" t="s">
        <v>9105</v>
      </c>
      <c r="Z6" s="1550" t="s">
        <v>7042</v>
      </c>
      <c r="AA6" s="1550" t="s">
        <v>9106</v>
      </c>
      <c r="AB6" s="1550" t="s">
        <v>9107</v>
      </c>
      <c r="AC6" s="1550" t="s">
        <v>8523</v>
      </c>
      <c r="AD6" s="1546" t="s">
        <v>9108</v>
      </c>
      <c r="AE6" s="1546" t="s">
        <v>9109</v>
      </c>
      <c r="AF6" s="1551" t="s">
        <v>9110</v>
      </c>
      <c r="AG6" s="1551" t="s">
        <v>6038</v>
      </c>
      <c r="AH6" s="1551" t="s">
        <v>3267</v>
      </c>
      <c r="AI6" s="1551" t="s">
        <v>9111</v>
      </c>
      <c r="AJ6" s="1551" t="s">
        <v>9112</v>
      </c>
      <c r="AK6" s="1551" t="s">
        <v>9016</v>
      </c>
      <c r="AL6" s="1551" t="s">
        <v>1738</v>
      </c>
      <c r="AM6" s="1552" t="s">
        <v>5026</v>
      </c>
      <c r="AN6" s="1552" t="s">
        <v>6304</v>
      </c>
      <c r="AO6" s="1552" t="s">
        <v>9113</v>
      </c>
      <c r="AP6" s="1552" t="s">
        <v>9114</v>
      </c>
      <c r="AQ6" s="1552" t="s">
        <v>4769</v>
      </c>
      <c r="AR6" s="1552" t="s">
        <v>6838</v>
      </c>
      <c r="AS6" s="1552" t="s">
        <v>2070</v>
      </c>
      <c r="AT6" s="1548" t="s">
        <v>9115</v>
      </c>
      <c r="AU6" s="1553" t="s">
        <v>9116</v>
      </c>
      <c r="AV6" s="1554" t="str">
        <f t="shared" si="1"/>
        <v>2:02</v>
      </c>
      <c r="AW6" s="1555"/>
    </row>
    <row r="7" ht="15.75" customHeight="1">
      <c r="A7" s="1556" t="s">
        <v>435</v>
      </c>
      <c r="B7" s="1532" t="s">
        <v>8997</v>
      </c>
      <c r="C7" s="1533">
        <v>0.0493287037037037</v>
      </c>
      <c r="D7" s="1557" t="s">
        <v>9117</v>
      </c>
      <c r="E7" s="1558" t="s">
        <v>9118</v>
      </c>
      <c r="F7" s="1558" t="s">
        <v>9119</v>
      </c>
      <c r="G7" s="1558" t="s">
        <v>9120</v>
      </c>
      <c r="H7" s="1558" t="s">
        <v>9121</v>
      </c>
      <c r="I7" s="1559" t="s">
        <v>9122</v>
      </c>
      <c r="J7" s="1558" t="s">
        <v>9123</v>
      </c>
      <c r="K7" s="1558" t="s">
        <v>780</v>
      </c>
      <c r="L7" s="1558" t="s">
        <v>9124</v>
      </c>
      <c r="M7" s="1558" t="s">
        <v>2572</v>
      </c>
      <c r="N7" s="1558" t="s">
        <v>9125</v>
      </c>
      <c r="O7" s="1558" t="s">
        <v>9126</v>
      </c>
      <c r="P7" s="1558" t="s">
        <v>1283</v>
      </c>
      <c r="Q7" s="1560" t="s">
        <v>1565</v>
      </c>
      <c r="R7" s="1558" t="s">
        <v>4448</v>
      </c>
      <c r="S7" s="1558" t="s">
        <v>9123</v>
      </c>
      <c r="T7" s="1558" t="s">
        <v>5229</v>
      </c>
      <c r="U7" s="1560" t="s">
        <v>9127</v>
      </c>
      <c r="V7" s="1561" t="s">
        <v>8840</v>
      </c>
      <c r="W7" s="1558" t="s">
        <v>9128</v>
      </c>
      <c r="X7" s="1558" t="s">
        <v>6621</v>
      </c>
      <c r="Y7" s="1562">
        <v>46.72</v>
      </c>
      <c r="Z7" s="1562" t="s">
        <v>3700</v>
      </c>
      <c r="AA7" s="1558" t="s">
        <v>3712</v>
      </c>
      <c r="AB7" s="1563" t="s">
        <v>9010</v>
      </c>
      <c r="AC7" s="1558" t="s">
        <v>5511</v>
      </c>
      <c r="AD7" s="1558" t="s">
        <v>7006</v>
      </c>
      <c r="AE7" s="1564" t="s">
        <v>4797</v>
      </c>
      <c r="AF7" s="1562" t="s">
        <v>9129</v>
      </c>
      <c r="AG7" s="1561" t="s">
        <v>6179</v>
      </c>
      <c r="AH7" s="1563" t="s">
        <v>3848</v>
      </c>
      <c r="AI7" s="1558" t="s">
        <v>6074</v>
      </c>
      <c r="AJ7" s="1562" t="s">
        <v>9130</v>
      </c>
      <c r="AK7" s="1562" t="s">
        <v>5986</v>
      </c>
      <c r="AL7" s="1561" t="s">
        <v>6304</v>
      </c>
      <c r="AM7" s="1558" t="s">
        <v>9131</v>
      </c>
      <c r="AN7" s="1561" t="s">
        <v>4253</v>
      </c>
      <c r="AO7" s="1561" t="s">
        <v>2845</v>
      </c>
      <c r="AP7" s="1561" t="s">
        <v>9132</v>
      </c>
      <c r="AQ7" s="1451" t="s">
        <v>9133</v>
      </c>
      <c r="AR7" s="1561" t="s">
        <v>9134</v>
      </c>
      <c r="AS7" s="1561" t="s">
        <v>9135</v>
      </c>
      <c r="AT7" s="1561" t="s">
        <v>9136</v>
      </c>
      <c r="AU7" s="1565" t="s">
        <v>9137</v>
      </c>
      <c r="AV7" s="1451" t="str">
        <f t="shared" si="1"/>
        <v>2:15</v>
      </c>
      <c r="AW7" s="1542"/>
    </row>
    <row r="8" ht="15.75" customHeight="1">
      <c r="A8" s="1531" t="s">
        <v>6719</v>
      </c>
      <c r="B8" s="1532" t="s">
        <v>8997</v>
      </c>
      <c r="C8" s="1533">
        <v>0.049444444444444444</v>
      </c>
      <c r="D8" s="1539" t="s">
        <v>9138</v>
      </c>
      <c r="E8" s="1539" t="s">
        <v>9139</v>
      </c>
      <c r="F8" s="1559" t="s">
        <v>9140</v>
      </c>
      <c r="G8" s="1537" t="s">
        <v>9141</v>
      </c>
      <c r="H8" s="1559" t="s">
        <v>9142</v>
      </c>
      <c r="I8" s="1559" t="s">
        <v>2954</v>
      </c>
      <c r="J8" s="1539" t="s">
        <v>9143</v>
      </c>
      <c r="K8" s="1559" t="s">
        <v>3531</v>
      </c>
      <c r="L8" s="1559" t="s">
        <v>4189</v>
      </c>
      <c r="M8" s="1559" t="s">
        <v>6609</v>
      </c>
      <c r="N8" s="1539" t="s">
        <v>9144</v>
      </c>
      <c r="O8" s="1559" t="s">
        <v>9145</v>
      </c>
      <c r="P8" s="1451" t="s">
        <v>8065</v>
      </c>
      <c r="Q8" s="1539" t="s">
        <v>9146</v>
      </c>
      <c r="R8" s="1559" t="s">
        <v>6798</v>
      </c>
      <c r="S8" s="1559" t="s">
        <v>3438</v>
      </c>
      <c r="T8" s="1451" t="s">
        <v>9147</v>
      </c>
      <c r="U8" s="1559" t="s">
        <v>9148</v>
      </c>
      <c r="V8" s="1559" t="s">
        <v>5209</v>
      </c>
      <c r="W8" s="1566" t="s">
        <v>9149</v>
      </c>
      <c r="X8" s="1451" t="s">
        <v>2571</v>
      </c>
      <c r="Y8" s="1567" t="s">
        <v>9150</v>
      </c>
      <c r="Z8" s="1559" t="s">
        <v>7247</v>
      </c>
      <c r="AA8" s="1568" t="str">
        <f>HYPERLINK("https://www.twitch.tv/videos/571775470","1:28.03")</f>
        <v>1:28.03</v>
      </c>
      <c r="AB8" s="1451" t="s">
        <v>415</v>
      </c>
      <c r="AC8" s="1059" t="str">
        <f>HYPERLINK("https://clips.twitch.tv/HelpfulSaltyCoyoteHoneyBadger","47.31")</f>
        <v>47.31</v>
      </c>
      <c r="AD8" s="1568" t="str">
        <f>HYPERLINK("https://www.twitch.tv/videos/625954575","1:47.79")</f>
        <v>1:47.79</v>
      </c>
      <c r="AE8" s="1451" t="s">
        <v>9151</v>
      </c>
      <c r="AF8" s="1451" t="s">
        <v>9152</v>
      </c>
      <c r="AG8" s="1568" t="str">
        <f>HYPERLINK("https://www.twitch.tv/videos/566334947","1:28.73")</f>
        <v>1:28.73</v>
      </c>
      <c r="AH8" s="1559" t="s">
        <v>9153</v>
      </c>
      <c r="AI8" s="1569" t="str">
        <f>HYPERLINK("https://www.twitch.tv/videos/584107631","1:27.68")</f>
        <v>1:27.68</v>
      </c>
      <c r="AJ8" s="1451" t="s">
        <v>9154</v>
      </c>
      <c r="AK8" s="1559" t="s">
        <v>6800</v>
      </c>
      <c r="AL8" s="1559" t="s">
        <v>9155</v>
      </c>
      <c r="AM8" s="1539" t="s">
        <v>4542</v>
      </c>
      <c r="AN8" s="1539" t="s">
        <v>2784</v>
      </c>
      <c r="AO8" s="1539" t="s">
        <v>6001</v>
      </c>
      <c r="AP8" s="1559" t="s">
        <v>9156</v>
      </c>
      <c r="AQ8" s="1451" t="s">
        <v>9157</v>
      </c>
      <c r="AR8" s="1539" t="s">
        <v>9158</v>
      </c>
      <c r="AS8" s="1059" t="str">
        <f>HYPERLINK("https://www.twitch.tv/videos/571767101","42.91")</f>
        <v>42.91</v>
      </c>
      <c r="AT8" s="1535" t="s">
        <v>9159</v>
      </c>
      <c r="AU8" s="1565" t="s">
        <v>9160</v>
      </c>
      <c r="AV8" s="1451" t="str">
        <f t="shared" si="1"/>
        <v>2:32</v>
      </c>
      <c r="AW8" s="1570" t="s">
        <v>9161</v>
      </c>
    </row>
    <row r="9" ht="15.75" customHeight="1">
      <c r="A9" s="1531" t="s">
        <v>1809</v>
      </c>
      <c r="B9" s="1532" t="s">
        <v>8997</v>
      </c>
      <c r="C9" s="1533">
        <v>0.04949074074074074</v>
      </c>
      <c r="D9" s="1571" t="s">
        <v>9162</v>
      </c>
      <c r="E9" s="1567" t="s">
        <v>9163</v>
      </c>
      <c r="F9" s="1567" t="s">
        <v>2134</v>
      </c>
      <c r="G9" s="1567" t="s">
        <v>9164</v>
      </c>
      <c r="H9" s="1539" t="s">
        <v>9165</v>
      </c>
      <c r="I9" s="1558">
        <v>47.34</v>
      </c>
      <c r="J9" s="1567" t="s">
        <v>1636</v>
      </c>
      <c r="K9" s="1567" t="s">
        <v>7364</v>
      </c>
      <c r="L9" s="1567">
        <v>55.97</v>
      </c>
      <c r="M9" s="1567" t="s">
        <v>2049</v>
      </c>
      <c r="N9" s="1567" t="s">
        <v>9166</v>
      </c>
      <c r="O9" s="1572" t="s">
        <v>9004</v>
      </c>
      <c r="P9" s="1567">
        <v>47.49</v>
      </c>
      <c r="Q9" s="1567" t="s">
        <v>9167</v>
      </c>
      <c r="R9" s="1567" t="s">
        <v>1225</v>
      </c>
      <c r="S9" s="1573" t="s">
        <v>1832</v>
      </c>
      <c r="T9" s="1567" t="s">
        <v>9168</v>
      </c>
      <c r="U9" s="1539" t="s">
        <v>9169</v>
      </c>
      <c r="V9" s="1567">
        <v>59.32</v>
      </c>
      <c r="W9" s="1571" t="s">
        <v>9170</v>
      </c>
      <c r="X9" s="1574" t="s">
        <v>9171</v>
      </c>
      <c r="Y9" s="1567">
        <v>46.65</v>
      </c>
      <c r="Z9" s="1567" t="s">
        <v>9172</v>
      </c>
      <c r="AA9" s="1567" t="s">
        <v>2497</v>
      </c>
      <c r="AB9" s="1567" t="s">
        <v>9173</v>
      </c>
      <c r="AC9" s="1567">
        <v>47.89</v>
      </c>
      <c r="AD9" s="1567" t="s">
        <v>1831</v>
      </c>
      <c r="AE9" s="1567">
        <v>47.98</v>
      </c>
      <c r="AF9" s="1574" t="s">
        <v>9174</v>
      </c>
      <c r="AG9" s="1567" t="s">
        <v>9175</v>
      </c>
      <c r="AH9" s="1567">
        <v>57.45</v>
      </c>
      <c r="AI9" s="1562" t="s">
        <v>6724</v>
      </c>
      <c r="AJ9" s="1575" t="s">
        <v>9087</v>
      </c>
      <c r="AK9" s="1567" t="s">
        <v>5479</v>
      </c>
      <c r="AL9" s="1567">
        <v>56.23</v>
      </c>
      <c r="AM9" s="1571" t="s">
        <v>4021</v>
      </c>
      <c r="AN9" s="1571" t="s">
        <v>9176</v>
      </c>
      <c r="AO9" s="1567" t="s">
        <v>9177</v>
      </c>
      <c r="AP9" s="1567" t="s">
        <v>9178</v>
      </c>
      <c r="AQ9" s="1567" t="s">
        <v>9179</v>
      </c>
      <c r="AR9" s="1574" t="s">
        <v>3922</v>
      </c>
      <c r="AS9" s="1567">
        <v>46.19</v>
      </c>
      <c r="AT9" s="1576" t="s">
        <v>9021</v>
      </c>
      <c r="AU9" s="1451" t="s">
        <v>9180</v>
      </c>
      <c r="AV9" s="1451" t="str">
        <f t="shared" si="1"/>
        <v>1:33</v>
      </c>
      <c r="AW9" s="1570" t="s">
        <v>9181</v>
      </c>
    </row>
    <row r="10">
      <c r="A10" s="1577" t="s">
        <v>825</v>
      </c>
      <c r="B10" s="1578" t="s">
        <v>8997</v>
      </c>
      <c r="C10" s="1533">
        <v>0.04951388888888889</v>
      </c>
      <c r="D10" s="1561" t="s">
        <v>9138</v>
      </c>
      <c r="E10" s="1561" t="s">
        <v>253</v>
      </c>
      <c r="F10" s="1561" t="s">
        <v>9182</v>
      </c>
      <c r="G10" s="1562" t="s">
        <v>9183</v>
      </c>
      <c r="H10" s="1561" t="s">
        <v>9184</v>
      </c>
      <c r="I10" s="1561" t="s">
        <v>4550</v>
      </c>
      <c r="J10" s="1558" t="s">
        <v>1488</v>
      </c>
      <c r="K10" s="1561" t="s">
        <v>9185</v>
      </c>
      <c r="L10" s="1561" t="s">
        <v>9186</v>
      </c>
      <c r="M10" s="1564" t="s">
        <v>6291</v>
      </c>
      <c r="N10" s="1561" t="s">
        <v>5927</v>
      </c>
      <c r="O10" s="1561" t="s">
        <v>9187</v>
      </c>
      <c r="P10" s="1561" t="s">
        <v>6208</v>
      </c>
      <c r="Q10" s="1561" t="s">
        <v>4792</v>
      </c>
      <c r="R10" s="1561" t="s">
        <v>5787</v>
      </c>
      <c r="S10" s="1539" t="s">
        <v>2903</v>
      </c>
      <c r="T10" s="1561" t="s">
        <v>9188</v>
      </c>
      <c r="U10" s="1561" t="s">
        <v>9189</v>
      </c>
      <c r="V10" s="1561" t="s">
        <v>9190</v>
      </c>
      <c r="W10" s="1561" t="s">
        <v>9191</v>
      </c>
      <c r="X10" s="1539" t="s">
        <v>9192</v>
      </c>
      <c r="Y10" s="1561" t="s">
        <v>6208</v>
      </c>
      <c r="Z10" s="1572" t="s">
        <v>6870</v>
      </c>
      <c r="AA10" s="1539" t="s">
        <v>9043</v>
      </c>
      <c r="AB10" s="1561" t="s">
        <v>415</v>
      </c>
      <c r="AC10" s="1561" t="s">
        <v>3794</v>
      </c>
      <c r="AD10" s="1579" t="s">
        <v>3725</v>
      </c>
      <c r="AE10" s="1562">
        <v>47.81</v>
      </c>
      <c r="AF10" s="1561" t="s">
        <v>9193</v>
      </c>
      <c r="AG10" s="1561" t="s">
        <v>9194</v>
      </c>
      <c r="AH10" s="1561" t="s">
        <v>749</v>
      </c>
      <c r="AI10" s="1561" t="s">
        <v>9195</v>
      </c>
      <c r="AJ10" s="1561" t="s">
        <v>9196</v>
      </c>
      <c r="AK10" s="1561" t="s">
        <v>9197</v>
      </c>
      <c r="AL10" s="1561" t="s">
        <v>8643</v>
      </c>
      <c r="AM10" s="1561" t="s">
        <v>4542</v>
      </c>
      <c r="AN10" s="1572" t="s">
        <v>9017</v>
      </c>
      <c r="AO10" s="1572" t="s">
        <v>7088</v>
      </c>
      <c r="AP10" s="1561" t="s">
        <v>9198</v>
      </c>
      <c r="AQ10" s="1561" t="s">
        <v>9199</v>
      </c>
      <c r="AR10" s="1572" t="s">
        <v>9020</v>
      </c>
      <c r="AS10" s="1564" t="s">
        <v>1331</v>
      </c>
      <c r="AT10" s="1561" t="s">
        <v>9200</v>
      </c>
      <c r="AU10" s="1580" t="s">
        <v>9201</v>
      </c>
      <c r="AV10" s="1451" t="str">
        <f t="shared" si="1"/>
        <v>2:15</v>
      </c>
      <c r="AW10" s="1581" t="s">
        <v>9202</v>
      </c>
    </row>
    <row r="11" ht="15.75" customHeight="1">
      <c r="A11" s="1556" t="s">
        <v>330</v>
      </c>
      <c r="B11" s="1532" t="s">
        <v>8997</v>
      </c>
      <c r="C11" s="1533">
        <v>0.04957175925925926</v>
      </c>
      <c r="D11" s="1582" t="s">
        <v>9203</v>
      </c>
      <c r="E11" s="1558" t="s">
        <v>9204</v>
      </c>
      <c r="F11" s="1583" t="s">
        <v>9000</v>
      </c>
      <c r="G11" s="1561" t="s">
        <v>9205</v>
      </c>
      <c r="H11" s="1584" t="s">
        <v>5427</v>
      </c>
      <c r="I11" s="1561" t="s">
        <v>1385</v>
      </c>
      <c r="J11" s="1113" t="s">
        <v>9206</v>
      </c>
      <c r="K11" s="1561" t="s">
        <v>7810</v>
      </c>
      <c r="L11" s="1563" t="s">
        <v>234</v>
      </c>
      <c r="M11" s="1113" t="s">
        <v>9207</v>
      </c>
      <c r="N11" s="1558" t="s">
        <v>9208</v>
      </c>
      <c r="O11" s="1113" t="s">
        <v>9209</v>
      </c>
      <c r="P11" s="1561" t="s">
        <v>6600</v>
      </c>
      <c r="Q11" s="1561" t="s">
        <v>9167</v>
      </c>
      <c r="R11" s="1561" t="s">
        <v>5707</v>
      </c>
      <c r="S11" s="1561" t="s">
        <v>9210</v>
      </c>
      <c r="T11" s="1561" t="s">
        <v>4076</v>
      </c>
      <c r="U11" s="1561" t="s">
        <v>6288</v>
      </c>
      <c r="V11" s="980" t="s">
        <v>5563</v>
      </c>
      <c r="W11" s="1585" t="s">
        <v>9211</v>
      </c>
      <c r="X11" s="1561" t="s">
        <v>9212</v>
      </c>
      <c r="Y11" s="1558">
        <v>46.63</v>
      </c>
      <c r="Z11" s="1067" t="s">
        <v>306</v>
      </c>
      <c r="AA11" s="1558" t="s">
        <v>9213</v>
      </c>
      <c r="AB11" s="1563" t="s">
        <v>9010</v>
      </c>
      <c r="AC11" s="1561" t="s">
        <v>5509</v>
      </c>
      <c r="AD11" s="1561" t="s">
        <v>9214</v>
      </c>
      <c r="AE11" s="1562" t="s">
        <v>9215</v>
      </c>
      <c r="AF11" s="1558" t="s">
        <v>9216</v>
      </c>
      <c r="AG11" s="1567" t="s">
        <v>9217</v>
      </c>
      <c r="AH11" s="1561" t="s">
        <v>9218</v>
      </c>
      <c r="AI11" s="980" t="s">
        <v>9219</v>
      </c>
      <c r="AJ11" s="1562" t="s">
        <v>9220</v>
      </c>
      <c r="AK11" s="1561" t="s">
        <v>1296</v>
      </c>
      <c r="AL11" s="1561" t="s">
        <v>5181</v>
      </c>
      <c r="AM11" s="1561" t="s">
        <v>4076</v>
      </c>
      <c r="AN11" s="1113" t="s">
        <v>9221</v>
      </c>
      <c r="AO11" s="1561" t="s">
        <v>9134</v>
      </c>
      <c r="AP11" s="1561" t="s">
        <v>9222</v>
      </c>
      <c r="AQ11" s="1561" t="s">
        <v>9223</v>
      </c>
      <c r="AR11" s="1561" t="s">
        <v>4629</v>
      </c>
      <c r="AS11" s="1561" t="s">
        <v>9224</v>
      </c>
      <c r="AT11" s="1586" t="s">
        <v>9225</v>
      </c>
      <c r="AU11" s="1580" t="s">
        <v>9226</v>
      </c>
      <c r="AV11" s="1451" t="str">
        <f t="shared" si="1"/>
        <v>2:59</v>
      </c>
      <c r="AW11" s="1587"/>
    </row>
    <row r="12">
      <c r="A12" s="1556" t="s">
        <v>6604</v>
      </c>
      <c r="B12" s="1588" t="s">
        <v>8997</v>
      </c>
      <c r="C12" s="1533">
        <v>0.04958333333333333</v>
      </c>
      <c r="D12" s="980" t="s">
        <v>9227</v>
      </c>
      <c r="E12" s="1567" t="s">
        <v>6564</v>
      </c>
      <c r="F12" s="1567" t="s">
        <v>9228</v>
      </c>
      <c r="G12" s="1567" t="s">
        <v>9229</v>
      </c>
      <c r="H12" s="1571" t="s">
        <v>9230</v>
      </c>
      <c r="I12" s="1571" t="s">
        <v>5773</v>
      </c>
      <c r="J12" s="1571" t="s">
        <v>151</v>
      </c>
      <c r="K12" s="1571" t="s">
        <v>6997</v>
      </c>
      <c r="L12" s="1567">
        <v>56.42</v>
      </c>
      <c r="M12" s="1567" t="s">
        <v>1118</v>
      </c>
      <c r="N12" s="1567" t="s">
        <v>9231</v>
      </c>
      <c r="O12" s="1571" t="s">
        <v>9232</v>
      </c>
      <c r="P12" s="1571" t="s">
        <v>280</v>
      </c>
      <c r="Q12" s="1571" t="s">
        <v>9233</v>
      </c>
      <c r="R12" s="1567" t="s">
        <v>9234</v>
      </c>
      <c r="S12" s="1571" t="s">
        <v>9235</v>
      </c>
      <c r="T12" s="1571" t="s">
        <v>5026</v>
      </c>
      <c r="U12" s="1571" t="s">
        <v>9236</v>
      </c>
      <c r="V12" s="1567">
        <v>59.45</v>
      </c>
      <c r="W12" s="1571" t="s">
        <v>9237</v>
      </c>
      <c r="X12" s="1571" t="s">
        <v>9238</v>
      </c>
      <c r="Y12" s="1571" t="s">
        <v>5133</v>
      </c>
      <c r="Z12" s="1567" t="s">
        <v>4183</v>
      </c>
      <c r="AA12" s="1567" t="s">
        <v>3216</v>
      </c>
      <c r="AB12" s="1567" t="s">
        <v>4597</v>
      </c>
      <c r="AC12" s="1571" t="s">
        <v>4904</v>
      </c>
      <c r="AD12" s="1571" t="s">
        <v>9239</v>
      </c>
      <c r="AE12" s="1567">
        <v>47.89</v>
      </c>
      <c r="AF12" s="1567" t="s">
        <v>9240</v>
      </c>
      <c r="AG12" s="1564" t="s">
        <v>9013</v>
      </c>
      <c r="AH12" s="1567">
        <v>57.71</v>
      </c>
      <c r="AI12" s="1571" t="s">
        <v>2228</v>
      </c>
      <c r="AJ12" s="1567" t="s">
        <v>9241</v>
      </c>
      <c r="AK12" s="1571" t="s">
        <v>6811</v>
      </c>
      <c r="AL12" s="1567">
        <v>56.69</v>
      </c>
      <c r="AM12" s="1571" t="s">
        <v>9242</v>
      </c>
      <c r="AN12" s="1571" t="s">
        <v>4144</v>
      </c>
      <c r="AO12" s="1571" t="s">
        <v>2938</v>
      </c>
      <c r="AP12" s="1567" t="s">
        <v>9243</v>
      </c>
      <c r="AQ12" s="1571" t="s">
        <v>9244</v>
      </c>
      <c r="AR12" s="1571" t="s">
        <v>9245</v>
      </c>
      <c r="AS12" s="1567">
        <v>43.65</v>
      </c>
      <c r="AT12" s="1571" t="s">
        <v>9246</v>
      </c>
      <c r="AU12" s="1565" t="s">
        <v>9247</v>
      </c>
      <c r="AV12" s="1451" t="str">
        <f t="shared" si="1"/>
        <v>1:34</v>
      </c>
      <c r="AW12" s="1589" t="s">
        <v>9248</v>
      </c>
    </row>
    <row r="13" ht="15.75" customHeight="1">
      <c r="A13" s="1590" t="s">
        <v>7129</v>
      </c>
      <c r="B13" s="1532" t="s">
        <v>8997</v>
      </c>
      <c r="C13" s="1533">
        <v>0.04967592592592593</v>
      </c>
      <c r="D13" s="980" t="s">
        <v>9249</v>
      </c>
      <c r="E13" s="1559" t="s">
        <v>954</v>
      </c>
      <c r="F13" s="1559" t="s">
        <v>9250</v>
      </c>
      <c r="G13" s="1559" t="s">
        <v>9251</v>
      </c>
      <c r="H13" s="980" t="s">
        <v>9252</v>
      </c>
      <c r="I13" s="1559" t="s">
        <v>9253</v>
      </c>
      <c r="J13" s="1559" t="s">
        <v>9254</v>
      </c>
      <c r="K13" s="1559" t="s">
        <v>6527</v>
      </c>
      <c r="L13" s="1559" t="s">
        <v>4503</v>
      </c>
      <c r="M13" s="1559" t="s">
        <v>8817</v>
      </c>
      <c r="N13" s="1559" t="s">
        <v>2224</v>
      </c>
      <c r="O13" s="1559" t="s">
        <v>3334</v>
      </c>
      <c r="P13" s="1559" t="s">
        <v>9253</v>
      </c>
      <c r="Q13" s="1559" t="s">
        <v>9255</v>
      </c>
      <c r="R13" s="1559" t="s">
        <v>1225</v>
      </c>
      <c r="S13" s="1591" t="s">
        <v>9256</v>
      </c>
      <c r="T13" s="1559" t="s">
        <v>4917</v>
      </c>
      <c r="U13" s="1559" t="s">
        <v>9257</v>
      </c>
      <c r="V13" s="1559" t="s">
        <v>9258</v>
      </c>
      <c r="W13" s="1559" t="s">
        <v>9259</v>
      </c>
      <c r="X13" s="1559" t="s">
        <v>1047</v>
      </c>
      <c r="Y13" s="1559" t="s">
        <v>4390</v>
      </c>
      <c r="Z13" s="1559" t="s">
        <v>9260</v>
      </c>
      <c r="AA13" s="1559" t="s">
        <v>9261</v>
      </c>
      <c r="AB13" s="1559" t="s">
        <v>1840</v>
      </c>
      <c r="AC13" s="1559" t="s">
        <v>759</v>
      </c>
      <c r="AD13" s="1559" t="s">
        <v>9262</v>
      </c>
      <c r="AE13" s="1559" t="s">
        <v>5464</v>
      </c>
      <c r="AF13" s="1539" t="s">
        <v>9263</v>
      </c>
      <c r="AG13" s="1559" t="s">
        <v>9264</v>
      </c>
      <c r="AH13" s="1559" t="s">
        <v>4817</v>
      </c>
      <c r="AI13" s="1559" t="s">
        <v>3019</v>
      </c>
      <c r="AJ13" s="1559" t="s">
        <v>9265</v>
      </c>
      <c r="AK13" s="1559" t="s">
        <v>4191</v>
      </c>
      <c r="AL13" s="1559" t="s">
        <v>9266</v>
      </c>
      <c r="AM13" s="1559" t="s">
        <v>9267</v>
      </c>
      <c r="AN13" s="980" t="s">
        <v>9124</v>
      </c>
      <c r="AO13" s="1559" t="s">
        <v>9268</v>
      </c>
      <c r="AP13" s="1559" t="s">
        <v>9269</v>
      </c>
      <c r="AQ13" s="1539" t="s">
        <v>9270</v>
      </c>
      <c r="AR13" s="1559" t="s">
        <v>1844</v>
      </c>
      <c r="AS13" s="1559" t="s">
        <v>1571</v>
      </c>
      <c r="AT13" s="1559" t="s">
        <v>9271</v>
      </c>
      <c r="AU13" s="1559" t="s">
        <v>9272</v>
      </c>
      <c r="AV13" s="1451" t="str">
        <f t="shared" si="1"/>
        <v>2:47</v>
      </c>
      <c r="AW13" s="1542" t="s">
        <v>9273</v>
      </c>
    </row>
    <row r="14" ht="15.75" customHeight="1">
      <c r="A14" s="1590" t="s">
        <v>2151</v>
      </c>
      <c r="B14" s="1592" t="s">
        <v>9024</v>
      </c>
      <c r="C14" s="1533">
        <v>0.04967592592592593</v>
      </c>
      <c r="D14" s="1593" t="s">
        <v>9274</v>
      </c>
      <c r="E14" s="980" t="s">
        <v>3297</v>
      </c>
      <c r="F14" s="980" t="s">
        <v>9275</v>
      </c>
      <c r="G14" s="1593" t="s">
        <v>9276</v>
      </c>
      <c r="H14" s="1594" t="s">
        <v>9028</v>
      </c>
      <c r="I14" s="980" t="s">
        <v>9277</v>
      </c>
      <c r="J14" s="980" t="s">
        <v>9278</v>
      </c>
      <c r="K14" s="1595" t="s">
        <v>9030</v>
      </c>
      <c r="L14" s="1596" t="s">
        <v>4727</v>
      </c>
      <c r="M14" s="980" t="s">
        <v>6587</v>
      </c>
      <c r="N14" s="1597" t="s">
        <v>5277</v>
      </c>
      <c r="O14" s="980" t="s">
        <v>6911</v>
      </c>
      <c r="P14" s="1597" t="s">
        <v>5509</v>
      </c>
      <c r="Q14" s="980" t="s">
        <v>9279</v>
      </c>
      <c r="R14" s="1595" t="s">
        <v>9033</v>
      </c>
      <c r="S14" s="1598" t="s">
        <v>9034</v>
      </c>
      <c r="T14" s="1599" t="s">
        <v>4021</v>
      </c>
      <c r="U14" s="1600" t="s">
        <v>9280</v>
      </c>
      <c r="V14" s="1601" t="s">
        <v>9036</v>
      </c>
      <c r="W14" s="1602" t="s">
        <v>4149</v>
      </c>
      <c r="X14" s="1602" t="s">
        <v>6015</v>
      </c>
      <c r="Y14" s="1595" t="s">
        <v>9037</v>
      </c>
      <c r="Z14" s="1602" t="s">
        <v>1337</v>
      </c>
      <c r="AA14" s="1603" t="s">
        <v>5784</v>
      </c>
      <c r="AB14" s="1595" t="s">
        <v>6790</v>
      </c>
      <c r="AC14" s="1604" t="s">
        <v>9038</v>
      </c>
      <c r="AD14" s="980" t="s">
        <v>9281</v>
      </c>
      <c r="AE14" s="1605" t="s">
        <v>9040</v>
      </c>
      <c r="AF14" s="1329" t="s">
        <v>9282</v>
      </c>
      <c r="AG14" s="1602" t="s">
        <v>4609</v>
      </c>
      <c r="AH14" s="1606" t="s">
        <v>9042</v>
      </c>
      <c r="AI14" s="1606" t="s">
        <v>9043</v>
      </c>
      <c r="AJ14" s="980" t="s">
        <v>9283</v>
      </c>
      <c r="AK14" s="1602" t="s">
        <v>3377</v>
      </c>
      <c r="AL14" s="1602" t="s">
        <v>9045</v>
      </c>
      <c r="AM14" s="980" t="s">
        <v>885</v>
      </c>
      <c r="AN14" s="1607" t="s">
        <v>4750</v>
      </c>
      <c r="AO14" s="1595" t="s">
        <v>7299</v>
      </c>
      <c r="AP14" s="1608" t="s">
        <v>9047</v>
      </c>
      <c r="AQ14" s="1609" t="s">
        <v>9048</v>
      </c>
      <c r="AR14" s="1609" t="s">
        <v>4074</v>
      </c>
      <c r="AS14" s="1610" t="s">
        <v>4875</v>
      </c>
      <c r="AT14" s="1595" t="s">
        <v>9049</v>
      </c>
      <c r="AU14" s="1580" t="s">
        <v>9284</v>
      </c>
      <c r="AV14" s="1451" t="str">
        <f t="shared" si="1"/>
        <v>4:01</v>
      </c>
      <c r="AW14" s="1581" t="s">
        <v>9285</v>
      </c>
    </row>
    <row r="15" ht="15.75" customHeight="1">
      <c r="A15" s="1611" t="s">
        <v>2771</v>
      </c>
      <c r="B15" s="1532" t="s">
        <v>8997</v>
      </c>
      <c r="C15" s="1612">
        <v>0.04971064814814815</v>
      </c>
      <c r="D15" s="1403" t="s">
        <v>9286</v>
      </c>
      <c r="E15" s="1613" t="s">
        <v>511</v>
      </c>
      <c r="F15" s="1613" t="s">
        <v>9287</v>
      </c>
      <c r="G15" s="1613" t="s">
        <v>9288</v>
      </c>
      <c r="H15" s="1539" t="s">
        <v>9289</v>
      </c>
      <c r="I15" s="905" t="s">
        <v>5785</v>
      </c>
      <c r="J15" s="1597" t="s">
        <v>2546</v>
      </c>
      <c r="K15" s="1597" t="s">
        <v>4344</v>
      </c>
      <c r="L15" s="1597" t="s">
        <v>4727</v>
      </c>
      <c r="M15" s="1614" t="s">
        <v>6291</v>
      </c>
      <c r="N15" s="1597" t="s">
        <v>2697</v>
      </c>
      <c r="O15" s="1597" t="s">
        <v>9290</v>
      </c>
      <c r="P15" s="1597" t="s">
        <v>9291</v>
      </c>
      <c r="Q15" s="1539" t="s">
        <v>9292</v>
      </c>
      <c r="R15" s="1600" t="s">
        <v>9293</v>
      </c>
      <c r="S15" s="1539" t="s">
        <v>1832</v>
      </c>
      <c r="T15" s="1600" t="s">
        <v>9294</v>
      </c>
      <c r="U15" s="1539" t="s">
        <v>9295</v>
      </c>
      <c r="V15" s="1600" t="s">
        <v>3454</v>
      </c>
      <c r="W15" s="1615" t="s">
        <v>9296</v>
      </c>
      <c r="X15" s="1615" t="s">
        <v>4105</v>
      </c>
      <c r="Y15" s="1615" t="s">
        <v>8076</v>
      </c>
      <c r="Z15" s="1615" t="s">
        <v>9297</v>
      </c>
      <c r="AA15" s="1615" t="s">
        <v>6179</v>
      </c>
      <c r="AB15" s="1615" t="s">
        <v>4429</v>
      </c>
      <c r="AC15" s="1615" t="s">
        <v>1143</v>
      </c>
      <c r="AD15" s="1613" t="s">
        <v>9298</v>
      </c>
      <c r="AE15" s="1613" t="s">
        <v>5385</v>
      </c>
      <c r="AF15" s="1616" t="s">
        <v>9299</v>
      </c>
      <c r="AG15" s="1616" t="s">
        <v>7404</v>
      </c>
      <c r="AH15" s="1616" t="s">
        <v>5395</v>
      </c>
      <c r="AI15" s="1616" t="s">
        <v>9300</v>
      </c>
      <c r="AJ15" s="1616" t="s">
        <v>9301</v>
      </c>
      <c r="AK15" s="1616" t="s">
        <v>9302</v>
      </c>
      <c r="AL15" s="1616" t="s">
        <v>3579</v>
      </c>
      <c r="AM15" s="1617" t="s">
        <v>9303</v>
      </c>
      <c r="AN15" s="1618" t="s">
        <v>4727</v>
      </c>
      <c r="AO15" s="1618" t="s">
        <v>9304</v>
      </c>
      <c r="AP15" s="1617" t="s">
        <v>9305</v>
      </c>
      <c r="AQ15" s="1617" t="s">
        <v>9306</v>
      </c>
      <c r="AR15" s="1618" t="s">
        <v>9307</v>
      </c>
      <c r="AS15" s="1617" t="s">
        <v>273</v>
      </c>
      <c r="AT15" s="1565" t="s">
        <v>9308</v>
      </c>
      <c r="AU15" s="1580" t="s">
        <v>9309</v>
      </c>
      <c r="AV15" s="1451" t="str">
        <f t="shared" si="1"/>
        <v>2:35</v>
      </c>
      <c r="AW15" s="1619" t="s">
        <v>9310</v>
      </c>
    </row>
    <row r="16">
      <c r="A16" s="1590" t="s">
        <v>1879</v>
      </c>
      <c r="B16" s="1588" t="s">
        <v>8997</v>
      </c>
      <c r="C16" s="1620">
        <v>0.04976851851851852</v>
      </c>
      <c r="D16" s="1571" t="s">
        <v>9311</v>
      </c>
      <c r="E16" s="1571" t="s">
        <v>9312</v>
      </c>
      <c r="F16" s="1571" t="s">
        <v>6975</v>
      </c>
      <c r="G16" s="1574" t="s">
        <v>9313</v>
      </c>
      <c r="H16" s="1571" t="s">
        <v>9314</v>
      </c>
      <c r="I16" s="1571" t="s">
        <v>3753</v>
      </c>
      <c r="J16" s="1571" t="s">
        <v>9315</v>
      </c>
      <c r="K16" s="1576" t="s">
        <v>9003</v>
      </c>
      <c r="L16" s="1571" t="s">
        <v>8688</v>
      </c>
      <c r="M16" s="1571" t="s">
        <v>9316</v>
      </c>
      <c r="N16" s="1571" t="s">
        <v>688</v>
      </c>
      <c r="O16" s="1571" t="s">
        <v>9317</v>
      </c>
      <c r="P16" s="1571" t="s">
        <v>6600</v>
      </c>
      <c r="Q16" s="1571" t="s">
        <v>9318</v>
      </c>
      <c r="R16" s="1571" t="s">
        <v>6936</v>
      </c>
      <c r="S16" s="1571" t="s">
        <v>9319</v>
      </c>
      <c r="T16" s="1571" t="s">
        <v>5891</v>
      </c>
      <c r="U16" s="1571" t="s">
        <v>9320</v>
      </c>
      <c r="V16" s="1571" t="s">
        <v>9321</v>
      </c>
      <c r="W16" s="1571" t="s">
        <v>9322</v>
      </c>
      <c r="X16" s="1571" t="s">
        <v>9323</v>
      </c>
      <c r="Y16" s="1571" t="s">
        <v>9150</v>
      </c>
      <c r="Z16" s="1571" t="s">
        <v>9324</v>
      </c>
      <c r="AA16" s="1571" t="s">
        <v>9325</v>
      </c>
      <c r="AB16" s="1571" t="s">
        <v>9326</v>
      </c>
      <c r="AC16" s="1571" t="s">
        <v>596</v>
      </c>
      <c r="AD16" s="1571" t="s">
        <v>3236</v>
      </c>
      <c r="AE16" s="1571" t="s">
        <v>5624</v>
      </c>
      <c r="AF16" s="1571" t="s">
        <v>9327</v>
      </c>
      <c r="AG16" s="1571" t="s">
        <v>309</v>
      </c>
      <c r="AH16" s="1571" t="s">
        <v>9328</v>
      </c>
      <c r="AI16" s="1571" t="s">
        <v>3216</v>
      </c>
      <c r="AJ16" s="1571" t="s">
        <v>9329</v>
      </c>
      <c r="AK16" s="1571" t="s">
        <v>9330</v>
      </c>
      <c r="AL16" s="1571" t="s">
        <v>344</v>
      </c>
      <c r="AM16" s="1571" t="s">
        <v>2226</v>
      </c>
      <c r="AN16" s="1571" t="s">
        <v>234</v>
      </c>
      <c r="AO16" s="1571" t="s">
        <v>9331</v>
      </c>
      <c r="AP16" s="1571" t="s">
        <v>9332</v>
      </c>
      <c r="AQ16" s="1621" t="s">
        <v>9333</v>
      </c>
      <c r="AR16" s="1571" t="s">
        <v>9334</v>
      </c>
      <c r="AS16" s="1571" t="s">
        <v>837</v>
      </c>
      <c r="AT16" s="1571" t="s">
        <v>2410</v>
      </c>
      <c r="AU16" s="1559" t="s">
        <v>9335</v>
      </c>
      <c r="AV16" s="1451" t="str">
        <f t="shared" si="1"/>
        <v>2:14</v>
      </c>
      <c r="AW16" s="1622"/>
    </row>
    <row r="17" ht="15.75" customHeight="1">
      <c r="A17" s="1531" t="s">
        <v>6402</v>
      </c>
      <c r="B17" s="1623" t="s">
        <v>8997</v>
      </c>
      <c r="C17" s="1533">
        <v>0.04982638888888889</v>
      </c>
      <c r="D17" s="1403" t="s">
        <v>9336</v>
      </c>
      <c r="E17" s="1403" t="s">
        <v>4841</v>
      </c>
      <c r="F17" s="1403" t="s">
        <v>9337</v>
      </c>
      <c r="G17" s="1403" t="s">
        <v>9338</v>
      </c>
      <c r="H17" s="1403" t="s">
        <v>9339</v>
      </c>
      <c r="I17" s="1403" t="s">
        <v>5526</v>
      </c>
      <c r="J17" s="1403" t="s">
        <v>9340</v>
      </c>
      <c r="K17" s="980" t="s">
        <v>9341</v>
      </c>
      <c r="L17" s="1403" t="s">
        <v>9342</v>
      </c>
      <c r="M17" s="1403" t="s">
        <v>9343</v>
      </c>
      <c r="N17" s="1403" t="s">
        <v>2098</v>
      </c>
      <c r="O17" s="1403" t="s">
        <v>9344</v>
      </c>
      <c r="P17" s="980" t="s">
        <v>4477</v>
      </c>
      <c r="Q17" s="1403" t="s">
        <v>9345</v>
      </c>
      <c r="R17" s="1403" t="s">
        <v>1871</v>
      </c>
      <c r="S17" s="1403" t="s">
        <v>3438</v>
      </c>
      <c r="T17" s="1403" t="s">
        <v>9346</v>
      </c>
      <c r="U17" s="1403" t="s">
        <v>9347</v>
      </c>
      <c r="V17" s="1403" t="s">
        <v>7689</v>
      </c>
      <c r="W17" s="1403" t="s">
        <v>5497</v>
      </c>
      <c r="X17" s="1403" t="s">
        <v>9013</v>
      </c>
      <c r="Y17" s="1403" t="s">
        <v>9122</v>
      </c>
      <c r="Z17" s="1403" t="s">
        <v>7818</v>
      </c>
      <c r="AA17" s="1624" t="s">
        <v>9348</v>
      </c>
      <c r="AB17" s="1403" t="s">
        <v>5927</v>
      </c>
      <c r="AC17" s="1403" t="s">
        <v>1025</v>
      </c>
      <c r="AD17" s="1403" t="s">
        <v>7035</v>
      </c>
      <c r="AE17" s="1403" t="s">
        <v>4965</v>
      </c>
      <c r="AF17" s="1403" t="s">
        <v>9349</v>
      </c>
      <c r="AG17" s="1403" t="s">
        <v>1529</v>
      </c>
      <c r="AH17" s="980" t="s">
        <v>9350</v>
      </c>
      <c r="AI17" s="1403" t="s">
        <v>8732</v>
      </c>
      <c r="AJ17" s="1403" t="s">
        <v>9351</v>
      </c>
      <c r="AK17" s="1403" t="s">
        <v>9352</v>
      </c>
      <c r="AL17" s="1403" t="s">
        <v>4421</v>
      </c>
      <c r="AM17" s="1403" t="s">
        <v>3461</v>
      </c>
      <c r="AN17" s="1403" t="s">
        <v>9353</v>
      </c>
      <c r="AO17" s="1403" t="s">
        <v>9158</v>
      </c>
      <c r="AP17" s="1565" t="s">
        <v>9127</v>
      </c>
      <c r="AQ17" s="1403" t="s">
        <v>9354</v>
      </c>
      <c r="AR17" s="1403" t="s">
        <v>9355</v>
      </c>
      <c r="AS17" s="1403" t="s">
        <v>9356</v>
      </c>
      <c r="AT17" s="1403" t="s">
        <v>9357</v>
      </c>
      <c r="AU17" s="1384" t="s">
        <v>9358</v>
      </c>
      <c r="AV17" s="1451" t="str">
        <f t="shared" si="1"/>
        <v>2:18</v>
      </c>
      <c r="AW17" s="1625" t="s">
        <v>9359</v>
      </c>
    </row>
    <row r="18">
      <c r="A18" s="1626" t="s">
        <v>2647</v>
      </c>
      <c r="B18" s="1578" t="s">
        <v>9024</v>
      </c>
      <c r="C18" s="1627">
        <v>0.04985763888888889</v>
      </c>
      <c r="D18" s="1329" t="s">
        <v>9360</v>
      </c>
      <c r="E18" s="1628" t="s">
        <v>9361</v>
      </c>
      <c r="F18" s="1613" t="s">
        <v>1145</v>
      </c>
      <c r="G18" s="1628" t="s">
        <v>9362</v>
      </c>
      <c r="H18" s="1075" t="s">
        <v>9363</v>
      </c>
      <c r="I18" s="802" t="s">
        <v>239</v>
      </c>
      <c r="J18" s="1629" t="s">
        <v>9364</v>
      </c>
      <c r="K18" s="1630" t="s">
        <v>1619</v>
      </c>
      <c r="L18" s="1629" t="s">
        <v>9365</v>
      </c>
      <c r="M18" s="1629" t="s">
        <v>9366</v>
      </c>
      <c r="N18" s="1630" t="s">
        <v>9367</v>
      </c>
      <c r="O18" s="1629" t="s">
        <v>9368</v>
      </c>
      <c r="P18" s="1629" t="s">
        <v>4548</v>
      </c>
      <c r="Q18" s="1631" t="s">
        <v>9369</v>
      </c>
      <c r="R18" s="1632" t="s">
        <v>5560</v>
      </c>
      <c r="S18" s="1631" t="s">
        <v>9370</v>
      </c>
      <c r="T18" s="1176" t="s">
        <v>9371</v>
      </c>
      <c r="U18" s="1176" t="s">
        <v>9372</v>
      </c>
      <c r="V18" s="1632" t="s">
        <v>6419</v>
      </c>
      <c r="W18" s="1633" t="s">
        <v>9373</v>
      </c>
      <c r="X18" s="1634" t="s">
        <v>6867</v>
      </c>
      <c r="Y18" s="1615" t="s">
        <v>8523</v>
      </c>
      <c r="Z18" s="1634" t="s">
        <v>9374</v>
      </c>
      <c r="AA18" s="1635" t="s">
        <v>1925</v>
      </c>
      <c r="AB18" s="1633" t="s">
        <v>9375</v>
      </c>
      <c r="AC18" s="1633" t="s">
        <v>4965</v>
      </c>
      <c r="AD18" s="1628" t="s">
        <v>9376</v>
      </c>
      <c r="AE18" s="1628" t="s">
        <v>5352</v>
      </c>
      <c r="AF18" s="1636" t="s">
        <v>9377</v>
      </c>
      <c r="AG18" s="1637" t="s">
        <v>156</v>
      </c>
      <c r="AH18" s="1637" t="s">
        <v>9378</v>
      </c>
      <c r="AI18" s="1636" t="s">
        <v>9379</v>
      </c>
      <c r="AJ18" s="1637" t="s">
        <v>9380</v>
      </c>
      <c r="AK18" s="1637" t="s">
        <v>2334</v>
      </c>
      <c r="AL18" s="1636" t="s">
        <v>4137</v>
      </c>
      <c r="AM18" s="1609" t="s">
        <v>9046</v>
      </c>
      <c r="AN18" s="1638" t="s">
        <v>4622</v>
      </c>
      <c r="AO18" s="1638" t="s">
        <v>9381</v>
      </c>
      <c r="AP18" s="1638" t="s">
        <v>9382</v>
      </c>
      <c r="AQ18" s="1638" t="s">
        <v>4566</v>
      </c>
      <c r="AR18" s="1638" t="s">
        <v>9383</v>
      </c>
      <c r="AS18" s="1638" t="s">
        <v>929</v>
      </c>
      <c r="AT18" s="1629" t="s">
        <v>9384</v>
      </c>
      <c r="AU18" s="1639" t="s">
        <v>9358</v>
      </c>
      <c r="AV18" s="1640" t="str">
        <f t="shared" si="1"/>
        <v>2:15</v>
      </c>
      <c r="AW18" s="1641"/>
    </row>
    <row r="19" ht="15.75" customHeight="1">
      <c r="A19" s="1531" t="s">
        <v>2087</v>
      </c>
      <c r="B19" s="1532" t="s">
        <v>8997</v>
      </c>
      <c r="C19" s="1533">
        <v>0.049895833333333334</v>
      </c>
      <c r="D19" s="980" t="s">
        <v>9385</v>
      </c>
      <c r="E19" s="1642" t="s">
        <v>954</v>
      </c>
      <c r="F19" s="1613" t="s">
        <v>9386</v>
      </c>
      <c r="G19" s="1642" t="s">
        <v>9387</v>
      </c>
      <c r="H19" s="802" t="s">
        <v>9388</v>
      </c>
      <c r="I19" s="905" t="s">
        <v>5626</v>
      </c>
      <c r="J19" s="1597" t="s">
        <v>9389</v>
      </c>
      <c r="K19" s="1643" t="s">
        <v>9390</v>
      </c>
      <c r="L19" s="1597" t="s">
        <v>9097</v>
      </c>
      <c r="M19" s="1597" t="s">
        <v>5062</v>
      </c>
      <c r="N19" s="1597" t="s">
        <v>9391</v>
      </c>
      <c r="O19" s="1643" t="s">
        <v>9392</v>
      </c>
      <c r="P19" s="980" t="s">
        <v>1067</v>
      </c>
      <c r="Q19" s="1600" t="s">
        <v>3514</v>
      </c>
      <c r="R19" s="1644" t="s">
        <v>7815</v>
      </c>
      <c r="S19" s="1644" t="s">
        <v>9393</v>
      </c>
      <c r="T19" s="1644" t="s">
        <v>9394</v>
      </c>
      <c r="U19" s="1644" t="s">
        <v>1829</v>
      </c>
      <c r="V19" s="1600" t="s">
        <v>4456</v>
      </c>
      <c r="W19" s="1615" t="s">
        <v>9395</v>
      </c>
      <c r="X19" s="1645" t="s">
        <v>9396</v>
      </c>
      <c r="Y19" s="1615" t="s">
        <v>9397</v>
      </c>
      <c r="Z19" s="1615" t="s">
        <v>9398</v>
      </c>
      <c r="AA19" s="1615" t="s">
        <v>3321</v>
      </c>
      <c r="AB19" s="1645" t="s">
        <v>7375</v>
      </c>
      <c r="AC19" s="1645" t="s">
        <v>1218</v>
      </c>
      <c r="AD19" s="1642" t="s">
        <v>9399</v>
      </c>
      <c r="AE19" s="1642" t="s">
        <v>9400</v>
      </c>
      <c r="AF19" s="1646" t="s">
        <v>9401</v>
      </c>
      <c r="AG19" s="1616" t="s">
        <v>9402</v>
      </c>
      <c r="AH19" s="1616" t="s">
        <v>9403</v>
      </c>
      <c r="AI19" s="1616" t="s">
        <v>9404</v>
      </c>
      <c r="AJ19" s="1646" t="s">
        <v>9405</v>
      </c>
      <c r="AK19" s="1646" t="s">
        <v>960</v>
      </c>
      <c r="AL19" s="1616" t="s">
        <v>9406</v>
      </c>
      <c r="AM19" s="1618" t="s">
        <v>9407</v>
      </c>
      <c r="AN19" s="1617" t="s">
        <v>3161</v>
      </c>
      <c r="AO19" s="1618" t="s">
        <v>6982</v>
      </c>
      <c r="AP19" s="1617" t="s">
        <v>5714</v>
      </c>
      <c r="AQ19" s="1618" t="s">
        <v>9408</v>
      </c>
      <c r="AR19" s="1617" t="s">
        <v>1159</v>
      </c>
      <c r="AS19" s="1617" t="s">
        <v>3948</v>
      </c>
      <c r="AT19" s="1643" t="s">
        <v>6584</v>
      </c>
      <c r="AU19" s="1640" t="s">
        <v>9409</v>
      </c>
      <c r="AV19" s="1451" t="str">
        <f t="shared" si="1"/>
        <v>2:22</v>
      </c>
      <c r="AW19" s="1587" t="s">
        <v>9410</v>
      </c>
    </row>
    <row r="20">
      <c r="A20" s="1590" t="s">
        <v>1550</v>
      </c>
      <c r="B20" s="1578" t="s">
        <v>8997</v>
      </c>
      <c r="C20" s="1533">
        <v>0.04991898148148148</v>
      </c>
      <c r="D20" s="1647" t="s">
        <v>9411</v>
      </c>
      <c r="E20" s="1648" t="s">
        <v>9412</v>
      </c>
      <c r="F20" s="1648" t="s">
        <v>9413</v>
      </c>
      <c r="G20" s="1648" t="s">
        <v>9414</v>
      </c>
      <c r="H20" s="1648" t="s">
        <v>9415</v>
      </c>
      <c r="I20" s="1648">
        <v>48.07</v>
      </c>
      <c r="J20" s="1648" t="s">
        <v>9374</v>
      </c>
      <c r="K20" s="1648" t="s">
        <v>1790</v>
      </c>
      <c r="L20" s="1648">
        <v>56.32</v>
      </c>
      <c r="M20" s="1648" t="s">
        <v>175</v>
      </c>
      <c r="N20" s="1648" t="s">
        <v>9416</v>
      </c>
      <c r="O20" s="1648" t="s">
        <v>9417</v>
      </c>
      <c r="P20" s="1648">
        <v>47.77</v>
      </c>
      <c r="Q20" s="1648" t="s">
        <v>9418</v>
      </c>
      <c r="R20" s="1648" t="s">
        <v>6840</v>
      </c>
      <c r="S20" s="1648" t="s">
        <v>9419</v>
      </c>
      <c r="T20" s="1648" t="s">
        <v>2664</v>
      </c>
      <c r="U20" s="1648" t="s">
        <v>9420</v>
      </c>
      <c r="V20" s="1648">
        <v>59.79</v>
      </c>
      <c r="W20" s="1648" t="s">
        <v>9421</v>
      </c>
      <c r="X20" s="1648" t="s">
        <v>1925</v>
      </c>
      <c r="Y20" s="1648">
        <v>47.0</v>
      </c>
      <c r="Z20" s="1648" t="s">
        <v>9422</v>
      </c>
      <c r="AA20" s="1648" t="s">
        <v>9423</v>
      </c>
      <c r="AB20" s="1648" t="s">
        <v>6790</v>
      </c>
      <c r="AC20" s="1648">
        <v>47.56</v>
      </c>
      <c r="AD20" s="1648" t="s">
        <v>9039</v>
      </c>
      <c r="AE20" s="1648">
        <v>47.95</v>
      </c>
      <c r="AF20" s="1648" t="s">
        <v>9424</v>
      </c>
      <c r="AG20" s="1648" t="s">
        <v>9425</v>
      </c>
      <c r="AH20" s="1648">
        <v>57.67</v>
      </c>
      <c r="AI20" s="1648" t="s">
        <v>1047</v>
      </c>
      <c r="AJ20" s="1648" t="s">
        <v>9426</v>
      </c>
      <c r="AK20" s="1648" t="s">
        <v>7399</v>
      </c>
      <c r="AL20" s="1648">
        <v>56.37</v>
      </c>
      <c r="AM20" s="1648" t="s">
        <v>9427</v>
      </c>
      <c r="AN20" s="1648">
        <v>55.92</v>
      </c>
      <c r="AO20" s="1648" t="s">
        <v>4508</v>
      </c>
      <c r="AP20" s="1648" t="s">
        <v>8896</v>
      </c>
      <c r="AQ20" s="1648" t="s">
        <v>9428</v>
      </c>
      <c r="AR20" s="1648" t="s">
        <v>7505</v>
      </c>
      <c r="AS20" s="1648">
        <v>46.83</v>
      </c>
      <c r="AT20" s="1649" t="s">
        <v>9429</v>
      </c>
      <c r="AU20" s="1571" t="s">
        <v>9430</v>
      </c>
      <c r="AV20" s="1451" t="str">
        <f t="shared" si="1"/>
        <v>1:53</v>
      </c>
      <c r="AW20" s="1581" t="s">
        <v>9431</v>
      </c>
    </row>
    <row r="21">
      <c r="A21" s="1590" t="s">
        <v>2105</v>
      </c>
      <c r="B21" s="1578" t="s">
        <v>8997</v>
      </c>
      <c r="C21" s="1650">
        <v>0.049930555555555554</v>
      </c>
      <c r="D21" s="1651" t="s">
        <v>9432</v>
      </c>
      <c r="E21" s="1571" t="s">
        <v>6457</v>
      </c>
      <c r="F21" s="1571" t="s">
        <v>4232</v>
      </c>
      <c r="G21" s="1571" t="s">
        <v>9433</v>
      </c>
      <c r="H21" s="1571" t="s">
        <v>9434</v>
      </c>
      <c r="I21" s="1571" t="s">
        <v>5773</v>
      </c>
      <c r="J21" s="1571" t="s">
        <v>6429</v>
      </c>
      <c r="K21" s="1571" t="s">
        <v>9435</v>
      </c>
      <c r="L21" s="1571" t="s">
        <v>3579</v>
      </c>
      <c r="M21" s="1571" t="s">
        <v>1086</v>
      </c>
      <c r="N21" s="1571" t="s">
        <v>9436</v>
      </c>
      <c r="O21" s="1571" t="s">
        <v>798</v>
      </c>
      <c r="P21" s="1567">
        <v>47.54</v>
      </c>
      <c r="Q21" s="1652" t="s">
        <v>5780</v>
      </c>
      <c r="R21" s="1567" t="s">
        <v>9437</v>
      </c>
      <c r="S21" s="1652" t="s">
        <v>9256</v>
      </c>
      <c r="T21" s="1567" t="s">
        <v>9438</v>
      </c>
      <c r="U21" s="1652" t="s">
        <v>9439</v>
      </c>
      <c r="V21" s="1567">
        <v>58.55</v>
      </c>
      <c r="W21" s="1652" t="s">
        <v>9440</v>
      </c>
      <c r="X21" s="1652" t="s">
        <v>9441</v>
      </c>
      <c r="Y21" s="1539" t="s">
        <v>9150</v>
      </c>
      <c r="Z21" s="1652" t="s">
        <v>9442</v>
      </c>
      <c r="AA21" s="1571" t="s">
        <v>9443</v>
      </c>
      <c r="AB21" s="1652" t="s">
        <v>9326</v>
      </c>
      <c r="AC21" s="1451">
        <v>47.2</v>
      </c>
      <c r="AD21" s="1652" t="s">
        <v>9444</v>
      </c>
      <c r="AE21" s="1567">
        <v>47.88</v>
      </c>
      <c r="AF21" s="1652" t="s">
        <v>9445</v>
      </c>
      <c r="AG21" s="1652" t="s">
        <v>9446</v>
      </c>
      <c r="AH21" s="1652">
        <v>57.68</v>
      </c>
      <c r="AI21" s="1652" t="s">
        <v>2925</v>
      </c>
      <c r="AJ21" s="1567" t="s">
        <v>9447</v>
      </c>
      <c r="AK21" s="1539" t="s">
        <v>9448</v>
      </c>
      <c r="AL21" s="1652">
        <v>55.92</v>
      </c>
      <c r="AM21" s="1652" t="s">
        <v>2966</v>
      </c>
      <c r="AN21" s="1539" t="s">
        <v>5789</v>
      </c>
      <c r="AO21" s="1652" t="s">
        <v>7805</v>
      </c>
      <c r="AP21" s="1652" t="s">
        <v>9449</v>
      </c>
      <c r="AQ21" s="1652" t="s">
        <v>7005</v>
      </c>
      <c r="AR21" s="1652" t="s">
        <v>6530</v>
      </c>
      <c r="AS21" s="1653">
        <v>42.83</v>
      </c>
      <c r="AT21" s="1567" t="s">
        <v>9450</v>
      </c>
      <c r="AU21" s="1580" t="s">
        <v>9451</v>
      </c>
      <c r="AV21" s="1451" t="str">
        <f t="shared" si="1"/>
        <v>4:29</v>
      </c>
      <c r="AW21" s="1581" t="s">
        <v>9452</v>
      </c>
    </row>
    <row r="22" ht="15.75" customHeight="1">
      <c r="A22" s="1590" t="s">
        <v>2264</v>
      </c>
      <c r="B22" s="1532" t="s">
        <v>8997</v>
      </c>
      <c r="C22" s="1533">
        <v>0.0499537037037037</v>
      </c>
      <c r="D22" s="1559" t="s">
        <v>9453</v>
      </c>
      <c r="E22" s="1559" t="s">
        <v>2880</v>
      </c>
      <c r="F22" s="1559" t="s">
        <v>9454</v>
      </c>
      <c r="G22" s="1539" t="s">
        <v>9455</v>
      </c>
      <c r="H22" s="1559" t="s">
        <v>9456</v>
      </c>
      <c r="I22" s="1654" t="s">
        <v>9400</v>
      </c>
      <c r="J22" s="1559" t="s">
        <v>1417</v>
      </c>
      <c r="K22" s="1559" t="s">
        <v>5199</v>
      </c>
      <c r="L22" s="1559" t="s">
        <v>9457</v>
      </c>
      <c r="M22" s="1559" t="s">
        <v>9458</v>
      </c>
      <c r="N22" s="1559" t="s">
        <v>9459</v>
      </c>
      <c r="O22" s="1559" t="s">
        <v>9460</v>
      </c>
      <c r="P22" s="1559" t="s">
        <v>7704</v>
      </c>
      <c r="Q22" s="1559" t="s">
        <v>4623</v>
      </c>
      <c r="R22" s="1600" t="s">
        <v>5560</v>
      </c>
      <c r="S22" s="1559" t="s">
        <v>4067</v>
      </c>
      <c r="T22" s="1559" t="s">
        <v>9192</v>
      </c>
      <c r="U22" s="1559" t="s">
        <v>9461</v>
      </c>
      <c r="V22" s="1559" t="s">
        <v>9462</v>
      </c>
      <c r="W22" s="1559" t="s">
        <v>9463</v>
      </c>
      <c r="X22" s="1559" t="s">
        <v>7376</v>
      </c>
      <c r="Y22" s="1559" t="s">
        <v>4349</v>
      </c>
      <c r="Z22" s="1559" t="s">
        <v>9464</v>
      </c>
      <c r="AA22" s="1559" t="s">
        <v>7376</v>
      </c>
      <c r="AB22" s="1559" t="s">
        <v>9465</v>
      </c>
      <c r="AC22" s="1559" t="s">
        <v>5676</v>
      </c>
      <c r="AD22" s="1559" t="s">
        <v>7416</v>
      </c>
      <c r="AE22" s="1559" t="s">
        <v>5967</v>
      </c>
      <c r="AF22" s="1559" t="s">
        <v>9466</v>
      </c>
      <c r="AG22" s="1559" t="s">
        <v>5067</v>
      </c>
      <c r="AH22" s="1559" t="s">
        <v>5217</v>
      </c>
      <c r="AI22" s="1559" t="s">
        <v>9467</v>
      </c>
      <c r="AJ22" s="1538" t="s">
        <v>9014</v>
      </c>
      <c r="AK22" s="1559" t="s">
        <v>2530</v>
      </c>
      <c r="AL22" s="1559" t="s">
        <v>9468</v>
      </c>
      <c r="AM22" s="1559" t="s">
        <v>9171</v>
      </c>
      <c r="AN22" s="1559" t="s">
        <v>557</v>
      </c>
      <c r="AO22" s="1559" t="s">
        <v>9469</v>
      </c>
      <c r="AP22" s="1559" t="s">
        <v>9470</v>
      </c>
      <c r="AQ22" s="1559" t="s">
        <v>4827</v>
      </c>
      <c r="AR22" s="1559" t="s">
        <v>7506</v>
      </c>
      <c r="AS22" s="1559" t="s">
        <v>9471</v>
      </c>
      <c r="AT22" s="1559" t="s">
        <v>3121</v>
      </c>
      <c r="AU22" s="1559" t="s">
        <v>9472</v>
      </c>
      <c r="AV22" s="1451" t="str">
        <f t="shared" si="1"/>
        <v>3:21</v>
      </c>
      <c r="AW22" s="1625" t="s">
        <v>9473</v>
      </c>
    </row>
    <row r="23" ht="15.75" customHeight="1">
      <c r="A23" s="1531" t="s">
        <v>9474</v>
      </c>
      <c r="B23" s="1532" t="s">
        <v>8997</v>
      </c>
      <c r="C23" s="1533">
        <v>0.049965277777777775</v>
      </c>
      <c r="D23" s="980" t="s">
        <v>9475</v>
      </c>
      <c r="E23" s="1559" t="s">
        <v>4372</v>
      </c>
      <c r="F23" s="1559" t="s">
        <v>9476</v>
      </c>
      <c r="G23" s="1559" t="s">
        <v>9477</v>
      </c>
      <c r="H23" s="1451" t="s">
        <v>2288</v>
      </c>
      <c r="I23" s="1559" t="s">
        <v>1385</v>
      </c>
      <c r="J23" s="1559" t="s">
        <v>382</v>
      </c>
      <c r="K23" s="1559" t="s">
        <v>9478</v>
      </c>
      <c r="L23" s="1559" t="s">
        <v>5432</v>
      </c>
      <c r="M23" s="1559" t="s">
        <v>6609</v>
      </c>
      <c r="N23" s="1559" t="s">
        <v>9479</v>
      </c>
      <c r="O23" s="1559" t="s">
        <v>2613</v>
      </c>
      <c r="P23" s="1451" t="s">
        <v>5280</v>
      </c>
      <c r="Q23" s="1559" t="s">
        <v>9480</v>
      </c>
      <c r="R23" s="1559" t="s">
        <v>3299</v>
      </c>
      <c r="S23" s="1559" t="s">
        <v>7257</v>
      </c>
      <c r="T23" s="1559" t="s">
        <v>8785</v>
      </c>
      <c r="U23" s="1559" t="s">
        <v>9481</v>
      </c>
      <c r="V23" s="1559" t="s">
        <v>5039</v>
      </c>
      <c r="W23" s="1559" t="s">
        <v>9482</v>
      </c>
      <c r="X23" s="1451" t="s">
        <v>6867</v>
      </c>
      <c r="Y23" s="1451" t="s">
        <v>5610</v>
      </c>
      <c r="Z23" s="1559" t="s">
        <v>9483</v>
      </c>
      <c r="AA23" s="1559" t="s">
        <v>2331</v>
      </c>
      <c r="AB23" s="1559" t="s">
        <v>9484</v>
      </c>
      <c r="AC23" s="1559" t="s">
        <v>784</v>
      </c>
      <c r="AD23" s="1559" t="s">
        <v>5292</v>
      </c>
      <c r="AE23" s="1559" t="s">
        <v>9485</v>
      </c>
      <c r="AF23" s="1559" t="s">
        <v>943</v>
      </c>
      <c r="AG23" s="1559" t="s">
        <v>9486</v>
      </c>
      <c r="AH23" s="1559" t="s">
        <v>6169</v>
      </c>
      <c r="AI23" s="1559" t="s">
        <v>690</v>
      </c>
      <c r="AJ23" s="1451" t="s">
        <v>9487</v>
      </c>
      <c r="AK23" s="1616" t="s">
        <v>7182</v>
      </c>
      <c r="AL23" s="1559" t="s">
        <v>4615</v>
      </c>
      <c r="AM23" s="1559" t="s">
        <v>3712</v>
      </c>
      <c r="AN23" s="1451" t="s">
        <v>6304</v>
      </c>
      <c r="AO23" s="1451" t="s">
        <v>7506</v>
      </c>
      <c r="AP23" s="1451" t="s">
        <v>9488</v>
      </c>
      <c r="AQ23" s="1451" t="s">
        <v>9133</v>
      </c>
      <c r="AR23" s="1451" t="s">
        <v>490</v>
      </c>
      <c r="AS23" s="1451" t="s">
        <v>5882</v>
      </c>
      <c r="AT23" s="1451" t="s">
        <v>9349</v>
      </c>
      <c r="AU23" s="1559" t="s">
        <v>9489</v>
      </c>
      <c r="AV23" s="1451" t="str">
        <f t="shared" si="1"/>
        <v>3:46</v>
      </c>
      <c r="AW23" s="1622" t="s">
        <v>8556</v>
      </c>
    </row>
    <row r="24" ht="15.75" customHeight="1">
      <c r="A24" s="1655" t="s">
        <v>6360</v>
      </c>
      <c r="B24" s="1532" t="s">
        <v>8997</v>
      </c>
      <c r="C24" s="1533">
        <v>0.05</v>
      </c>
      <c r="D24" s="980" t="s">
        <v>9490</v>
      </c>
      <c r="E24" s="1559" t="s">
        <v>8817</v>
      </c>
      <c r="F24" s="1559" t="s">
        <v>9454</v>
      </c>
      <c r="G24" s="1451" t="s">
        <v>9491</v>
      </c>
      <c r="H24" s="1559" t="s">
        <v>9492</v>
      </c>
      <c r="I24" s="1451" t="s">
        <v>1848</v>
      </c>
      <c r="J24" s="1559" t="s">
        <v>2868</v>
      </c>
      <c r="K24" s="1559" t="s">
        <v>9493</v>
      </c>
      <c r="L24" s="1559" t="s">
        <v>3319</v>
      </c>
      <c r="M24" s="1559" t="s">
        <v>9494</v>
      </c>
      <c r="N24" s="1559" t="s">
        <v>9495</v>
      </c>
      <c r="O24" s="1559" t="s">
        <v>9440</v>
      </c>
      <c r="P24" s="1451" t="s">
        <v>4015</v>
      </c>
      <c r="Q24" s="1559" t="s">
        <v>1852</v>
      </c>
      <c r="R24" s="1559" t="s">
        <v>6807</v>
      </c>
      <c r="S24" s="1559" t="s">
        <v>7990</v>
      </c>
      <c r="T24" s="1559" t="s">
        <v>6842</v>
      </c>
      <c r="U24" s="1559" t="s">
        <v>9496</v>
      </c>
      <c r="V24" s="1559" t="s">
        <v>9497</v>
      </c>
      <c r="W24" s="1559" t="s">
        <v>9498</v>
      </c>
      <c r="X24" s="1559" t="s">
        <v>9325</v>
      </c>
      <c r="Y24" s="1559" t="s">
        <v>9499</v>
      </c>
      <c r="Z24" s="1559" t="s">
        <v>9500</v>
      </c>
      <c r="AA24" s="1559" t="s">
        <v>9323</v>
      </c>
      <c r="AB24" s="1559" t="s">
        <v>9501</v>
      </c>
      <c r="AC24" s="1451" t="s">
        <v>1889</v>
      </c>
      <c r="AD24" s="1559" t="s">
        <v>9502</v>
      </c>
      <c r="AE24" s="1451" t="s">
        <v>5598</v>
      </c>
      <c r="AF24" s="1656" t="s">
        <v>9012</v>
      </c>
      <c r="AG24" s="1559" t="s">
        <v>607</v>
      </c>
      <c r="AH24" s="1559" t="s">
        <v>7973</v>
      </c>
      <c r="AI24" s="1559" t="s">
        <v>309</v>
      </c>
      <c r="AJ24" s="1451" t="s">
        <v>9503</v>
      </c>
      <c r="AK24" s="1559" t="s">
        <v>9504</v>
      </c>
      <c r="AL24" s="1451" t="s">
        <v>3267</v>
      </c>
      <c r="AM24" s="1559" t="s">
        <v>2057</v>
      </c>
      <c r="AN24" s="1451" t="s">
        <v>2631</v>
      </c>
      <c r="AO24" s="1559" t="s">
        <v>3488</v>
      </c>
      <c r="AP24" s="1559" t="s">
        <v>9505</v>
      </c>
      <c r="AQ24" s="1451" t="s">
        <v>9506</v>
      </c>
      <c r="AR24" s="1559" t="s">
        <v>1757</v>
      </c>
      <c r="AS24" s="1451" t="s">
        <v>9356</v>
      </c>
      <c r="AT24" s="1559" t="s">
        <v>9507</v>
      </c>
      <c r="AU24" s="1559" t="s">
        <v>9508</v>
      </c>
      <c r="AV24" s="1451" t="str">
        <f t="shared" si="1"/>
        <v>1:53</v>
      </c>
      <c r="AW24" s="1622"/>
    </row>
    <row r="25" ht="15.75" customHeight="1">
      <c r="A25" s="1590" t="s">
        <v>2678</v>
      </c>
      <c r="B25" s="1578" t="s">
        <v>9024</v>
      </c>
      <c r="C25" s="1533">
        <v>0.05008101851851852</v>
      </c>
      <c r="D25" s="980" t="s">
        <v>9509</v>
      </c>
      <c r="E25" s="980" t="s">
        <v>9510</v>
      </c>
      <c r="F25" s="980" t="s">
        <v>9420</v>
      </c>
      <c r="G25" s="980" t="s">
        <v>9511</v>
      </c>
      <c r="H25" s="980" t="s">
        <v>9512</v>
      </c>
      <c r="I25" s="980" t="s">
        <v>9513</v>
      </c>
      <c r="J25" s="1595" t="s">
        <v>1350</v>
      </c>
      <c r="K25" s="980" t="s">
        <v>1089</v>
      </c>
      <c r="L25" s="980" t="s">
        <v>9365</v>
      </c>
      <c r="M25" s="1597" t="s">
        <v>9343</v>
      </c>
      <c r="N25" s="1595" t="s">
        <v>2500</v>
      </c>
      <c r="O25" s="980" t="s">
        <v>9514</v>
      </c>
      <c r="P25" s="1595" t="s">
        <v>5598</v>
      </c>
      <c r="Q25" s="1595" t="s">
        <v>5833</v>
      </c>
      <c r="R25" s="980" t="s">
        <v>6764</v>
      </c>
      <c r="S25" s="980" t="s">
        <v>336</v>
      </c>
      <c r="T25" s="1595" t="s">
        <v>9035</v>
      </c>
      <c r="U25" s="980" t="s">
        <v>9515</v>
      </c>
      <c r="V25" s="980" t="s">
        <v>9516</v>
      </c>
      <c r="W25" s="980" t="s">
        <v>6730</v>
      </c>
      <c r="X25" s="980" t="s">
        <v>5891</v>
      </c>
      <c r="Y25" s="980" t="s">
        <v>5133</v>
      </c>
      <c r="Z25" s="980" t="s">
        <v>1128</v>
      </c>
      <c r="AA25" s="980" t="s">
        <v>9379</v>
      </c>
      <c r="AB25" s="980" t="s">
        <v>2518</v>
      </c>
      <c r="AC25" s="980" t="s">
        <v>1833</v>
      </c>
      <c r="AD25" s="980" t="s">
        <v>6316</v>
      </c>
      <c r="AE25" s="980" t="s">
        <v>3313</v>
      </c>
      <c r="AF25" s="980" t="s">
        <v>9044</v>
      </c>
      <c r="AG25" s="980" t="s">
        <v>9517</v>
      </c>
      <c r="AH25" s="980" t="s">
        <v>5006</v>
      </c>
      <c r="AI25" s="980" t="s">
        <v>3423</v>
      </c>
      <c r="AJ25" s="980" t="s">
        <v>9518</v>
      </c>
      <c r="AK25" s="980" t="s">
        <v>9519</v>
      </c>
      <c r="AL25" s="980" t="s">
        <v>9520</v>
      </c>
      <c r="AM25" s="980" t="s">
        <v>9111</v>
      </c>
      <c r="AN25" s="980" t="s">
        <v>4413</v>
      </c>
      <c r="AO25" s="980" t="s">
        <v>6923</v>
      </c>
      <c r="AP25" s="980" t="s">
        <v>9521</v>
      </c>
      <c r="AQ25" s="980" t="s">
        <v>9522</v>
      </c>
      <c r="AR25" s="980" t="s">
        <v>9523</v>
      </c>
      <c r="AS25" s="980" t="s">
        <v>4666</v>
      </c>
      <c r="AT25" s="980" t="s">
        <v>9524</v>
      </c>
      <c r="AU25" s="1616" t="s">
        <v>9050</v>
      </c>
      <c r="AV25" s="1451" t="str">
        <f t="shared" si="1"/>
        <v>2:51</v>
      </c>
      <c r="AW25" s="1657"/>
    </row>
    <row r="26">
      <c r="A26" s="1590" t="s">
        <v>7484</v>
      </c>
      <c r="B26" s="1588" t="s">
        <v>9024</v>
      </c>
      <c r="C26" s="1533">
        <v>0.05016203703703704</v>
      </c>
      <c r="D26" s="1567" t="s">
        <v>9525</v>
      </c>
      <c r="E26" s="1658" t="s">
        <v>6701</v>
      </c>
      <c r="F26" s="1567" t="s">
        <v>9526</v>
      </c>
      <c r="G26" s="1567" t="s">
        <v>9527</v>
      </c>
      <c r="H26" s="1567" t="s">
        <v>9528</v>
      </c>
      <c r="I26" s="1567" t="s">
        <v>5352</v>
      </c>
      <c r="J26" s="1567" t="s">
        <v>9529</v>
      </c>
      <c r="K26" s="1567" t="s">
        <v>5242</v>
      </c>
      <c r="L26" s="980" t="s">
        <v>5128</v>
      </c>
      <c r="M26" s="1595" t="s">
        <v>9031</v>
      </c>
      <c r="N26" s="1567" t="s">
        <v>9530</v>
      </c>
      <c r="O26" s="1567" t="s">
        <v>9531</v>
      </c>
      <c r="P26" s="1567" t="s">
        <v>5942</v>
      </c>
      <c r="Q26" s="1567" t="s">
        <v>2806</v>
      </c>
      <c r="R26" s="1567" t="s">
        <v>967</v>
      </c>
      <c r="S26" s="1567" t="s">
        <v>9532</v>
      </c>
      <c r="T26" s="1567" t="s">
        <v>1390</v>
      </c>
      <c r="U26" s="1567" t="s">
        <v>9372</v>
      </c>
      <c r="V26" s="1567" t="s">
        <v>9533</v>
      </c>
      <c r="W26" s="1567" t="s">
        <v>9534</v>
      </c>
      <c r="X26" s="1567" t="s">
        <v>1299</v>
      </c>
      <c r="Y26" s="1567" t="s">
        <v>1090</v>
      </c>
      <c r="Z26" s="1567" t="s">
        <v>9442</v>
      </c>
      <c r="AA26" s="1567" t="s">
        <v>9535</v>
      </c>
      <c r="AB26" s="1567" t="s">
        <v>9536</v>
      </c>
      <c r="AC26" s="1567" t="s">
        <v>4797</v>
      </c>
      <c r="AD26" s="1567" t="s">
        <v>9537</v>
      </c>
      <c r="AE26" s="1567" t="s">
        <v>2654</v>
      </c>
      <c r="AF26" s="1567" t="s">
        <v>5847</v>
      </c>
      <c r="AG26" s="1567" t="s">
        <v>9538</v>
      </c>
      <c r="AH26" s="1567" t="s">
        <v>4292</v>
      </c>
      <c r="AI26" s="1559" t="s">
        <v>4161</v>
      </c>
      <c r="AJ26" s="1567" t="s">
        <v>9539</v>
      </c>
      <c r="AK26" s="1567" t="s">
        <v>9364</v>
      </c>
      <c r="AL26" s="1567" t="s">
        <v>2512</v>
      </c>
      <c r="AM26" s="1567" t="s">
        <v>4072</v>
      </c>
      <c r="AN26" s="1567" t="s">
        <v>6078</v>
      </c>
      <c r="AO26" s="1567" t="s">
        <v>9540</v>
      </c>
      <c r="AP26" s="1567" t="s">
        <v>9541</v>
      </c>
      <c r="AQ26" s="1567" t="s">
        <v>4057</v>
      </c>
      <c r="AR26" s="1567" t="s">
        <v>2742</v>
      </c>
      <c r="AS26" s="1567" t="s">
        <v>754</v>
      </c>
      <c r="AT26" s="1567" t="s">
        <v>9542</v>
      </c>
      <c r="AU26" s="1559" t="s">
        <v>9543</v>
      </c>
      <c r="AV26" s="1451" t="str">
        <f t="shared" si="1"/>
        <v>3:20</v>
      </c>
      <c r="AW26" s="1065"/>
    </row>
    <row r="27" ht="15.75" customHeight="1">
      <c r="A27" s="1556" t="s">
        <v>1413</v>
      </c>
      <c r="B27" s="1532" t="s">
        <v>8997</v>
      </c>
      <c r="C27" s="1533">
        <v>0.05025462962962963</v>
      </c>
      <c r="D27" s="980" t="s">
        <v>9544</v>
      </c>
      <c r="E27" s="1613" t="s">
        <v>9545</v>
      </c>
      <c r="F27" s="1642" t="s">
        <v>9546</v>
      </c>
      <c r="G27" s="1539" t="s">
        <v>9547</v>
      </c>
      <c r="H27" s="905" t="s">
        <v>9548</v>
      </c>
      <c r="I27" s="905" t="s">
        <v>1042</v>
      </c>
      <c r="J27" s="1597" t="s">
        <v>7364</v>
      </c>
      <c r="K27" s="1643" t="s">
        <v>8103</v>
      </c>
      <c r="L27" s="1643" t="s">
        <v>5177</v>
      </c>
      <c r="M27" s="1659" t="str">
        <f>HYPERLINK("https://youtu.be/teAIifUZjFw","1:14.18")</f>
        <v>1:14.18</v>
      </c>
      <c r="N27" s="1643" t="s">
        <v>3775</v>
      </c>
      <c r="O27" s="1643" t="s">
        <v>9549</v>
      </c>
      <c r="P27" s="1643" t="s">
        <v>2096</v>
      </c>
      <c r="Q27" s="1644" t="s">
        <v>9550</v>
      </c>
      <c r="R27" s="1600" t="s">
        <v>9551</v>
      </c>
      <c r="S27" s="1600" t="s">
        <v>5488</v>
      </c>
      <c r="T27" s="1660" t="str">
        <f>HYPERLINK("https://youtu.be/AiXricVH5ss","1:24.99")</f>
        <v>1:24.99</v>
      </c>
      <c r="U27" s="1661" t="str">
        <f>HYPERLINK("https://www.twitch.tv/videos/450151935","2:00.31")</f>
        <v>2:00.31</v>
      </c>
      <c r="V27" s="1600" t="s">
        <v>9036</v>
      </c>
      <c r="W27" s="1662" t="str">
        <f>HYPERLINK("https://youtu.be/eafNhBoXVWA","1:46.09")</f>
        <v>1:46.09</v>
      </c>
      <c r="X27" s="1645" t="s">
        <v>4474</v>
      </c>
      <c r="Y27" s="1645" t="s">
        <v>9253</v>
      </c>
      <c r="Z27" s="1645" t="s">
        <v>9552</v>
      </c>
      <c r="AA27" s="1615" t="s">
        <v>9217</v>
      </c>
      <c r="AB27" s="1645" t="s">
        <v>7164</v>
      </c>
      <c r="AC27" s="1645" t="s">
        <v>7220</v>
      </c>
      <c r="AD27" s="1663" t="str">
        <f>HYPERLINK("https://youtu.be/8FEcTKESSh0","1:49.80")</f>
        <v>1:49.80</v>
      </c>
      <c r="AE27" s="1613" t="s">
        <v>5464</v>
      </c>
      <c r="AF27" s="1646" t="s">
        <v>9553</v>
      </c>
      <c r="AG27" s="1646" t="s">
        <v>9554</v>
      </c>
      <c r="AH27" s="1646" t="s">
        <v>9555</v>
      </c>
      <c r="AI27" s="1646" t="s">
        <v>4073</v>
      </c>
      <c r="AJ27" s="1646" t="s">
        <v>9556</v>
      </c>
      <c r="AK27" s="1616" t="s">
        <v>9438</v>
      </c>
      <c r="AL27" s="1646" t="s">
        <v>9557</v>
      </c>
      <c r="AM27" s="1618" t="s">
        <v>9407</v>
      </c>
      <c r="AN27" s="1618" t="s">
        <v>8786</v>
      </c>
      <c r="AO27" s="1618" t="s">
        <v>9523</v>
      </c>
      <c r="AP27" s="1617" t="s">
        <v>9558</v>
      </c>
      <c r="AQ27" s="1617" t="s">
        <v>9559</v>
      </c>
      <c r="AR27" s="1618" t="s">
        <v>9560</v>
      </c>
      <c r="AS27" s="1617" t="s">
        <v>5654</v>
      </c>
      <c r="AT27" s="1659" t="str">
        <f>HYPERLINK("https://youtu.be/xDirVtS1AZ4?t=4416","2:27.45")</f>
        <v>2:27.45</v>
      </c>
      <c r="AU27" s="1640" t="s">
        <v>9561</v>
      </c>
      <c r="AV27" s="1451" t="str">
        <f t="shared" si="1"/>
        <v>2:34</v>
      </c>
      <c r="AW27" s="1587" t="s">
        <v>9562</v>
      </c>
    </row>
    <row r="28">
      <c r="A28" s="1590" t="s">
        <v>7013</v>
      </c>
      <c r="B28" s="1588" t="s">
        <v>8997</v>
      </c>
      <c r="C28" s="1533">
        <v>0.0502662037037037</v>
      </c>
      <c r="D28" s="980" t="s">
        <v>9563</v>
      </c>
      <c r="E28" s="1559" t="s">
        <v>9207</v>
      </c>
      <c r="F28" s="1559" t="s">
        <v>9564</v>
      </c>
      <c r="G28" s="1559" t="s">
        <v>9565</v>
      </c>
      <c r="H28" s="1559" t="s">
        <v>9566</v>
      </c>
      <c r="I28" s="980" t="s">
        <v>263</v>
      </c>
      <c r="J28" s="980" t="s">
        <v>6183</v>
      </c>
      <c r="K28" s="1559" t="s">
        <v>9493</v>
      </c>
      <c r="L28" s="1559" t="s">
        <v>3579</v>
      </c>
      <c r="M28" s="980" t="s">
        <v>2788</v>
      </c>
      <c r="N28" s="1559" t="s">
        <v>9567</v>
      </c>
      <c r="O28" s="1559" t="s">
        <v>9568</v>
      </c>
      <c r="P28" s="980" t="s">
        <v>9569</v>
      </c>
      <c r="Q28" s="1559" t="s">
        <v>9570</v>
      </c>
      <c r="R28" s="980" t="s">
        <v>9571</v>
      </c>
      <c r="S28" s="1559" t="s">
        <v>9572</v>
      </c>
      <c r="T28" s="980" t="s">
        <v>9573</v>
      </c>
      <c r="U28" s="1559" t="s">
        <v>1027</v>
      </c>
      <c r="V28" s="980" t="s">
        <v>5039</v>
      </c>
      <c r="W28" s="980" t="s">
        <v>6732</v>
      </c>
      <c r="X28" s="980" t="s">
        <v>6867</v>
      </c>
      <c r="Y28" s="980" t="s">
        <v>881</v>
      </c>
      <c r="Z28" s="980" t="s">
        <v>9574</v>
      </c>
      <c r="AA28" s="1559" t="s">
        <v>9575</v>
      </c>
      <c r="AB28" s="980" t="s">
        <v>7219</v>
      </c>
      <c r="AC28" s="1559" t="s">
        <v>9513</v>
      </c>
      <c r="AD28" s="980" t="s">
        <v>6342</v>
      </c>
      <c r="AE28" s="1559" t="s">
        <v>9109</v>
      </c>
      <c r="AF28" s="1559" t="s">
        <v>9576</v>
      </c>
      <c r="AG28" s="980" t="s">
        <v>1913</v>
      </c>
      <c r="AH28" s="980" t="s">
        <v>2638</v>
      </c>
      <c r="AI28" s="1559" t="s">
        <v>9577</v>
      </c>
      <c r="AJ28" s="980" t="s">
        <v>9578</v>
      </c>
      <c r="AK28" s="980" t="s">
        <v>6621</v>
      </c>
      <c r="AL28" s="980" t="s">
        <v>4615</v>
      </c>
      <c r="AM28" s="980" t="s">
        <v>9579</v>
      </c>
      <c r="AN28" s="980" t="s">
        <v>4615</v>
      </c>
      <c r="AO28" s="980" t="s">
        <v>1845</v>
      </c>
      <c r="AP28" s="1559" t="s">
        <v>9580</v>
      </c>
      <c r="AQ28" s="980" t="s">
        <v>2227</v>
      </c>
      <c r="AR28" s="1559" t="s">
        <v>8894</v>
      </c>
      <c r="AS28" s="980" t="s">
        <v>1970</v>
      </c>
      <c r="AT28" s="1559" t="s">
        <v>9581</v>
      </c>
      <c r="AU28" s="1559" t="s">
        <v>9582</v>
      </c>
      <c r="AV28" s="1451" t="str">
        <f t="shared" si="1"/>
        <v>2:28</v>
      </c>
      <c r="AW28" s="1589" t="s">
        <v>9583</v>
      </c>
    </row>
    <row r="29">
      <c r="A29" s="1590" t="s">
        <v>9584</v>
      </c>
      <c r="B29" s="1664" t="s">
        <v>8997</v>
      </c>
      <c r="C29" s="1533">
        <v>0.0503125</v>
      </c>
      <c r="D29" s="980" t="s">
        <v>9585</v>
      </c>
      <c r="E29" s="1613" t="s">
        <v>9586</v>
      </c>
      <c r="F29" s="1613" t="s">
        <v>9587</v>
      </c>
      <c r="G29" s="1613" t="s">
        <v>9588</v>
      </c>
      <c r="H29" s="840" t="s">
        <v>9589</v>
      </c>
      <c r="I29" s="840" t="s">
        <v>8075</v>
      </c>
      <c r="J29" s="1597" t="s">
        <v>1841</v>
      </c>
      <c r="K29" s="1597" t="s">
        <v>6099</v>
      </c>
      <c r="L29" s="1597" t="s">
        <v>3518</v>
      </c>
      <c r="M29" s="1597" t="s">
        <v>9590</v>
      </c>
      <c r="N29" s="1597" t="s">
        <v>7103</v>
      </c>
      <c r="O29" s="1597" t="s">
        <v>4149</v>
      </c>
      <c r="P29" s="1597" t="s">
        <v>4708</v>
      </c>
      <c r="Q29" s="1600" t="s">
        <v>9591</v>
      </c>
      <c r="R29" s="1600" t="s">
        <v>9592</v>
      </c>
      <c r="S29" s="1600" t="s">
        <v>549</v>
      </c>
      <c r="T29" s="1600" t="s">
        <v>9593</v>
      </c>
      <c r="U29" s="1600" t="s">
        <v>9594</v>
      </c>
      <c r="V29" s="1600" t="s">
        <v>9595</v>
      </c>
      <c r="W29" s="1615" t="s">
        <v>9596</v>
      </c>
      <c r="X29" s="1615" t="s">
        <v>4474</v>
      </c>
      <c r="Y29" s="1615" t="s">
        <v>1546</v>
      </c>
      <c r="Z29" s="1615" t="s">
        <v>2403</v>
      </c>
      <c r="AA29" s="1615" t="s">
        <v>9597</v>
      </c>
      <c r="AB29" s="1615" t="s">
        <v>3804</v>
      </c>
      <c r="AC29" s="1615" t="s">
        <v>9598</v>
      </c>
      <c r="AD29" s="1613" t="s">
        <v>9599</v>
      </c>
      <c r="AE29" s="1613" t="s">
        <v>5967</v>
      </c>
      <c r="AF29" s="1616" t="s">
        <v>9600</v>
      </c>
      <c r="AG29" s="1616" t="s">
        <v>7435</v>
      </c>
      <c r="AH29" s="1616" t="s">
        <v>9601</v>
      </c>
      <c r="AI29" s="1616" t="s">
        <v>5147</v>
      </c>
      <c r="AJ29" s="1616" t="s">
        <v>9602</v>
      </c>
      <c r="AK29" s="1616" t="s">
        <v>9603</v>
      </c>
      <c r="AL29" s="1616" t="s">
        <v>9604</v>
      </c>
      <c r="AM29" s="1618" t="s">
        <v>9300</v>
      </c>
      <c r="AN29" s="1618" t="s">
        <v>9605</v>
      </c>
      <c r="AO29" s="1618" t="s">
        <v>3215</v>
      </c>
      <c r="AP29" s="1618" t="s">
        <v>9606</v>
      </c>
      <c r="AQ29" s="1618" t="s">
        <v>9607</v>
      </c>
      <c r="AR29" s="1618" t="s">
        <v>3017</v>
      </c>
      <c r="AS29" s="1618" t="s">
        <v>302</v>
      </c>
      <c r="AT29" s="1597" t="s">
        <v>9608</v>
      </c>
      <c r="AU29" s="1580" t="s">
        <v>9609</v>
      </c>
      <c r="AV29" s="1451" t="str">
        <f t="shared" si="1"/>
        <v>2:59</v>
      </c>
      <c r="AW29" s="1581" t="s">
        <v>9610</v>
      </c>
    </row>
    <row r="30" ht="15.75" customHeight="1">
      <c r="A30" s="1531" t="s">
        <v>9611</v>
      </c>
      <c r="B30" s="1623" t="s">
        <v>9024</v>
      </c>
      <c r="C30" s="1533">
        <v>0.05042824074074074</v>
      </c>
      <c r="D30" s="980" t="s">
        <v>9336</v>
      </c>
      <c r="E30" s="1613" t="s">
        <v>6374</v>
      </c>
      <c r="F30" s="1613" t="s">
        <v>9612</v>
      </c>
      <c r="G30" s="1642" t="s">
        <v>9613</v>
      </c>
      <c r="H30" s="905" t="s">
        <v>9614</v>
      </c>
      <c r="I30" s="840" t="s">
        <v>3365</v>
      </c>
      <c r="J30" s="1597" t="s">
        <v>4861</v>
      </c>
      <c r="K30" s="1597" t="s">
        <v>5242</v>
      </c>
      <c r="L30" s="1597" t="s">
        <v>2474</v>
      </c>
      <c r="M30" s="1597" t="s">
        <v>1901</v>
      </c>
      <c r="N30" s="1597" t="s">
        <v>4192</v>
      </c>
      <c r="O30" s="1597" t="s">
        <v>9615</v>
      </c>
      <c r="P30" s="1643" t="s">
        <v>759</v>
      </c>
      <c r="Q30" s="1600" t="s">
        <v>9616</v>
      </c>
      <c r="R30" s="1600" t="s">
        <v>3438</v>
      </c>
      <c r="S30" s="1600" t="s">
        <v>7193</v>
      </c>
      <c r="T30" s="1644" t="s">
        <v>3216</v>
      </c>
      <c r="U30" s="1600" t="s">
        <v>9169</v>
      </c>
      <c r="V30" s="1644" t="s">
        <v>5020</v>
      </c>
      <c r="W30" s="1645" t="s">
        <v>6902</v>
      </c>
      <c r="X30" s="1615" t="s">
        <v>2610</v>
      </c>
      <c r="Y30" s="1645" t="s">
        <v>9617</v>
      </c>
      <c r="Z30" s="1615" t="s">
        <v>9618</v>
      </c>
      <c r="AA30" s="1645" t="s">
        <v>9619</v>
      </c>
      <c r="AB30" s="980" t="s">
        <v>9620</v>
      </c>
      <c r="AC30" s="1645" t="s">
        <v>3689</v>
      </c>
      <c r="AD30" s="1605" t="s">
        <v>9039</v>
      </c>
      <c r="AE30" s="1613" t="s">
        <v>3313</v>
      </c>
      <c r="AF30" s="1616" t="s">
        <v>9621</v>
      </c>
      <c r="AG30" s="1646" t="s">
        <v>3996</v>
      </c>
      <c r="AH30" s="1646" t="s">
        <v>6165</v>
      </c>
      <c r="AI30" s="1451" t="s">
        <v>9575</v>
      </c>
      <c r="AJ30" s="1646" t="s">
        <v>9622</v>
      </c>
      <c r="AK30" s="1616" t="s">
        <v>9623</v>
      </c>
      <c r="AL30" s="1646" t="s">
        <v>3694</v>
      </c>
      <c r="AM30" s="1618" t="s">
        <v>9624</v>
      </c>
      <c r="AN30" s="1618" t="s">
        <v>5115</v>
      </c>
      <c r="AO30" s="1618" t="s">
        <v>1937</v>
      </c>
      <c r="AP30" s="1618" t="s">
        <v>9625</v>
      </c>
      <c r="AQ30" s="1617" t="s">
        <v>9626</v>
      </c>
      <c r="AR30" s="1617" t="s">
        <v>3739</v>
      </c>
      <c r="AS30" s="1617" t="s">
        <v>5215</v>
      </c>
      <c r="AT30" s="1597" t="s">
        <v>9627</v>
      </c>
      <c r="AU30" s="1580" t="s">
        <v>9628</v>
      </c>
      <c r="AV30" s="1451" t="str">
        <f t="shared" si="1"/>
        <v>2:55</v>
      </c>
      <c r="AW30" s="1641"/>
    </row>
    <row r="31" ht="15.75" customHeight="1">
      <c r="A31" s="1531" t="s">
        <v>4342</v>
      </c>
      <c r="B31" s="1532" t="s">
        <v>8997</v>
      </c>
      <c r="C31" s="1665">
        <v>0.05043981481481481</v>
      </c>
      <c r="D31" s="980" t="s">
        <v>9629</v>
      </c>
      <c r="E31" s="1451" t="s">
        <v>6928</v>
      </c>
      <c r="F31" s="1451" t="s">
        <v>1573</v>
      </c>
      <c r="G31" s="1451" t="s">
        <v>9630</v>
      </c>
      <c r="H31" s="1451" t="s">
        <v>9230</v>
      </c>
      <c r="I31" s="1451" t="s">
        <v>4748</v>
      </c>
      <c r="J31" s="1451" t="s">
        <v>4484</v>
      </c>
      <c r="K31" s="1451" t="s">
        <v>9478</v>
      </c>
      <c r="L31" s="1451" t="s">
        <v>3876</v>
      </c>
      <c r="M31" s="1451" t="s">
        <v>9631</v>
      </c>
      <c r="N31" s="1451" t="s">
        <v>9035</v>
      </c>
      <c r="O31" s="1451" t="s">
        <v>9632</v>
      </c>
      <c r="P31" s="1451" t="s">
        <v>5385</v>
      </c>
      <c r="Q31" s="1451" t="s">
        <v>9633</v>
      </c>
      <c r="R31" s="1451" t="s">
        <v>9634</v>
      </c>
      <c r="S31" s="1451" t="s">
        <v>9635</v>
      </c>
      <c r="T31" s="1451" t="s">
        <v>9636</v>
      </c>
      <c r="U31" s="1451" t="s">
        <v>9637</v>
      </c>
      <c r="V31" s="1451" t="s">
        <v>2284</v>
      </c>
      <c r="W31" s="1451" t="s">
        <v>9638</v>
      </c>
      <c r="X31" s="1451" t="s">
        <v>9639</v>
      </c>
      <c r="Y31" s="1451" t="s">
        <v>9499</v>
      </c>
      <c r="Z31" s="1451" t="s">
        <v>1128</v>
      </c>
      <c r="AA31" s="1451" t="s">
        <v>3423</v>
      </c>
      <c r="AB31" s="1451" t="s">
        <v>4861</v>
      </c>
      <c r="AC31" s="1451" t="s">
        <v>7220</v>
      </c>
      <c r="AD31" s="1451" t="s">
        <v>6316</v>
      </c>
      <c r="AE31" s="1451" t="s">
        <v>5624</v>
      </c>
      <c r="AF31" s="1451" t="s">
        <v>9640</v>
      </c>
      <c r="AG31" s="1451" t="s">
        <v>5957</v>
      </c>
      <c r="AH31" s="1451" t="s">
        <v>4101</v>
      </c>
      <c r="AI31" s="1451" t="s">
        <v>5147</v>
      </c>
      <c r="AJ31" s="1451" t="s">
        <v>9641</v>
      </c>
      <c r="AK31" s="1451" t="s">
        <v>9642</v>
      </c>
      <c r="AL31" s="1451" t="s">
        <v>6036</v>
      </c>
      <c r="AM31" s="1451" t="s">
        <v>1230</v>
      </c>
      <c r="AN31" s="1451" t="s">
        <v>4195</v>
      </c>
      <c r="AO31" s="1451" t="s">
        <v>9643</v>
      </c>
      <c r="AP31" s="1569" t="str">
        <f>HYPERLINK("https://www.twitch.tv/videos/511415405","2:00.79")</f>
        <v>2:00.79</v>
      </c>
      <c r="AQ31" s="1451" t="s">
        <v>3604</v>
      </c>
      <c r="AR31" s="1451" t="s">
        <v>6923</v>
      </c>
      <c r="AS31" s="1451" t="s">
        <v>9105</v>
      </c>
      <c r="AT31" s="1451" t="s">
        <v>9644</v>
      </c>
      <c r="AU31" s="1451" t="s">
        <v>9645</v>
      </c>
      <c r="AV31" s="1451" t="str">
        <f t="shared" si="1"/>
        <v>2:36</v>
      </c>
      <c r="AW31" s="1570" t="s">
        <v>7554</v>
      </c>
    </row>
    <row r="32">
      <c r="A32" s="1590" t="s">
        <v>1194</v>
      </c>
      <c r="B32" s="1578" t="s">
        <v>8997</v>
      </c>
      <c r="C32" s="1533">
        <v>0.050486111111111114</v>
      </c>
      <c r="D32" s="1613" t="s">
        <v>9646</v>
      </c>
      <c r="E32" s="1613" t="s">
        <v>4268</v>
      </c>
      <c r="F32" s="1613" t="s">
        <v>9647</v>
      </c>
      <c r="G32" s="1613" t="s">
        <v>9648</v>
      </c>
      <c r="H32" s="980" t="s">
        <v>9649</v>
      </c>
      <c r="I32" s="840" t="s">
        <v>925</v>
      </c>
      <c r="J32" s="1597" t="s">
        <v>5920</v>
      </c>
      <c r="K32" s="1597" t="s">
        <v>7448</v>
      </c>
      <c r="L32" s="1597" t="s">
        <v>6570</v>
      </c>
      <c r="M32" s="1597" t="s">
        <v>5030</v>
      </c>
      <c r="N32" s="1597" t="s">
        <v>9650</v>
      </c>
      <c r="O32" s="1597" t="s">
        <v>9651</v>
      </c>
      <c r="P32" s="1597" t="s">
        <v>9400</v>
      </c>
      <c r="Q32" s="1600" t="s">
        <v>170</v>
      </c>
      <c r="R32" s="1600" t="s">
        <v>4807</v>
      </c>
      <c r="S32" s="1600" t="s">
        <v>9364</v>
      </c>
      <c r="T32" s="1600" t="s">
        <v>9652</v>
      </c>
      <c r="U32" s="1600" t="s">
        <v>9653</v>
      </c>
      <c r="V32" s="1600" t="s">
        <v>9654</v>
      </c>
      <c r="W32" s="1615" t="s">
        <v>9655</v>
      </c>
      <c r="X32" s="1615" t="s">
        <v>9656</v>
      </c>
      <c r="Y32" s="1615" t="s">
        <v>8038</v>
      </c>
      <c r="Z32" s="1615" t="s">
        <v>9657</v>
      </c>
      <c r="AA32" s="1559" t="s">
        <v>9658</v>
      </c>
      <c r="AB32" s="1615" t="s">
        <v>3405</v>
      </c>
      <c r="AC32" s="1615" t="s">
        <v>1042</v>
      </c>
      <c r="AD32" s="1613" t="s">
        <v>9659</v>
      </c>
      <c r="AE32" s="1613" t="s">
        <v>2223</v>
      </c>
      <c r="AF32" s="1616" t="s">
        <v>9660</v>
      </c>
      <c r="AG32" s="1616" t="s">
        <v>528</v>
      </c>
      <c r="AH32" s="1616" t="s">
        <v>9661</v>
      </c>
      <c r="AI32" s="1616" t="s">
        <v>2707</v>
      </c>
      <c r="AJ32" s="1616" t="s">
        <v>9662</v>
      </c>
      <c r="AK32" s="1616" t="s">
        <v>7023</v>
      </c>
      <c r="AL32" s="1616" t="s">
        <v>2889</v>
      </c>
      <c r="AM32" s="1618" t="s">
        <v>9663</v>
      </c>
      <c r="AN32" s="1618" t="s">
        <v>9365</v>
      </c>
      <c r="AO32" s="1618" t="s">
        <v>9664</v>
      </c>
      <c r="AP32" s="1618" t="s">
        <v>9665</v>
      </c>
      <c r="AQ32" s="1618" t="s">
        <v>9666</v>
      </c>
      <c r="AR32" s="1618" t="s">
        <v>1156</v>
      </c>
      <c r="AS32" s="1618" t="s">
        <v>1546</v>
      </c>
      <c r="AT32" s="1597" t="s">
        <v>9667</v>
      </c>
      <c r="AU32" s="1580" t="s">
        <v>9668</v>
      </c>
      <c r="AV32" s="1451" t="str">
        <f t="shared" si="1"/>
        <v>3:47</v>
      </c>
      <c r="AW32" s="1581"/>
    </row>
    <row r="33" ht="15.75" customHeight="1">
      <c r="A33" s="1590" t="s">
        <v>1722</v>
      </c>
      <c r="B33" s="1532" t="s">
        <v>8997</v>
      </c>
      <c r="C33" s="1533">
        <v>0.05049768518518519</v>
      </c>
      <c r="D33" s="980" t="s">
        <v>9669</v>
      </c>
      <c r="E33" s="1642" t="s">
        <v>9670</v>
      </c>
      <c r="F33" s="1663" t="str">
        <f>HYPERLINK("https://www.youtube.com/watch?v=rtR6KkKhM6I","1:59.91")</f>
        <v>1:59.91</v>
      </c>
      <c r="G33" s="1642" t="s">
        <v>9671</v>
      </c>
      <c r="H33" s="1666" t="str">
        <f>HYPERLINK("https://www.youtube.com/watch?v=cg-eipYsN1s","1:54.47")</f>
        <v>1:54.47</v>
      </c>
      <c r="I33" s="905" t="s">
        <v>9617</v>
      </c>
      <c r="J33" s="1643" t="s">
        <v>6530</v>
      </c>
      <c r="K33" s="1597" t="s">
        <v>7504</v>
      </c>
      <c r="L33" s="1659" t="str">
        <f>HYPERLINK("https://www.youtube.com/watch?v=tJdjPKdAbw4","57.01")</f>
        <v>57.01</v>
      </c>
      <c r="M33" s="1643" t="s">
        <v>6798</v>
      </c>
      <c r="N33" s="1597" t="s">
        <v>2303</v>
      </c>
      <c r="O33" s="1643" t="s">
        <v>9373</v>
      </c>
      <c r="P33" s="1643" t="s">
        <v>280</v>
      </c>
      <c r="Q33" s="1644" t="s">
        <v>238</v>
      </c>
      <c r="R33" s="1644" t="s">
        <v>9672</v>
      </c>
      <c r="S33" s="1661" t="str">
        <f>HYPERLINK("https://www.youtube.com/watch?v=_3ms_ZhYFzo","1:18.01")</f>
        <v>1:18.01</v>
      </c>
      <c r="T33" s="1644" t="s">
        <v>9673</v>
      </c>
      <c r="U33" s="1661" t="str">
        <f>HYPERLINK("https://www.youtube.com/watch?v=ZOy_TI3Zw14","2:02.38")</f>
        <v>2:02.38</v>
      </c>
      <c r="V33" s="1644" t="s">
        <v>9654</v>
      </c>
      <c r="W33" s="1645" t="s">
        <v>3311</v>
      </c>
      <c r="X33" s="1645" t="s">
        <v>7023</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7220</v>
      </c>
      <c r="AD33" s="1663" t="str">
        <f>HYPERLINK("https://www.youtube.com/watch?v=ikF77QyREZg","1:50.30")</f>
        <v>1:50.30</v>
      </c>
      <c r="AE33" s="1642" t="s">
        <v>9400</v>
      </c>
      <c r="AF33" s="1646" t="s">
        <v>9674</v>
      </c>
      <c r="AG33" s="1667" t="str">
        <f>HYPERLINK("https://www.youtube.com/watch?v=KXwTRrVVluY","1:30.62")</f>
        <v>1:30.62</v>
      </c>
      <c r="AH33" s="1646" t="s">
        <v>3054</v>
      </c>
      <c r="AI33" s="1646" t="s">
        <v>9554</v>
      </c>
      <c r="AJ33" s="1646" t="s">
        <v>9675</v>
      </c>
      <c r="AK33" s="1616" t="s">
        <v>9676</v>
      </c>
      <c r="AL33" s="1646" t="s">
        <v>9677</v>
      </c>
      <c r="AM33" s="1668" t="str">
        <f>HYPERLINK("https://www.youtube.com/watch?v=BAoEwuQ0LoI","1:25.68")</f>
        <v>1:25.68</v>
      </c>
      <c r="AN33" s="1668" t="str">
        <f>HYPERLINK("https://www.youtube.com/watch?v=F-LtZeEZXek","56.36")</f>
        <v>56.36</v>
      </c>
      <c r="AO33" s="1617" t="s">
        <v>9678</v>
      </c>
      <c r="AP33" s="1617" t="s">
        <v>9679</v>
      </c>
      <c r="AQ33" s="1617" t="s">
        <v>9680</v>
      </c>
      <c r="AR33" s="1668" t="str">
        <f>HYPERLINK("https://www.youtube.com/watch?v=WSIIkWWbKgE","1:21.74")</f>
        <v>1:21.74</v>
      </c>
      <c r="AS33" s="1617" t="s">
        <v>5646</v>
      </c>
      <c r="AT33" s="1659" t="str">
        <f>HYPERLINK("https://www.youtube.com/watch?v=H67SXBLcISI","2:29.09")</f>
        <v>2:29.09</v>
      </c>
      <c r="AU33" s="1640" t="s">
        <v>9681</v>
      </c>
      <c r="AV33" s="1451" t="str">
        <f t="shared" si="1"/>
        <v>2:03</v>
      </c>
      <c r="AW33" s="1669" t="s">
        <v>9682</v>
      </c>
    </row>
    <row r="34">
      <c r="A34" s="1590" t="s">
        <v>3096</v>
      </c>
      <c r="B34" s="1578" t="s">
        <v>9024</v>
      </c>
      <c r="C34" s="1533">
        <v>0.050520833333333334</v>
      </c>
      <c r="D34" s="1613" t="s">
        <v>9683</v>
      </c>
      <c r="E34" s="1651" t="s">
        <v>4601</v>
      </c>
      <c r="F34" s="1651" t="s">
        <v>9047</v>
      </c>
      <c r="G34" s="1613" t="s">
        <v>9684</v>
      </c>
      <c r="H34" s="1651" t="s">
        <v>9363</v>
      </c>
      <c r="I34" s="1651" t="s">
        <v>3120</v>
      </c>
      <c r="J34" s="1597" t="s">
        <v>9685</v>
      </c>
      <c r="K34" s="1670" t="s">
        <v>9686</v>
      </c>
      <c r="L34" s="1597" t="s">
        <v>9687</v>
      </c>
      <c r="M34" s="1539" t="s">
        <v>5865</v>
      </c>
      <c r="N34" s="1597" t="s">
        <v>885</v>
      </c>
      <c r="O34" s="1597" t="s">
        <v>9549</v>
      </c>
      <c r="P34" s="1597" t="s">
        <v>411</v>
      </c>
      <c r="Q34" s="1059" t="str">
        <f>HYPERLINK("https://www.twitch.tv/planktonsecretformula/v/1588460220?sr=a", "2:12.43")</f>
        <v>2:12.43</v>
      </c>
      <c r="R34" s="1600" t="s">
        <v>9634</v>
      </c>
      <c r="S34" s="1600" t="s">
        <v>9688</v>
      </c>
      <c r="T34" s="1631" t="s">
        <v>9689</v>
      </c>
      <c r="U34" s="1651" t="s">
        <v>9690</v>
      </c>
      <c r="V34" s="1651" t="s">
        <v>9691</v>
      </c>
      <c r="W34" s="1624" t="s">
        <v>9692</v>
      </c>
      <c r="X34" s="1615" t="s">
        <v>856</v>
      </c>
      <c r="Y34" s="1615" t="s">
        <v>7704</v>
      </c>
      <c r="Z34" s="1615" t="s">
        <v>9166</v>
      </c>
      <c r="AA34" s="1559" t="s">
        <v>9693</v>
      </c>
      <c r="AB34" s="1615" t="s">
        <v>4145</v>
      </c>
      <c r="AC34" s="1615" t="s">
        <v>940</v>
      </c>
      <c r="AD34" s="1613" t="s">
        <v>3955</v>
      </c>
      <c r="AE34" s="1613" t="s">
        <v>5942</v>
      </c>
      <c r="AF34" s="1616" t="s">
        <v>9694</v>
      </c>
      <c r="AG34" s="1651" t="s">
        <v>4636</v>
      </c>
      <c r="AH34" s="1616" t="s">
        <v>9695</v>
      </c>
      <c r="AI34" s="1616" t="s">
        <v>7806</v>
      </c>
      <c r="AJ34" s="1616" t="s">
        <v>9696</v>
      </c>
      <c r="AK34" s="1616" t="s">
        <v>9697</v>
      </c>
      <c r="AL34" s="1616" t="s">
        <v>9698</v>
      </c>
      <c r="AM34" s="1618" t="s">
        <v>3216</v>
      </c>
      <c r="AN34" s="1618" t="s">
        <v>9403</v>
      </c>
      <c r="AO34" s="1618" t="s">
        <v>3017</v>
      </c>
      <c r="AP34" s="1618" t="s">
        <v>9699</v>
      </c>
      <c r="AQ34" s="1059" t="str">
        <f>HYPERLINK("https://www.twitch.tv/planktonsecretformula/v/1678454360?sr=a&amp;t=0s", "1:37.46")</f>
        <v>1:37.46</v>
      </c>
      <c r="AR34" s="1618" t="s">
        <v>9700</v>
      </c>
      <c r="AS34" s="1618" t="s">
        <v>717</v>
      </c>
      <c r="AT34" s="1597" t="s">
        <v>9701</v>
      </c>
      <c r="AU34" s="1580" t="s">
        <v>9702</v>
      </c>
      <c r="AV34" s="1451" t="str">
        <f t="shared" si="1"/>
        <v>4:40</v>
      </c>
      <c r="AW34" s="1581" t="s">
        <v>9703</v>
      </c>
    </row>
    <row r="35" ht="15.75" customHeight="1">
      <c r="A35" s="1655" t="s">
        <v>9704</v>
      </c>
      <c r="B35" s="1532" t="s">
        <v>8997</v>
      </c>
      <c r="C35" s="1533">
        <v>0.050555555555555555</v>
      </c>
      <c r="D35" s="980" t="s">
        <v>9705</v>
      </c>
      <c r="E35" s="1613" t="s">
        <v>9706</v>
      </c>
      <c r="F35" s="1613" t="s">
        <v>9707</v>
      </c>
      <c r="G35" s="1613" t="s">
        <v>9708</v>
      </c>
      <c r="H35" s="840" t="s">
        <v>9709</v>
      </c>
      <c r="I35" s="840" t="s">
        <v>9710</v>
      </c>
      <c r="J35" s="1597" t="s">
        <v>9711</v>
      </c>
      <c r="K35" s="1597" t="s">
        <v>9712</v>
      </c>
      <c r="L35" s="1597" t="s">
        <v>9713</v>
      </c>
      <c r="M35" s="1597" t="s">
        <v>3209</v>
      </c>
      <c r="N35" s="1597" t="s">
        <v>9714</v>
      </c>
      <c r="O35" s="1597" t="s">
        <v>9615</v>
      </c>
      <c r="P35" s="1597" t="s">
        <v>4904</v>
      </c>
      <c r="Q35" s="1600" t="s">
        <v>9715</v>
      </c>
      <c r="R35" s="1600" t="s">
        <v>2712</v>
      </c>
      <c r="S35" s="1600" t="s">
        <v>6953</v>
      </c>
      <c r="T35" s="1600" t="s">
        <v>9716</v>
      </c>
      <c r="U35" s="1600" t="s">
        <v>9717</v>
      </c>
      <c r="V35" s="1600" t="s">
        <v>9036</v>
      </c>
      <c r="W35" s="1615" t="s">
        <v>9718</v>
      </c>
      <c r="X35" s="1615" t="s">
        <v>9719</v>
      </c>
      <c r="Y35" s="1615" t="s">
        <v>9720</v>
      </c>
      <c r="Z35" s="1615" t="s">
        <v>1381</v>
      </c>
      <c r="AA35" s="1615" t="s">
        <v>9721</v>
      </c>
      <c r="AB35" s="1615" t="s">
        <v>7065</v>
      </c>
      <c r="AC35" s="1645" t="s">
        <v>2173</v>
      </c>
      <c r="AD35" s="1613" t="s">
        <v>9722</v>
      </c>
      <c r="AE35" s="1613" t="s">
        <v>9400</v>
      </c>
      <c r="AF35" s="1616" t="s">
        <v>9723</v>
      </c>
      <c r="AG35" s="1616" t="s">
        <v>9724</v>
      </c>
      <c r="AH35" s="1616" t="s">
        <v>5677</v>
      </c>
      <c r="AI35" s="1616" t="s">
        <v>9725</v>
      </c>
      <c r="AJ35" s="1616" t="s">
        <v>9726</v>
      </c>
      <c r="AK35" s="1616" t="s">
        <v>4474</v>
      </c>
      <c r="AL35" s="1616" t="s">
        <v>5764</v>
      </c>
      <c r="AM35" s="1618" t="s">
        <v>1925</v>
      </c>
      <c r="AN35" s="1618" t="s">
        <v>4622</v>
      </c>
      <c r="AO35" s="1618" t="s">
        <v>9727</v>
      </c>
      <c r="AP35" s="1618" t="s">
        <v>9728</v>
      </c>
      <c r="AQ35" s="1618" t="s">
        <v>9729</v>
      </c>
      <c r="AR35" s="1618" t="s">
        <v>9416</v>
      </c>
      <c r="AS35" s="1618" t="s">
        <v>881</v>
      </c>
      <c r="AT35" s="1597" t="s">
        <v>9730</v>
      </c>
      <c r="AU35" s="1580" t="s">
        <v>9731</v>
      </c>
      <c r="AV35" s="1451" t="str">
        <f t="shared" si="1"/>
        <v>2:07</v>
      </c>
      <c r="AW35" s="1641"/>
    </row>
    <row r="36">
      <c r="A36" s="1590" t="s">
        <v>644</v>
      </c>
      <c r="B36" s="1578" t="s">
        <v>8997</v>
      </c>
      <c r="C36" s="1533">
        <v>0.050555555555555555</v>
      </c>
      <c r="D36" s="980" t="s">
        <v>9732</v>
      </c>
      <c r="E36" s="980" t="s">
        <v>9733</v>
      </c>
      <c r="F36" s="980" t="s">
        <v>9734</v>
      </c>
      <c r="G36" s="980" t="s">
        <v>9735</v>
      </c>
      <c r="H36" s="980" t="s">
        <v>9736</v>
      </c>
      <c r="I36" s="980" t="s">
        <v>2556</v>
      </c>
      <c r="J36" s="980" t="s">
        <v>1300</v>
      </c>
      <c r="K36" s="980" t="s">
        <v>9737</v>
      </c>
      <c r="L36" s="980" t="s">
        <v>4262</v>
      </c>
      <c r="M36" s="980" t="s">
        <v>4172</v>
      </c>
      <c r="N36" s="980" t="s">
        <v>9738</v>
      </c>
      <c r="O36" s="980" t="s">
        <v>9739</v>
      </c>
      <c r="P36" s="980" t="s">
        <v>9740</v>
      </c>
      <c r="Q36" s="980" t="s">
        <v>9741</v>
      </c>
      <c r="R36" s="980" t="s">
        <v>1938</v>
      </c>
      <c r="S36" s="980" t="s">
        <v>9742</v>
      </c>
      <c r="T36" s="980" t="s">
        <v>9603</v>
      </c>
      <c r="U36" s="980" t="s">
        <v>9743</v>
      </c>
      <c r="V36" s="980" t="s">
        <v>9744</v>
      </c>
      <c r="W36" s="980" t="s">
        <v>4757</v>
      </c>
      <c r="X36" s="980" t="s">
        <v>9745</v>
      </c>
      <c r="Y36" s="980" t="s">
        <v>5133</v>
      </c>
      <c r="Z36" s="980" t="s">
        <v>9746</v>
      </c>
      <c r="AA36" s="980" t="s">
        <v>9747</v>
      </c>
      <c r="AB36" s="980" t="s">
        <v>9748</v>
      </c>
      <c r="AC36" s="980" t="s">
        <v>7220</v>
      </c>
      <c r="AD36" s="980" t="s">
        <v>9749</v>
      </c>
      <c r="AE36" s="980" t="s">
        <v>9215</v>
      </c>
      <c r="AF36" s="980" t="s">
        <v>9750</v>
      </c>
      <c r="AG36" s="980" t="s">
        <v>5129</v>
      </c>
      <c r="AH36" s="980" t="s">
        <v>4444</v>
      </c>
      <c r="AI36" s="980" t="s">
        <v>9751</v>
      </c>
      <c r="AJ36" s="980" t="s">
        <v>9752</v>
      </c>
      <c r="AK36" s="980" t="s">
        <v>1673</v>
      </c>
      <c r="AL36" s="980" t="s">
        <v>9753</v>
      </c>
      <c r="AM36" s="980" t="s">
        <v>4042</v>
      </c>
      <c r="AN36" s="980" t="s">
        <v>4079</v>
      </c>
      <c r="AO36" s="980" t="s">
        <v>6378</v>
      </c>
      <c r="AP36" s="980" t="s">
        <v>9754</v>
      </c>
      <c r="AQ36" s="980" t="s">
        <v>9755</v>
      </c>
      <c r="AR36" s="980" t="s">
        <v>9304</v>
      </c>
      <c r="AS36" s="980" t="s">
        <v>837</v>
      </c>
      <c r="AT36" s="980" t="s">
        <v>9756</v>
      </c>
      <c r="AU36" s="1580" t="s">
        <v>9645</v>
      </c>
      <c r="AV36" s="1451" t="str">
        <f t="shared" si="1"/>
        <v>2:26</v>
      </c>
      <c r="AW36" s="1581" t="s">
        <v>9757</v>
      </c>
    </row>
    <row r="37" ht="15.75" customHeight="1">
      <c r="A37" s="1531" t="s">
        <v>739</v>
      </c>
      <c r="B37" s="1623" t="s">
        <v>9024</v>
      </c>
      <c r="C37" s="1533">
        <v>0.05056712962962963</v>
      </c>
      <c r="D37" s="1595" t="s">
        <v>9025</v>
      </c>
      <c r="E37" s="1642" t="s">
        <v>9545</v>
      </c>
      <c r="F37" s="1658" t="s">
        <v>9026</v>
      </c>
      <c r="G37" s="1559" t="s">
        <v>9758</v>
      </c>
      <c r="H37" s="1559" t="s">
        <v>9102</v>
      </c>
      <c r="I37" s="1658" t="s">
        <v>9029</v>
      </c>
      <c r="J37" s="1559" t="s">
        <v>1101</v>
      </c>
      <c r="K37" s="1559" t="s">
        <v>4917</v>
      </c>
      <c r="L37" s="1559" t="s">
        <v>2290</v>
      </c>
      <c r="M37" s="1559" t="s">
        <v>2243</v>
      </c>
      <c r="N37" s="1559" t="s">
        <v>9504</v>
      </c>
      <c r="O37" s="1559" t="s">
        <v>9759</v>
      </c>
      <c r="P37" s="1559" t="s">
        <v>4015</v>
      </c>
      <c r="Q37" s="1559" t="s">
        <v>9760</v>
      </c>
      <c r="R37" s="1559" t="s">
        <v>3117</v>
      </c>
      <c r="S37" s="1559" t="s">
        <v>9113</v>
      </c>
      <c r="T37" s="1559" t="s">
        <v>2359</v>
      </c>
      <c r="U37" s="1559" t="s">
        <v>9250</v>
      </c>
      <c r="V37" s="1559" t="s">
        <v>2883</v>
      </c>
      <c r="W37" s="1559" t="s">
        <v>9761</v>
      </c>
      <c r="X37" s="1559" t="s">
        <v>9762</v>
      </c>
      <c r="Y37" s="1559" t="s">
        <v>861</v>
      </c>
      <c r="Z37" s="1559" t="s">
        <v>9422</v>
      </c>
      <c r="AA37" s="1559" t="s">
        <v>7023</v>
      </c>
      <c r="AB37" s="1559" t="s">
        <v>6178</v>
      </c>
      <c r="AC37" s="1451" t="s">
        <v>536</v>
      </c>
      <c r="AD37" s="1559" t="s">
        <v>9763</v>
      </c>
      <c r="AE37" s="1559" t="s">
        <v>2654</v>
      </c>
      <c r="AF37" s="1559" t="s">
        <v>9764</v>
      </c>
      <c r="AG37" s="1559" t="s">
        <v>9603</v>
      </c>
      <c r="AH37" s="1559" t="s">
        <v>2962</v>
      </c>
      <c r="AI37" s="1559" t="s">
        <v>9765</v>
      </c>
      <c r="AJ37" s="1559" t="s">
        <v>3226</v>
      </c>
      <c r="AK37" s="1559" t="s">
        <v>5237</v>
      </c>
      <c r="AL37" s="1559" t="s">
        <v>4195</v>
      </c>
      <c r="AM37" s="1559" t="s">
        <v>3321</v>
      </c>
      <c r="AN37" s="1559" t="s">
        <v>344</v>
      </c>
      <c r="AO37" s="1559" t="s">
        <v>9766</v>
      </c>
      <c r="AP37" s="1559" t="s">
        <v>9767</v>
      </c>
      <c r="AQ37" s="1559" t="s">
        <v>6940</v>
      </c>
      <c r="AR37" s="1559" t="s">
        <v>2697</v>
      </c>
      <c r="AS37" s="1559" t="s">
        <v>4093</v>
      </c>
      <c r="AT37" s="1559" t="s">
        <v>5559</v>
      </c>
      <c r="AU37" s="1559" t="s">
        <v>9451</v>
      </c>
      <c r="AV37" s="1451" t="str">
        <f t="shared" si="1"/>
        <v>3:34</v>
      </c>
      <c r="AW37" s="1589" t="s">
        <v>9768</v>
      </c>
    </row>
    <row r="38" ht="15.75" customHeight="1">
      <c r="A38" s="1590" t="s">
        <v>644</v>
      </c>
      <c r="B38" s="1623" t="s">
        <v>9024</v>
      </c>
      <c r="C38" s="1665">
        <v>0.05056712962962963</v>
      </c>
      <c r="D38" s="980" t="s">
        <v>9769</v>
      </c>
      <c r="E38" s="1451" t="s">
        <v>9770</v>
      </c>
      <c r="F38" s="1451" t="s">
        <v>9481</v>
      </c>
      <c r="G38" s="1451" t="s">
        <v>9771</v>
      </c>
      <c r="H38" s="1451" t="s">
        <v>4447</v>
      </c>
      <c r="I38" s="1451" t="s">
        <v>1179</v>
      </c>
      <c r="J38" s="1559" t="s">
        <v>3475</v>
      </c>
      <c r="K38" s="1559" t="s">
        <v>3475</v>
      </c>
      <c r="L38" s="1451" t="s">
        <v>9772</v>
      </c>
      <c r="M38" s="1451" t="s">
        <v>9773</v>
      </c>
      <c r="N38" s="1451" t="s">
        <v>9427</v>
      </c>
      <c r="O38" s="1658" t="s">
        <v>9032</v>
      </c>
      <c r="P38" s="1451" t="s">
        <v>8072</v>
      </c>
      <c r="Q38" s="1451" t="s">
        <v>785</v>
      </c>
      <c r="R38" s="1559" t="s">
        <v>3475</v>
      </c>
      <c r="S38" s="1451" t="s">
        <v>9774</v>
      </c>
      <c r="T38" s="1451" t="s">
        <v>156</v>
      </c>
      <c r="U38" s="1451" t="s">
        <v>9775</v>
      </c>
      <c r="V38" s="1451" t="s">
        <v>9776</v>
      </c>
      <c r="W38" s="1451" t="s">
        <v>9777</v>
      </c>
      <c r="X38" s="1451" t="s">
        <v>9597</v>
      </c>
      <c r="Y38" s="1451" t="s">
        <v>9598</v>
      </c>
      <c r="Z38" s="1451" t="s">
        <v>151</v>
      </c>
      <c r="AA38" s="1451" t="s">
        <v>9778</v>
      </c>
      <c r="AB38" s="1451" t="s">
        <v>9268</v>
      </c>
      <c r="AC38" s="1451" t="s">
        <v>4477</v>
      </c>
      <c r="AD38" s="1451" t="s">
        <v>2323</v>
      </c>
      <c r="AE38" s="1451" t="s">
        <v>9720</v>
      </c>
      <c r="AF38" s="1451" t="s">
        <v>9779</v>
      </c>
      <c r="AG38" s="1451" t="s">
        <v>9780</v>
      </c>
      <c r="AH38" s="1451" t="s">
        <v>4464</v>
      </c>
      <c r="AI38" s="1451" t="s">
        <v>3801</v>
      </c>
      <c r="AJ38" s="1451" t="s">
        <v>9781</v>
      </c>
      <c r="AK38" s="1451" t="s">
        <v>1159</v>
      </c>
      <c r="AL38" s="1451" t="s">
        <v>9601</v>
      </c>
      <c r="AM38" s="1451" t="s">
        <v>872</v>
      </c>
      <c r="AN38" s="1559" t="s">
        <v>9782</v>
      </c>
      <c r="AO38" s="1559" t="s">
        <v>3475</v>
      </c>
      <c r="AP38" s="1451" t="s">
        <v>5406</v>
      </c>
      <c r="AQ38" s="1451" t="s">
        <v>252</v>
      </c>
      <c r="AR38" s="1451" t="s">
        <v>9783</v>
      </c>
      <c r="AS38" s="1451" t="s">
        <v>9784</v>
      </c>
      <c r="AT38" s="1451" t="s">
        <v>9785</v>
      </c>
      <c r="AU38" s="1559" t="s">
        <v>9786</v>
      </c>
      <c r="AV38" s="1451" t="str">
        <f t="shared" si="1"/>
        <v>3:07</v>
      </c>
      <c r="AW38" s="1622" t="s">
        <v>9787</v>
      </c>
    </row>
    <row r="39" ht="15.75" customHeight="1">
      <c r="A39" s="1531" t="s">
        <v>4258</v>
      </c>
      <c r="B39" s="1532" t="s">
        <v>8997</v>
      </c>
      <c r="C39" s="1665">
        <v>0.05060185185185185</v>
      </c>
      <c r="D39" s="980" t="s">
        <v>9788</v>
      </c>
      <c r="E39" s="1642" t="s">
        <v>3297</v>
      </c>
      <c r="F39" s="1642" t="s">
        <v>6116</v>
      </c>
      <c r="G39" s="1642" t="s">
        <v>9789</v>
      </c>
      <c r="H39" s="905" t="s">
        <v>9790</v>
      </c>
      <c r="I39" s="905" t="s">
        <v>4781</v>
      </c>
      <c r="J39" s="1643" t="s">
        <v>9231</v>
      </c>
      <c r="K39" s="1643" t="s">
        <v>7448</v>
      </c>
      <c r="L39" s="1643" t="s">
        <v>5625</v>
      </c>
      <c r="M39" s="1643" t="s">
        <v>9791</v>
      </c>
      <c r="N39" s="1643" t="s">
        <v>5322</v>
      </c>
      <c r="O39" s="1643" t="s">
        <v>9792</v>
      </c>
      <c r="P39" s="1643" t="s">
        <v>5967</v>
      </c>
      <c r="Q39" s="1644" t="s">
        <v>9793</v>
      </c>
      <c r="R39" s="1644" t="s">
        <v>5506</v>
      </c>
      <c r="S39" s="1644" t="s">
        <v>7065</v>
      </c>
      <c r="T39" s="1644" t="s">
        <v>9794</v>
      </c>
      <c r="U39" s="1644" t="s">
        <v>6252</v>
      </c>
      <c r="V39" s="1644" t="s">
        <v>3920</v>
      </c>
      <c r="W39" s="1645" t="s">
        <v>9795</v>
      </c>
      <c r="X39" s="1645" t="s">
        <v>7438</v>
      </c>
      <c r="Y39" s="1645" t="s">
        <v>1916</v>
      </c>
      <c r="Z39" s="1645" t="s">
        <v>1841</v>
      </c>
      <c r="AA39" s="1645" t="s">
        <v>9796</v>
      </c>
      <c r="AB39" s="1645" t="s">
        <v>9268</v>
      </c>
      <c r="AC39" s="1645" t="s">
        <v>5626</v>
      </c>
      <c r="AD39" s="1642" t="s">
        <v>6595</v>
      </c>
      <c r="AE39" s="1642" t="s">
        <v>7704</v>
      </c>
      <c r="AF39" s="1646" t="s">
        <v>9797</v>
      </c>
      <c r="AG39" s="1646" t="s">
        <v>9724</v>
      </c>
      <c r="AH39" s="1646" t="s">
        <v>8153</v>
      </c>
      <c r="AI39" s="1646" t="s">
        <v>5621</v>
      </c>
      <c r="AJ39" s="1646" t="s">
        <v>9798</v>
      </c>
      <c r="AK39" s="1646" t="s">
        <v>9799</v>
      </c>
      <c r="AL39" s="1646" t="s">
        <v>9800</v>
      </c>
      <c r="AM39" s="1617" t="s">
        <v>9801</v>
      </c>
      <c r="AN39" s="1617" t="s">
        <v>9802</v>
      </c>
      <c r="AO39" s="1617" t="s">
        <v>9803</v>
      </c>
      <c r="AP39" s="1617" t="s">
        <v>9804</v>
      </c>
      <c r="AQ39" s="1617" t="s">
        <v>9666</v>
      </c>
      <c r="AR39" s="1617" t="s">
        <v>9805</v>
      </c>
      <c r="AS39" s="1617" t="s">
        <v>4390</v>
      </c>
      <c r="AT39" s="1643" t="s">
        <v>9806</v>
      </c>
      <c r="AU39" s="1640" t="s">
        <v>9807</v>
      </c>
      <c r="AV39" s="1451" t="str">
        <f t="shared" si="1"/>
        <v>1:56</v>
      </c>
      <c r="AW39" s="1641"/>
    </row>
    <row r="40" ht="15.75" customHeight="1">
      <c r="A40" s="1556" t="s">
        <v>897</v>
      </c>
      <c r="B40" s="1532" t="s">
        <v>8997</v>
      </c>
      <c r="C40" s="1533">
        <v>0.05061342592592592</v>
      </c>
      <c r="D40" s="980" t="s">
        <v>9808</v>
      </c>
      <c r="E40" s="1559" t="s">
        <v>9207</v>
      </c>
      <c r="F40" s="1559" t="s">
        <v>5444</v>
      </c>
      <c r="G40" s="1451" t="s">
        <v>9809</v>
      </c>
      <c r="H40" s="1559" t="s">
        <v>9810</v>
      </c>
      <c r="I40" s="1559" t="s">
        <v>388</v>
      </c>
      <c r="J40" s="1559" t="s">
        <v>7808</v>
      </c>
      <c r="K40" s="1451" t="s">
        <v>9478</v>
      </c>
      <c r="L40" s="1559" t="s">
        <v>9811</v>
      </c>
      <c r="M40" s="1559" t="s">
        <v>9812</v>
      </c>
      <c r="N40" s="1559" t="s">
        <v>4397</v>
      </c>
      <c r="O40" s="1559" t="s">
        <v>9813</v>
      </c>
      <c r="P40" s="1559" t="s">
        <v>1585</v>
      </c>
      <c r="Q40" s="1537" t="s">
        <v>9814</v>
      </c>
      <c r="R40" s="1559" t="s">
        <v>9815</v>
      </c>
      <c r="S40" s="1451" t="s">
        <v>9816</v>
      </c>
      <c r="T40" s="1559" t="s">
        <v>9579</v>
      </c>
      <c r="U40" s="1559" t="s">
        <v>6704</v>
      </c>
      <c r="V40" s="1559" t="s">
        <v>2479</v>
      </c>
      <c r="W40" s="1568" t="str">
        <f>HYPERLINK("https://www.youtube.com/watch?v=nn1ub1z3NYM","1:45.96")</f>
        <v>1:45.96</v>
      </c>
      <c r="X40" s="1559" t="s">
        <v>5762</v>
      </c>
      <c r="Y40" s="1451" t="s">
        <v>5610</v>
      </c>
      <c r="Z40" s="1559" t="s">
        <v>1500</v>
      </c>
      <c r="AA40" s="1559" t="s">
        <v>9817</v>
      </c>
      <c r="AB40" s="1559" t="s">
        <v>9818</v>
      </c>
      <c r="AC40" s="1559" t="s">
        <v>1042</v>
      </c>
      <c r="AD40" s="1559" t="s">
        <v>9819</v>
      </c>
      <c r="AE40" s="1537" t="s">
        <v>4620</v>
      </c>
      <c r="AF40" s="1451" t="s">
        <v>9820</v>
      </c>
      <c r="AG40" s="1559" t="s">
        <v>1936</v>
      </c>
      <c r="AH40" s="1559" t="s">
        <v>3054</v>
      </c>
      <c r="AI40" s="1559" t="s">
        <v>9821</v>
      </c>
      <c r="AJ40" s="1451" t="s">
        <v>8421</v>
      </c>
      <c r="AK40" s="1559" t="s">
        <v>9822</v>
      </c>
      <c r="AL40" s="1451" t="s">
        <v>4350</v>
      </c>
      <c r="AM40" s="1451" t="s">
        <v>9823</v>
      </c>
      <c r="AN40" s="1451" t="s">
        <v>2512</v>
      </c>
      <c r="AO40" s="1559" t="s">
        <v>3605</v>
      </c>
      <c r="AP40" s="1559" t="s">
        <v>9824</v>
      </c>
      <c r="AQ40" s="1559" t="s">
        <v>9825</v>
      </c>
      <c r="AR40" s="1559" t="s">
        <v>1300</v>
      </c>
      <c r="AS40" s="1559" t="s">
        <v>4704</v>
      </c>
      <c r="AT40" s="1559" t="s">
        <v>9826</v>
      </c>
      <c r="AU40" s="1559" t="s">
        <v>9827</v>
      </c>
      <c r="AV40" s="1451" t="str">
        <f t="shared" si="1"/>
        <v>2:25</v>
      </c>
      <c r="AW40" s="1589"/>
    </row>
    <row r="41">
      <c r="A41" s="1556" t="s">
        <v>9828</v>
      </c>
      <c r="B41" s="1588" t="s">
        <v>8997</v>
      </c>
      <c r="C41" s="1533">
        <v>0.050625</v>
      </c>
      <c r="D41" s="1671" t="s">
        <v>9829</v>
      </c>
      <c r="E41" s="1559" t="s">
        <v>4733</v>
      </c>
      <c r="F41" s="1559" t="s">
        <v>9830</v>
      </c>
      <c r="G41" s="1559" t="s">
        <v>9831</v>
      </c>
      <c r="H41" s="1559" t="s">
        <v>1745</v>
      </c>
      <c r="I41" s="1559" t="s">
        <v>1833</v>
      </c>
      <c r="J41" s="1559" t="s">
        <v>9832</v>
      </c>
      <c r="K41" s="1559" t="s">
        <v>3626</v>
      </c>
      <c r="L41" s="1559" t="s">
        <v>9833</v>
      </c>
      <c r="M41" s="1559" t="s">
        <v>9834</v>
      </c>
      <c r="N41" s="1559" t="s">
        <v>9835</v>
      </c>
      <c r="O41" s="1559" t="s">
        <v>9836</v>
      </c>
      <c r="P41" s="1559" t="s">
        <v>9720</v>
      </c>
      <c r="Q41" s="1559" t="s">
        <v>4640</v>
      </c>
      <c r="R41" s="1559" t="s">
        <v>4012</v>
      </c>
      <c r="S41" s="1559" t="s">
        <v>2682</v>
      </c>
      <c r="T41" s="1559" t="s">
        <v>2359</v>
      </c>
      <c r="U41" s="1559" t="s">
        <v>9837</v>
      </c>
      <c r="V41" s="1559" t="s">
        <v>2214</v>
      </c>
      <c r="W41" s="1559" t="s">
        <v>7122</v>
      </c>
      <c r="X41" s="1559" t="s">
        <v>9838</v>
      </c>
      <c r="Y41" s="1559" t="s">
        <v>9839</v>
      </c>
      <c r="Z41" s="1559" t="s">
        <v>9840</v>
      </c>
      <c r="AA41" s="1559" t="s">
        <v>9841</v>
      </c>
      <c r="AB41" s="1559"/>
      <c r="AC41" s="1559" t="s">
        <v>9842</v>
      </c>
      <c r="AD41" s="1559" t="s">
        <v>9843</v>
      </c>
      <c r="AE41" s="1559" t="s">
        <v>4965</v>
      </c>
      <c r="AF41" s="1559" t="s">
        <v>9844</v>
      </c>
      <c r="AG41" s="1559" t="s">
        <v>9845</v>
      </c>
      <c r="AH41" s="1559" t="s">
        <v>9846</v>
      </c>
      <c r="AI41" s="1559" t="s">
        <v>726</v>
      </c>
      <c r="AJ41" s="1559" t="s">
        <v>9847</v>
      </c>
      <c r="AK41" s="1559" t="s">
        <v>9008</v>
      </c>
      <c r="AL41" s="1559" t="s">
        <v>9848</v>
      </c>
      <c r="AM41" s="1559" t="s">
        <v>9849</v>
      </c>
      <c r="AN41" s="1559" t="s">
        <v>9076</v>
      </c>
      <c r="AO41" s="1559" t="s">
        <v>5457</v>
      </c>
      <c r="AP41" s="1559" t="s">
        <v>9850</v>
      </c>
      <c r="AQ41" s="1559" t="s">
        <v>9851</v>
      </c>
      <c r="AR41" s="1559" t="s">
        <v>7508</v>
      </c>
      <c r="AS41" s="1559" t="s">
        <v>5841</v>
      </c>
      <c r="AT41" s="1559" t="s">
        <v>8722</v>
      </c>
      <c r="AU41" s="1559" t="s">
        <v>9852</v>
      </c>
      <c r="AV41" s="1451" t="str">
        <f t="shared" si="1"/>
        <v>2:05</v>
      </c>
      <c r="AW41" s="1622"/>
    </row>
    <row r="42">
      <c r="A42" s="1556" t="s">
        <v>9853</v>
      </c>
      <c r="B42" s="1578" t="s">
        <v>8997</v>
      </c>
      <c r="C42" s="1533">
        <v>0.0506712962962963</v>
      </c>
      <c r="D42" s="1671" t="s">
        <v>9854</v>
      </c>
      <c r="E42" s="1613" t="s">
        <v>3297</v>
      </c>
      <c r="F42" s="1613" t="s">
        <v>9347</v>
      </c>
      <c r="G42" s="1613" t="s">
        <v>9855</v>
      </c>
      <c r="H42" s="840" t="s">
        <v>9856</v>
      </c>
      <c r="I42" s="840" t="s">
        <v>9857</v>
      </c>
      <c r="J42" s="1597" t="s">
        <v>9858</v>
      </c>
      <c r="K42" s="1597" t="s">
        <v>8110</v>
      </c>
      <c r="L42" s="1597" t="s">
        <v>4324</v>
      </c>
      <c r="M42" s="1597" t="s">
        <v>8111</v>
      </c>
      <c r="N42" s="1597" t="s">
        <v>9859</v>
      </c>
      <c r="O42" s="1597" t="s">
        <v>2247</v>
      </c>
      <c r="P42" s="1597" t="s">
        <v>8075</v>
      </c>
      <c r="Q42" s="1600" t="s">
        <v>7358</v>
      </c>
      <c r="R42" s="1600" t="s">
        <v>9860</v>
      </c>
      <c r="S42" s="1600" t="s">
        <v>9861</v>
      </c>
      <c r="T42" s="1600" t="s">
        <v>9862</v>
      </c>
      <c r="U42" s="1600" t="s">
        <v>9863</v>
      </c>
      <c r="V42" s="1600" t="s">
        <v>9864</v>
      </c>
      <c r="W42" s="1615" t="s">
        <v>9865</v>
      </c>
      <c r="X42" s="1615" t="s">
        <v>9866</v>
      </c>
      <c r="Y42" s="1615" t="s">
        <v>6308</v>
      </c>
      <c r="Z42" s="1615" t="s">
        <v>9867</v>
      </c>
      <c r="AA42" s="1559" t="s">
        <v>1678</v>
      </c>
      <c r="AB42" s="1615" t="s">
        <v>9868</v>
      </c>
      <c r="AC42" s="1615" t="s">
        <v>7220</v>
      </c>
      <c r="AD42" s="1613" t="s">
        <v>9869</v>
      </c>
      <c r="AE42" s="1613" t="s">
        <v>536</v>
      </c>
      <c r="AF42" s="1616" t="s">
        <v>9870</v>
      </c>
      <c r="AG42" s="1616" t="s">
        <v>3996</v>
      </c>
      <c r="AH42" s="1616" t="s">
        <v>5217</v>
      </c>
      <c r="AI42" s="1616" t="s">
        <v>9871</v>
      </c>
      <c r="AJ42" s="1616" t="s">
        <v>9872</v>
      </c>
      <c r="AK42" s="1616" t="s">
        <v>174</v>
      </c>
      <c r="AL42" s="1616" t="s">
        <v>2622</v>
      </c>
      <c r="AM42" s="1618" t="s">
        <v>9348</v>
      </c>
      <c r="AN42" s="1618" t="s">
        <v>9604</v>
      </c>
      <c r="AO42" s="1618" t="s">
        <v>9540</v>
      </c>
      <c r="AP42" s="1618" t="s">
        <v>9873</v>
      </c>
      <c r="AQ42" s="1618" t="s">
        <v>9874</v>
      </c>
      <c r="AR42" s="1618" t="s">
        <v>4866</v>
      </c>
      <c r="AS42" s="1618" t="s">
        <v>9875</v>
      </c>
      <c r="AT42" s="1597" t="s">
        <v>9876</v>
      </c>
      <c r="AU42" s="1580" t="s">
        <v>9668</v>
      </c>
      <c r="AV42" s="1451" t="str">
        <f t="shared" si="1"/>
        <v>3:31</v>
      </c>
      <c r="AW42" s="1641"/>
    </row>
    <row r="43" ht="15.75" customHeight="1">
      <c r="A43" s="1655" t="s">
        <v>9877</v>
      </c>
      <c r="B43" s="1532" t="s">
        <v>8997</v>
      </c>
      <c r="C43" s="1533">
        <v>0.05070601851851852</v>
      </c>
      <c r="D43" s="980" t="s">
        <v>9878</v>
      </c>
      <c r="E43" s="1642" t="s">
        <v>3196</v>
      </c>
      <c r="F43" s="1642" t="s">
        <v>9198</v>
      </c>
      <c r="G43" s="1642" t="s">
        <v>9879</v>
      </c>
      <c r="H43" s="905" t="s">
        <v>9880</v>
      </c>
      <c r="I43" s="905" t="s">
        <v>388</v>
      </c>
      <c r="J43" s="1643" t="s">
        <v>9881</v>
      </c>
      <c r="K43" s="1643" t="s">
        <v>3549</v>
      </c>
      <c r="L43" s="1643" t="s">
        <v>5453</v>
      </c>
      <c r="M43" s="1643" t="s">
        <v>9882</v>
      </c>
      <c r="N43" s="1643" t="s">
        <v>9716</v>
      </c>
      <c r="O43" s="1643" t="s">
        <v>9883</v>
      </c>
      <c r="P43" s="1643" t="s">
        <v>5473</v>
      </c>
      <c r="Q43" s="1644" t="s">
        <v>9884</v>
      </c>
      <c r="R43" s="1644" t="s">
        <v>730</v>
      </c>
      <c r="S43" s="1644" t="s">
        <v>5457</v>
      </c>
      <c r="T43" s="1644" t="s">
        <v>9719</v>
      </c>
      <c r="U43" s="1644" t="s">
        <v>9885</v>
      </c>
      <c r="V43" s="1644" t="s">
        <v>2479</v>
      </c>
      <c r="W43" s="1645" t="s">
        <v>9886</v>
      </c>
      <c r="X43" s="1645" t="s">
        <v>6179</v>
      </c>
      <c r="Y43" s="1645" t="s">
        <v>8222</v>
      </c>
      <c r="Z43" s="1645" t="s">
        <v>9088</v>
      </c>
      <c r="AA43" s="1645" t="s">
        <v>9887</v>
      </c>
      <c r="AB43" s="1645" t="s">
        <v>2641</v>
      </c>
      <c r="AC43" s="1645" t="s">
        <v>3113</v>
      </c>
      <c r="AD43" s="1642" t="s">
        <v>9888</v>
      </c>
      <c r="AE43" s="1642" t="s">
        <v>6310</v>
      </c>
      <c r="AF43" s="1646" t="s">
        <v>9152</v>
      </c>
      <c r="AG43" s="1646" t="s">
        <v>9889</v>
      </c>
      <c r="AH43" s="1646" t="s">
        <v>2256</v>
      </c>
      <c r="AI43" s="1646" t="s">
        <v>9890</v>
      </c>
      <c r="AJ43" s="1646" t="s">
        <v>9891</v>
      </c>
      <c r="AK43" s="1646" t="s">
        <v>9892</v>
      </c>
      <c r="AL43" s="1646" t="s">
        <v>5423</v>
      </c>
      <c r="AM43" s="1617" t="s">
        <v>9745</v>
      </c>
      <c r="AN43" s="1617" t="s">
        <v>5423</v>
      </c>
      <c r="AO43" s="1617" t="s">
        <v>2303</v>
      </c>
      <c r="AP43" s="1617" t="s">
        <v>9893</v>
      </c>
      <c r="AQ43" s="1617" t="s">
        <v>9894</v>
      </c>
      <c r="AR43" s="1617" t="s">
        <v>4688</v>
      </c>
      <c r="AS43" s="1617" t="s">
        <v>4393</v>
      </c>
      <c r="AT43" s="1643" t="s">
        <v>9895</v>
      </c>
      <c r="AU43" s="1640" t="s">
        <v>9896</v>
      </c>
      <c r="AV43" s="1451" t="str">
        <f t="shared" si="1"/>
        <v>2:54</v>
      </c>
      <c r="AW43" s="1641"/>
    </row>
    <row r="44">
      <c r="A44" s="1590" t="s">
        <v>2824</v>
      </c>
      <c r="B44" s="1588" t="s">
        <v>8997</v>
      </c>
      <c r="C44" s="1533">
        <v>0.050826388888888886</v>
      </c>
      <c r="D44" s="1559" t="s">
        <v>9897</v>
      </c>
      <c r="E44" s="1559" t="s">
        <v>6984</v>
      </c>
      <c r="F44" s="1613" t="s">
        <v>9898</v>
      </c>
      <c r="G44" s="1559" t="s">
        <v>9899</v>
      </c>
      <c r="H44" s="1559" t="s">
        <v>6580</v>
      </c>
      <c r="I44" s="1559" t="s">
        <v>1290</v>
      </c>
      <c r="J44" s="1559" t="s">
        <v>9900</v>
      </c>
      <c r="K44" s="1559" t="s">
        <v>3970</v>
      </c>
      <c r="L44" s="1559" t="s">
        <v>5955</v>
      </c>
      <c r="M44" s="1559" t="s">
        <v>9901</v>
      </c>
      <c r="N44" s="1559" t="s">
        <v>6829</v>
      </c>
      <c r="O44" s="1559" t="s">
        <v>9902</v>
      </c>
      <c r="P44" s="1559" t="s">
        <v>9485</v>
      </c>
      <c r="Q44" s="1559" t="s">
        <v>9903</v>
      </c>
      <c r="R44" s="1559" t="s">
        <v>9904</v>
      </c>
      <c r="S44" s="1559" t="s">
        <v>9905</v>
      </c>
      <c r="T44" s="1559" t="s">
        <v>1706</v>
      </c>
      <c r="U44" s="1559" t="s">
        <v>9906</v>
      </c>
      <c r="V44" s="1559" t="s">
        <v>8155</v>
      </c>
      <c r="W44" s="1559" t="s">
        <v>5505</v>
      </c>
      <c r="X44" s="1559" t="s">
        <v>9907</v>
      </c>
      <c r="Y44" s="1559" t="s">
        <v>8066</v>
      </c>
      <c r="Z44" s="1559" t="s">
        <v>9908</v>
      </c>
      <c r="AA44" s="1615" t="s">
        <v>9909</v>
      </c>
      <c r="AB44" s="1559" t="s">
        <v>1841</v>
      </c>
      <c r="AC44" s="1559" t="s">
        <v>7220</v>
      </c>
      <c r="AD44" s="1559" t="s">
        <v>9910</v>
      </c>
      <c r="AE44" s="1559" t="s">
        <v>4965</v>
      </c>
      <c r="AF44" s="1559" t="s">
        <v>9911</v>
      </c>
      <c r="AG44" s="1559" t="s">
        <v>1173</v>
      </c>
      <c r="AH44" s="1559" t="s">
        <v>3895</v>
      </c>
      <c r="AI44" s="1559" t="s">
        <v>9912</v>
      </c>
      <c r="AJ44" s="1559" t="s">
        <v>9913</v>
      </c>
      <c r="AK44" s="1559" t="s">
        <v>9822</v>
      </c>
      <c r="AL44" s="1559" t="s">
        <v>4355</v>
      </c>
      <c r="AM44" s="1559" t="s">
        <v>9822</v>
      </c>
      <c r="AN44" s="1559" t="s">
        <v>9076</v>
      </c>
      <c r="AO44" s="1559" t="s">
        <v>6923</v>
      </c>
      <c r="AP44" s="1559" t="s">
        <v>9914</v>
      </c>
      <c r="AQ44" s="1559" t="s">
        <v>9915</v>
      </c>
      <c r="AR44" s="1559" t="s">
        <v>5154</v>
      </c>
      <c r="AS44" s="1559" t="s">
        <v>6146</v>
      </c>
      <c r="AT44" s="1559" t="s">
        <v>9916</v>
      </c>
      <c r="AU44" s="1559" t="s">
        <v>9917</v>
      </c>
      <c r="AV44" s="1451" t="str">
        <f t="shared" si="1"/>
        <v>2:25</v>
      </c>
      <c r="AW44" s="1622"/>
    </row>
    <row r="45" ht="15.75" customHeight="1">
      <c r="A45" s="1590" t="s">
        <v>4641</v>
      </c>
      <c r="B45" s="1532" t="s">
        <v>8997</v>
      </c>
      <c r="C45" s="1665">
        <v>0.050868055555555555</v>
      </c>
      <c r="D45" s="980" t="s">
        <v>9918</v>
      </c>
      <c r="E45" s="1451" t="s">
        <v>7185</v>
      </c>
      <c r="F45" s="1451" t="s">
        <v>9919</v>
      </c>
      <c r="G45" s="1451" t="s">
        <v>9920</v>
      </c>
      <c r="H45" s="1451" t="s">
        <v>9102</v>
      </c>
      <c r="I45" s="1451" t="s">
        <v>1290</v>
      </c>
      <c r="J45" s="1451" t="s">
        <v>4866</v>
      </c>
      <c r="K45" s="1451" t="s">
        <v>9493</v>
      </c>
      <c r="L45" s="1451" t="s">
        <v>9350</v>
      </c>
      <c r="M45" s="1451" t="s">
        <v>5383</v>
      </c>
      <c r="N45" s="1451" t="s">
        <v>8522</v>
      </c>
      <c r="O45" s="1451" t="s">
        <v>9921</v>
      </c>
      <c r="P45" s="1451" t="s">
        <v>2552</v>
      </c>
      <c r="Q45" s="1451" t="s">
        <v>9922</v>
      </c>
      <c r="R45" s="1451" t="s">
        <v>6848</v>
      </c>
      <c r="S45" s="1451" t="s">
        <v>9307</v>
      </c>
      <c r="T45" s="1451" t="s">
        <v>4609</v>
      </c>
      <c r="U45" s="1451" t="s">
        <v>9923</v>
      </c>
      <c r="V45" s="1451" t="s">
        <v>9533</v>
      </c>
      <c r="W45" s="1451" t="s">
        <v>9924</v>
      </c>
      <c r="X45" s="1451" t="s">
        <v>9538</v>
      </c>
      <c r="Y45" s="1451" t="s">
        <v>3633</v>
      </c>
      <c r="Z45" s="1451" t="s">
        <v>9925</v>
      </c>
      <c r="AA45" s="1451" t="s">
        <v>9926</v>
      </c>
      <c r="AB45" s="1451" t="s">
        <v>194</v>
      </c>
      <c r="AC45" s="1451" t="s">
        <v>3016</v>
      </c>
      <c r="AD45" s="1451" t="s">
        <v>9927</v>
      </c>
      <c r="AE45" s="1451" t="s">
        <v>618</v>
      </c>
      <c r="AF45" s="1451" t="s">
        <v>9928</v>
      </c>
      <c r="AG45" s="1451" t="s">
        <v>6044</v>
      </c>
      <c r="AH45" s="1451" t="s">
        <v>9103</v>
      </c>
      <c r="AI45" s="1451" t="s">
        <v>6949</v>
      </c>
      <c r="AJ45" s="1451" t="s">
        <v>9929</v>
      </c>
      <c r="AK45" s="1451" t="s">
        <v>5411</v>
      </c>
      <c r="AL45" s="1451" t="s">
        <v>3205</v>
      </c>
      <c r="AM45" s="1451" t="s">
        <v>9930</v>
      </c>
      <c r="AN45" s="1451" t="s">
        <v>3341</v>
      </c>
      <c r="AO45" s="1451" t="s">
        <v>9478</v>
      </c>
      <c r="AP45" s="1451" t="s">
        <v>9931</v>
      </c>
      <c r="AQ45" s="1451" t="s">
        <v>9932</v>
      </c>
      <c r="AR45" s="1451" t="s">
        <v>9341</v>
      </c>
      <c r="AS45" s="1451" t="s">
        <v>5118</v>
      </c>
      <c r="AT45" s="1451" t="s">
        <v>9933</v>
      </c>
      <c r="AU45" s="1451" t="s">
        <v>9934</v>
      </c>
      <c r="AV45" s="1451" t="str">
        <f t="shared" si="1"/>
        <v>2:44</v>
      </c>
      <c r="AW45" s="1570"/>
    </row>
    <row r="46" ht="15.75" customHeight="1">
      <c r="A46" s="1590" t="s">
        <v>1809</v>
      </c>
      <c r="B46" s="1672" t="s">
        <v>9052</v>
      </c>
      <c r="C46" s="1673">
        <v>0.05092592592592592</v>
      </c>
      <c r="D46" s="1674" t="s">
        <v>9053</v>
      </c>
      <c r="E46" s="1675" t="s">
        <v>9054</v>
      </c>
      <c r="F46" s="1674" t="s">
        <v>9055</v>
      </c>
      <c r="G46" s="1559" t="s">
        <v>9935</v>
      </c>
      <c r="H46" s="1674" t="s">
        <v>9057</v>
      </c>
      <c r="I46" s="1451" t="s">
        <v>1408</v>
      </c>
      <c r="J46" s="1642" t="s">
        <v>9936</v>
      </c>
      <c r="K46" s="1451" t="s">
        <v>9716</v>
      </c>
      <c r="L46" s="1642" t="s">
        <v>2329</v>
      </c>
      <c r="M46" s="1451" t="s">
        <v>2712</v>
      </c>
      <c r="N46" s="1674" t="s">
        <v>9016</v>
      </c>
      <c r="O46" s="1451" t="s">
        <v>9937</v>
      </c>
      <c r="P46" s="1642" t="s">
        <v>636</v>
      </c>
      <c r="Q46" s="1675" t="s">
        <v>9062</v>
      </c>
      <c r="R46" s="1674" t="s">
        <v>9063</v>
      </c>
      <c r="S46" s="1451" t="s">
        <v>1159</v>
      </c>
      <c r="T46" s="1642" t="s">
        <v>7261</v>
      </c>
      <c r="U46" s="1675" t="s">
        <v>9065</v>
      </c>
      <c r="V46" s="1674" t="s">
        <v>4287</v>
      </c>
      <c r="W46" s="1451" t="s">
        <v>9938</v>
      </c>
      <c r="X46" s="1674" t="s">
        <v>9067</v>
      </c>
      <c r="Y46" s="1451" t="s">
        <v>5711</v>
      </c>
      <c r="Z46" s="1613" t="s">
        <v>9939</v>
      </c>
      <c r="AA46" s="1451" t="s">
        <v>2305</v>
      </c>
      <c r="AB46" s="1642" t="s">
        <v>9381</v>
      </c>
      <c r="AC46" s="1559" t="s">
        <v>9940</v>
      </c>
      <c r="AD46" s="1642" t="s">
        <v>9941</v>
      </c>
      <c r="AE46" s="1559" t="s">
        <v>9942</v>
      </c>
      <c r="AF46" s="1642" t="s">
        <v>9943</v>
      </c>
      <c r="AG46" s="1451" t="s">
        <v>7979</v>
      </c>
      <c r="AH46" s="1613" t="s">
        <v>9833</v>
      </c>
      <c r="AI46" s="1675" t="s">
        <v>9072</v>
      </c>
      <c r="AJ46" s="1642" t="s">
        <v>9944</v>
      </c>
      <c r="AK46" s="1451" t="s">
        <v>5927</v>
      </c>
      <c r="AL46" s="1674" t="s">
        <v>9074</v>
      </c>
      <c r="AM46" s="1451" t="s">
        <v>9443</v>
      </c>
      <c r="AN46" s="1642" t="s">
        <v>3915</v>
      </c>
      <c r="AO46" s="1559" t="s">
        <v>4881</v>
      </c>
      <c r="AP46" s="1613" t="s">
        <v>9945</v>
      </c>
      <c r="AQ46" s="1559" t="s">
        <v>9946</v>
      </c>
      <c r="AR46" s="1613" t="s">
        <v>9947</v>
      </c>
      <c r="AS46" s="1451" t="s">
        <v>971</v>
      </c>
      <c r="AT46" s="1674" t="s">
        <v>9080</v>
      </c>
      <c r="AU46" s="1675" t="s">
        <v>9081</v>
      </c>
      <c r="AV46" s="1451" t="str">
        <f t="shared" si="1"/>
        <v>2:24</v>
      </c>
      <c r="AW46" s="1589"/>
    </row>
    <row r="47">
      <c r="A47" s="1590" t="s">
        <v>2579</v>
      </c>
      <c r="B47" s="1592" t="s">
        <v>9024</v>
      </c>
      <c r="C47" s="1533">
        <v>0.05092592592592592</v>
      </c>
      <c r="D47" s="980" t="s">
        <v>9948</v>
      </c>
      <c r="E47" s="1613" t="s">
        <v>9949</v>
      </c>
      <c r="F47" s="1613" t="s">
        <v>9950</v>
      </c>
      <c r="G47" s="1613" t="s">
        <v>9951</v>
      </c>
      <c r="H47" s="840" t="s">
        <v>9952</v>
      </c>
      <c r="I47" s="840" t="s">
        <v>2960</v>
      </c>
      <c r="J47" s="1597" t="s">
        <v>9168</v>
      </c>
      <c r="K47" s="1597" t="s">
        <v>3591</v>
      </c>
      <c r="L47" s="1597" t="s">
        <v>5857</v>
      </c>
      <c r="M47" s="1597" t="s">
        <v>3131</v>
      </c>
      <c r="N47" s="1597" t="s">
        <v>872</v>
      </c>
      <c r="O47" s="1597" t="s">
        <v>9953</v>
      </c>
      <c r="P47" s="1597" t="s">
        <v>772</v>
      </c>
      <c r="Q47" s="1600" t="s">
        <v>7249</v>
      </c>
      <c r="R47" s="1600" t="s">
        <v>6895</v>
      </c>
      <c r="S47" s="1600" t="s">
        <v>7504</v>
      </c>
      <c r="T47" s="1600" t="s">
        <v>9954</v>
      </c>
      <c r="U47" s="1676" t="s">
        <v>7351</v>
      </c>
      <c r="V47" s="1600" t="s">
        <v>9955</v>
      </c>
      <c r="W47" s="1615" t="s">
        <v>6869</v>
      </c>
      <c r="X47" s="1615" t="s">
        <v>9956</v>
      </c>
      <c r="Y47" s="1615" t="s">
        <v>9957</v>
      </c>
      <c r="Z47" s="1615" t="s">
        <v>7193</v>
      </c>
      <c r="AA47" s="1615" t="s">
        <v>1868</v>
      </c>
      <c r="AB47" s="1615" t="s">
        <v>9958</v>
      </c>
      <c r="AC47" s="1615" t="s">
        <v>2448</v>
      </c>
      <c r="AD47" s="1613" t="s">
        <v>9959</v>
      </c>
      <c r="AE47" s="1613" t="s">
        <v>5223</v>
      </c>
      <c r="AF47" s="1616" t="s">
        <v>9960</v>
      </c>
      <c r="AG47" s="1616" t="s">
        <v>5235</v>
      </c>
      <c r="AH47" s="1616" t="s">
        <v>4464</v>
      </c>
      <c r="AI47" s="1616" t="s">
        <v>9961</v>
      </c>
      <c r="AJ47" s="1606" t="s">
        <v>9044</v>
      </c>
      <c r="AK47" s="1616" t="s">
        <v>194</v>
      </c>
      <c r="AL47" s="1616" t="s">
        <v>5928</v>
      </c>
      <c r="AM47" s="1618" t="s">
        <v>4073</v>
      </c>
      <c r="AN47" s="1618" t="s">
        <v>3730</v>
      </c>
      <c r="AO47" s="1618" t="s">
        <v>2401</v>
      </c>
      <c r="AP47" s="1618" t="s">
        <v>9962</v>
      </c>
      <c r="AQ47" s="1618" t="s">
        <v>4307</v>
      </c>
      <c r="AR47" s="1618" t="s">
        <v>7238</v>
      </c>
      <c r="AS47" s="1618" t="s">
        <v>6600</v>
      </c>
      <c r="AT47" s="1597" t="s">
        <v>9963</v>
      </c>
      <c r="AU47" s="1019" t="s">
        <v>9964</v>
      </c>
      <c r="AV47" s="1451" t="str">
        <f t="shared" si="1"/>
        <v>4:25</v>
      </c>
      <c r="AW47" s="1587"/>
    </row>
    <row r="48" ht="15.75" customHeight="1">
      <c r="A48" s="1531" t="s">
        <v>4494</v>
      </c>
      <c r="B48" s="1623" t="s">
        <v>9024</v>
      </c>
      <c r="C48" s="1533">
        <v>0.05100810185185185</v>
      </c>
      <c r="D48" s="980" t="s">
        <v>9965</v>
      </c>
      <c r="E48" s="1613" t="s">
        <v>9966</v>
      </c>
      <c r="F48" s="1613" t="s">
        <v>9967</v>
      </c>
      <c r="G48" s="1642" t="s">
        <v>9968</v>
      </c>
      <c r="H48" s="840" t="s">
        <v>9969</v>
      </c>
      <c r="I48" s="840" t="s">
        <v>1408</v>
      </c>
      <c r="J48" s="1597" t="s">
        <v>5154</v>
      </c>
      <c r="K48" s="1597" t="s">
        <v>9714</v>
      </c>
      <c r="L48" s="1597" t="s">
        <v>4409</v>
      </c>
      <c r="M48" s="1597" t="s">
        <v>1451</v>
      </c>
      <c r="N48" s="1597" t="s">
        <v>9970</v>
      </c>
      <c r="O48" s="1597" t="s">
        <v>9211</v>
      </c>
      <c r="P48" s="1597" t="s">
        <v>9971</v>
      </c>
      <c r="Q48" s="1600" t="s">
        <v>9972</v>
      </c>
      <c r="R48" s="1600" t="s">
        <v>3438</v>
      </c>
      <c r="S48" s="1600" t="s">
        <v>7164</v>
      </c>
      <c r="T48" s="1600" t="s">
        <v>9973</v>
      </c>
      <c r="U48" s="1600" t="s">
        <v>9974</v>
      </c>
      <c r="V48" s="1644" t="s">
        <v>1362</v>
      </c>
      <c r="W48" s="1615" t="s">
        <v>9975</v>
      </c>
      <c r="X48" s="1615" t="s">
        <v>9765</v>
      </c>
      <c r="Y48" s="1615" t="s">
        <v>4015</v>
      </c>
      <c r="Z48" s="1615" t="s">
        <v>7121</v>
      </c>
      <c r="AA48" s="1615" t="s">
        <v>1020</v>
      </c>
      <c r="AB48" s="1615" t="s">
        <v>3943</v>
      </c>
      <c r="AC48" s="1645" t="s">
        <v>7669</v>
      </c>
      <c r="AD48" s="1613" t="s">
        <v>9976</v>
      </c>
      <c r="AE48" s="1642" t="s">
        <v>4953</v>
      </c>
      <c r="AF48" s="1616" t="s">
        <v>9977</v>
      </c>
      <c r="AG48" s="1616" t="s">
        <v>9978</v>
      </c>
      <c r="AH48" s="1616" t="s">
        <v>9979</v>
      </c>
      <c r="AI48" s="1616" t="s">
        <v>9425</v>
      </c>
      <c r="AJ48" s="1616" t="s">
        <v>9980</v>
      </c>
      <c r="AK48" s="1616" t="s">
        <v>9981</v>
      </c>
      <c r="AL48" s="1616" t="s">
        <v>4528</v>
      </c>
      <c r="AM48" s="1618" t="s">
        <v>9982</v>
      </c>
      <c r="AN48" s="1618" t="s">
        <v>3413</v>
      </c>
      <c r="AO48" s="1618" t="s">
        <v>9983</v>
      </c>
      <c r="AP48" s="1618" t="s">
        <v>9984</v>
      </c>
      <c r="AQ48" s="1618" t="s">
        <v>4307</v>
      </c>
      <c r="AR48" s="1618" t="s">
        <v>9985</v>
      </c>
      <c r="AS48" s="1618" t="s">
        <v>4550</v>
      </c>
      <c r="AT48" s="1597" t="s">
        <v>9986</v>
      </c>
      <c r="AU48" s="1580" t="s">
        <v>9987</v>
      </c>
      <c r="AV48" s="1451" t="str">
        <f t="shared" si="1"/>
        <v>3:17</v>
      </c>
      <c r="AW48" s="1581" t="s">
        <v>9988</v>
      </c>
    </row>
    <row r="49" ht="15.75" customHeight="1">
      <c r="A49" s="1590" t="s">
        <v>979</v>
      </c>
      <c r="B49" s="1578" t="s">
        <v>9024</v>
      </c>
      <c r="C49" s="1533">
        <v>0.05112268518518519</v>
      </c>
      <c r="D49" s="1613" t="s">
        <v>9989</v>
      </c>
      <c r="E49" s="1613" t="s">
        <v>4653</v>
      </c>
      <c r="F49" s="1613" t="s">
        <v>9990</v>
      </c>
      <c r="G49" s="1613" t="s">
        <v>9991</v>
      </c>
      <c r="H49" s="980" t="s">
        <v>9992</v>
      </c>
      <c r="I49" s="840" t="s">
        <v>5352</v>
      </c>
      <c r="J49" s="1597" t="s">
        <v>4076</v>
      </c>
      <c r="K49" s="1597" t="s">
        <v>9993</v>
      </c>
      <c r="L49" s="1539" t="s">
        <v>3648</v>
      </c>
      <c r="M49" s="1597" t="s">
        <v>4448</v>
      </c>
      <c r="N49" s="1597" t="s">
        <v>9745</v>
      </c>
      <c r="O49" s="1597" t="s">
        <v>9994</v>
      </c>
      <c r="P49" s="1597" t="s">
        <v>1524</v>
      </c>
      <c r="Q49" s="1600" t="s">
        <v>9995</v>
      </c>
      <c r="R49" s="1677" t="s">
        <v>9996</v>
      </c>
      <c r="S49" s="1600" t="s">
        <v>415</v>
      </c>
      <c r="T49" s="1600" t="s">
        <v>9997</v>
      </c>
      <c r="U49" s="1600" t="s">
        <v>9998</v>
      </c>
      <c r="V49" s="1600" t="s">
        <v>9999</v>
      </c>
      <c r="W49" s="1615" t="s">
        <v>10000</v>
      </c>
      <c r="X49" s="1615" t="s">
        <v>10001</v>
      </c>
      <c r="Y49" s="1633" t="s">
        <v>971</v>
      </c>
      <c r="Z49" s="1615" t="s">
        <v>10002</v>
      </c>
      <c r="AA49" s="1559" t="s">
        <v>10003</v>
      </c>
      <c r="AB49" s="1615" t="s">
        <v>2845</v>
      </c>
      <c r="AC49" s="1615" t="s">
        <v>5058</v>
      </c>
      <c r="AD49" s="1613" t="s">
        <v>10004</v>
      </c>
      <c r="AE49" s="1613" t="s">
        <v>5578</v>
      </c>
      <c r="AF49" s="1616" t="s">
        <v>9229</v>
      </c>
      <c r="AG49" s="1616" t="s">
        <v>274</v>
      </c>
      <c r="AH49" s="1616" t="s">
        <v>463</v>
      </c>
      <c r="AI49" s="1616" t="s">
        <v>10005</v>
      </c>
      <c r="AJ49" s="1616" t="s">
        <v>10006</v>
      </c>
      <c r="AK49" s="1616" t="s">
        <v>4148</v>
      </c>
      <c r="AL49" s="1616" t="s">
        <v>10007</v>
      </c>
      <c r="AM49" s="1618" t="s">
        <v>10008</v>
      </c>
      <c r="AN49" s="1678" t="s">
        <v>3217</v>
      </c>
      <c r="AO49" s="1618" t="s">
        <v>8110</v>
      </c>
      <c r="AP49" s="1618" t="s">
        <v>10009</v>
      </c>
      <c r="AQ49" s="1618" t="s">
        <v>10010</v>
      </c>
      <c r="AR49" s="1618" t="s">
        <v>10011</v>
      </c>
      <c r="AS49" s="1618" t="s">
        <v>8955</v>
      </c>
      <c r="AT49" s="1597" t="s">
        <v>10012</v>
      </c>
      <c r="AU49" s="1580" t="s">
        <v>10013</v>
      </c>
      <c r="AV49" s="1451" t="str">
        <f t="shared" si="1"/>
        <v>4:57</v>
      </c>
      <c r="AW49" s="1641"/>
    </row>
    <row r="50">
      <c r="A50" s="1590" t="s">
        <v>2374</v>
      </c>
      <c r="B50" s="1588" t="s">
        <v>9024</v>
      </c>
      <c r="C50" s="1533">
        <v>0.05112268518518519</v>
      </c>
      <c r="D50" s="1559" t="s">
        <v>10014</v>
      </c>
      <c r="E50" s="1559" t="s">
        <v>4514</v>
      </c>
      <c r="F50" s="1559" t="s">
        <v>6158</v>
      </c>
      <c r="G50" s="1658" t="s">
        <v>9027</v>
      </c>
      <c r="H50" s="980" t="s">
        <v>10015</v>
      </c>
      <c r="I50" s="1559" t="s">
        <v>765</v>
      </c>
      <c r="J50" s="1559" t="s">
        <v>7507</v>
      </c>
      <c r="K50" s="1559" t="s">
        <v>2501</v>
      </c>
      <c r="L50" s="1559" t="s">
        <v>1362</v>
      </c>
      <c r="M50" s="1559" t="s">
        <v>10016</v>
      </c>
      <c r="N50" s="1559" t="s">
        <v>9111</v>
      </c>
      <c r="O50" s="1559" t="s">
        <v>10017</v>
      </c>
      <c r="P50" s="1559" t="s">
        <v>3633</v>
      </c>
      <c r="Q50" s="1559" t="s">
        <v>10018</v>
      </c>
      <c r="R50" s="1559" t="s">
        <v>10019</v>
      </c>
      <c r="S50" s="1559" t="s">
        <v>3778</v>
      </c>
      <c r="T50" s="1559" t="s">
        <v>7438</v>
      </c>
      <c r="U50" s="1600" t="s">
        <v>9449</v>
      </c>
      <c r="V50" s="1559" t="s">
        <v>10020</v>
      </c>
      <c r="W50" s="1559" t="s">
        <v>10021</v>
      </c>
      <c r="X50" s="1559" t="s">
        <v>1484</v>
      </c>
      <c r="Y50" s="1559" t="s">
        <v>8072</v>
      </c>
      <c r="Z50" s="1559" t="s">
        <v>9254</v>
      </c>
      <c r="AA50" s="1615" t="s">
        <v>613</v>
      </c>
      <c r="AB50" s="1559" t="s">
        <v>10022</v>
      </c>
      <c r="AC50" s="1559" t="s">
        <v>5223</v>
      </c>
      <c r="AD50" s="1559" t="s">
        <v>10023</v>
      </c>
      <c r="AE50" s="1559" t="s">
        <v>3633</v>
      </c>
      <c r="AF50" s="1559" t="s">
        <v>10024</v>
      </c>
      <c r="AG50" s="1559" t="s">
        <v>10025</v>
      </c>
      <c r="AH50" s="1559" t="s">
        <v>2525</v>
      </c>
      <c r="AI50" s="1559" t="s">
        <v>6191</v>
      </c>
      <c r="AJ50" s="1559" t="s">
        <v>10026</v>
      </c>
      <c r="AK50" s="1559" t="s">
        <v>9540</v>
      </c>
      <c r="AL50" s="1559" t="s">
        <v>10027</v>
      </c>
      <c r="AM50" s="1559" t="s">
        <v>2707</v>
      </c>
      <c r="AN50" s="1559" t="s">
        <v>10028</v>
      </c>
      <c r="AO50" s="1559" t="s">
        <v>7364</v>
      </c>
      <c r="AP50" s="1559" t="s">
        <v>10029</v>
      </c>
      <c r="AQ50" s="1559" t="s">
        <v>10030</v>
      </c>
      <c r="AR50" s="1559" t="s">
        <v>2255</v>
      </c>
      <c r="AS50" s="1559" t="s">
        <v>8066</v>
      </c>
      <c r="AT50" s="1559" t="s">
        <v>10031</v>
      </c>
      <c r="AU50" s="1559" t="s">
        <v>10032</v>
      </c>
      <c r="AV50" s="1451" t="str">
        <f t="shared" si="1"/>
        <v>3:15</v>
      </c>
      <c r="AW50" s="1032"/>
    </row>
    <row r="51">
      <c r="A51" s="1590" t="s">
        <v>2713</v>
      </c>
      <c r="B51" s="1588" t="s">
        <v>8997</v>
      </c>
      <c r="C51" s="1533">
        <v>0.051145833333333335</v>
      </c>
      <c r="D51" s="980" t="s">
        <v>10033</v>
      </c>
      <c r="E51" s="1654" t="s">
        <v>4133</v>
      </c>
      <c r="F51" s="1654" t="s">
        <v>1683</v>
      </c>
      <c r="G51" s="1654" t="s">
        <v>10034</v>
      </c>
      <c r="H51" s="980" t="s">
        <v>10035</v>
      </c>
      <c r="I51" s="1654" t="s">
        <v>9940</v>
      </c>
      <c r="J51" s="1654" t="s">
        <v>10036</v>
      </c>
      <c r="K51" s="1654" t="s">
        <v>10036</v>
      </c>
      <c r="L51" s="1654" t="s">
        <v>4137</v>
      </c>
      <c r="M51" s="1654" t="s">
        <v>3463</v>
      </c>
      <c r="N51" s="1654" t="s">
        <v>10037</v>
      </c>
      <c r="O51" s="1654" t="s">
        <v>10038</v>
      </c>
      <c r="P51" s="1654" t="s">
        <v>9040</v>
      </c>
      <c r="Q51" s="1654" t="s">
        <v>10039</v>
      </c>
      <c r="R51" s="1654" t="s">
        <v>10040</v>
      </c>
      <c r="S51" s="1535" t="s">
        <v>6771</v>
      </c>
      <c r="T51" s="1654" t="s">
        <v>10041</v>
      </c>
      <c r="U51" s="1654" t="s">
        <v>230</v>
      </c>
      <c r="V51" s="1654" t="s">
        <v>10042</v>
      </c>
      <c r="W51" s="1654" t="s">
        <v>10043</v>
      </c>
      <c r="X51" s="1654" t="s">
        <v>10044</v>
      </c>
      <c r="Y51" s="1654" t="s">
        <v>596</v>
      </c>
      <c r="Z51" s="1654" t="s">
        <v>10045</v>
      </c>
      <c r="AA51" s="1654" t="s">
        <v>9778</v>
      </c>
      <c r="AB51" s="1654" t="s">
        <v>5920</v>
      </c>
      <c r="AC51" s="1654" t="s">
        <v>1232</v>
      </c>
      <c r="AD51" s="1654" t="s">
        <v>10046</v>
      </c>
      <c r="AE51" s="1654" t="s">
        <v>9485</v>
      </c>
      <c r="AF51" s="1654" t="s">
        <v>10047</v>
      </c>
      <c r="AG51" s="1654" t="s">
        <v>10048</v>
      </c>
      <c r="AH51" s="1654" t="s">
        <v>3758</v>
      </c>
      <c r="AI51" s="1654" t="s">
        <v>10049</v>
      </c>
      <c r="AJ51" s="1654" t="s">
        <v>10050</v>
      </c>
      <c r="AK51" s="1654" t="s">
        <v>10051</v>
      </c>
      <c r="AL51" s="1654" t="s">
        <v>4974</v>
      </c>
      <c r="AM51" s="1654" t="s">
        <v>3616</v>
      </c>
      <c r="AN51" s="1654" t="s">
        <v>5650</v>
      </c>
      <c r="AO51" s="1654" t="s">
        <v>5154</v>
      </c>
      <c r="AP51" s="1654" t="s">
        <v>10052</v>
      </c>
      <c r="AQ51" s="1654" t="s">
        <v>3369</v>
      </c>
      <c r="AR51" s="1654" t="s">
        <v>10053</v>
      </c>
      <c r="AS51" s="1654" t="s">
        <v>1396</v>
      </c>
      <c r="AT51" s="1654" t="s">
        <v>699</v>
      </c>
      <c r="AU51" s="1654" t="s">
        <v>10054</v>
      </c>
      <c r="AV51" s="1451" t="str">
        <f t="shared" si="1"/>
        <v>3:47</v>
      </c>
      <c r="AW51" s="1679" t="s">
        <v>10055</v>
      </c>
    </row>
    <row r="52" ht="15.75" customHeight="1">
      <c r="A52" s="1531" t="s">
        <v>10056</v>
      </c>
      <c r="B52" s="1680" t="s">
        <v>8997</v>
      </c>
      <c r="C52" s="1533">
        <v>0.051180555555555556</v>
      </c>
      <c r="D52" s="980" t="s">
        <v>10057</v>
      </c>
      <c r="E52" s="1559" t="s">
        <v>10058</v>
      </c>
      <c r="F52" s="1559" t="s">
        <v>4150</v>
      </c>
      <c r="G52" s="1559" t="s">
        <v>10059</v>
      </c>
      <c r="H52" s="1559" t="s">
        <v>10060</v>
      </c>
      <c r="I52" s="1559" t="s">
        <v>161</v>
      </c>
      <c r="J52" s="1559" t="s">
        <v>885</v>
      </c>
      <c r="K52" s="1559" t="s">
        <v>7103</v>
      </c>
      <c r="L52" s="1559" t="s">
        <v>9218</v>
      </c>
      <c r="M52" s="1559" t="s">
        <v>5969</v>
      </c>
      <c r="N52" s="1559" t="s">
        <v>10061</v>
      </c>
      <c r="O52" s="1559" t="s">
        <v>10062</v>
      </c>
      <c r="P52" s="1559" t="s">
        <v>5609</v>
      </c>
      <c r="Q52" s="1559" t="s">
        <v>6816</v>
      </c>
      <c r="R52" s="1559" t="s">
        <v>10063</v>
      </c>
      <c r="S52" s="1559" t="s">
        <v>8894</v>
      </c>
      <c r="T52" s="1451" t="s">
        <v>4193</v>
      </c>
      <c r="U52" s="1451" t="s">
        <v>10064</v>
      </c>
      <c r="V52" s="1559" t="s">
        <v>1964</v>
      </c>
      <c r="W52" s="1559" t="s">
        <v>10065</v>
      </c>
      <c r="X52" s="1559" t="s">
        <v>10066</v>
      </c>
      <c r="Y52" s="1559" t="s">
        <v>9485</v>
      </c>
      <c r="Z52" s="1559" t="s">
        <v>10067</v>
      </c>
      <c r="AA52" s="1559" t="s">
        <v>10068</v>
      </c>
      <c r="AB52" s="1559" t="s">
        <v>10069</v>
      </c>
      <c r="AC52" s="1559" t="s">
        <v>847</v>
      </c>
      <c r="AD52" s="1559" t="s">
        <v>9976</v>
      </c>
      <c r="AE52" s="1559" t="s">
        <v>3214</v>
      </c>
      <c r="AF52" s="1451" t="s">
        <v>10070</v>
      </c>
      <c r="AG52" s="1559" t="s">
        <v>387</v>
      </c>
      <c r="AH52" s="1559" t="s">
        <v>10071</v>
      </c>
      <c r="AI52" s="1559" t="s">
        <v>10072</v>
      </c>
      <c r="AJ52" s="1559" t="s">
        <v>10073</v>
      </c>
      <c r="AK52" s="1559" t="s">
        <v>10074</v>
      </c>
      <c r="AL52" s="1559" t="s">
        <v>4876</v>
      </c>
      <c r="AM52" s="1559" t="s">
        <v>6920</v>
      </c>
      <c r="AN52" s="1559" t="s">
        <v>9677</v>
      </c>
      <c r="AO52" s="1568" t="str">
        <f>HYPERLINK("https://clips.twitch.tv/AltruisticEmpathicManateeDoritosChip","1:20.90")</f>
        <v>1:20.90</v>
      </c>
      <c r="AP52" s="1559" t="s">
        <v>10075</v>
      </c>
      <c r="AQ52" s="1559" t="s">
        <v>10076</v>
      </c>
      <c r="AR52" s="1559" t="s">
        <v>10077</v>
      </c>
      <c r="AS52" s="1559" t="s">
        <v>9105</v>
      </c>
      <c r="AT52" s="1559" t="s">
        <v>10078</v>
      </c>
      <c r="AU52" s="1559" t="s">
        <v>10079</v>
      </c>
      <c r="AV52" s="1451" t="str">
        <f t="shared" si="1"/>
        <v>2:40</v>
      </c>
      <c r="AW52" s="1622" t="s">
        <v>10080</v>
      </c>
    </row>
    <row r="53" ht="15.75" customHeight="1">
      <c r="A53" s="1590" t="s">
        <v>3746</v>
      </c>
      <c r="B53" s="1672" t="s">
        <v>8997</v>
      </c>
      <c r="C53" s="1681">
        <v>0.05123738425925926</v>
      </c>
      <c r="D53" s="1613" t="s">
        <v>10081</v>
      </c>
      <c r="E53" s="1613" t="s">
        <v>3906</v>
      </c>
      <c r="F53" s="1613" t="s">
        <v>10082</v>
      </c>
      <c r="G53" s="1613" t="s">
        <v>9503</v>
      </c>
      <c r="H53" s="840" t="s">
        <v>10083</v>
      </c>
      <c r="I53" s="840" t="s">
        <v>2556</v>
      </c>
      <c r="J53" s="1597" t="s">
        <v>9714</v>
      </c>
      <c r="K53" s="1597" t="s">
        <v>6835</v>
      </c>
      <c r="L53" s="1597" t="s">
        <v>10084</v>
      </c>
      <c r="M53" s="1597" t="s">
        <v>5560</v>
      </c>
      <c r="N53" s="1682" t="s">
        <v>1158</v>
      </c>
      <c r="O53" s="1597" t="s">
        <v>3456</v>
      </c>
      <c r="P53" s="1597" t="s">
        <v>9151</v>
      </c>
      <c r="Q53" s="1600" t="s">
        <v>10085</v>
      </c>
      <c r="R53" s="1600" t="s">
        <v>9672</v>
      </c>
      <c r="S53" s="1600" t="s">
        <v>10086</v>
      </c>
      <c r="T53" s="1600" t="s">
        <v>10087</v>
      </c>
      <c r="U53" s="1600" t="s">
        <v>10088</v>
      </c>
      <c r="V53" s="1600" t="s">
        <v>4220</v>
      </c>
      <c r="W53" s="1615" t="s">
        <v>10089</v>
      </c>
      <c r="X53" s="1615" t="s">
        <v>10090</v>
      </c>
      <c r="Y53" s="1615" t="s">
        <v>10091</v>
      </c>
      <c r="Z53" s="1615" t="s">
        <v>1350</v>
      </c>
      <c r="AA53" s="1615" t="s">
        <v>9425</v>
      </c>
      <c r="AB53" s="1615" t="s">
        <v>9816</v>
      </c>
      <c r="AC53" s="1615" t="s">
        <v>482</v>
      </c>
      <c r="AD53" s="1613" t="s">
        <v>10092</v>
      </c>
      <c r="AE53" s="1613" t="s">
        <v>5464</v>
      </c>
      <c r="AF53" s="1616" t="s">
        <v>10093</v>
      </c>
      <c r="AG53" s="1616" t="s">
        <v>10094</v>
      </c>
      <c r="AH53" s="1616" t="s">
        <v>10095</v>
      </c>
      <c r="AI53" s="1616" t="s">
        <v>312</v>
      </c>
      <c r="AJ53" s="1616" t="s">
        <v>10096</v>
      </c>
      <c r="AK53" s="1586" t="s">
        <v>9577</v>
      </c>
      <c r="AL53" s="1616" t="s">
        <v>9365</v>
      </c>
      <c r="AM53" s="1618" t="s">
        <v>10097</v>
      </c>
      <c r="AN53" s="1618" t="s">
        <v>570</v>
      </c>
      <c r="AO53" s="1618" t="s">
        <v>10098</v>
      </c>
      <c r="AP53" s="1618" t="s">
        <v>10099</v>
      </c>
      <c r="AQ53" s="980" t="s">
        <v>10100</v>
      </c>
      <c r="AR53" s="1683" t="s">
        <v>10101</v>
      </c>
      <c r="AS53" s="1618" t="s">
        <v>10102</v>
      </c>
      <c r="AT53" s="1597" t="s">
        <v>10103</v>
      </c>
      <c r="AU53" s="1580" t="s">
        <v>10104</v>
      </c>
      <c r="AV53" s="1451" t="str">
        <f t="shared" si="1"/>
        <v>4:25</v>
      </c>
      <c r="AW53" s="1581" t="s">
        <v>10105</v>
      </c>
    </row>
    <row r="54" ht="15.75" customHeight="1">
      <c r="A54" s="1590" t="s">
        <v>1722</v>
      </c>
      <c r="B54" s="1684" t="s">
        <v>9052</v>
      </c>
      <c r="C54" s="1665">
        <v>0.051319444444444445</v>
      </c>
      <c r="D54" s="980" t="s">
        <v>10106</v>
      </c>
      <c r="E54" s="1451" t="s">
        <v>10107</v>
      </c>
      <c r="F54" s="1451" t="s">
        <v>10108</v>
      </c>
      <c r="G54" s="1451" t="s">
        <v>10109</v>
      </c>
      <c r="H54" s="1451" t="s">
        <v>5071</v>
      </c>
      <c r="I54" s="1451" t="s">
        <v>6612</v>
      </c>
      <c r="J54" s="1451" t="s">
        <v>10110</v>
      </c>
      <c r="K54" s="1451" t="s">
        <v>9171</v>
      </c>
      <c r="L54" s="1451" t="s">
        <v>3896</v>
      </c>
      <c r="M54" s="1451" t="s">
        <v>9860</v>
      </c>
      <c r="N54" s="1451" t="s">
        <v>9656</v>
      </c>
      <c r="O54" s="1451" t="s">
        <v>10111</v>
      </c>
      <c r="P54" s="1685" t="s">
        <v>9061</v>
      </c>
      <c r="Q54" s="1451" t="s">
        <v>10112</v>
      </c>
      <c r="R54" s="1451" t="s">
        <v>5958</v>
      </c>
      <c r="S54" s="1451" t="s">
        <v>1156</v>
      </c>
      <c r="T54" s="1451" t="s">
        <v>10113</v>
      </c>
      <c r="U54" s="1451" t="s">
        <v>1002</v>
      </c>
      <c r="V54" s="1451" t="s">
        <v>451</v>
      </c>
      <c r="W54" s="1451" t="s">
        <v>10114</v>
      </c>
      <c r="X54" s="1451" t="s">
        <v>309</v>
      </c>
      <c r="Y54" s="1451" t="s">
        <v>10115</v>
      </c>
      <c r="Z54" s="1451" t="s">
        <v>6925</v>
      </c>
      <c r="AA54" s="1451" t="s">
        <v>9890</v>
      </c>
      <c r="AB54" s="1451" t="s">
        <v>4508</v>
      </c>
      <c r="AC54" s="1451" t="s">
        <v>6147</v>
      </c>
      <c r="AD54" s="1451" t="s">
        <v>10116</v>
      </c>
      <c r="AE54" s="1685" t="s">
        <v>5578</v>
      </c>
      <c r="AF54" s="1685" t="s">
        <v>2804</v>
      </c>
      <c r="AG54" s="1451" t="s">
        <v>4591</v>
      </c>
      <c r="AH54" s="1451" t="s">
        <v>10117</v>
      </c>
      <c r="AI54" s="1451" t="s">
        <v>10118</v>
      </c>
      <c r="AJ54" s="1451" t="s">
        <v>10119</v>
      </c>
      <c r="AK54" s="1451" t="s">
        <v>6099</v>
      </c>
      <c r="AL54" s="1451" t="s">
        <v>6329</v>
      </c>
      <c r="AM54" s="1685" t="s">
        <v>9075</v>
      </c>
      <c r="AN54" s="1559" t="s">
        <v>2474</v>
      </c>
      <c r="AO54" s="1451" t="s">
        <v>4950</v>
      </c>
      <c r="AP54" s="1451" t="s">
        <v>10120</v>
      </c>
      <c r="AQ54" s="1451" t="s">
        <v>10121</v>
      </c>
      <c r="AR54" s="1451" t="s">
        <v>8103</v>
      </c>
      <c r="AS54" s="1451" t="s">
        <v>4437</v>
      </c>
      <c r="AT54" s="1451" t="s">
        <v>10122</v>
      </c>
      <c r="AU54" s="1451" t="s">
        <v>10123</v>
      </c>
      <c r="AV54" s="1451" t="str">
        <f t="shared" si="1"/>
        <v>3:15</v>
      </c>
      <c r="AW54" s="1622" t="s">
        <v>10124</v>
      </c>
    </row>
    <row r="55">
      <c r="A55" s="1590" t="s">
        <v>1946</v>
      </c>
      <c r="B55" s="1578" t="s">
        <v>8997</v>
      </c>
      <c r="C55" s="1533">
        <v>0.05133101851851852</v>
      </c>
      <c r="D55" s="1671" t="s">
        <v>10125</v>
      </c>
      <c r="E55" s="1613" t="s">
        <v>10126</v>
      </c>
      <c r="F55" s="1613" t="s">
        <v>10127</v>
      </c>
      <c r="G55" s="1613" t="s">
        <v>10128</v>
      </c>
      <c r="H55" s="840" t="s">
        <v>10129</v>
      </c>
      <c r="I55" s="840" t="s">
        <v>3113</v>
      </c>
      <c r="J55" s="1597" t="s">
        <v>1866</v>
      </c>
      <c r="K55" s="1597" t="s">
        <v>10130</v>
      </c>
      <c r="L55" s="1597" t="s">
        <v>4181</v>
      </c>
      <c r="M55" s="1597" t="s">
        <v>10131</v>
      </c>
      <c r="N55" s="1597" t="s">
        <v>9261</v>
      </c>
      <c r="O55" s="1597" t="s">
        <v>10132</v>
      </c>
      <c r="P55" s="1597" t="s">
        <v>9215</v>
      </c>
      <c r="Q55" s="1600" t="s">
        <v>10133</v>
      </c>
      <c r="R55" s="1600" t="s">
        <v>9904</v>
      </c>
      <c r="S55" s="1600" t="s">
        <v>7456</v>
      </c>
      <c r="T55" s="1600" t="s">
        <v>9909</v>
      </c>
      <c r="U55" s="1600" t="s">
        <v>10134</v>
      </c>
      <c r="V55" s="1600" t="s">
        <v>9691</v>
      </c>
      <c r="W55" s="1615" t="s">
        <v>10135</v>
      </c>
      <c r="X55" s="1615" t="s">
        <v>10136</v>
      </c>
      <c r="Y55" s="1615" t="s">
        <v>5509</v>
      </c>
      <c r="Z55" s="1615" t="s">
        <v>1500</v>
      </c>
      <c r="AA55" s="1615" t="s">
        <v>10137</v>
      </c>
      <c r="AB55" s="1615" t="s">
        <v>6395</v>
      </c>
      <c r="AC55" s="1615" t="s">
        <v>263</v>
      </c>
      <c r="AD55" s="1613" t="s">
        <v>9492</v>
      </c>
      <c r="AE55" s="1613" t="s">
        <v>5509</v>
      </c>
      <c r="AF55" s="1616" t="s">
        <v>10138</v>
      </c>
      <c r="AG55" s="1616" t="s">
        <v>5889</v>
      </c>
      <c r="AH55" s="1616" t="s">
        <v>4063</v>
      </c>
      <c r="AI55" s="1616" t="s">
        <v>10139</v>
      </c>
      <c r="AJ55" s="1616" t="s">
        <v>10140</v>
      </c>
      <c r="AK55" s="1616" t="s">
        <v>10066</v>
      </c>
      <c r="AL55" s="1616" t="s">
        <v>3231</v>
      </c>
      <c r="AM55" s="1618" t="s">
        <v>9517</v>
      </c>
      <c r="AN55" s="1618" t="s">
        <v>4071</v>
      </c>
      <c r="AO55" s="1618" t="s">
        <v>10141</v>
      </c>
      <c r="AP55" s="1618" t="s">
        <v>10142</v>
      </c>
      <c r="AQ55" s="1618" t="s">
        <v>9729</v>
      </c>
      <c r="AR55" s="1618" t="s">
        <v>10143</v>
      </c>
      <c r="AS55" s="1618" t="s">
        <v>9005</v>
      </c>
      <c r="AT55" s="1597" t="s">
        <v>10144</v>
      </c>
      <c r="AU55" s="1580" t="s">
        <v>10145</v>
      </c>
      <c r="AV55" s="1451" t="str">
        <f t="shared" si="1"/>
        <v>1:34</v>
      </c>
      <c r="AW55" s="1641"/>
    </row>
    <row r="56">
      <c r="A56" s="1590" t="s">
        <v>2992</v>
      </c>
      <c r="B56" s="1578" t="s">
        <v>8997</v>
      </c>
      <c r="C56" s="1533">
        <v>0.05134259259259259</v>
      </c>
      <c r="D56" s="1613" t="s">
        <v>10146</v>
      </c>
      <c r="E56" s="1613" t="s">
        <v>6609</v>
      </c>
      <c r="F56" s="1613" t="s">
        <v>10147</v>
      </c>
      <c r="G56" s="1613" t="s">
        <v>10148</v>
      </c>
      <c r="H56" s="1613" t="s">
        <v>10149</v>
      </c>
      <c r="I56" s="1613" t="s">
        <v>1290</v>
      </c>
      <c r="J56" s="1597" t="s">
        <v>5026</v>
      </c>
      <c r="K56" s="1597" t="s">
        <v>6811</v>
      </c>
      <c r="L56" s="1597" t="s">
        <v>4886</v>
      </c>
      <c r="M56" s="1597" t="s">
        <v>3640</v>
      </c>
      <c r="N56" s="1597" t="s">
        <v>2075</v>
      </c>
      <c r="O56" s="1597" t="s">
        <v>10150</v>
      </c>
      <c r="P56" s="1597" t="s">
        <v>4548</v>
      </c>
      <c r="Q56" s="1600" t="s">
        <v>10151</v>
      </c>
      <c r="R56" s="1600" t="s">
        <v>2597</v>
      </c>
      <c r="S56" s="1600" t="s">
        <v>10152</v>
      </c>
      <c r="T56" s="1600" t="s">
        <v>10153</v>
      </c>
      <c r="U56" s="1600" t="s">
        <v>9998</v>
      </c>
      <c r="V56" s="1600" t="s">
        <v>10154</v>
      </c>
      <c r="W56" s="1615" t="s">
        <v>10155</v>
      </c>
      <c r="X56" s="1615" t="s">
        <v>9072</v>
      </c>
      <c r="Y56" s="1615" t="s">
        <v>9740</v>
      </c>
      <c r="Z56" s="1615" t="s">
        <v>3037</v>
      </c>
      <c r="AA56" s="1559" t="s">
        <v>591</v>
      </c>
      <c r="AB56" s="1615" t="s">
        <v>9331</v>
      </c>
      <c r="AC56" s="1615" t="s">
        <v>9617</v>
      </c>
      <c r="AD56" s="1613" t="s">
        <v>10156</v>
      </c>
      <c r="AE56" s="1613" t="s">
        <v>10157</v>
      </c>
      <c r="AF56" s="1616" t="s">
        <v>10158</v>
      </c>
      <c r="AG56" s="1616" t="s">
        <v>10159</v>
      </c>
      <c r="AH56" s="1616" t="s">
        <v>1971</v>
      </c>
      <c r="AI56" s="1616" t="s">
        <v>419</v>
      </c>
      <c r="AJ56" s="1616" t="s">
        <v>10160</v>
      </c>
      <c r="AK56" s="1616" t="s">
        <v>10161</v>
      </c>
      <c r="AL56" s="1616" t="s">
        <v>5748</v>
      </c>
      <c r="AM56" s="1618" t="s">
        <v>10162</v>
      </c>
      <c r="AN56" s="1618" t="s">
        <v>6570</v>
      </c>
      <c r="AO56" s="1618" t="s">
        <v>10163</v>
      </c>
      <c r="AP56" s="1618" t="s">
        <v>10164</v>
      </c>
      <c r="AQ56" s="1618" t="s">
        <v>9729</v>
      </c>
      <c r="AR56" s="1618" t="s">
        <v>9367</v>
      </c>
      <c r="AS56" s="1618" t="s">
        <v>1970</v>
      </c>
      <c r="AT56" s="1597" t="s">
        <v>10165</v>
      </c>
      <c r="AU56" s="1580" t="s">
        <v>10032</v>
      </c>
      <c r="AV56" s="1451" t="str">
        <f t="shared" si="1"/>
        <v>2:56</v>
      </c>
      <c r="AW56" s="1581" t="s">
        <v>10166</v>
      </c>
    </row>
    <row r="57" ht="15.75" customHeight="1">
      <c r="A57" s="1556" t="s">
        <v>1413</v>
      </c>
      <c r="B57" s="1684" t="s">
        <v>9052</v>
      </c>
      <c r="C57" s="1665">
        <v>0.05134259259259259</v>
      </c>
      <c r="D57" s="980" t="s">
        <v>10167</v>
      </c>
      <c r="E57" s="1642" t="s">
        <v>6025</v>
      </c>
      <c r="F57" s="1642" t="s">
        <v>10147</v>
      </c>
      <c r="G57" s="1642" t="s">
        <v>10168</v>
      </c>
      <c r="H57" s="905" t="s">
        <v>10169</v>
      </c>
      <c r="I57" s="1686" t="s">
        <v>350</v>
      </c>
      <c r="J57" s="1643" t="s">
        <v>10170</v>
      </c>
      <c r="K57" s="1643" t="s">
        <v>4042</v>
      </c>
      <c r="L57" s="1687" t="s">
        <v>3806</v>
      </c>
      <c r="M57" s="1643" t="s">
        <v>5707</v>
      </c>
      <c r="N57" s="1643" t="s">
        <v>7365</v>
      </c>
      <c r="O57" s="1687" t="s">
        <v>9060</v>
      </c>
      <c r="P57" s="1643" t="s">
        <v>388</v>
      </c>
      <c r="Q57" s="1644" t="s">
        <v>10171</v>
      </c>
      <c r="R57" s="1644" t="s">
        <v>1623</v>
      </c>
      <c r="S57" s="1644" t="s">
        <v>10172</v>
      </c>
      <c r="T57" s="1688" t="s">
        <v>9064</v>
      </c>
      <c r="U57" s="1644" t="s">
        <v>10173</v>
      </c>
      <c r="V57" s="1644" t="s">
        <v>4065</v>
      </c>
      <c r="W57" s="1689" t="s">
        <v>9066</v>
      </c>
      <c r="X57" s="1645" t="s">
        <v>4364</v>
      </c>
      <c r="Y57" s="1645" t="s">
        <v>6612</v>
      </c>
      <c r="Z57" s="1645" t="s">
        <v>7203</v>
      </c>
      <c r="AA57" s="1645" t="s">
        <v>9577</v>
      </c>
      <c r="AB57" s="1689" t="s">
        <v>9070</v>
      </c>
      <c r="AC57" s="1645" t="s">
        <v>7520</v>
      </c>
      <c r="AD57" s="1618" t="s">
        <v>10174</v>
      </c>
      <c r="AE57" s="1642" t="s">
        <v>10175</v>
      </c>
      <c r="AF57" s="1646" t="s">
        <v>10176</v>
      </c>
      <c r="AG57" s="1646" t="s">
        <v>10177</v>
      </c>
      <c r="AH57" s="1646" t="s">
        <v>10178</v>
      </c>
      <c r="AI57" s="1646" t="s">
        <v>10179</v>
      </c>
      <c r="AJ57" s="1646" t="s">
        <v>10180</v>
      </c>
      <c r="AK57" s="1690" t="s">
        <v>884</v>
      </c>
      <c r="AL57" s="1646" t="s">
        <v>1563</v>
      </c>
      <c r="AM57" s="1617" t="s">
        <v>10025</v>
      </c>
      <c r="AN57" s="1618" t="s">
        <v>4680</v>
      </c>
      <c r="AO57" s="1617" t="s">
        <v>10181</v>
      </c>
      <c r="AP57" s="1617" t="s">
        <v>10182</v>
      </c>
      <c r="AQ57" s="1617" t="s">
        <v>10183</v>
      </c>
      <c r="AR57" s="1617" t="s">
        <v>10184</v>
      </c>
      <c r="AS57" s="1617" t="s">
        <v>4620</v>
      </c>
      <c r="AT57" s="1643" t="s">
        <v>10185</v>
      </c>
      <c r="AU57" s="1640" t="s">
        <v>10186</v>
      </c>
      <c r="AV57" s="1451" t="str">
        <f t="shared" si="1"/>
        <v>1:58</v>
      </c>
      <c r="AW57" s="1641"/>
    </row>
    <row r="58" ht="15.75" customHeight="1">
      <c r="A58" s="1531" t="s">
        <v>3378</v>
      </c>
      <c r="B58" s="1532" t="s">
        <v>8997</v>
      </c>
      <c r="C58" s="1665">
        <v>0.05134259259259259</v>
      </c>
      <c r="D58" s="980" t="s">
        <v>10187</v>
      </c>
      <c r="E58" s="1451" t="s">
        <v>10188</v>
      </c>
      <c r="F58" s="1451" t="s">
        <v>10189</v>
      </c>
      <c r="G58" s="1451" t="s">
        <v>7234</v>
      </c>
      <c r="H58" s="1451" t="s">
        <v>9250</v>
      </c>
      <c r="I58" s="1451" t="s">
        <v>6332</v>
      </c>
      <c r="J58" s="1451" t="s">
        <v>10190</v>
      </c>
      <c r="K58" s="1451" t="s">
        <v>3970</v>
      </c>
      <c r="L58" s="1451" t="s">
        <v>10191</v>
      </c>
      <c r="M58" s="1451" t="s">
        <v>10192</v>
      </c>
      <c r="N58" s="1451" t="s">
        <v>2925</v>
      </c>
      <c r="O58" s="1451" t="s">
        <v>10193</v>
      </c>
      <c r="P58" s="1451" t="s">
        <v>1080</v>
      </c>
      <c r="Q58" s="1451" t="s">
        <v>2465</v>
      </c>
      <c r="R58" s="1451" t="s">
        <v>9904</v>
      </c>
      <c r="S58" s="1451" t="s">
        <v>9774</v>
      </c>
      <c r="T58" s="1451" t="s">
        <v>10194</v>
      </c>
      <c r="U58" s="1451" t="s">
        <v>10195</v>
      </c>
      <c r="V58" s="1451" t="s">
        <v>9516</v>
      </c>
      <c r="W58" s="1451" t="s">
        <v>10196</v>
      </c>
      <c r="X58" s="1451" t="s">
        <v>10197</v>
      </c>
      <c r="Y58" s="1451" t="s">
        <v>388</v>
      </c>
      <c r="Z58" s="1451" t="s">
        <v>7164</v>
      </c>
      <c r="AA58" s="1451" t="s">
        <v>9724</v>
      </c>
      <c r="AB58" s="1451" t="s">
        <v>9134</v>
      </c>
      <c r="AC58" s="1451" t="s">
        <v>847</v>
      </c>
      <c r="AD58" s="1451" t="s">
        <v>10198</v>
      </c>
      <c r="AE58" s="1451" t="s">
        <v>388</v>
      </c>
      <c r="AF58" s="1451" t="s">
        <v>10199</v>
      </c>
      <c r="AG58" s="1451" t="s">
        <v>10200</v>
      </c>
      <c r="AH58" s="1451" t="s">
        <v>5210</v>
      </c>
      <c r="AI58" s="1451" t="s">
        <v>10201</v>
      </c>
      <c r="AJ58" s="1451" t="s">
        <v>10140</v>
      </c>
      <c r="AK58" s="1451" t="s">
        <v>6892</v>
      </c>
      <c r="AL58" s="1451" t="s">
        <v>3315</v>
      </c>
      <c r="AM58" s="1451" t="s">
        <v>4146</v>
      </c>
      <c r="AN58" s="1451" t="s">
        <v>5804</v>
      </c>
      <c r="AO58" s="1451" t="s">
        <v>6527</v>
      </c>
      <c r="AP58" s="1451" t="s">
        <v>10202</v>
      </c>
      <c r="AQ58" s="1451" t="s">
        <v>10203</v>
      </c>
      <c r="AR58" s="1451" t="s">
        <v>10204</v>
      </c>
      <c r="AS58" s="1617" t="s">
        <v>4425</v>
      </c>
      <c r="AT58" s="1451" t="s">
        <v>10205</v>
      </c>
      <c r="AU58" s="1451" t="s">
        <v>9451</v>
      </c>
      <c r="AV58" s="1451" t="str">
        <f t="shared" si="1"/>
        <v>2:27</v>
      </c>
      <c r="AW58" s="1622"/>
    </row>
    <row r="59" ht="15.75" customHeight="1">
      <c r="A59" s="1590" t="s">
        <v>1345</v>
      </c>
      <c r="B59" s="1588" t="s">
        <v>9052</v>
      </c>
      <c r="C59" s="1533">
        <v>0.05140046296296296</v>
      </c>
      <c r="D59" s="1559" t="s">
        <v>10206</v>
      </c>
      <c r="E59" s="1559" t="s">
        <v>1746</v>
      </c>
      <c r="F59" s="1559" t="s">
        <v>10207</v>
      </c>
      <c r="G59" s="1675" t="s">
        <v>9056</v>
      </c>
      <c r="H59" s="980" t="s">
        <v>10208</v>
      </c>
      <c r="I59" s="1559" t="s">
        <v>1669</v>
      </c>
      <c r="J59" s="1675" t="s">
        <v>9058</v>
      </c>
      <c r="K59" s="1559" t="s">
        <v>7126</v>
      </c>
      <c r="L59" s="1559" t="s">
        <v>10209</v>
      </c>
      <c r="M59" s="1675" t="s">
        <v>9059</v>
      </c>
      <c r="N59" s="1559" t="s">
        <v>10210</v>
      </c>
      <c r="O59" s="1559" t="s">
        <v>10211</v>
      </c>
      <c r="P59" s="1559" t="s">
        <v>1042</v>
      </c>
      <c r="Q59" s="1559" t="s">
        <v>9995</v>
      </c>
      <c r="R59" s="1559" t="s">
        <v>10212</v>
      </c>
      <c r="S59" s="1559" t="s">
        <v>9046</v>
      </c>
      <c r="T59" s="1559" t="s">
        <v>10213</v>
      </c>
      <c r="U59" s="1559" t="s">
        <v>9919</v>
      </c>
      <c r="V59" s="1559" t="s">
        <v>5981</v>
      </c>
      <c r="W59" s="1559" t="s">
        <v>10214</v>
      </c>
      <c r="X59" s="1559" t="s">
        <v>628</v>
      </c>
      <c r="Y59" s="1559" t="s">
        <v>10215</v>
      </c>
      <c r="Z59" s="1559" t="s">
        <v>10216</v>
      </c>
      <c r="AA59" s="1691" t="s">
        <v>9069</v>
      </c>
      <c r="AB59" s="1559" t="s">
        <v>6073</v>
      </c>
      <c r="AC59" s="1559" t="s">
        <v>10217</v>
      </c>
      <c r="AD59" s="1559" t="s">
        <v>9434</v>
      </c>
      <c r="AE59" s="1559" t="s">
        <v>2603</v>
      </c>
      <c r="AF59" s="1559" t="s">
        <v>10218</v>
      </c>
      <c r="AG59" s="1675" t="s">
        <v>4604</v>
      </c>
      <c r="AH59" s="1675" t="s">
        <v>5267</v>
      </c>
      <c r="AI59" s="1559" t="s">
        <v>10219</v>
      </c>
      <c r="AJ59" s="1559" t="s">
        <v>10220</v>
      </c>
      <c r="AK59" s="1559" t="s">
        <v>7182</v>
      </c>
      <c r="AL59" s="1559" t="s">
        <v>3895</v>
      </c>
      <c r="AM59" s="1559" t="s">
        <v>10221</v>
      </c>
      <c r="AN59" s="1559" t="s">
        <v>3817</v>
      </c>
      <c r="AO59" s="1675" t="s">
        <v>9077</v>
      </c>
      <c r="AP59" s="1692" t="s">
        <v>9078</v>
      </c>
      <c r="AQ59" s="1559" t="s">
        <v>3242</v>
      </c>
      <c r="AR59" s="1559" t="s">
        <v>1619</v>
      </c>
      <c r="AS59" s="1559" t="s">
        <v>4708</v>
      </c>
      <c r="AT59" s="1559" t="s">
        <v>10222</v>
      </c>
      <c r="AU59" s="1559" t="s">
        <v>9451</v>
      </c>
      <c r="AV59" s="1451" t="str">
        <f t="shared" si="1"/>
        <v>2:22</v>
      </c>
      <c r="AW59" s="1589" t="s">
        <v>10223</v>
      </c>
    </row>
    <row r="60" ht="15.75" customHeight="1">
      <c r="A60" s="1590" t="s">
        <v>4048</v>
      </c>
      <c r="B60" s="1578" t="s">
        <v>8997</v>
      </c>
      <c r="C60" s="1533">
        <v>0.05153935185185185</v>
      </c>
      <c r="D60" s="1654" t="s">
        <v>10224</v>
      </c>
      <c r="E60" s="1654" t="s">
        <v>7731</v>
      </c>
      <c r="F60" s="1654" t="s">
        <v>10225</v>
      </c>
      <c r="G60" s="1654" t="s">
        <v>4958</v>
      </c>
      <c r="H60" s="980" t="s">
        <v>10226</v>
      </c>
      <c r="I60" s="1654" t="s">
        <v>1290</v>
      </c>
      <c r="J60" s="1654" t="s">
        <v>10227</v>
      </c>
      <c r="K60" s="1654" t="s">
        <v>3675</v>
      </c>
      <c r="L60" s="1654" t="s">
        <v>4220</v>
      </c>
      <c r="M60" s="1654" t="s">
        <v>6722</v>
      </c>
      <c r="N60" s="1654" t="s">
        <v>10228</v>
      </c>
      <c r="O60" s="1654" t="s">
        <v>3799</v>
      </c>
      <c r="P60" s="1654" t="s">
        <v>8072</v>
      </c>
      <c r="Q60" s="1654" t="s">
        <v>10229</v>
      </c>
      <c r="R60" s="1654" t="s">
        <v>3438</v>
      </c>
      <c r="S60" s="1693" t="s">
        <v>9858</v>
      </c>
      <c r="T60" s="1654" t="s">
        <v>9676</v>
      </c>
      <c r="U60" s="1654" t="s">
        <v>10230</v>
      </c>
      <c r="V60" s="1654" t="s">
        <v>1703</v>
      </c>
      <c r="W60" s="1654" t="s">
        <v>10231</v>
      </c>
      <c r="X60" s="1654" t="s">
        <v>1762</v>
      </c>
      <c r="Y60" s="1654" t="s">
        <v>3689</v>
      </c>
      <c r="Z60" s="1654" t="s">
        <v>6916</v>
      </c>
      <c r="AA60" s="1654" t="s">
        <v>962</v>
      </c>
      <c r="AB60" s="1654" t="s">
        <v>10232</v>
      </c>
      <c r="AC60" s="1654" t="s">
        <v>10217</v>
      </c>
      <c r="AD60" s="1654" t="s">
        <v>10233</v>
      </c>
      <c r="AE60" s="1654" t="s">
        <v>4965</v>
      </c>
      <c r="AF60" s="1539" t="s">
        <v>10234</v>
      </c>
      <c r="AG60" s="1654" t="s">
        <v>10235</v>
      </c>
      <c r="AH60" s="1654" t="s">
        <v>10236</v>
      </c>
      <c r="AI60" s="1654" t="s">
        <v>10237</v>
      </c>
      <c r="AJ60" s="1654" t="s">
        <v>10238</v>
      </c>
      <c r="AK60" s="1654" t="s">
        <v>5129</v>
      </c>
      <c r="AL60" s="1654" t="s">
        <v>10027</v>
      </c>
      <c r="AM60" s="1654" t="s">
        <v>10219</v>
      </c>
      <c r="AN60" s="1654" t="s">
        <v>2592</v>
      </c>
      <c r="AO60" s="1654" t="s">
        <v>5772</v>
      </c>
      <c r="AP60" s="1693" t="s">
        <v>9962</v>
      </c>
      <c r="AQ60" s="1654" t="s">
        <v>10239</v>
      </c>
      <c r="AR60" s="1654" t="s">
        <v>5026</v>
      </c>
      <c r="AS60" s="1654" t="s">
        <v>9105</v>
      </c>
      <c r="AT60" s="1654" t="s">
        <v>10240</v>
      </c>
      <c r="AU60" s="1654" t="s">
        <v>10241</v>
      </c>
      <c r="AV60" s="1451" t="str">
        <f t="shared" si="1"/>
        <v>2:41</v>
      </c>
      <c r="AW60" s="1694" t="s">
        <v>10242</v>
      </c>
    </row>
    <row r="61" ht="15.75" customHeight="1">
      <c r="A61" s="1531" t="s">
        <v>2026</v>
      </c>
      <c r="B61" s="1532" t="s">
        <v>8997</v>
      </c>
      <c r="C61" s="1533">
        <v>0.05157407407407407</v>
      </c>
      <c r="D61" s="980" t="s">
        <v>10243</v>
      </c>
      <c r="E61" s="1613" t="s">
        <v>10244</v>
      </c>
      <c r="F61" s="1613" t="s">
        <v>10245</v>
      </c>
      <c r="G61" s="1642" t="s">
        <v>9735</v>
      </c>
      <c r="H61" s="905" t="s">
        <v>10246</v>
      </c>
      <c r="I61" s="905" t="s">
        <v>2099</v>
      </c>
      <c r="J61" s="1643" t="s">
        <v>5479</v>
      </c>
      <c r="K61" s="1643" t="s">
        <v>3549</v>
      </c>
      <c r="L61" s="1643" t="s">
        <v>10247</v>
      </c>
      <c r="M61" s="1643" t="s">
        <v>9901</v>
      </c>
      <c r="N61" s="1643" t="s">
        <v>1228</v>
      </c>
      <c r="O61" s="1643" t="s">
        <v>10214</v>
      </c>
      <c r="P61" s="1643" t="s">
        <v>10248</v>
      </c>
      <c r="Q61" s="1644" t="s">
        <v>10249</v>
      </c>
      <c r="R61" s="1644" t="s">
        <v>10250</v>
      </c>
      <c r="S61" s="1644" t="s">
        <v>10251</v>
      </c>
      <c r="T61" s="1644" t="s">
        <v>6920</v>
      </c>
      <c r="U61" s="1644" t="s">
        <v>2749</v>
      </c>
      <c r="V61" s="1644" t="s">
        <v>5098</v>
      </c>
      <c r="W61" s="1645" t="s">
        <v>10252</v>
      </c>
      <c r="X61" s="1645" t="s">
        <v>10253</v>
      </c>
      <c r="Y61" s="1645" t="s">
        <v>10115</v>
      </c>
      <c r="Z61" s="1645" t="s">
        <v>9070</v>
      </c>
      <c r="AA61" s="1645" t="s">
        <v>6191</v>
      </c>
      <c r="AB61" s="1645" t="s">
        <v>5920</v>
      </c>
      <c r="AC61" s="1645" t="s">
        <v>6477</v>
      </c>
      <c r="AD61" s="1613" t="s">
        <v>10254</v>
      </c>
      <c r="AE61" s="1642" t="s">
        <v>5598</v>
      </c>
      <c r="AF61" s="1646" t="s">
        <v>10255</v>
      </c>
      <c r="AG61" s="1646" t="s">
        <v>10256</v>
      </c>
      <c r="AH61" s="1646" t="s">
        <v>10257</v>
      </c>
      <c r="AI61" s="1646" t="s">
        <v>1033</v>
      </c>
      <c r="AJ61" s="1646" t="s">
        <v>10258</v>
      </c>
      <c r="AK61" s="1616" t="s">
        <v>628</v>
      </c>
      <c r="AL61" s="1616" t="s">
        <v>10259</v>
      </c>
      <c r="AM61" s="1617" t="s">
        <v>3729</v>
      </c>
      <c r="AN61" s="1617" t="s">
        <v>10260</v>
      </c>
      <c r="AO61" s="1617" t="s">
        <v>10261</v>
      </c>
      <c r="AP61" s="1617" t="s">
        <v>10262</v>
      </c>
      <c r="AQ61" s="1617" t="s">
        <v>10263</v>
      </c>
      <c r="AR61" s="1618" t="s">
        <v>7448</v>
      </c>
      <c r="AS61" s="1617" t="s">
        <v>4425</v>
      </c>
      <c r="AT61" s="1643" t="s">
        <v>10264</v>
      </c>
      <c r="AU61" s="1640" t="s">
        <v>10265</v>
      </c>
      <c r="AV61" s="1451" t="str">
        <f t="shared" si="1"/>
        <v>4:40</v>
      </c>
      <c r="AW61" s="1641" t="s">
        <v>10266</v>
      </c>
    </row>
    <row r="62" ht="15.75" customHeight="1">
      <c r="A62" s="1590" t="s">
        <v>10267</v>
      </c>
      <c r="B62" s="1578" t="s">
        <v>8997</v>
      </c>
      <c r="C62" s="1533">
        <v>0.051631944444444446</v>
      </c>
      <c r="D62" s="1613" t="s">
        <v>10268</v>
      </c>
      <c r="E62" s="1613" t="s">
        <v>7574</v>
      </c>
      <c r="F62" s="1613" t="s">
        <v>9198</v>
      </c>
      <c r="G62" s="1613" t="s">
        <v>10269</v>
      </c>
      <c r="H62" s="840" t="s">
        <v>10270</v>
      </c>
      <c r="I62" s="840" t="s">
        <v>10271</v>
      </c>
      <c r="J62" s="1597" t="s">
        <v>10272</v>
      </c>
      <c r="K62" s="1597" t="s">
        <v>7182</v>
      </c>
      <c r="L62" s="1597" t="s">
        <v>4456</v>
      </c>
      <c r="M62" s="1597" t="s">
        <v>10273</v>
      </c>
      <c r="N62" s="1597" t="s">
        <v>9673</v>
      </c>
      <c r="O62" s="1597" t="s">
        <v>10274</v>
      </c>
      <c r="P62" s="1597" t="s">
        <v>2173</v>
      </c>
      <c r="Q62" s="1600" t="s">
        <v>10275</v>
      </c>
      <c r="R62" s="1600" t="s">
        <v>5958</v>
      </c>
      <c r="S62" s="1600" t="s">
        <v>5670</v>
      </c>
      <c r="T62" s="1600" t="s">
        <v>6314</v>
      </c>
      <c r="U62" s="1600" t="s">
        <v>10276</v>
      </c>
      <c r="V62" s="1600" t="s">
        <v>10277</v>
      </c>
      <c r="W62" s="1615" t="s">
        <v>10278</v>
      </c>
      <c r="X62" s="1615" t="s">
        <v>628</v>
      </c>
      <c r="Y62" s="1615" t="s">
        <v>5089</v>
      </c>
      <c r="Z62" s="1615" t="s">
        <v>10279</v>
      </c>
      <c r="AA62" s="1559" t="s">
        <v>10280</v>
      </c>
      <c r="AB62" s="1615" t="s">
        <v>9868</v>
      </c>
      <c r="AC62" s="1615" t="s">
        <v>4748</v>
      </c>
      <c r="AD62" s="1613" t="s">
        <v>10281</v>
      </c>
      <c r="AE62" s="1613" t="s">
        <v>9569</v>
      </c>
      <c r="AF62" s="1695" t="s">
        <v>10282</v>
      </c>
      <c r="AG62" s="1616" t="s">
        <v>7701</v>
      </c>
      <c r="AH62" s="1616" t="s">
        <v>10257</v>
      </c>
      <c r="AI62" s="1616" t="s">
        <v>4119</v>
      </c>
      <c r="AJ62" s="1616" t="s">
        <v>10283</v>
      </c>
      <c r="AK62" s="1616" t="s">
        <v>1521</v>
      </c>
      <c r="AL62" s="1616" t="s">
        <v>3484</v>
      </c>
      <c r="AM62" s="1618" t="s">
        <v>6191</v>
      </c>
      <c r="AN62" s="1618" t="s">
        <v>5748</v>
      </c>
      <c r="AO62" s="1618" t="s">
        <v>7506</v>
      </c>
      <c r="AP62" s="1618" t="s">
        <v>10284</v>
      </c>
      <c r="AQ62" s="1618" t="s">
        <v>3557</v>
      </c>
      <c r="AR62" s="1618" t="s">
        <v>9835</v>
      </c>
      <c r="AS62" s="1618" t="s">
        <v>4093</v>
      </c>
      <c r="AT62" s="1597" t="s">
        <v>10285</v>
      </c>
      <c r="AU62" s="1580" t="s">
        <v>10286</v>
      </c>
      <c r="AV62" s="1451" t="str">
        <f t="shared" si="1"/>
        <v>2:25</v>
      </c>
      <c r="AW62" s="1657" t="s">
        <v>10287</v>
      </c>
    </row>
    <row r="63" ht="15.75" customHeight="1">
      <c r="A63" s="1655" t="s">
        <v>10288</v>
      </c>
      <c r="B63" s="1532" t="s">
        <v>8997</v>
      </c>
      <c r="C63" s="1665">
        <v>0.051631944444444446</v>
      </c>
      <c r="D63" s="980" t="s">
        <v>10289</v>
      </c>
      <c r="E63" s="336" t="s">
        <v>8660</v>
      </c>
      <c r="F63" s="336" t="s">
        <v>9078</v>
      </c>
      <c r="G63" s="336" t="s">
        <v>10290</v>
      </c>
      <c r="H63" s="336" t="s">
        <v>10291</v>
      </c>
      <c r="I63" s="336" t="s">
        <v>10217</v>
      </c>
      <c r="J63" s="336" t="s">
        <v>3550</v>
      </c>
      <c r="K63" s="336" t="s">
        <v>10292</v>
      </c>
      <c r="L63" s="336" t="s">
        <v>5234</v>
      </c>
      <c r="M63" s="336" t="s">
        <v>712</v>
      </c>
      <c r="N63" s="336" t="s">
        <v>10293</v>
      </c>
      <c r="O63" s="336" t="s">
        <v>4757</v>
      </c>
      <c r="P63" s="336" t="s">
        <v>9029</v>
      </c>
      <c r="Q63" s="336" t="s">
        <v>10294</v>
      </c>
      <c r="R63" s="336" t="s">
        <v>10295</v>
      </c>
      <c r="S63" s="336" t="s">
        <v>10077</v>
      </c>
      <c r="T63" s="336" t="s">
        <v>9517</v>
      </c>
      <c r="U63" s="336" t="s">
        <v>10296</v>
      </c>
      <c r="V63" s="336" t="s">
        <v>10297</v>
      </c>
      <c r="W63" s="336" t="s">
        <v>10298</v>
      </c>
      <c r="X63" s="336" t="s">
        <v>10219</v>
      </c>
      <c r="Y63" s="336" t="s">
        <v>4748</v>
      </c>
      <c r="Z63" s="336" t="s">
        <v>6772</v>
      </c>
      <c r="AA63" s="336" t="s">
        <v>5957</v>
      </c>
      <c r="AB63" s="336" t="s">
        <v>10299</v>
      </c>
      <c r="AC63" s="336" t="s">
        <v>388</v>
      </c>
      <c r="AD63" s="336" t="s">
        <v>6137</v>
      </c>
      <c r="AE63" s="336" t="s">
        <v>3113</v>
      </c>
      <c r="AF63" s="336" t="s">
        <v>9968</v>
      </c>
      <c r="AG63" s="336" t="s">
        <v>10300</v>
      </c>
      <c r="AH63" s="336" t="s">
        <v>5425</v>
      </c>
      <c r="AI63" s="336" t="s">
        <v>3580</v>
      </c>
      <c r="AJ63" s="336" t="s">
        <v>10301</v>
      </c>
      <c r="AK63" s="336" t="s">
        <v>10137</v>
      </c>
      <c r="AL63" s="336" t="s">
        <v>5203</v>
      </c>
      <c r="AM63" s="336" t="s">
        <v>10302</v>
      </c>
      <c r="AN63" s="336" t="s">
        <v>8871</v>
      </c>
      <c r="AO63" s="336" t="s">
        <v>5140</v>
      </c>
      <c r="AP63" s="336" t="s">
        <v>10303</v>
      </c>
      <c r="AQ63" s="336" t="s">
        <v>3695</v>
      </c>
      <c r="AR63" s="336" t="s">
        <v>9658</v>
      </c>
      <c r="AS63" s="336" t="s">
        <v>4734</v>
      </c>
      <c r="AT63" s="336" t="s">
        <v>10304</v>
      </c>
      <c r="AU63" s="1696" t="str">
        <f>HYPERLINK("https://splits.io/pc9","1:16:48")</f>
        <v>1:16:48</v>
      </c>
      <c r="AV63" s="1451" t="str">
        <f t="shared" si="1"/>
        <v>2:27</v>
      </c>
      <c r="AW63" s="1697" t="s">
        <v>10305</v>
      </c>
    </row>
    <row r="64" ht="15.75" customHeight="1">
      <c r="A64" s="1531" t="s">
        <v>5917</v>
      </c>
      <c r="B64" s="1532" t="s">
        <v>8997</v>
      </c>
      <c r="C64" s="1665">
        <v>0.051631944444444446</v>
      </c>
      <c r="D64" s="980" t="s">
        <v>10306</v>
      </c>
      <c r="E64" s="336" t="s">
        <v>7731</v>
      </c>
      <c r="F64" s="336" t="s">
        <v>10307</v>
      </c>
      <c r="G64" s="336" t="s">
        <v>5356</v>
      </c>
      <c r="H64" s="336" t="s">
        <v>9880</v>
      </c>
      <c r="I64" s="336" t="s">
        <v>4748</v>
      </c>
      <c r="J64" s="336" t="s">
        <v>9188</v>
      </c>
      <c r="K64" s="336" t="s">
        <v>8884</v>
      </c>
      <c r="L64" s="336" t="s">
        <v>5903</v>
      </c>
      <c r="M64" s="336" t="s">
        <v>935</v>
      </c>
      <c r="N64" s="336" t="s">
        <v>10308</v>
      </c>
      <c r="O64" s="336" t="s">
        <v>10111</v>
      </c>
      <c r="P64" s="336" t="s">
        <v>9971</v>
      </c>
      <c r="Q64" s="336" t="s">
        <v>10309</v>
      </c>
      <c r="R64" s="336" t="s">
        <v>10250</v>
      </c>
      <c r="S64" s="336" t="s">
        <v>6800</v>
      </c>
      <c r="T64" s="336" t="s">
        <v>10310</v>
      </c>
      <c r="U64" s="336" t="s">
        <v>10311</v>
      </c>
      <c r="V64" s="336" t="s">
        <v>10312</v>
      </c>
      <c r="W64" s="336" t="s">
        <v>10313</v>
      </c>
      <c r="X64" s="336" t="s">
        <v>10314</v>
      </c>
      <c r="Y64" s="336" t="s">
        <v>1161</v>
      </c>
      <c r="Z64" s="336" t="s">
        <v>4861</v>
      </c>
      <c r="AA64" s="336" t="s">
        <v>10315</v>
      </c>
      <c r="AB64" s="336" t="s">
        <v>6864</v>
      </c>
      <c r="AC64" s="336" t="s">
        <v>10316</v>
      </c>
      <c r="AD64" s="336" t="s">
        <v>10317</v>
      </c>
      <c r="AE64" s="1654" t="s">
        <v>5509</v>
      </c>
      <c r="AF64" s="336" t="s">
        <v>10318</v>
      </c>
      <c r="AG64" s="336" t="s">
        <v>10319</v>
      </c>
      <c r="AH64" s="336" t="s">
        <v>2253</v>
      </c>
      <c r="AI64" s="336" t="s">
        <v>5268</v>
      </c>
      <c r="AJ64" s="336" t="s">
        <v>8717</v>
      </c>
      <c r="AK64" s="336" t="s">
        <v>1793</v>
      </c>
      <c r="AL64" s="336" t="s">
        <v>5748</v>
      </c>
      <c r="AM64" s="336" t="s">
        <v>10320</v>
      </c>
      <c r="AN64" s="336" t="s">
        <v>10321</v>
      </c>
      <c r="AO64" s="336" t="s">
        <v>9294</v>
      </c>
      <c r="AP64" s="336" t="s">
        <v>4871</v>
      </c>
      <c r="AQ64" s="336" t="s">
        <v>10322</v>
      </c>
      <c r="AR64" s="336" t="s">
        <v>4848</v>
      </c>
      <c r="AS64" s="336" t="s">
        <v>3041</v>
      </c>
      <c r="AT64" s="336" t="s">
        <v>10323</v>
      </c>
      <c r="AU64" s="336" t="s">
        <v>10324</v>
      </c>
      <c r="AV64" s="1451" t="str">
        <f t="shared" si="1"/>
        <v>3:33</v>
      </c>
      <c r="AW64" s="1697"/>
    </row>
    <row r="65" ht="15.75" customHeight="1">
      <c r="A65" s="1531" t="s">
        <v>4237</v>
      </c>
      <c r="B65" s="1532" t="s">
        <v>8997</v>
      </c>
      <c r="C65" s="1665">
        <v>0.05164351851851852</v>
      </c>
      <c r="D65" s="980" t="s">
        <v>10325</v>
      </c>
      <c r="E65" s="336" t="s">
        <v>9207</v>
      </c>
      <c r="F65" s="336" t="s">
        <v>10326</v>
      </c>
      <c r="G65" s="336" t="s">
        <v>9056</v>
      </c>
      <c r="H65" s="336" t="s">
        <v>10327</v>
      </c>
      <c r="I65" s="336" t="s">
        <v>1290</v>
      </c>
      <c r="J65" s="336" t="s">
        <v>804</v>
      </c>
      <c r="K65" s="336" t="s">
        <v>6749</v>
      </c>
      <c r="L65" s="336" t="s">
        <v>3730</v>
      </c>
      <c r="M65" s="336" t="s">
        <v>10273</v>
      </c>
      <c r="N65" s="336" t="s">
        <v>9396</v>
      </c>
      <c r="O65" s="336" t="s">
        <v>9975</v>
      </c>
      <c r="P65" s="336" t="s">
        <v>5187</v>
      </c>
      <c r="Q65" s="336" t="s">
        <v>10328</v>
      </c>
      <c r="R65" s="336" t="s">
        <v>8925</v>
      </c>
      <c r="S65" s="336" t="s">
        <v>10329</v>
      </c>
      <c r="T65" s="336" t="s">
        <v>10330</v>
      </c>
      <c r="U65" s="336" t="s">
        <v>10331</v>
      </c>
      <c r="V65" s="336" t="s">
        <v>10332</v>
      </c>
      <c r="W65" s="336" t="s">
        <v>10333</v>
      </c>
      <c r="X65" s="336" t="s">
        <v>607</v>
      </c>
      <c r="Y65" s="336" t="s">
        <v>10334</v>
      </c>
      <c r="Z65" s="336" t="s">
        <v>7203</v>
      </c>
      <c r="AA65" s="336" t="s">
        <v>5674</v>
      </c>
      <c r="AB65" s="336" t="s">
        <v>7507</v>
      </c>
      <c r="AC65" s="336" t="s">
        <v>7669</v>
      </c>
      <c r="AD65" s="336" t="s">
        <v>10335</v>
      </c>
      <c r="AE65" s="336" t="s">
        <v>1848</v>
      </c>
      <c r="AF65" s="336" t="s">
        <v>10336</v>
      </c>
      <c r="AG65" s="336" t="s">
        <v>527</v>
      </c>
      <c r="AH65" s="336" t="s">
        <v>5425</v>
      </c>
      <c r="AI65" s="336" t="s">
        <v>10337</v>
      </c>
      <c r="AJ65" s="336" t="s">
        <v>10338</v>
      </c>
      <c r="AK65" s="336" t="s">
        <v>10339</v>
      </c>
      <c r="AL65" s="336" t="s">
        <v>5184</v>
      </c>
      <c r="AM65" s="336" t="s">
        <v>9778</v>
      </c>
      <c r="AN65" s="336" t="s">
        <v>9457</v>
      </c>
      <c r="AO65" s="336" t="s">
        <v>10184</v>
      </c>
      <c r="AP65" s="336" t="s">
        <v>10340</v>
      </c>
      <c r="AQ65" s="336" t="s">
        <v>10341</v>
      </c>
      <c r="AR65" s="336" t="s">
        <v>3626</v>
      </c>
      <c r="AS65" s="336" t="s">
        <v>10342</v>
      </c>
      <c r="AT65" s="336" t="s">
        <v>10138</v>
      </c>
      <c r="AU65" s="336" t="s">
        <v>10343</v>
      </c>
      <c r="AV65" s="1451" t="str">
        <f t="shared" si="1"/>
        <v>3:13</v>
      </c>
      <c r="AW65" s="1697" t="s">
        <v>10344</v>
      </c>
    </row>
    <row r="66" ht="15.75" customHeight="1">
      <c r="A66" s="1556" t="s">
        <v>897</v>
      </c>
      <c r="B66" s="1684" t="s">
        <v>9052</v>
      </c>
      <c r="C66" s="1665">
        <v>0.05167824074074074</v>
      </c>
      <c r="D66" s="980" t="s">
        <v>10345</v>
      </c>
      <c r="E66" s="336" t="s">
        <v>10346</v>
      </c>
      <c r="F66" s="336" t="s">
        <v>5963</v>
      </c>
      <c r="G66" s="336" t="s">
        <v>10347</v>
      </c>
      <c r="H66" s="336" t="s">
        <v>10348</v>
      </c>
      <c r="I66" s="336" t="s">
        <v>1837</v>
      </c>
      <c r="J66" s="336" t="s">
        <v>10210</v>
      </c>
      <c r="K66" s="336" t="s">
        <v>9352</v>
      </c>
      <c r="L66" s="336" t="s">
        <v>1964</v>
      </c>
      <c r="M66" s="336" t="s">
        <v>6848</v>
      </c>
      <c r="N66" s="336" t="s">
        <v>10349</v>
      </c>
      <c r="O66" s="336" t="s">
        <v>10350</v>
      </c>
      <c r="P66" s="336" t="s">
        <v>2384</v>
      </c>
      <c r="Q66" s="336" t="s">
        <v>719</v>
      </c>
      <c r="R66" s="336" t="s">
        <v>10351</v>
      </c>
      <c r="S66" s="336" t="s">
        <v>10352</v>
      </c>
      <c r="T66" s="336" t="s">
        <v>10353</v>
      </c>
      <c r="U66" s="336" t="s">
        <v>9931</v>
      </c>
      <c r="V66" s="336" t="s">
        <v>487</v>
      </c>
      <c r="W66" s="336" t="s">
        <v>5997</v>
      </c>
      <c r="X66" s="336" t="s">
        <v>10354</v>
      </c>
      <c r="Y66" s="336" t="s">
        <v>940</v>
      </c>
      <c r="Z66" s="336" t="s">
        <v>3943</v>
      </c>
      <c r="AA66" s="336" t="s">
        <v>1620</v>
      </c>
      <c r="AB66" s="336" t="s">
        <v>10355</v>
      </c>
      <c r="AC66" s="336" t="s">
        <v>9277</v>
      </c>
      <c r="AD66" s="1654" t="s">
        <v>10356</v>
      </c>
      <c r="AE66" s="336" t="s">
        <v>1862</v>
      </c>
      <c r="AF66" s="336" t="s">
        <v>9820</v>
      </c>
      <c r="AG66" s="336" t="s">
        <v>7813</v>
      </c>
      <c r="AH66" s="336" t="s">
        <v>4456</v>
      </c>
      <c r="AI66" s="336" t="s">
        <v>6434</v>
      </c>
      <c r="AJ66" s="336" t="s">
        <v>10357</v>
      </c>
      <c r="AK66" s="336" t="s">
        <v>9147</v>
      </c>
      <c r="AL66" s="336" t="s">
        <v>5267</v>
      </c>
      <c r="AM66" s="336" t="s">
        <v>10358</v>
      </c>
      <c r="AN66" s="336" t="s">
        <v>10359</v>
      </c>
      <c r="AO66" s="336" t="s">
        <v>10360</v>
      </c>
      <c r="AP66" s="336" t="s">
        <v>10361</v>
      </c>
      <c r="AQ66" s="336" t="s">
        <v>10362</v>
      </c>
      <c r="AR66" s="336" t="s">
        <v>10363</v>
      </c>
      <c r="AS66" s="336" t="s">
        <v>2575</v>
      </c>
      <c r="AT66" s="336" t="s">
        <v>10364</v>
      </c>
      <c r="AU66" s="336" t="s">
        <v>10365</v>
      </c>
      <c r="AV66" s="1451" t="str">
        <f t="shared" si="1"/>
        <v>2:51</v>
      </c>
      <c r="AW66" s="1698"/>
    </row>
    <row r="67" ht="15.75" customHeight="1">
      <c r="A67" s="1590" t="s">
        <v>4641</v>
      </c>
      <c r="B67" s="1623" t="s">
        <v>9024</v>
      </c>
      <c r="C67" s="1665">
        <v>0.05170138888888889</v>
      </c>
      <c r="D67" s="980" t="s">
        <v>10366</v>
      </c>
      <c r="E67" s="336" t="s">
        <v>4273</v>
      </c>
      <c r="F67" s="336" t="s">
        <v>9923</v>
      </c>
      <c r="G67" s="336" t="s">
        <v>9831</v>
      </c>
      <c r="H67" s="336" t="s">
        <v>10367</v>
      </c>
      <c r="I67" s="336" t="s">
        <v>10368</v>
      </c>
      <c r="J67" s="336" t="s">
        <v>9936</v>
      </c>
      <c r="K67" s="336" t="s">
        <v>9294</v>
      </c>
      <c r="L67" s="336" t="s">
        <v>4096</v>
      </c>
      <c r="M67" s="336" t="s">
        <v>7094</v>
      </c>
      <c r="N67" s="336" t="s">
        <v>6207</v>
      </c>
      <c r="O67" s="336" t="s">
        <v>10062</v>
      </c>
      <c r="P67" s="336" t="s">
        <v>482</v>
      </c>
      <c r="Q67" s="336" t="s">
        <v>2829</v>
      </c>
      <c r="R67" s="336" t="s">
        <v>9096</v>
      </c>
      <c r="S67" s="336" t="s">
        <v>10261</v>
      </c>
      <c r="T67" s="336" t="s">
        <v>2925</v>
      </c>
      <c r="U67" s="336" t="s">
        <v>10369</v>
      </c>
      <c r="V67" s="336" t="s">
        <v>10370</v>
      </c>
      <c r="W67" s="336" t="s">
        <v>10298</v>
      </c>
      <c r="X67" s="336" t="s">
        <v>3729</v>
      </c>
      <c r="Y67" s="336" t="s">
        <v>2448</v>
      </c>
      <c r="Z67" s="336" t="s">
        <v>490</v>
      </c>
      <c r="AA67" s="336" t="s">
        <v>628</v>
      </c>
      <c r="AB67" s="336" t="s">
        <v>10371</v>
      </c>
      <c r="AC67" s="336" t="s">
        <v>5849</v>
      </c>
      <c r="AD67" s="336" t="s">
        <v>9992</v>
      </c>
      <c r="AE67" s="336" t="s">
        <v>143</v>
      </c>
      <c r="AF67" s="336" t="s">
        <v>10372</v>
      </c>
      <c r="AG67" s="336" t="s">
        <v>10373</v>
      </c>
      <c r="AH67" s="336" t="s">
        <v>10374</v>
      </c>
      <c r="AI67" s="336" t="s">
        <v>10375</v>
      </c>
      <c r="AJ67" s="336" t="s">
        <v>10376</v>
      </c>
      <c r="AK67" s="336" t="s">
        <v>9381</v>
      </c>
      <c r="AL67" s="336" t="s">
        <v>4531</v>
      </c>
      <c r="AM67" s="336" t="s">
        <v>10237</v>
      </c>
      <c r="AN67" s="336" t="s">
        <v>10377</v>
      </c>
      <c r="AO67" s="336" t="s">
        <v>9983</v>
      </c>
      <c r="AP67" s="336" t="s">
        <v>3328</v>
      </c>
      <c r="AQ67" s="336" t="s">
        <v>10378</v>
      </c>
      <c r="AR67" s="336" t="s">
        <v>10379</v>
      </c>
      <c r="AS67" s="336" t="s">
        <v>6600</v>
      </c>
      <c r="AT67" s="336" t="s">
        <v>10380</v>
      </c>
      <c r="AU67" s="336" t="s">
        <v>10381</v>
      </c>
      <c r="AV67" s="1451" t="str">
        <f t="shared" si="1"/>
        <v>2:37</v>
      </c>
      <c r="AW67" s="1698" t="s">
        <v>10382</v>
      </c>
    </row>
    <row r="68" ht="15.75" customHeight="1">
      <c r="A68" s="1590" t="s">
        <v>5103</v>
      </c>
      <c r="B68" s="1588" t="s">
        <v>9024</v>
      </c>
      <c r="C68" s="1533">
        <v>0.05171296296296296</v>
      </c>
      <c r="D68" s="1671" t="s">
        <v>10383</v>
      </c>
      <c r="E68" s="1654" t="s">
        <v>10384</v>
      </c>
      <c r="F68" s="1654" t="s">
        <v>1466</v>
      </c>
      <c r="G68" s="1654" t="s">
        <v>10385</v>
      </c>
      <c r="H68" s="1654" t="s">
        <v>10386</v>
      </c>
      <c r="I68" s="1654" t="s">
        <v>10387</v>
      </c>
      <c r="J68" s="1654" t="s">
        <v>885</v>
      </c>
      <c r="K68" s="1654" t="s">
        <v>4917</v>
      </c>
      <c r="L68" s="1654" t="s">
        <v>1955</v>
      </c>
      <c r="M68" s="1699" t="s">
        <v>10388</v>
      </c>
      <c r="N68" s="1654" t="s">
        <v>10389</v>
      </c>
      <c r="O68" s="1654" t="s">
        <v>1696</v>
      </c>
      <c r="P68" s="1654" t="s">
        <v>5089</v>
      </c>
      <c r="Q68" s="1654" t="s">
        <v>2675</v>
      </c>
      <c r="R68" s="1654" t="s">
        <v>10390</v>
      </c>
      <c r="S68" s="1654" t="s">
        <v>9131</v>
      </c>
      <c r="T68" s="1654" t="s">
        <v>10391</v>
      </c>
      <c r="U68" s="1654" t="s">
        <v>10189</v>
      </c>
      <c r="V68" s="1699" t="s">
        <v>10392</v>
      </c>
      <c r="W68" s="1699" t="s">
        <v>10393</v>
      </c>
      <c r="X68" s="1654" t="s">
        <v>10068</v>
      </c>
      <c r="Y68" s="980" t="s">
        <v>2556</v>
      </c>
      <c r="Z68" s="1654" t="s">
        <v>1519</v>
      </c>
      <c r="AA68" s="1654" t="s">
        <v>200</v>
      </c>
      <c r="AB68" s="1699" t="s">
        <v>10394</v>
      </c>
      <c r="AC68" s="1654" t="s">
        <v>1848</v>
      </c>
      <c r="AD68" s="1654" t="s">
        <v>10395</v>
      </c>
      <c r="AE68" s="1654" t="s">
        <v>3851</v>
      </c>
      <c r="AF68" s="1654" t="s">
        <v>10396</v>
      </c>
      <c r="AG68" s="1654" t="s">
        <v>527</v>
      </c>
      <c r="AH68" s="1654" t="s">
        <v>10397</v>
      </c>
      <c r="AI68" s="1654" t="s">
        <v>5450</v>
      </c>
      <c r="AJ68" s="1654" t="s">
        <v>10398</v>
      </c>
      <c r="AK68" s="1654" t="s">
        <v>10399</v>
      </c>
      <c r="AL68" s="1654" t="s">
        <v>1749</v>
      </c>
      <c r="AM68" s="1654" t="s">
        <v>10228</v>
      </c>
      <c r="AN68" s="1654" t="s">
        <v>10400</v>
      </c>
      <c r="AO68" s="1654" t="s">
        <v>2901</v>
      </c>
      <c r="AP68" s="1654" t="s">
        <v>2073</v>
      </c>
      <c r="AQ68" s="1654" t="s">
        <v>757</v>
      </c>
      <c r="AR68" s="1654" t="s">
        <v>10011</v>
      </c>
      <c r="AS68" s="1654" t="s">
        <v>8076</v>
      </c>
      <c r="AT68" s="1654" t="s">
        <v>10401</v>
      </c>
      <c r="AU68" s="1654" t="s">
        <v>10402</v>
      </c>
      <c r="AV68" s="1451" t="str">
        <f t="shared" si="1"/>
        <v>4:14</v>
      </c>
      <c r="AW68" s="1694" t="s">
        <v>10403</v>
      </c>
    </row>
    <row r="69" ht="15.75" customHeight="1">
      <c r="A69" s="1590" t="s">
        <v>2189</v>
      </c>
      <c r="B69" s="1680" t="s">
        <v>9024</v>
      </c>
      <c r="C69" s="1533">
        <v>0.05173611111111111</v>
      </c>
      <c r="D69" s="980" t="s">
        <v>10404</v>
      </c>
      <c r="E69" s="1654" t="s">
        <v>10405</v>
      </c>
      <c r="F69" s="1654" t="s">
        <v>10406</v>
      </c>
      <c r="G69" s="1654" t="s">
        <v>10407</v>
      </c>
      <c r="H69" s="1654" t="s">
        <v>6966</v>
      </c>
      <c r="I69" s="1654" t="s">
        <v>495</v>
      </c>
      <c r="J69" s="1654" t="s">
        <v>9438</v>
      </c>
      <c r="K69" s="1654" t="s">
        <v>9009</v>
      </c>
      <c r="L69" s="1654" t="s">
        <v>8151</v>
      </c>
      <c r="M69" s="1654" t="s">
        <v>3643</v>
      </c>
      <c r="N69" s="1654" t="s">
        <v>10408</v>
      </c>
      <c r="O69" s="1654" t="s">
        <v>10409</v>
      </c>
      <c r="P69" s="1654" t="s">
        <v>3753</v>
      </c>
      <c r="Q69" s="1654" t="s">
        <v>10410</v>
      </c>
      <c r="R69" s="1654" t="s">
        <v>10351</v>
      </c>
      <c r="S69" s="1654" t="s">
        <v>5644</v>
      </c>
      <c r="T69" s="1654" t="s">
        <v>10411</v>
      </c>
      <c r="U69" s="1654" t="s">
        <v>10412</v>
      </c>
      <c r="V69" s="1654" t="s">
        <v>360</v>
      </c>
      <c r="W69" s="1654" t="s">
        <v>5678</v>
      </c>
      <c r="X69" s="1654" t="s">
        <v>10256</v>
      </c>
      <c r="Y69" s="1654" t="s">
        <v>1161</v>
      </c>
      <c r="Z69" s="1654" t="s">
        <v>10413</v>
      </c>
      <c r="AA69" s="1654" t="s">
        <v>5957</v>
      </c>
      <c r="AB69" s="1654" t="s">
        <v>7505</v>
      </c>
      <c r="AC69" s="1654" t="s">
        <v>161</v>
      </c>
      <c r="AD69" s="1654" t="s">
        <v>10281</v>
      </c>
      <c r="AE69" s="1654" t="s">
        <v>9710</v>
      </c>
      <c r="AF69" s="1654" t="s">
        <v>9723</v>
      </c>
      <c r="AG69" s="1654" t="s">
        <v>10414</v>
      </c>
      <c r="AH69" s="1654" t="s">
        <v>10415</v>
      </c>
      <c r="AI69" s="1654" t="s">
        <v>10416</v>
      </c>
      <c r="AJ69" s="1654" t="s">
        <v>6163</v>
      </c>
      <c r="AK69" s="1654" t="s">
        <v>6982</v>
      </c>
      <c r="AL69" s="1654" t="s">
        <v>10417</v>
      </c>
      <c r="AM69" s="1654" t="s">
        <v>2981</v>
      </c>
      <c r="AN69" s="1654" t="s">
        <v>5184</v>
      </c>
      <c r="AO69" s="1654" t="s">
        <v>10181</v>
      </c>
      <c r="AP69" s="1654" t="s">
        <v>10418</v>
      </c>
      <c r="AQ69" s="1654" t="s">
        <v>10419</v>
      </c>
      <c r="AR69" s="1654" t="s">
        <v>197</v>
      </c>
      <c r="AS69" s="1654" t="s">
        <v>10420</v>
      </c>
      <c r="AT69" s="1654" t="s">
        <v>10421</v>
      </c>
      <c r="AU69" s="1654" t="s">
        <v>10422</v>
      </c>
      <c r="AV69" s="1451" t="str">
        <f t="shared" si="1"/>
        <v>3:51</v>
      </c>
      <c r="AW69" s="1694" t="s">
        <v>10423</v>
      </c>
    </row>
    <row r="70" ht="15.75" customHeight="1">
      <c r="A70" s="1590" t="s">
        <v>8229</v>
      </c>
      <c r="B70" s="1578" t="s">
        <v>9052</v>
      </c>
      <c r="C70" s="1533">
        <v>0.051805555555555556</v>
      </c>
      <c r="D70" s="1654" t="s">
        <v>10424</v>
      </c>
      <c r="E70" s="1654" t="s">
        <v>10425</v>
      </c>
      <c r="F70" s="980" t="s">
        <v>10426</v>
      </c>
      <c r="G70" s="1654" t="s">
        <v>10427</v>
      </c>
      <c r="H70" s="1562" t="s">
        <v>10428</v>
      </c>
      <c r="I70" s="1562">
        <v>49.81</v>
      </c>
      <c r="J70" s="1562" t="s">
        <v>10429</v>
      </c>
      <c r="K70" s="1562" t="s">
        <v>6331</v>
      </c>
      <c r="L70" s="1562">
        <v>59.57</v>
      </c>
      <c r="M70" s="1562" t="s">
        <v>10430</v>
      </c>
      <c r="N70" s="1562" t="s">
        <v>10431</v>
      </c>
      <c r="O70" s="1561" t="s">
        <v>6902</v>
      </c>
      <c r="P70" s="1561" t="s">
        <v>10432</v>
      </c>
      <c r="Q70" s="1561" t="s">
        <v>10433</v>
      </c>
      <c r="R70" s="1562" t="s">
        <v>10434</v>
      </c>
      <c r="S70" s="1562" t="s">
        <v>10077</v>
      </c>
      <c r="T70" s="1562" t="s">
        <v>10435</v>
      </c>
      <c r="U70" s="1562" t="s">
        <v>10436</v>
      </c>
      <c r="V70" s="1562" t="s">
        <v>4320</v>
      </c>
      <c r="W70" s="1562" t="s">
        <v>10437</v>
      </c>
      <c r="X70" s="1562" t="s">
        <v>10438</v>
      </c>
      <c r="Y70" s="1561" t="s">
        <v>9940</v>
      </c>
      <c r="Z70" s="1700" t="s">
        <v>9068</v>
      </c>
      <c r="AA70" s="1562" t="s">
        <v>964</v>
      </c>
      <c r="AB70" s="1561" t="s">
        <v>4344</v>
      </c>
      <c r="AC70" s="1562">
        <v>49.53</v>
      </c>
      <c r="AD70" s="1562" t="s">
        <v>2004</v>
      </c>
      <c r="AE70" s="1561" t="s">
        <v>10439</v>
      </c>
      <c r="AF70" s="1562" t="s">
        <v>9196</v>
      </c>
      <c r="AG70" s="1562" t="s">
        <v>10440</v>
      </c>
      <c r="AH70" s="1562">
        <v>59.93</v>
      </c>
      <c r="AI70" s="1562" t="s">
        <v>10441</v>
      </c>
      <c r="AJ70" s="1562" t="s">
        <v>10442</v>
      </c>
      <c r="AK70" s="1562" t="s">
        <v>5986</v>
      </c>
      <c r="AL70" s="1562">
        <v>59.13</v>
      </c>
      <c r="AM70" s="1562" t="s">
        <v>10379</v>
      </c>
      <c r="AN70" s="1562">
        <v>57.86</v>
      </c>
      <c r="AO70" s="1562" t="s">
        <v>7260</v>
      </c>
      <c r="AP70" s="1562" t="s">
        <v>10443</v>
      </c>
      <c r="AQ70" s="1562" t="s">
        <v>9946</v>
      </c>
      <c r="AR70" s="1562" t="s">
        <v>6264</v>
      </c>
      <c r="AS70" s="1562">
        <v>47.67</v>
      </c>
      <c r="AT70" s="1654" t="s">
        <v>10444</v>
      </c>
      <c r="AU70" s="1654" t="s">
        <v>10445</v>
      </c>
      <c r="AV70" s="1451" t="str">
        <f t="shared" si="1"/>
        <v>2:57</v>
      </c>
      <c r="AW70" s="1679" t="s">
        <v>10446</v>
      </c>
    </row>
    <row r="71">
      <c r="A71" s="954" t="s">
        <v>1254</v>
      </c>
      <c r="B71" s="1588" t="s">
        <v>9024</v>
      </c>
      <c r="C71" s="1701">
        <v>0.05181712962962963</v>
      </c>
      <c r="D71" s="1539" t="s">
        <v>10447</v>
      </c>
      <c r="E71" s="1539" t="s">
        <v>7580</v>
      </c>
      <c r="F71" s="1539" t="s">
        <v>10448</v>
      </c>
      <c r="G71" s="1539" t="s">
        <v>10449</v>
      </c>
      <c r="H71" s="1539" t="s">
        <v>10450</v>
      </c>
      <c r="I71" s="1539" t="s">
        <v>5048</v>
      </c>
      <c r="J71" s="1539" t="s">
        <v>9423</v>
      </c>
      <c r="K71" s="1539" t="s">
        <v>9035</v>
      </c>
      <c r="L71" s="1539" t="s">
        <v>10415</v>
      </c>
      <c r="M71" s="1539" t="s">
        <v>1452</v>
      </c>
      <c r="N71" s="1539" t="s">
        <v>9912</v>
      </c>
      <c r="O71" s="1539" t="s">
        <v>7035</v>
      </c>
      <c r="P71" s="1539" t="s">
        <v>9513</v>
      </c>
      <c r="Q71" s="1539" t="s">
        <v>10451</v>
      </c>
      <c r="R71" s="1539" t="s">
        <v>6870</v>
      </c>
      <c r="S71" s="1539" t="s">
        <v>3650</v>
      </c>
      <c r="T71" s="1539" t="s">
        <v>10452</v>
      </c>
      <c r="U71" s="1539" t="s">
        <v>10453</v>
      </c>
      <c r="V71" s="1539" t="s">
        <v>10370</v>
      </c>
      <c r="W71" s="1539" t="s">
        <v>9108</v>
      </c>
      <c r="X71" s="1539" t="s">
        <v>10001</v>
      </c>
      <c r="Y71" s="1539" t="s">
        <v>10454</v>
      </c>
      <c r="Z71" s="1539" t="s">
        <v>6416</v>
      </c>
      <c r="AA71" s="1539" t="s">
        <v>955</v>
      </c>
      <c r="AB71" s="1539" t="s">
        <v>10455</v>
      </c>
      <c r="AC71" s="1539" t="s">
        <v>2099</v>
      </c>
      <c r="AD71" s="1539" t="s">
        <v>10456</v>
      </c>
      <c r="AE71" s="1539" t="s">
        <v>2173</v>
      </c>
      <c r="AF71" s="1539" t="s">
        <v>10138</v>
      </c>
      <c r="AG71" s="1539" t="s">
        <v>174</v>
      </c>
      <c r="AH71" s="1539" t="s">
        <v>10457</v>
      </c>
      <c r="AI71" s="1539" t="s">
        <v>246</v>
      </c>
      <c r="AJ71" s="1539" t="s">
        <v>10458</v>
      </c>
      <c r="AK71" s="1539" t="s">
        <v>9727</v>
      </c>
      <c r="AL71" s="1539" t="s">
        <v>4762</v>
      </c>
      <c r="AM71" s="1539" t="s">
        <v>10459</v>
      </c>
      <c r="AN71" s="1539" t="s">
        <v>9772</v>
      </c>
      <c r="AO71" s="1539" t="s">
        <v>10460</v>
      </c>
      <c r="AP71" s="1539" t="s">
        <v>10461</v>
      </c>
      <c r="AQ71" s="1539" t="s">
        <v>10462</v>
      </c>
      <c r="AR71" s="1539" t="s">
        <v>10463</v>
      </c>
      <c r="AS71" s="1539" t="s">
        <v>353</v>
      </c>
      <c r="AT71" s="1539" t="s">
        <v>10464</v>
      </c>
      <c r="AU71" s="1559" t="s">
        <v>10465</v>
      </c>
      <c r="AV71" s="1451" t="str">
        <f t="shared" si="1"/>
        <v>3:49</v>
      </c>
      <c r="AW71" s="1702" t="s">
        <v>10466</v>
      </c>
    </row>
    <row r="72" ht="15.75" customHeight="1">
      <c r="A72" s="1531" t="s">
        <v>3132</v>
      </c>
      <c r="B72" s="1623" t="s">
        <v>9024</v>
      </c>
      <c r="C72" s="1665">
        <v>0.051863425925925924</v>
      </c>
      <c r="D72" s="980" t="s">
        <v>10467</v>
      </c>
      <c r="E72" s="336" t="s">
        <v>6587</v>
      </c>
      <c r="F72" s="336" t="s">
        <v>10468</v>
      </c>
      <c r="G72" s="336" t="s">
        <v>10469</v>
      </c>
      <c r="H72" s="336" t="s">
        <v>10470</v>
      </c>
      <c r="I72" s="336" t="s">
        <v>10471</v>
      </c>
      <c r="J72" s="336" t="s">
        <v>1673</v>
      </c>
      <c r="K72" s="336" t="s">
        <v>1590</v>
      </c>
      <c r="L72" s="336" t="s">
        <v>3140</v>
      </c>
      <c r="M72" s="336" t="s">
        <v>10250</v>
      </c>
      <c r="N72" s="336" t="s">
        <v>5129</v>
      </c>
      <c r="O72" s="336" t="s">
        <v>10472</v>
      </c>
      <c r="P72" s="336" t="s">
        <v>1232</v>
      </c>
      <c r="Q72" s="336" t="s">
        <v>10473</v>
      </c>
      <c r="R72" s="336" t="s">
        <v>5826</v>
      </c>
      <c r="S72" s="336" t="s">
        <v>10474</v>
      </c>
      <c r="T72" s="336" t="s">
        <v>10475</v>
      </c>
      <c r="U72" s="336" t="s">
        <v>10476</v>
      </c>
      <c r="V72" s="336" t="s">
        <v>10020</v>
      </c>
      <c r="W72" s="336" t="s">
        <v>10477</v>
      </c>
      <c r="X72" s="336" t="s">
        <v>10375</v>
      </c>
      <c r="Y72" s="336" t="s">
        <v>3365</v>
      </c>
      <c r="Z72" s="336" t="s">
        <v>10478</v>
      </c>
      <c r="AA72" s="336" t="s">
        <v>10479</v>
      </c>
      <c r="AB72" s="336" t="s">
        <v>8894</v>
      </c>
      <c r="AC72" s="336" t="s">
        <v>5849</v>
      </c>
      <c r="AD72" s="336" t="s">
        <v>10480</v>
      </c>
      <c r="AE72" s="336" t="s">
        <v>1179</v>
      </c>
      <c r="AF72" s="336" t="s">
        <v>10481</v>
      </c>
      <c r="AG72" s="336" t="s">
        <v>10482</v>
      </c>
      <c r="AH72" s="336" t="s">
        <v>5234</v>
      </c>
      <c r="AI72" s="336" t="s">
        <v>10416</v>
      </c>
      <c r="AJ72" s="336" t="s">
        <v>10483</v>
      </c>
      <c r="AK72" s="336" t="s">
        <v>1841</v>
      </c>
      <c r="AL72" s="336" t="s">
        <v>10457</v>
      </c>
      <c r="AM72" s="336" t="s">
        <v>10484</v>
      </c>
      <c r="AN72" s="336" t="s">
        <v>3205</v>
      </c>
      <c r="AO72" s="336" t="s">
        <v>9192</v>
      </c>
      <c r="AP72" s="336" t="s">
        <v>10485</v>
      </c>
      <c r="AQ72" s="336" t="s">
        <v>10486</v>
      </c>
      <c r="AR72" s="336" t="s">
        <v>2228</v>
      </c>
      <c r="AS72" s="336" t="s">
        <v>4839</v>
      </c>
      <c r="AT72" s="336" t="s">
        <v>10487</v>
      </c>
      <c r="AU72" s="336" t="s">
        <v>10488</v>
      </c>
      <c r="AV72" s="1451" t="str">
        <f t="shared" si="1"/>
        <v>2:06</v>
      </c>
      <c r="AW72" s="1694" t="s">
        <v>10489</v>
      </c>
    </row>
    <row r="73" ht="15.75" customHeight="1">
      <c r="A73" s="1531" t="s">
        <v>1124</v>
      </c>
      <c r="B73" s="1532" t="s">
        <v>8997</v>
      </c>
      <c r="C73" s="1665">
        <v>0.051875</v>
      </c>
      <c r="D73" s="980" t="s">
        <v>10490</v>
      </c>
      <c r="E73" s="336" t="s">
        <v>3210</v>
      </c>
      <c r="F73" s="336" t="s">
        <v>10491</v>
      </c>
      <c r="G73" s="336" t="s">
        <v>10492</v>
      </c>
      <c r="H73" s="336" t="s">
        <v>10493</v>
      </c>
      <c r="I73" s="336" t="s">
        <v>10494</v>
      </c>
      <c r="J73" s="336" t="s">
        <v>2530</v>
      </c>
      <c r="K73" s="336" t="s">
        <v>10495</v>
      </c>
      <c r="L73" s="336" t="s">
        <v>9258</v>
      </c>
      <c r="M73" s="336" t="s">
        <v>7144</v>
      </c>
      <c r="N73" s="336" t="s">
        <v>9517</v>
      </c>
      <c r="O73" s="336" t="s">
        <v>4470</v>
      </c>
      <c r="P73" s="336" t="s">
        <v>1524</v>
      </c>
      <c r="Q73" s="336" t="s">
        <v>10496</v>
      </c>
      <c r="R73" s="336" t="s">
        <v>1938</v>
      </c>
      <c r="S73" s="336" t="s">
        <v>4435</v>
      </c>
      <c r="T73" s="336" t="s">
        <v>10497</v>
      </c>
      <c r="U73" s="336" t="s">
        <v>10296</v>
      </c>
      <c r="V73" s="336" t="s">
        <v>6596</v>
      </c>
      <c r="W73" s="336" t="s">
        <v>4470</v>
      </c>
      <c r="X73" s="336" t="s">
        <v>9912</v>
      </c>
      <c r="Y73" s="336" t="s">
        <v>9942</v>
      </c>
      <c r="Z73" s="336" t="s">
        <v>6542</v>
      </c>
      <c r="AA73" s="336" t="s">
        <v>419</v>
      </c>
      <c r="AB73" s="336" t="s">
        <v>622</v>
      </c>
      <c r="AC73" s="336" t="s">
        <v>10498</v>
      </c>
      <c r="AD73" s="336" t="s">
        <v>10335</v>
      </c>
      <c r="AE73" s="336" t="s">
        <v>847</v>
      </c>
      <c r="AF73" s="336" t="s">
        <v>10499</v>
      </c>
      <c r="AG73" s="336" t="s">
        <v>10500</v>
      </c>
      <c r="AH73" s="336" t="s">
        <v>10247</v>
      </c>
      <c r="AI73" s="336" t="s">
        <v>10501</v>
      </c>
      <c r="AJ73" s="336" t="s">
        <v>10502</v>
      </c>
      <c r="AK73" s="336" t="s">
        <v>10503</v>
      </c>
      <c r="AL73" s="336" t="s">
        <v>5677</v>
      </c>
      <c r="AM73" s="336" t="s">
        <v>10504</v>
      </c>
      <c r="AN73" s="336" t="s">
        <v>6400</v>
      </c>
      <c r="AO73" s="1654" t="s">
        <v>10101</v>
      </c>
      <c r="AP73" s="336" t="s">
        <v>10505</v>
      </c>
      <c r="AQ73" s="336" t="s">
        <v>10506</v>
      </c>
      <c r="AR73" s="336" t="s">
        <v>9762</v>
      </c>
      <c r="AS73" s="336" t="s">
        <v>4704</v>
      </c>
      <c r="AT73" s="336" t="s">
        <v>10507</v>
      </c>
      <c r="AU73" s="1654" t="s">
        <v>10508</v>
      </c>
      <c r="AV73" s="1451" t="str">
        <f t="shared" si="1"/>
        <v>0:37</v>
      </c>
      <c r="AW73" s="1698" t="s">
        <v>10509</v>
      </c>
    </row>
    <row r="74">
      <c r="A74" s="1590" t="s">
        <v>7462</v>
      </c>
      <c r="B74" s="1588" t="s">
        <v>8997</v>
      </c>
      <c r="C74" s="1533">
        <v>0.05188657407407407</v>
      </c>
      <c r="D74" s="1654" t="s">
        <v>10510</v>
      </c>
      <c r="E74" s="980" t="s">
        <v>175</v>
      </c>
      <c r="F74" s="980" t="s">
        <v>10511</v>
      </c>
      <c r="G74" s="980" t="s">
        <v>10512</v>
      </c>
      <c r="H74" s="980" t="s">
        <v>10513</v>
      </c>
      <c r="I74" s="980" t="s">
        <v>143</v>
      </c>
      <c r="J74" s="980" t="s">
        <v>4148</v>
      </c>
      <c r="K74" s="980" t="s">
        <v>9737</v>
      </c>
      <c r="L74" s="980" t="s">
        <v>2882</v>
      </c>
      <c r="M74" s="980" t="s">
        <v>10514</v>
      </c>
      <c r="N74" s="980" t="s">
        <v>4073</v>
      </c>
      <c r="O74" s="980" t="s">
        <v>10515</v>
      </c>
      <c r="P74" s="980" t="s">
        <v>5189</v>
      </c>
      <c r="Q74" s="980" t="s">
        <v>10516</v>
      </c>
      <c r="R74" s="980" t="s">
        <v>5627</v>
      </c>
      <c r="S74" s="980" t="s">
        <v>10517</v>
      </c>
      <c r="T74" s="980" t="s">
        <v>9072</v>
      </c>
      <c r="U74" s="980" t="s">
        <v>10518</v>
      </c>
      <c r="V74" s="980" t="s">
        <v>5297</v>
      </c>
      <c r="W74" s="980" t="s">
        <v>10519</v>
      </c>
      <c r="X74" s="980" t="s">
        <v>10520</v>
      </c>
      <c r="Y74" s="980" t="s">
        <v>10521</v>
      </c>
      <c r="Z74" s="980" t="s">
        <v>9748</v>
      </c>
      <c r="AA74" s="980" t="s">
        <v>5147</v>
      </c>
      <c r="AB74" s="980" t="s">
        <v>688</v>
      </c>
      <c r="AC74" s="980" t="s">
        <v>10522</v>
      </c>
      <c r="AD74" s="980" t="s">
        <v>2729</v>
      </c>
      <c r="AE74" s="980" t="s">
        <v>5942</v>
      </c>
      <c r="AF74" s="980" t="s">
        <v>10523</v>
      </c>
      <c r="AG74" s="980" t="s">
        <v>2414</v>
      </c>
      <c r="AH74" s="980" t="s">
        <v>2882</v>
      </c>
      <c r="AI74" s="980" t="s">
        <v>199</v>
      </c>
      <c r="AJ74" s="980" t="s">
        <v>10524</v>
      </c>
      <c r="AK74" s="980" t="s">
        <v>9755</v>
      </c>
      <c r="AL74" s="980" t="s">
        <v>10209</v>
      </c>
      <c r="AM74" s="980" t="s">
        <v>9725</v>
      </c>
      <c r="AN74" s="980" t="s">
        <v>3637</v>
      </c>
      <c r="AO74" s="980" t="s">
        <v>5520</v>
      </c>
      <c r="AP74" s="980" t="s">
        <v>10164</v>
      </c>
      <c r="AQ74" s="980" t="s">
        <v>10506</v>
      </c>
      <c r="AR74" s="980" t="s">
        <v>10525</v>
      </c>
      <c r="AS74" s="980" t="s">
        <v>6600</v>
      </c>
      <c r="AT74" s="980" t="s">
        <v>9276</v>
      </c>
      <c r="AU74" s="1654" t="s">
        <v>10526</v>
      </c>
      <c r="AV74" s="1451" t="str">
        <f t="shared" si="1"/>
        <v>4:21</v>
      </c>
      <c r="AW74" s="1694" t="s">
        <v>10527</v>
      </c>
    </row>
    <row r="75">
      <c r="A75" s="1590" t="s">
        <v>8940</v>
      </c>
      <c r="B75" s="1578" t="s">
        <v>8997</v>
      </c>
      <c r="C75" s="1533">
        <v>0.05193287037037037</v>
      </c>
      <c r="D75" s="1671" t="s">
        <v>10528</v>
      </c>
      <c r="E75" s="1654" t="s">
        <v>7185</v>
      </c>
      <c r="F75" s="1654" t="s">
        <v>10529</v>
      </c>
      <c r="G75" s="1654" t="s">
        <v>10530</v>
      </c>
      <c r="H75" s="1654" t="s">
        <v>10531</v>
      </c>
      <c r="I75" s="1654" t="s">
        <v>2384</v>
      </c>
      <c r="J75" s="1654" t="s">
        <v>4257</v>
      </c>
      <c r="K75" s="1654" t="s">
        <v>9678</v>
      </c>
      <c r="L75" s="1654"/>
      <c r="M75" s="1654" t="s">
        <v>6755</v>
      </c>
      <c r="N75" s="1654" t="s">
        <v>4688</v>
      </c>
      <c r="O75" s="1654" t="s">
        <v>9066</v>
      </c>
      <c r="P75" s="1654" t="s">
        <v>10157</v>
      </c>
      <c r="Q75" s="1654" t="s">
        <v>10532</v>
      </c>
      <c r="R75" s="1654" t="s">
        <v>10533</v>
      </c>
      <c r="S75" s="1654" t="s">
        <v>9331</v>
      </c>
      <c r="T75" s="1654" t="s">
        <v>9693</v>
      </c>
      <c r="U75" s="1654" t="s">
        <v>2269</v>
      </c>
      <c r="V75" s="1654" t="s">
        <v>9533</v>
      </c>
      <c r="W75" s="1654" t="s">
        <v>5991</v>
      </c>
      <c r="X75" s="1654" t="s">
        <v>628</v>
      </c>
      <c r="Y75" s="1654" t="s">
        <v>9499</v>
      </c>
      <c r="Z75" s="1654" t="s">
        <v>9088</v>
      </c>
      <c r="AA75" s="1654" t="s">
        <v>7272</v>
      </c>
      <c r="AB75" s="1654" t="s">
        <v>9367</v>
      </c>
      <c r="AC75" s="1654" t="s">
        <v>3016</v>
      </c>
      <c r="AD75" s="1654" t="s">
        <v>10534</v>
      </c>
      <c r="AE75" s="1654" t="s">
        <v>10535</v>
      </c>
      <c r="AF75" s="1654" t="s">
        <v>10536</v>
      </c>
      <c r="AG75" s="1654" t="s">
        <v>10300</v>
      </c>
      <c r="AH75" s="1654" t="s">
        <v>10537</v>
      </c>
      <c r="AI75" s="1654" t="s">
        <v>10538</v>
      </c>
      <c r="AJ75" s="1654" t="s">
        <v>10539</v>
      </c>
      <c r="AK75" s="1654" t="s">
        <v>10540</v>
      </c>
      <c r="AL75" s="1654" t="s">
        <v>3361</v>
      </c>
      <c r="AM75" s="1654" t="s">
        <v>10541</v>
      </c>
      <c r="AN75" s="1654" t="s">
        <v>3648</v>
      </c>
      <c r="AO75" s="1654" t="s">
        <v>10542</v>
      </c>
      <c r="AP75" s="1654" t="s">
        <v>10543</v>
      </c>
      <c r="AQ75" s="1654" t="s">
        <v>10544</v>
      </c>
      <c r="AR75" s="1654" t="s">
        <v>10545</v>
      </c>
      <c r="AS75" s="1654" t="s">
        <v>3794</v>
      </c>
      <c r="AT75" s="1654" t="s">
        <v>10546</v>
      </c>
      <c r="AU75" s="1654" t="s">
        <v>10547</v>
      </c>
      <c r="AV75" s="1451" t="str">
        <f t="shared" si="1"/>
        <v>4:12</v>
      </c>
      <c r="AW75" s="1698"/>
    </row>
    <row r="76" ht="15.75" customHeight="1">
      <c r="A76" s="1655" t="s">
        <v>10548</v>
      </c>
      <c r="B76" s="1532" t="s">
        <v>8997</v>
      </c>
      <c r="C76" s="1665">
        <v>0.05199074074074074</v>
      </c>
      <c r="D76" s="980" t="s">
        <v>10549</v>
      </c>
      <c r="E76" s="336" t="s">
        <v>10550</v>
      </c>
      <c r="F76" s="336" t="s">
        <v>10551</v>
      </c>
      <c r="G76" s="336" t="s">
        <v>10552</v>
      </c>
      <c r="H76" s="336" t="s">
        <v>7073</v>
      </c>
      <c r="I76" s="336" t="s">
        <v>10115</v>
      </c>
      <c r="J76" s="336" t="s">
        <v>10553</v>
      </c>
      <c r="K76" s="336" t="s">
        <v>10554</v>
      </c>
      <c r="L76" s="336" t="s">
        <v>3140</v>
      </c>
      <c r="M76" s="336" t="s">
        <v>10555</v>
      </c>
      <c r="N76" s="336" t="s">
        <v>9822</v>
      </c>
      <c r="O76" s="336" t="s">
        <v>10556</v>
      </c>
      <c r="P76" s="336" t="s">
        <v>2438</v>
      </c>
      <c r="Q76" s="336" t="s">
        <v>5106</v>
      </c>
      <c r="R76" s="336" t="s">
        <v>5347</v>
      </c>
      <c r="S76" s="336" t="s">
        <v>10557</v>
      </c>
      <c r="T76" s="336" t="s">
        <v>5889</v>
      </c>
      <c r="U76" s="336" t="s">
        <v>10558</v>
      </c>
      <c r="V76" s="336" t="s">
        <v>6596</v>
      </c>
      <c r="W76" s="336" t="s">
        <v>7468</v>
      </c>
      <c r="X76" s="336" t="s">
        <v>10559</v>
      </c>
      <c r="Y76" s="336" t="s">
        <v>2099</v>
      </c>
      <c r="Z76" s="336" t="s">
        <v>10560</v>
      </c>
      <c r="AA76" s="336" t="s">
        <v>10253</v>
      </c>
      <c r="AB76" s="336" t="s">
        <v>10561</v>
      </c>
      <c r="AC76" s="336" t="s">
        <v>5578</v>
      </c>
      <c r="AD76" s="336" t="s">
        <v>10562</v>
      </c>
      <c r="AE76" s="336" t="s">
        <v>7669</v>
      </c>
      <c r="AF76" s="336" t="s">
        <v>10563</v>
      </c>
      <c r="AG76" s="336" t="s">
        <v>10503</v>
      </c>
      <c r="AH76" s="336" t="s">
        <v>10564</v>
      </c>
      <c r="AI76" s="336" t="s">
        <v>10565</v>
      </c>
      <c r="AJ76" s="336" t="s">
        <v>10566</v>
      </c>
      <c r="AK76" s="336" t="s">
        <v>808</v>
      </c>
      <c r="AL76" s="336" t="s">
        <v>3341</v>
      </c>
      <c r="AM76" s="336" t="s">
        <v>10005</v>
      </c>
      <c r="AN76" s="336" t="s">
        <v>10567</v>
      </c>
      <c r="AO76" s="1654" t="s">
        <v>6954</v>
      </c>
      <c r="AP76" s="1654" t="s">
        <v>10568</v>
      </c>
      <c r="AQ76" s="336" t="s">
        <v>5387</v>
      </c>
      <c r="AR76" s="336" t="s">
        <v>10041</v>
      </c>
      <c r="AS76" s="336" t="s">
        <v>1084</v>
      </c>
      <c r="AT76" s="336" t="s">
        <v>10158</v>
      </c>
      <c r="AU76" s="1696" t="str">
        <f>HYPERLINK("https://splits.io/m3t","1:18:40")</f>
        <v>1:18:40</v>
      </c>
      <c r="AV76" s="1451" t="str">
        <f t="shared" si="1"/>
        <v>3:48</v>
      </c>
      <c r="AW76" s="1697" t="s">
        <v>10569</v>
      </c>
    </row>
    <row r="77" ht="15.75" customHeight="1">
      <c r="A77" s="1655" t="s">
        <v>10570</v>
      </c>
      <c r="B77" s="1532" t="s">
        <v>8997</v>
      </c>
      <c r="C77" s="1665">
        <v>0.052002314814814814</v>
      </c>
      <c r="D77" s="980" t="s">
        <v>10571</v>
      </c>
      <c r="E77" s="336" t="s">
        <v>9343</v>
      </c>
      <c r="F77" s="336" t="s">
        <v>10572</v>
      </c>
      <c r="G77" s="336" t="s">
        <v>10573</v>
      </c>
      <c r="H77" s="336" t="s">
        <v>10574</v>
      </c>
      <c r="I77" s="336" t="s">
        <v>3649</v>
      </c>
      <c r="J77" s="336" t="s">
        <v>9714</v>
      </c>
      <c r="K77" s="336" t="s">
        <v>4435</v>
      </c>
      <c r="L77" s="336" t="s">
        <v>3544</v>
      </c>
      <c r="M77" s="336" t="s">
        <v>10295</v>
      </c>
      <c r="N77" s="336" t="s">
        <v>4474</v>
      </c>
      <c r="O77" s="336" t="s">
        <v>10575</v>
      </c>
      <c r="P77" s="336" t="s">
        <v>10576</v>
      </c>
      <c r="Q77" s="336" t="s">
        <v>4930</v>
      </c>
      <c r="R77" s="336" t="s">
        <v>1452</v>
      </c>
      <c r="S77" s="336" t="s">
        <v>9794</v>
      </c>
      <c r="T77" s="336" t="s">
        <v>528</v>
      </c>
      <c r="U77" s="336" t="s">
        <v>1990</v>
      </c>
      <c r="V77" s="336" t="s">
        <v>464</v>
      </c>
      <c r="W77" s="336" t="s">
        <v>5777</v>
      </c>
      <c r="X77" s="336" t="s">
        <v>10072</v>
      </c>
      <c r="Y77" s="336" t="s">
        <v>2448</v>
      </c>
      <c r="Z77" s="336" t="s">
        <v>5277</v>
      </c>
      <c r="AA77" s="336" t="s">
        <v>9822</v>
      </c>
      <c r="AB77" s="336" t="s">
        <v>10577</v>
      </c>
      <c r="AC77" s="336" t="s">
        <v>3113</v>
      </c>
      <c r="AD77" s="336" t="s">
        <v>10578</v>
      </c>
      <c r="AE77" s="336" t="s">
        <v>5189</v>
      </c>
      <c r="AF77" s="336" t="s">
        <v>10579</v>
      </c>
      <c r="AG77" s="336" t="s">
        <v>10580</v>
      </c>
      <c r="AH77" s="336" t="s">
        <v>2253</v>
      </c>
      <c r="AI77" s="336" t="s">
        <v>10581</v>
      </c>
      <c r="AJ77" s="336" t="s">
        <v>10582</v>
      </c>
      <c r="AK77" s="336" t="s">
        <v>4636</v>
      </c>
      <c r="AL77" s="336" t="s">
        <v>6169</v>
      </c>
      <c r="AM77" s="336" t="s">
        <v>1457</v>
      </c>
      <c r="AN77" s="336" t="s">
        <v>5563</v>
      </c>
      <c r="AO77" s="336" t="s">
        <v>5242</v>
      </c>
      <c r="AP77" s="336" t="s">
        <v>4683</v>
      </c>
      <c r="AQ77" s="336" t="s">
        <v>10583</v>
      </c>
      <c r="AR77" s="336" t="s">
        <v>10584</v>
      </c>
      <c r="AS77" s="336" t="s">
        <v>10585</v>
      </c>
      <c r="AT77" s="336" t="s">
        <v>10586</v>
      </c>
      <c r="AU77" s="336" t="s">
        <v>10587</v>
      </c>
      <c r="AV77" s="1451" t="str">
        <f t="shared" si="1"/>
        <v>3:32</v>
      </c>
      <c r="AW77" s="1697" t="s">
        <v>10588</v>
      </c>
    </row>
    <row r="78" ht="15.75" customHeight="1">
      <c r="A78" s="1655" t="s">
        <v>10589</v>
      </c>
      <c r="B78" s="1623" t="s">
        <v>9024</v>
      </c>
      <c r="C78" s="1665">
        <v>0.05201388888888889</v>
      </c>
      <c r="D78" s="980" t="s">
        <v>10590</v>
      </c>
      <c r="E78" s="1654" t="s">
        <v>10591</v>
      </c>
      <c r="F78" s="336" t="s">
        <v>10592</v>
      </c>
      <c r="G78" s="336" t="s">
        <v>10593</v>
      </c>
      <c r="H78" s="336" t="s">
        <v>129</v>
      </c>
      <c r="I78" s="336" t="s">
        <v>10594</v>
      </c>
      <c r="J78" s="336" t="s">
        <v>10595</v>
      </c>
      <c r="K78" s="336" t="s">
        <v>4215</v>
      </c>
      <c r="L78" s="336" t="s">
        <v>10596</v>
      </c>
      <c r="M78" s="336" t="s">
        <v>10597</v>
      </c>
      <c r="N78" s="336" t="s">
        <v>10598</v>
      </c>
      <c r="O78" s="336" t="s">
        <v>10599</v>
      </c>
      <c r="P78" s="336" t="s">
        <v>161</v>
      </c>
      <c r="Q78" s="336" t="s">
        <v>10600</v>
      </c>
      <c r="R78" s="336" t="s">
        <v>6895</v>
      </c>
      <c r="S78" s="336" t="s">
        <v>10601</v>
      </c>
      <c r="T78" s="336" t="s">
        <v>10602</v>
      </c>
      <c r="U78" s="336" t="s">
        <v>10603</v>
      </c>
      <c r="V78" s="336" t="s">
        <v>8358</v>
      </c>
      <c r="W78" s="336" t="s">
        <v>10604</v>
      </c>
      <c r="X78" s="336" t="s">
        <v>10072</v>
      </c>
      <c r="Y78" s="336" t="s">
        <v>209</v>
      </c>
      <c r="Z78" s="336" t="s">
        <v>2378</v>
      </c>
      <c r="AA78" s="336" t="s">
        <v>5930</v>
      </c>
      <c r="AB78" s="336" t="s">
        <v>9391</v>
      </c>
      <c r="AC78" s="336" t="s">
        <v>925</v>
      </c>
      <c r="AD78" s="336" t="s">
        <v>10605</v>
      </c>
      <c r="AE78" s="336" t="s">
        <v>1161</v>
      </c>
      <c r="AF78" s="336" t="s">
        <v>10606</v>
      </c>
      <c r="AG78" s="336" t="s">
        <v>2981</v>
      </c>
      <c r="AH78" s="336" t="s">
        <v>6210</v>
      </c>
      <c r="AI78" s="336" t="s">
        <v>1569</v>
      </c>
      <c r="AJ78" s="336" t="s">
        <v>10607</v>
      </c>
      <c r="AK78" s="336" t="s">
        <v>3626</v>
      </c>
      <c r="AL78" s="336" t="s">
        <v>3896</v>
      </c>
      <c r="AM78" s="336" t="s">
        <v>839</v>
      </c>
      <c r="AN78" s="336" t="s">
        <v>4531</v>
      </c>
      <c r="AO78" s="336" t="s">
        <v>2255</v>
      </c>
      <c r="AP78" s="336" t="s">
        <v>10608</v>
      </c>
      <c r="AQ78" s="336" t="s">
        <v>999</v>
      </c>
      <c r="AR78" s="336" t="s">
        <v>9067</v>
      </c>
      <c r="AS78" s="336" t="s">
        <v>9005</v>
      </c>
      <c r="AT78" s="336" t="s">
        <v>10609</v>
      </c>
      <c r="AU78" s="336" t="s">
        <v>10610</v>
      </c>
      <c r="AV78" s="1451" t="str">
        <f t="shared" si="1"/>
        <v>2:58</v>
      </c>
      <c r="AW78" s="1698" t="s">
        <v>10611</v>
      </c>
    </row>
    <row r="79" ht="15.75" customHeight="1">
      <c r="A79" s="1531" t="s">
        <v>7129</v>
      </c>
      <c r="B79" s="1623" t="s">
        <v>9024</v>
      </c>
      <c r="C79" s="1665">
        <v>0.05207175925925926</v>
      </c>
      <c r="D79" s="980" t="s">
        <v>10612</v>
      </c>
      <c r="E79" s="336" t="s">
        <v>10613</v>
      </c>
      <c r="F79" s="336" t="s">
        <v>10614</v>
      </c>
      <c r="G79" s="336" t="s">
        <v>10615</v>
      </c>
      <c r="H79" s="336" t="s">
        <v>9275</v>
      </c>
      <c r="I79" s="336" t="s">
        <v>4915</v>
      </c>
      <c r="J79" s="336" t="s">
        <v>9624</v>
      </c>
      <c r="K79" s="336" t="s">
        <v>10261</v>
      </c>
      <c r="L79" s="336" t="s">
        <v>10616</v>
      </c>
      <c r="M79" s="336" t="s">
        <v>2820</v>
      </c>
      <c r="N79" s="336" t="s">
        <v>10617</v>
      </c>
      <c r="O79" s="336" t="s">
        <v>10618</v>
      </c>
      <c r="P79" s="336" t="s">
        <v>765</v>
      </c>
      <c r="Q79" s="336" t="s">
        <v>10619</v>
      </c>
      <c r="R79" s="336" t="s">
        <v>4949</v>
      </c>
      <c r="S79" s="336" t="s">
        <v>6187</v>
      </c>
      <c r="T79" s="336" t="s">
        <v>5889</v>
      </c>
      <c r="U79" s="336" t="s">
        <v>10620</v>
      </c>
      <c r="V79" s="336" t="s">
        <v>2420</v>
      </c>
      <c r="W79" s="336" t="s">
        <v>9071</v>
      </c>
      <c r="X79" s="336" t="s">
        <v>10621</v>
      </c>
      <c r="Y79" s="336" t="s">
        <v>1408</v>
      </c>
      <c r="Z79" s="336" t="s">
        <v>6839</v>
      </c>
      <c r="AA79" s="336" t="s">
        <v>1483</v>
      </c>
      <c r="AB79" s="336" t="s">
        <v>10622</v>
      </c>
      <c r="AC79" s="336" t="s">
        <v>239</v>
      </c>
      <c r="AD79" s="336" t="s">
        <v>4264</v>
      </c>
      <c r="AE79" s="336" t="s">
        <v>6147</v>
      </c>
      <c r="AF79" s="336" t="s">
        <v>10623</v>
      </c>
      <c r="AG79" s="336" t="s">
        <v>10072</v>
      </c>
      <c r="AH79" s="336" t="s">
        <v>8154</v>
      </c>
      <c r="AI79" s="336" t="s">
        <v>10416</v>
      </c>
      <c r="AJ79" s="336" t="s">
        <v>10624</v>
      </c>
      <c r="AK79" s="336" t="s">
        <v>10625</v>
      </c>
      <c r="AL79" s="336" t="s">
        <v>4357</v>
      </c>
      <c r="AM79" s="336" t="s">
        <v>10179</v>
      </c>
      <c r="AN79" s="336" t="s">
        <v>3896</v>
      </c>
      <c r="AO79" s="336" t="s">
        <v>4215</v>
      </c>
      <c r="AP79" s="336" t="s">
        <v>9903</v>
      </c>
      <c r="AQ79" s="336" t="s">
        <v>10626</v>
      </c>
      <c r="AR79" s="336" t="s">
        <v>1482</v>
      </c>
      <c r="AS79" s="336" t="s">
        <v>6308</v>
      </c>
      <c r="AT79" s="336" t="s">
        <v>7234</v>
      </c>
      <c r="AU79" s="336" t="s">
        <v>10627</v>
      </c>
      <c r="AV79" s="1451" t="str">
        <f t="shared" si="1"/>
        <v>3:10</v>
      </c>
      <c r="AW79" s="1698" t="s">
        <v>10628</v>
      </c>
    </row>
    <row r="80">
      <c r="A80" s="954" t="s">
        <v>3901</v>
      </c>
      <c r="B80" s="1684" t="s">
        <v>9052</v>
      </c>
      <c r="C80" s="1627">
        <v>0.052141203703703703</v>
      </c>
      <c r="D80" s="980" t="s">
        <v>10629</v>
      </c>
      <c r="E80" s="1613" t="s">
        <v>3008</v>
      </c>
      <c r="F80" s="1613" t="s">
        <v>10630</v>
      </c>
      <c r="G80" s="1651" t="s">
        <v>10631</v>
      </c>
      <c r="H80" s="1651" t="s">
        <v>10632</v>
      </c>
      <c r="I80" s="1651" t="s">
        <v>2433</v>
      </c>
      <c r="J80" s="1651" t="s">
        <v>7986</v>
      </c>
      <c r="K80" s="1703" t="s">
        <v>6338</v>
      </c>
      <c r="L80" s="1704" t="s">
        <v>8151</v>
      </c>
      <c r="M80" s="1651" t="s">
        <v>10633</v>
      </c>
      <c r="N80" s="1651" t="s">
        <v>5889</v>
      </c>
      <c r="O80" s="1651" t="s">
        <v>5630</v>
      </c>
      <c r="P80" s="1651" t="s">
        <v>1848</v>
      </c>
      <c r="Q80" s="1651" t="s">
        <v>10634</v>
      </c>
      <c r="R80" s="1651" t="s">
        <v>10635</v>
      </c>
      <c r="S80" s="1705" t="s">
        <v>2267</v>
      </c>
      <c r="T80" s="1651" t="s">
        <v>9323</v>
      </c>
      <c r="U80" s="1651" t="s">
        <v>3514</v>
      </c>
      <c r="V80" s="1651" t="s">
        <v>10636</v>
      </c>
      <c r="W80" s="1651" t="s">
        <v>10637</v>
      </c>
      <c r="X80" s="1651" t="s">
        <v>4459</v>
      </c>
      <c r="Y80" s="1651" t="s">
        <v>3689</v>
      </c>
      <c r="Z80" s="1651" t="s">
        <v>4184</v>
      </c>
      <c r="AA80" s="1651" t="s">
        <v>174</v>
      </c>
      <c r="AB80" s="1651" t="s">
        <v>625</v>
      </c>
      <c r="AC80" s="1651" t="s">
        <v>6147</v>
      </c>
      <c r="AD80" s="1539" t="s">
        <v>9456</v>
      </c>
      <c r="AE80" s="1651" t="s">
        <v>478</v>
      </c>
      <c r="AF80" s="1651" t="s">
        <v>10638</v>
      </c>
      <c r="AG80" s="1651" t="s">
        <v>10639</v>
      </c>
      <c r="AH80" s="1651" t="s">
        <v>4579</v>
      </c>
      <c r="AI80" s="1651" t="s">
        <v>10640</v>
      </c>
      <c r="AJ80" s="1651" t="s">
        <v>10641</v>
      </c>
      <c r="AK80" s="1651" t="s">
        <v>10642</v>
      </c>
      <c r="AL80" s="1651" t="s">
        <v>5108</v>
      </c>
      <c r="AM80" s="1651" t="s">
        <v>10302</v>
      </c>
      <c r="AN80" s="1651" t="s">
        <v>4324</v>
      </c>
      <c r="AO80" s="1651" t="s">
        <v>9438</v>
      </c>
      <c r="AP80" s="1651" t="s">
        <v>10643</v>
      </c>
      <c r="AQ80" s="1703" t="s">
        <v>9079</v>
      </c>
      <c r="AR80" s="1651" t="s">
        <v>10644</v>
      </c>
      <c r="AS80" s="1706" t="s">
        <v>754</v>
      </c>
      <c r="AT80" s="1651" t="s">
        <v>10645</v>
      </c>
      <c r="AU80" s="1580" t="s">
        <v>10646</v>
      </c>
      <c r="AV80" s="1451" t="str">
        <f t="shared" si="1"/>
        <v>4:08</v>
      </c>
      <c r="AW80" s="1639" t="s">
        <v>10647</v>
      </c>
    </row>
    <row r="81">
      <c r="A81" s="1590" t="s">
        <v>3967</v>
      </c>
      <c r="B81" s="1578" t="s">
        <v>8997</v>
      </c>
      <c r="C81" s="1533">
        <v>0.0522337962962963</v>
      </c>
      <c r="D81" s="1671" t="s">
        <v>10648</v>
      </c>
      <c r="E81" s="1654" t="s">
        <v>10649</v>
      </c>
      <c r="F81" s="1654" t="s">
        <v>10650</v>
      </c>
      <c r="G81" s="1654" t="s">
        <v>10651</v>
      </c>
      <c r="H81" s="1654" t="s">
        <v>10652</v>
      </c>
      <c r="I81" s="1654" t="s">
        <v>1975</v>
      </c>
      <c r="J81" s="1654" t="s">
        <v>8732</v>
      </c>
      <c r="K81" s="1654" t="s">
        <v>4435</v>
      </c>
      <c r="L81" s="1654" t="s">
        <v>5842</v>
      </c>
      <c r="M81" s="1654" t="s">
        <v>10653</v>
      </c>
      <c r="N81" s="1654" t="s">
        <v>10049</v>
      </c>
      <c r="O81" s="1654" t="s">
        <v>10654</v>
      </c>
      <c r="P81" s="1654" t="s">
        <v>5189</v>
      </c>
      <c r="Q81" s="1654" t="s">
        <v>10655</v>
      </c>
      <c r="R81" s="1654" t="s">
        <v>6336</v>
      </c>
      <c r="S81" s="1654" t="s">
        <v>607</v>
      </c>
      <c r="T81" s="1654" t="s">
        <v>10459</v>
      </c>
      <c r="U81" s="1654" t="s">
        <v>9480</v>
      </c>
      <c r="V81" s="1654" t="s">
        <v>10656</v>
      </c>
      <c r="W81" s="1654" t="s">
        <v>10657</v>
      </c>
      <c r="X81" s="1654" t="s">
        <v>10658</v>
      </c>
      <c r="Y81" s="1654" t="s">
        <v>759</v>
      </c>
      <c r="Z81" s="1654" t="s">
        <v>10659</v>
      </c>
      <c r="AA81" s="980" t="s">
        <v>10660</v>
      </c>
      <c r="AB81" s="1654" t="s">
        <v>6835</v>
      </c>
      <c r="AC81" s="1654" t="s">
        <v>10439</v>
      </c>
      <c r="AD81" s="1654" t="s">
        <v>7070</v>
      </c>
      <c r="AE81" s="1654" t="s">
        <v>4953</v>
      </c>
      <c r="AF81" s="1329" t="s">
        <v>10661</v>
      </c>
      <c r="AG81" s="1654" t="s">
        <v>10662</v>
      </c>
      <c r="AH81" s="1654" t="s">
        <v>5066</v>
      </c>
      <c r="AI81" s="1654" t="s">
        <v>7695</v>
      </c>
      <c r="AJ81" s="1654" t="s">
        <v>10663</v>
      </c>
      <c r="AK81" s="1654" t="s">
        <v>10664</v>
      </c>
      <c r="AL81" s="1654" t="s">
        <v>10377</v>
      </c>
      <c r="AM81" s="1654" t="s">
        <v>10051</v>
      </c>
      <c r="AN81" s="1654" t="s">
        <v>1074</v>
      </c>
      <c r="AO81" s="1654" t="s">
        <v>6513</v>
      </c>
      <c r="AP81" s="1654" t="s">
        <v>5680</v>
      </c>
      <c r="AQ81" s="1654" t="s">
        <v>10665</v>
      </c>
      <c r="AR81" s="1654" t="s">
        <v>691</v>
      </c>
      <c r="AS81" s="1329" t="s">
        <v>2828</v>
      </c>
      <c r="AT81" s="1654" t="s">
        <v>10666</v>
      </c>
      <c r="AU81" s="1654" t="s">
        <v>10667</v>
      </c>
      <c r="AV81" s="1451" t="str">
        <f t="shared" si="1"/>
        <v>4:32</v>
      </c>
      <c r="AW81" s="1694" t="s">
        <v>10668</v>
      </c>
    </row>
    <row r="82">
      <c r="A82" s="1590" t="s">
        <v>5197</v>
      </c>
      <c r="B82" s="1588" t="s">
        <v>9024</v>
      </c>
      <c r="C82" s="1533">
        <v>0.05232638888888889</v>
      </c>
      <c r="D82" s="1671" t="s">
        <v>10669</v>
      </c>
      <c r="E82" s="1654" t="s">
        <v>1229</v>
      </c>
      <c r="F82" s="1654" t="s">
        <v>10670</v>
      </c>
      <c r="G82" s="1654" t="s">
        <v>10671</v>
      </c>
      <c r="H82" s="1654" t="s">
        <v>10672</v>
      </c>
      <c r="I82" s="1654" t="s">
        <v>1349</v>
      </c>
      <c r="J82" s="1654" t="s">
        <v>7399</v>
      </c>
      <c r="K82" s="1654" t="s">
        <v>10272</v>
      </c>
      <c r="L82" s="1654" t="s">
        <v>10673</v>
      </c>
      <c r="M82" s="1654" t="s">
        <v>7058</v>
      </c>
      <c r="N82" s="1654" t="s">
        <v>10674</v>
      </c>
      <c r="O82" s="1654" t="s">
        <v>10675</v>
      </c>
      <c r="P82" s="1654" t="s">
        <v>519</v>
      </c>
      <c r="Q82" s="1654" t="s">
        <v>10112</v>
      </c>
      <c r="R82" s="1654" t="s">
        <v>5230</v>
      </c>
      <c r="S82" s="1654" t="s">
        <v>9912</v>
      </c>
      <c r="T82" s="1654" t="s">
        <v>10676</v>
      </c>
      <c r="U82" s="1654" t="s">
        <v>10677</v>
      </c>
      <c r="V82" s="1654" t="s">
        <v>10678</v>
      </c>
      <c r="W82" s="1654" t="s">
        <v>6423</v>
      </c>
      <c r="X82" s="1654" t="s">
        <v>312</v>
      </c>
      <c r="Y82" s="1654" t="s">
        <v>7521</v>
      </c>
      <c r="Z82" s="1654" t="s">
        <v>780</v>
      </c>
      <c r="AA82" s="336" t="s">
        <v>9912</v>
      </c>
      <c r="AB82" s="1654" t="s">
        <v>10679</v>
      </c>
      <c r="AC82" s="1654" t="s">
        <v>6332</v>
      </c>
      <c r="AD82" s="1654" t="s">
        <v>10680</v>
      </c>
      <c r="AE82" s="1654" t="s">
        <v>225</v>
      </c>
      <c r="AF82" s="1654" t="s">
        <v>9588</v>
      </c>
      <c r="AG82" s="1654" t="s">
        <v>4078</v>
      </c>
      <c r="AH82" s="1654" t="s">
        <v>1955</v>
      </c>
      <c r="AI82" s="1654" t="s">
        <v>418</v>
      </c>
      <c r="AJ82" s="1654" t="s">
        <v>10681</v>
      </c>
      <c r="AK82" s="1654" t="s">
        <v>10682</v>
      </c>
      <c r="AL82" s="1654" t="s">
        <v>10417</v>
      </c>
      <c r="AM82" s="1654" t="s">
        <v>2981</v>
      </c>
      <c r="AN82" s="1654" t="s">
        <v>6060</v>
      </c>
      <c r="AO82" s="1654" t="s">
        <v>3723</v>
      </c>
      <c r="AP82" s="1654" t="s">
        <v>10683</v>
      </c>
      <c r="AQ82" s="1654" t="s">
        <v>7057</v>
      </c>
      <c r="AR82" s="1654" t="s">
        <v>6331</v>
      </c>
      <c r="AS82" s="1654" t="s">
        <v>10684</v>
      </c>
      <c r="AT82" s="1654" t="s">
        <v>10685</v>
      </c>
      <c r="AU82" s="1654" t="s">
        <v>10686</v>
      </c>
      <c r="AV82" s="1451" t="str">
        <f t="shared" si="1"/>
        <v>3:48</v>
      </c>
      <c r="AW82" s="1698"/>
    </row>
    <row r="83" ht="15.75" customHeight="1">
      <c r="A83" s="1531" t="s">
        <v>10687</v>
      </c>
      <c r="B83" s="1532" t="s">
        <v>8997</v>
      </c>
      <c r="C83" s="1665">
        <v>0.05240740740740741</v>
      </c>
      <c r="D83" s="980" t="s">
        <v>10688</v>
      </c>
      <c r="E83" s="336" t="s">
        <v>1746</v>
      </c>
      <c r="F83" s="336" t="s">
        <v>7389</v>
      </c>
      <c r="G83" s="336" t="s">
        <v>10398</v>
      </c>
      <c r="H83" s="336" t="s">
        <v>10689</v>
      </c>
      <c r="I83" s="336" t="s">
        <v>10690</v>
      </c>
      <c r="J83" s="336" t="s">
        <v>10691</v>
      </c>
      <c r="K83" s="336" t="s">
        <v>10692</v>
      </c>
      <c r="L83" s="336" t="s">
        <v>4464</v>
      </c>
      <c r="M83" s="336" t="s">
        <v>3299</v>
      </c>
      <c r="N83" s="336" t="s">
        <v>4858</v>
      </c>
      <c r="O83" s="336" t="s">
        <v>10693</v>
      </c>
      <c r="P83" s="336" t="s">
        <v>10694</v>
      </c>
      <c r="Q83" s="336" t="s">
        <v>4240</v>
      </c>
      <c r="R83" s="336" t="s">
        <v>10019</v>
      </c>
      <c r="S83" s="336" t="s">
        <v>10181</v>
      </c>
      <c r="T83" s="336" t="s">
        <v>5067</v>
      </c>
      <c r="U83" s="336" t="s">
        <v>10695</v>
      </c>
      <c r="V83" s="336" t="s">
        <v>10696</v>
      </c>
      <c r="W83" s="336" t="s">
        <v>10697</v>
      </c>
      <c r="X83" s="336" t="s">
        <v>10698</v>
      </c>
      <c r="Y83" s="336" t="s">
        <v>6612</v>
      </c>
      <c r="Z83" s="336" t="s">
        <v>10560</v>
      </c>
      <c r="AA83" s="336" t="s">
        <v>1868</v>
      </c>
      <c r="AB83" s="336" t="s">
        <v>10699</v>
      </c>
      <c r="AC83" s="336" t="s">
        <v>1538</v>
      </c>
      <c r="AD83" s="336" t="s">
        <v>10700</v>
      </c>
      <c r="AE83" s="336" t="s">
        <v>1538</v>
      </c>
      <c r="AF83" s="336" t="s">
        <v>10701</v>
      </c>
      <c r="AG83" s="336" t="s">
        <v>10337</v>
      </c>
      <c r="AH83" s="336" t="s">
        <v>2113</v>
      </c>
      <c r="AI83" s="336" t="s">
        <v>3369</v>
      </c>
      <c r="AJ83" s="336" t="s">
        <v>10702</v>
      </c>
      <c r="AK83" s="336" t="s">
        <v>8099</v>
      </c>
      <c r="AL83" s="336" t="s">
        <v>10703</v>
      </c>
      <c r="AM83" s="336" t="s">
        <v>1186</v>
      </c>
      <c r="AN83" s="336" t="s">
        <v>3009</v>
      </c>
      <c r="AO83" s="336" t="s">
        <v>10704</v>
      </c>
      <c r="AP83" s="336" t="s">
        <v>3658</v>
      </c>
      <c r="AQ83" s="336" t="s">
        <v>10705</v>
      </c>
      <c r="AR83" s="336" t="s">
        <v>10706</v>
      </c>
      <c r="AS83" s="336" t="s">
        <v>9105</v>
      </c>
      <c r="AT83" s="336" t="s">
        <v>9726</v>
      </c>
      <c r="AU83" s="336" t="s">
        <v>10707</v>
      </c>
      <c r="AV83" s="1451" t="str">
        <f t="shared" si="1"/>
        <v>3:40</v>
      </c>
      <c r="AW83" s="1697" t="s">
        <v>10708</v>
      </c>
    </row>
    <row r="84" ht="15.75" customHeight="1">
      <c r="A84" s="1655" t="s">
        <v>10709</v>
      </c>
      <c r="B84" s="1532" t="s">
        <v>8997</v>
      </c>
      <c r="C84" s="1665">
        <v>0.05263888888888889</v>
      </c>
      <c r="D84" s="980" t="s">
        <v>10710</v>
      </c>
      <c r="E84" s="336" t="s">
        <v>7580</v>
      </c>
      <c r="F84" s="336" t="s">
        <v>10711</v>
      </c>
      <c r="G84" s="336" t="s">
        <v>10712</v>
      </c>
      <c r="H84" s="336" t="s">
        <v>10713</v>
      </c>
      <c r="I84" s="336" t="s">
        <v>10714</v>
      </c>
      <c r="J84" s="336" t="s">
        <v>10715</v>
      </c>
      <c r="K84" s="336" t="s">
        <v>4148</v>
      </c>
      <c r="L84" s="336" t="s">
        <v>4220</v>
      </c>
      <c r="M84" s="336" t="s">
        <v>9746</v>
      </c>
      <c r="N84" s="336" t="s">
        <v>10716</v>
      </c>
      <c r="O84" s="336" t="s">
        <v>9039</v>
      </c>
      <c r="P84" s="336" t="s">
        <v>482</v>
      </c>
      <c r="Q84" s="336" t="s">
        <v>10717</v>
      </c>
      <c r="R84" s="336" t="s">
        <v>5627</v>
      </c>
      <c r="S84" s="336" t="s">
        <v>6565</v>
      </c>
      <c r="T84" s="336" t="s">
        <v>10718</v>
      </c>
      <c r="U84" s="336" t="s">
        <v>10719</v>
      </c>
      <c r="V84" s="336" t="s">
        <v>10720</v>
      </c>
      <c r="W84" s="336" t="s">
        <v>10721</v>
      </c>
      <c r="X84" s="336" t="s">
        <v>5884</v>
      </c>
      <c r="Y84" s="336" t="s">
        <v>1538</v>
      </c>
      <c r="Z84" s="336" t="s">
        <v>7507</v>
      </c>
      <c r="AA84" s="1654" t="s">
        <v>6509</v>
      </c>
      <c r="AB84" s="336" t="s">
        <v>9643</v>
      </c>
      <c r="AC84" s="336" t="s">
        <v>10454</v>
      </c>
      <c r="AD84" s="336" t="s">
        <v>3046</v>
      </c>
      <c r="AE84" s="336" t="s">
        <v>4781</v>
      </c>
      <c r="AF84" s="336" t="s">
        <v>10722</v>
      </c>
      <c r="AG84" s="336" t="s">
        <v>2890</v>
      </c>
      <c r="AH84" s="336" t="s">
        <v>7689</v>
      </c>
      <c r="AI84" s="336" t="s">
        <v>10723</v>
      </c>
      <c r="AJ84" s="336" t="s">
        <v>10724</v>
      </c>
      <c r="AK84" s="336" t="s">
        <v>10068</v>
      </c>
      <c r="AL84" s="336" t="s">
        <v>10725</v>
      </c>
      <c r="AM84" s="336" t="s">
        <v>10726</v>
      </c>
      <c r="AN84" s="336" t="s">
        <v>3895</v>
      </c>
      <c r="AO84" s="336" t="s">
        <v>9438</v>
      </c>
      <c r="AP84" s="336" t="s">
        <v>10727</v>
      </c>
      <c r="AQ84" s="336" t="s">
        <v>10728</v>
      </c>
      <c r="AR84" s="336" t="s">
        <v>1380</v>
      </c>
      <c r="AS84" s="336" t="s">
        <v>1084</v>
      </c>
      <c r="AT84" s="336" t="s">
        <v>10729</v>
      </c>
      <c r="AU84" s="336" t="s">
        <v>10730</v>
      </c>
      <c r="AV84" s="1451" t="str">
        <f t="shared" si="1"/>
        <v>4:28</v>
      </c>
      <c r="AW84" s="1697" t="s">
        <v>10731</v>
      </c>
    </row>
    <row r="85">
      <c r="A85" s="1590" t="s">
        <v>3622</v>
      </c>
      <c r="B85" s="1672" t="s">
        <v>9052</v>
      </c>
      <c r="C85" s="1533">
        <v>0.052662037037037035</v>
      </c>
      <c r="D85" s="980" t="s">
        <v>10732</v>
      </c>
      <c r="E85" s="980" t="s">
        <v>532</v>
      </c>
      <c r="F85" s="980" t="s">
        <v>10733</v>
      </c>
      <c r="G85" s="980" t="s">
        <v>10734</v>
      </c>
      <c r="H85" s="980" t="s">
        <v>9257</v>
      </c>
      <c r="I85" s="980" t="s">
        <v>10735</v>
      </c>
      <c r="J85" s="980" t="s">
        <v>1592</v>
      </c>
      <c r="K85" s="980" t="s">
        <v>10736</v>
      </c>
      <c r="L85" s="980" t="s">
        <v>2883</v>
      </c>
      <c r="M85" s="980" t="s">
        <v>270</v>
      </c>
      <c r="N85" s="980" t="s">
        <v>9559</v>
      </c>
      <c r="O85" s="980" t="s">
        <v>10737</v>
      </c>
      <c r="P85" s="980" t="s">
        <v>10738</v>
      </c>
      <c r="Q85" s="980" t="s">
        <v>3472</v>
      </c>
      <c r="R85" s="980" t="s">
        <v>10739</v>
      </c>
      <c r="S85" s="980" t="s">
        <v>6145</v>
      </c>
      <c r="T85" s="980" t="s">
        <v>10740</v>
      </c>
      <c r="U85" s="980" t="s">
        <v>10741</v>
      </c>
      <c r="V85" s="980" t="s">
        <v>10742</v>
      </c>
      <c r="W85" s="980" t="s">
        <v>10743</v>
      </c>
      <c r="X85" s="980" t="s">
        <v>2808</v>
      </c>
      <c r="Y85" s="980" t="s">
        <v>2841</v>
      </c>
      <c r="Z85" s="980" t="s">
        <v>6429</v>
      </c>
      <c r="AA85" s="1654" t="s">
        <v>10744</v>
      </c>
      <c r="AB85" s="980" t="s">
        <v>9083</v>
      </c>
      <c r="AC85" s="980" t="s">
        <v>7520</v>
      </c>
      <c r="AD85" s="1707" t="s">
        <v>9071</v>
      </c>
      <c r="AE85" s="980" t="s">
        <v>335</v>
      </c>
      <c r="AF85" s="980" t="s">
        <v>10745</v>
      </c>
      <c r="AG85" s="980" t="s">
        <v>7037</v>
      </c>
      <c r="AH85" s="980" t="s">
        <v>3827</v>
      </c>
      <c r="AI85" s="980" t="s">
        <v>10746</v>
      </c>
      <c r="AJ85" s="980" t="s">
        <v>10747</v>
      </c>
      <c r="AK85" s="980" t="s">
        <v>10748</v>
      </c>
      <c r="AL85" s="980" t="s">
        <v>4603</v>
      </c>
      <c r="AM85" s="980" t="s">
        <v>5776</v>
      </c>
      <c r="AN85" s="1707" t="s">
        <v>9076</v>
      </c>
      <c r="AO85" s="980" t="s">
        <v>10749</v>
      </c>
      <c r="AP85" s="980" t="s">
        <v>10750</v>
      </c>
      <c r="AQ85" s="980" t="s">
        <v>10751</v>
      </c>
      <c r="AR85" s="980" t="s">
        <v>6099</v>
      </c>
      <c r="AS85" s="980" t="s">
        <v>8038</v>
      </c>
      <c r="AT85" s="980" t="s">
        <v>10752</v>
      </c>
      <c r="AU85" s="1708" t="s">
        <v>10753</v>
      </c>
      <c r="AV85" s="1451" t="str">
        <f t="shared" si="1"/>
        <v>4:43</v>
      </c>
      <c r="AW85" s="1679" t="s">
        <v>10754</v>
      </c>
    </row>
    <row r="86" ht="15.75" customHeight="1">
      <c r="A86" s="1590" t="s">
        <v>10755</v>
      </c>
      <c r="B86" s="1588" t="s">
        <v>8997</v>
      </c>
      <c r="C86" s="1533">
        <v>0.05267361111111111</v>
      </c>
      <c r="D86" s="1671" t="s">
        <v>10146</v>
      </c>
      <c r="E86" s="1654" t="s">
        <v>175</v>
      </c>
      <c r="F86" s="1654" t="s">
        <v>6965</v>
      </c>
      <c r="G86" s="1654" t="s">
        <v>10756</v>
      </c>
      <c r="H86" s="1654" t="s">
        <v>10757</v>
      </c>
      <c r="I86" s="1654" t="s">
        <v>5673</v>
      </c>
      <c r="J86" s="980" t="s">
        <v>10758</v>
      </c>
      <c r="K86" s="1654" t="s">
        <v>10759</v>
      </c>
      <c r="L86" s="1654" t="s">
        <v>3827</v>
      </c>
      <c r="M86" s="1654" t="s">
        <v>7019</v>
      </c>
      <c r="N86" s="1654" t="s">
        <v>10760</v>
      </c>
      <c r="O86" s="1654" t="s">
        <v>10761</v>
      </c>
      <c r="P86" s="1654" t="s">
        <v>10115</v>
      </c>
      <c r="Q86" s="1654" t="s">
        <v>10762</v>
      </c>
      <c r="R86" s="1654" t="s">
        <v>5690</v>
      </c>
      <c r="S86" s="1654" t="s">
        <v>10763</v>
      </c>
      <c r="T86" s="1654" t="s">
        <v>10764</v>
      </c>
      <c r="U86" s="1654" t="s">
        <v>10765</v>
      </c>
      <c r="V86" s="1654" t="s">
        <v>3920</v>
      </c>
      <c r="W86" s="1654" t="s">
        <v>10766</v>
      </c>
      <c r="X86" s="1654" t="s">
        <v>2414</v>
      </c>
      <c r="Y86" s="1654" t="s">
        <v>9710</v>
      </c>
      <c r="Z86" s="1654" t="s">
        <v>9231</v>
      </c>
      <c r="AA86" s="1654" t="s">
        <v>10767</v>
      </c>
      <c r="AB86" s="1654" t="s">
        <v>10329</v>
      </c>
      <c r="AC86" s="1654" t="s">
        <v>9598</v>
      </c>
      <c r="AD86" s="1654" t="s">
        <v>10768</v>
      </c>
      <c r="AE86" s="1654" t="s">
        <v>2384</v>
      </c>
      <c r="AF86" s="1654" t="s">
        <v>10769</v>
      </c>
      <c r="AG86" s="1654" t="s">
        <v>10770</v>
      </c>
      <c r="AH86" s="1654" t="s">
        <v>4220</v>
      </c>
      <c r="AI86" s="1654" t="s">
        <v>10771</v>
      </c>
      <c r="AJ86" s="1654" t="s">
        <v>10772</v>
      </c>
      <c r="AK86" s="1654" t="s">
        <v>1775</v>
      </c>
      <c r="AL86" s="1654" t="s">
        <v>2607</v>
      </c>
      <c r="AM86" s="1654" t="s">
        <v>1775</v>
      </c>
      <c r="AN86" s="1654" t="s">
        <v>2607</v>
      </c>
      <c r="AO86" s="1654" t="s">
        <v>6264</v>
      </c>
      <c r="AP86" s="1654" t="s">
        <v>10773</v>
      </c>
      <c r="AQ86" s="1654" t="s">
        <v>2206</v>
      </c>
      <c r="AR86" s="1654" t="s">
        <v>10583</v>
      </c>
      <c r="AS86" s="1654" t="s">
        <v>10774</v>
      </c>
      <c r="AT86" s="1654" t="s">
        <v>10775</v>
      </c>
      <c r="AU86" s="1654" t="s">
        <v>10776</v>
      </c>
      <c r="AV86" s="1451" t="str">
        <f t="shared" si="1"/>
        <v>5:58</v>
      </c>
      <c r="AW86" s="1694" t="s">
        <v>10777</v>
      </c>
    </row>
    <row r="87" ht="15.75" customHeight="1">
      <c r="A87" s="1531" t="s">
        <v>6118</v>
      </c>
      <c r="B87" s="1623" t="s">
        <v>9024</v>
      </c>
      <c r="C87" s="1665">
        <v>0.05275462962962963</v>
      </c>
      <c r="D87" s="980" t="s">
        <v>10778</v>
      </c>
      <c r="E87" s="336" t="s">
        <v>6025</v>
      </c>
      <c r="F87" s="336" t="s">
        <v>10779</v>
      </c>
      <c r="G87" s="336" t="s">
        <v>9196</v>
      </c>
      <c r="H87" s="336" t="s">
        <v>6794</v>
      </c>
      <c r="I87" s="336" t="s">
        <v>2283</v>
      </c>
      <c r="J87" s="336" t="s">
        <v>4161</v>
      </c>
      <c r="K87" s="336" t="s">
        <v>10474</v>
      </c>
      <c r="L87" s="336" t="s">
        <v>5325</v>
      </c>
      <c r="M87" s="336" t="s">
        <v>4147</v>
      </c>
      <c r="N87" s="336" t="s">
        <v>10780</v>
      </c>
      <c r="O87" s="336" t="s">
        <v>10781</v>
      </c>
      <c r="P87" s="336" t="s">
        <v>6382</v>
      </c>
      <c r="Q87" s="336" t="s">
        <v>10782</v>
      </c>
      <c r="R87" s="336" t="s">
        <v>10783</v>
      </c>
      <c r="S87" s="336" t="s">
        <v>9013</v>
      </c>
      <c r="T87" s="336" t="s">
        <v>2612</v>
      </c>
      <c r="U87" s="336" t="s">
        <v>497</v>
      </c>
      <c r="V87" s="336" t="s">
        <v>10784</v>
      </c>
      <c r="W87" s="336" t="s">
        <v>10785</v>
      </c>
      <c r="X87" s="336" t="s">
        <v>9199</v>
      </c>
      <c r="Y87" s="336" t="s">
        <v>5852</v>
      </c>
      <c r="Z87" s="336" t="s">
        <v>9391</v>
      </c>
      <c r="AA87" s="336" t="s">
        <v>10786</v>
      </c>
      <c r="AB87" s="336" t="s">
        <v>490</v>
      </c>
      <c r="AC87" s="336" t="s">
        <v>9277</v>
      </c>
      <c r="AD87" s="336" t="s">
        <v>10787</v>
      </c>
      <c r="AE87" s="336" t="s">
        <v>10788</v>
      </c>
      <c r="AF87" s="336" t="s">
        <v>9872</v>
      </c>
      <c r="AG87" s="336" t="s">
        <v>7980</v>
      </c>
      <c r="AH87" s="336" t="s">
        <v>722</v>
      </c>
      <c r="AI87" s="336" t="s">
        <v>5355</v>
      </c>
      <c r="AJ87" s="336" t="s">
        <v>10789</v>
      </c>
      <c r="AK87" s="336" t="s">
        <v>9330</v>
      </c>
      <c r="AL87" s="336" t="s">
        <v>5240</v>
      </c>
      <c r="AM87" s="336" t="s">
        <v>2725</v>
      </c>
      <c r="AN87" s="336" t="s">
        <v>6578</v>
      </c>
      <c r="AO87" s="336" t="s">
        <v>6284</v>
      </c>
      <c r="AP87" s="336" t="s">
        <v>10790</v>
      </c>
      <c r="AQ87" s="336" t="s">
        <v>10791</v>
      </c>
      <c r="AR87" s="336" t="s">
        <v>10411</v>
      </c>
      <c r="AS87" s="336" t="s">
        <v>9400</v>
      </c>
      <c r="AT87" s="336" t="s">
        <v>10792</v>
      </c>
      <c r="AU87" s="336" t="s">
        <v>10793</v>
      </c>
      <c r="AV87" s="1451" t="str">
        <f t="shared" si="1"/>
        <v>3:59</v>
      </c>
      <c r="AW87" s="1698" t="s">
        <v>10794</v>
      </c>
    </row>
    <row r="88" ht="15.75" customHeight="1">
      <c r="A88" s="1655" t="s">
        <v>10795</v>
      </c>
      <c r="B88" s="1684" t="s">
        <v>9052</v>
      </c>
      <c r="C88" s="1665">
        <v>0.05291666666666667</v>
      </c>
      <c r="D88" s="980" t="s">
        <v>10796</v>
      </c>
      <c r="E88" s="336" t="s">
        <v>10797</v>
      </c>
      <c r="F88" s="336" t="s">
        <v>5933</v>
      </c>
      <c r="G88" s="336" t="s">
        <v>10006</v>
      </c>
      <c r="H88" s="336" t="s">
        <v>10348</v>
      </c>
      <c r="I88" s="336" t="s">
        <v>3120</v>
      </c>
      <c r="J88" s="336" t="s">
        <v>10798</v>
      </c>
      <c r="K88" s="336" t="s">
        <v>5452</v>
      </c>
      <c r="L88" s="336" t="s">
        <v>7356</v>
      </c>
      <c r="M88" s="336" t="s">
        <v>10799</v>
      </c>
      <c r="N88" s="336" t="s">
        <v>10800</v>
      </c>
      <c r="O88" s="336" t="s">
        <v>10801</v>
      </c>
      <c r="P88" s="336" t="s">
        <v>10217</v>
      </c>
      <c r="Q88" s="336" t="s">
        <v>10802</v>
      </c>
      <c r="R88" s="336" t="s">
        <v>5958</v>
      </c>
      <c r="S88" s="336" t="s">
        <v>2664</v>
      </c>
      <c r="T88" s="336" t="s">
        <v>9404</v>
      </c>
      <c r="U88" s="336" t="s">
        <v>5587</v>
      </c>
      <c r="V88" s="336" t="s">
        <v>1144</v>
      </c>
      <c r="W88" s="336" t="s">
        <v>1831</v>
      </c>
      <c r="X88" s="336" t="s">
        <v>3362</v>
      </c>
      <c r="Y88" s="336" t="s">
        <v>660</v>
      </c>
      <c r="Z88" s="336" t="s">
        <v>10803</v>
      </c>
      <c r="AA88" s="1654" t="s">
        <v>7267</v>
      </c>
      <c r="AB88" s="336" t="s">
        <v>3675</v>
      </c>
      <c r="AC88" s="336" t="s">
        <v>2448</v>
      </c>
      <c r="AD88" s="336" t="s">
        <v>10804</v>
      </c>
      <c r="AE88" s="336" t="s">
        <v>10805</v>
      </c>
      <c r="AF88" s="336" t="s">
        <v>10806</v>
      </c>
      <c r="AG88" s="336" t="s">
        <v>2755</v>
      </c>
      <c r="AH88" s="336" t="s">
        <v>10042</v>
      </c>
      <c r="AI88" s="336" t="s">
        <v>10807</v>
      </c>
      <c r="AJ88" s="336" t="s">
        <v>10808</v>
      </c>
      <c r="AK88" s="336" t="s">
        <v>10809</v>
      </c>
      <c r="AL88" s="336" t="s">
        <v>1749</v>
      </c>
      <c r="AM88" s="336" t="s">
        <v>2554</v>
      </c>
      <c r="AN88" s="336" t="s">
        <v>10810</v>
      </c>
      <c r="AO88" s="336" t="s">
        <v>10811</v>
      </c>
      <c r="AP88" s="336" t="s">
        <v>8839</v>
      </c>
      <c r="AQ88" s="336" t="s">
        <v>10812</v>
      </c>
      <c r="AR88" s="336" t="s">
        <v>10718</v>
      </c>
      <c r="AS88" s="336" t="s">
        <v>4365</v>
      </c>
      <c r="AT88" s="336" t="s">
        <v>10813</v>
      </c>
      <c r="AU88" s="336" t="s">
        <v>10814</v>
      </c>
      <c r="AV88" s="1451" t="str">
        <f t="shared" si="1"/>
        <v>2:38</v>
      </c>
      <c r="AW88" s="1698"/>
    </row>
    <row r="89" ht="15.75" customHeight="1">
      <c r="A89" s="1590" t="s">
        <v>6448</v>
      </c>
      <c r="B89" s="1578" t="s">
        <v>8997</v>
      </c>
      <c r="C89" s="1533">
        <v>0.05324074074074074</v>
      </c>
      <c r="D89" s="980" t="s">
        <v>10815</v>
      </c>
      <c r="E89" s="980" t="s">
        <v>10816</v>
      </c>
      <c r="F89" s="980" t="s">
        <v>10817</v>
      </c>
      <c r="G89" s="980" t="s">
        <v>9752</v>
      </c>
      <c r="H89" s="980" t="s">
        <v>10818</v>
      </c>
      <c r="I89" s="980" t="s">
        <v>6147</v>
      </c>
      <c r="J89" s="980" t="s">
        <v>1706</v>
      </c>
      <c r="K89" s="980" t="s">
        <v>4281</v>
      </c>
      <c r="L89" s="980" t="s">
        <v>10819</v>
      </c>
      <c r="M89" s="980" t="s">
        <v>10820</v>
      </c>
      <c r="N89" s="980" t="s">
        <v>10821</v>
      </c>
      <c r="O89" s="980" t="s">
        <v>10822</v>
      </c>
      <c r="P89" s="980" t="s">
        <v>10823</v>
      </c>
      <c r="Q89" s="980" t="s">
        <v>10824</v>
      </c>
      <c r="R89" s="980" t="s">
        <v>10825</v>
      </c>
      <c r="S89" s="980" t="s">
        <v>10698</v>
      </c>
      <c r="T89" s="980" t="s">
        <v>10826</v>
      </c>
      <c r="U89" s="980" t="s">
        <v>10827</v>
      </c>
      <c r="V89" s="980" t="s">
        <v>2902</v>
      </c>
      <c r="W89" s="980" t="s">
        <v>10828</v>
      </c>
      <c r="X89" s="980" t="s">
        <v>10829</v>
      </c>
      <c r="Y89" s="980" t="s">
        <v>5673</v>
      </c>
      <c r="Z89" s="980" t="s">
        <v>3572</v>
      </c>
      <c r="AA89" s="1654" t="s">
        <v>10830</v>
      </c>
      <c r="AB89" s="980" t="s">
        <v>10152</v>
      </c>
      <c r="AC89" s="980" t="s">
        <v>5626</v>
      </c>
      <c r="AD89" s="980" t="s">
        <v>10831</v>
      </c>
      <c r="AE89" s="980" t="s">
        <v>9942</v>
      </c>
      <c r="AF89" s="980" t="s">
        <v>10832</v>
      </c>
      <c r="AG89" s="980" t="s">
        <v>10639</v>
      </c>
      <c r="AH89" s="980" t="s">
        <v>5779</v>
      </c>
      <c r="AI89" s="980" t="s">
        <v>10833</v>
      </c>
      <c r="AJ89" s="980" t="s">
        <v>10834</v>
      </c>
      <c r="AK89" s="1654" t="s">
        <v>10835</v>
      </c>
      <c r="AL89" s="980" t="s">
        <v>10457</v>
      </c>
      <c r="AM89" s="980" t="s">
        <v>8427</v>
      </c>
      <c r="AN89" s="980" t="s">
        <v>10297</v>
      </c>
      <c r="AO89" s="980" t="s">
        <v>4537</v>
      </c>
      <c r="AP89" s="980" t="s">
        <v>10836</v>
      </c>
      <c r="AQ89" s="980" t="s">
        <v>10837</v>
      </c>
      <c r="AR89" s="1654" t="s">
        <v>3826</v>
      </c>
      <c r="AS89" s="980" t="s">
        <v>10838</v>
      </c>
      <c r="AT89" s="980" t="s">
        <v>10839</v>
      </c>
      <c r="AU89" s="1654" t="s">
        <v>10753</v>
      </c>
      <c r="AV89" s="1451" t="str">
        <f t="shared" si="1"/>
        <v>3:53</v>
      </c>
      <c r="AW89" s="1694" t="s">
        <v>10840</v>
      </c>
    </row>
    <row r="90">
      <c r="A90" s="1590" t="s">
        <v>4794</v>
      </c>
      <c r="B90" s="1588" t="s">
        <v>9052</v>
      </c>
      <c r="C90" s="1533">
        <v>0.05331018518518518</v>
      </c>
      <c r="D90" s="1654" t="s">
        <v>10841</v>
      </c>
      <c r="E90" s="1654" t="s">
        <v>7449</v>
      </c>
      <c r="F90" s="1654" t="s">
        <v>10614</v>
      </c>
      <c r="G90" s="1654" t="s">
        <v>10842</v>
      </c>
      <c r="H90" s="980" t="s">
        <v>10843</v>
      </c>
      <c r="I90" s="1654" t="s">
        <v>10844</v>
      </c>
      <c r="J90" s="1654" t="s">
        <v>10389</v>
      </c>
      <c r="K90" s="1654" t="s">
        <v>9192</v>
      </c>
      <c r="L90" s="1654" t="s">
        <v>4471</v>
      </c>
      <c r="M90" s="1654" t="s">
        <v>10845</v>
      </c>
      <c r="N90" s="1654" t="s">
        <v>10179</v>
      </c>
      <c r="O90" s="1654" t="s">
        <v>10846</v>
      </c>
      <c r="P90" s="1654" t="s">
        <v>6332</v>
      </c>
      <c r="Q90" s="1654" t="s">
        <v>10847</v>
      </c>
      <c r="R90" s="1654" t="s">
        <v>2149</v>
      </c>
      <c r="S90" s="1654" t="s">
        <v>7302</v>
      </c>
      <c r="T90" s="1654" t="s">
        <v>6776</v>
      </c>
      <c r="U90" s="1654" t="s">
        <v>10848</v>
      </c>
      <c r="V90" s="1654" t="s">
        <v>10370</v>
      </c>
      <c r="W90" s="1654" t="s">
        <v>10849</v>
      </c>
      <c r="X90" s="1654" t="s">
        <v>7981</v>
      </c>
      <c r="Y90" s="1654" t="s">
        <v>5489</v>
      </c>
      <c r="Z90" s="1654" t="s">
        <v>10181</v>
      </c>
      <c r="AA90" s="1654" t="s">
        <v>10850</v>
      </c>
      <c r="AB90" s="1654" t="s">
        <v>3531</v>
      </c>
      <c r="AC90" s="1654" t="s">
        <v>10851</v>
      </c>
      <c r="AD90" s="1654" t="s">
        <v>10852</v>
      </c>
      <c r="AE90" s="1654" t="s">
        <v>5852</v>
      </c>
      <c r="AF90" s="1654" t="s">
        <v>10853</v>
      </c>
      <c r="AG90" s="1654" t="s">
        <v>9522</v>
      </c>
      <c r="AH90" s="1654" t="s">
        <v>10854</v>
      </c>
      <c r="AI90" s="1654" t="s">
        <v>10855</v>
      </c>
      <c r="AJ90" s="1654" t="s">
        <v>10856</v>
      </c>
      <c r="AK90" s="1654" t="s">
        <v>2228</v>
      </c>
      <c r="AL90" s="1654" t="s">
        <v>2197</v>
      </c>
      <c r="AM90" s="1654" t="s">
        <v>10857</v>
      </c>
      <c r="AN90" s="1654" t="s">
        <v>4677</v>
      </c>
      <c r="AO90" s="1654" t="s">
        <v>10858</v>
      </c>
      <c r="AP90" s="1654" t="s">
        <v>2814</v>
      </c>
      <c r="AQ90" s="1654" t="s">
        <v>10859</v>
      </c>
      <c r="AR90" s="1654" t="s">
        <v>1761</v>
      </c>
      <c r="AS90" s="1654" t="s">
        <v>971</v>
      </c>
      <c r="AT90" s="1654" t="s">
        <v>10860</v>
      </c>
      <c r="AU90" s="1654" t="s">
        <v>10861</v>
      </c>
      <c r="AV90" s="1451" t="str">
        <f t="shared" si="1"/>
        <v>4:18</v>
      </c>
      <c r="AW90" s="1698"/>
    </row>
    <row r="91" ht="15.75" customHeight="1">
      <c r="A91" s="1655" t="s">
        <v>10862</v>
      </c>
      <c r="B91" s="1684" t="s">
        <v>9052</v>
      </c>
      <c r="C91" s="1533">
        <v>0.05348379629629629</v>
      </c>
      <c r="D91" s="980" t="s">
        <v>10863</v>
      </c>
      <c r="E91" s="336" t="s">
        <v>10649</v>
      </c>
      <c r="F91" s="336" t="s">
        <v>6577</v>
      </c>
      <c r="G91" s="336" t="s">
        <v>10864</v>
      </c>
      <c r="H91" s="336" t="s">
        <v>10865</v>
      </c>
      <c r="I91" s="336" t="s">
        <v>2350</v>
      </c>
      <c r="J91" s="336" t="s">
        <v>9573</v>
      </c>
      <c r="K91" s="336" t="s">
        <v>9064</v>
      </c>
      <c r="L91" s="336" t="s">
        <v>4856</v>
      </c>
      <c r="M91" s="336" t="s">
        <v>10866</v>
      </c>
      <c r="N91" s="336" t="s">
        <v>10867</v>
      </c>
      <c r="O91" s="336" t="s">
        <v>4326</v>
      </c>
      <c r="P91" s="336" t="s">
        <v>925</v>
      </c>
      <c r="Q91" s="1654" t="s">
        <v>10868</v>
      </c>
      <c r="R91" s="336" t="s">
        <v>10434</v>
      </c>
      <c r="S91" s="336" t="s">
        <v>9780</v>
      </c>
      <c r="T91" s="336" t="s">
        <v>10621</v>
      </c>
      <c r="U91" s="336" t="s">
        <v>10869</v>
      </c>
      <c r="V91" s="336" t="s">
        <v>3227</v>
      </c>
      <c r="W91" s="336" t="s">
        <v>10870</v>
      </c>
      <c r="X91" s="336" t="s">
        <v>3145</v>
      </c>
      <c r="Y91" s="336" t="s">
        <v>1426</v>
      </c>
      <c r="Z91" s="336" t="s">
        <v>9478</v>
      </c>
      <c r="AA91" s="1654" t="s">
        <v>10871</v>
      </c>
      <c r="AB91" s="336" t="s">
        <v>10190</v>
      </c>
      <c r="AC91" s="336" t="s">
        <v>1151</v>
      </c>
      <c r="AD91" s="336" t="s">
        <v>10872</v>
      </c>
      <c r="AE91" s="336" t="s">
        <v>585</v>
      </c>
      <c r="AF91" s="1654" t="s">
        <v>10873</v>
      </c>
      <c r="AG91" s="336" t="s">
        <v>5870</v>
      </c>
      <c r="AH91" s="336" t="s">
        <v>9654</v>
      </c>
      <c r="AI91" s="336" t="s">
        <v>2637</v>
      </c>
      <c r="AJ91" s="336" t="s">
        <v>10874</v>
      </c>
      <c r="AK91" s="336" t="s">
        <v>9493</v>
      </c>
      <c r="AL91" s="336" t="s">
        <v>10875</v>
      </c>
      <c r="AM91" s="336" t="s">
        <v>9244</v>
      </c>
      <c r="AN91" s="336" t="s">
        <v>10457</v>
      </c>
      <c r="AO91" s="336" t="s">
        <v>9171</v>
      </c>
      <c r="AP91" s="336" t="s">
        <v>10876</v>
      </c>
      <c r="AQ91" s="336" t="s">
        <v>4461</v>
      </c>
      <c r="AR91" s="336" t="s">
        <v>1380</v>
      </c>
      <c r="AS91" s="336" t="s">
        <v>9253</v>
      </c>
      <c r="AT91" s="336" t="s">
        <v>4735</v>
      </c>
      <c r="AU91" s="336" t="s">
        <v>10877</v>
      </c>
      <c r="AV91" s="1451" t="str">
        <f t="shared" si="1"/>
        <v>3:27</v>
      </c>
      <c r="AW91" s="1694" t="s">
        <v>10878</v>
      </c>
    </row>
    <row r="92">
      <c r="A92" s="1590" t="s">
        <v>5408</v>
      </c>
      <c r="B92" s="1578" t="s">
        <v>8997</v>
      </c>
      <c r="C92" s="1533">
        <v>0.05376157407407407</v>
      </c>
      <c r="D92" s="1654" t="s">
        <v>10879</v>
      </c>
      <c r="E92" s="1654" t="s">
        <v>10880</v>
      </c>
      <c r="F92" s="1654" t="s">
        <v>10881</v>
      </c>
      <c r="G92" s="1654" t="s">
        <v>10882</v>
      </c>
      <c r="H92" s="1709" t="s">
        <v>10883</v>
      </c>
      <c r="I92" s="980" t="s">
        <v>239</v>
      </c>
      <c r="J92" s="1654" t="s">
        <v>10068</v>
      </c>
      <c r="K92" s="1654" t="s">
        <v>10884</v>
      </c>
      <c r="L92" s="1654" t="s">
        <v>2519</v>
      </c>
      <c r="M92" s="1654" t="s">
        <v>1258</v>
      </c>
      <c r="N92" s="1654" t="s">
        <v>10885</v>
      </c>
      <c r="O92" s="1654" t="s">
        <v>10886</v>
      </c>
      <c r="P92" s="1654" t="s">
        <v>861</v>
      </c>
      <c r="Q92" s="1654" t="s">
        <v>4402</v>
      </c>
      <c r="R92" s="1654" t="s">
        <v>10887</v>
      </c>
      <c r="S92" s="1710" t="s">
        <v>10888</v>
      </c>
      <c r="T92" s="1710" t="s">
        <v>9619</v>
      </c>
      <c r="U92" s="1654" t="s">
        <v>10889</v>
      </c>
      <c r="V92" s="1654" t="s">
        <v>10890</v>
      </c>
      <c r="W92" s="1654" t="s">
        <v>7113</v>
      </c>
      <c r="X92" s="1654" t="s">
        <v>10891</v>
      </c>
      <c r="Y92" s="1654" t="s">
        <v>2124</v>
      </c>
      <c r="Z92" s="1654" t="s">
        <v>10190</v>
      </c>
      <c r="AA92" s="1654" t="s">
        <v>10892</v>
      </c>
      <c r="AB92" s="1654" t="s">
        <v>10893</v>
      </c>
      <c r="AC92" s="1654" t="s">
        <v>7220</v>
      </c>
      <c r="AD92" s="1654" t="s">
        <v>6090</v>
      </c>
      <c r="AE92" s="1654" t="s">
        <v>2448</v>
      </c>
      <c r="AF92" s="1654" t="s">
        <v>10894</v>
      </c>
      <c r="AG92" s="1654" t="s">
        <v>10895</v>
      </c>
      <c r="AH92" s="1654" t="s">
        <v>5020</v>
      </c>
      <c r="AI92" s="1654" t="s">
        <v>7049</v>
      </c>
      <c r="AJ92" s="1654" t="s">
        <v>10896</v>
      </c>
      <c r="AK92" s="1654" t="s">
        <v>4848</v>
      </c>
      <c r="AL92" s="1654" t="s">
        <v>10897</v>
      </c>
      <c r="AM92" s="1654" t="s">
        <v>4859</v>
      </c>
      <c r="AN92" s="1654" t="s">
        <v>10898</v>
      </c>
      <c r="AO92" s="1654" t="s">
        <v>6621</v>
      </c>
      <c r="AP92" s="1654" t="s">
        <v>10899</v>
      </c>
      <c r="AQ92" s="1654" t="s">
        <v>10900</v>
      </c>
      <c r="AR92" s="1654" t="s">
        <v>5185</v>
      </c>
      <c r="AS92" s="1654" t="s">
        <v>9224</v>
      </c>
      <c r="AT92" s="1654" t="s">
        <v>10901</v>
      </c>
      <c r="AU92" s="1654" t="s">
        <v>10902</v>
      </c>
      <c r="AV92" s="1451" t="str">
        <f t="shared" si="1"/>
        <v>4:58</v>
      </c>
      <c r="AW92" s="1711"/>
    </row>
    <row r="93" ht="15.75" customHeight="1">
      <c r="A93" s="1655" t="s">
        <v>6613</v>
      </c>
      <c r="B93" s="1684" t="s">
        <v>9052</v>
      </c>
      <c r="C93" s="1665">
        <v>0.05386574074074074</v>
      </c>
      <c r="D93" s="336" t="s">
        <v>10903</v>
      </c>
      <c r="E93" s="336" t="s">
        <v>6834</v>
      </c>
      <c r="F93" s="336" t="s">
        <v>10904</v>
      </c>
      <c r="G93" s="336" t="s">
        <v>4289</v>
      </c>
      <c r="H93" s="336" t="s">
        <v>10905</v>
      </c>
      <c r="I93" s="336" t="s">
        <v>10844</v>
      </c>
      <c r="J93" s="336" t="s">
        <v>10906</v>
      </c>
      <c r="K93" s="336" t="s">
        <v>10907</v>
      </c>
      <c r="L93" s="336" t="s">
        <v>1433</v>
      </c>
      <c r="M93" s="336" t="s">
        <v>4558</v>
      </c>
      <c r="N93" s="336" t="s">
        <v>7012</v>
      </c>
      <c r="O93" s="336" t="s">
        <v>10908</v>
      </c>
      <c r="P93" s="336" t="s">
        <v>6332</v>
      </c>
      <c r="Q93" s="336" t="s">
        <v>10909</v>
      </c>
      <c r="R93" s="336" t="s">
        <v>9370</v>
      </c>
      <c r="S93" s="336" t="s">
        <v>10910</v>
      </c>
      <c r="T93" s="336" t="s">
        <v>7365</v>
      </c>
      <c r="U93" s="336" t="s">
        <v>10911</v>
      </c>
      <c r="V93" s="336" t="s">
        <v>10912</v>
      </c>
      <c r="W93" s="336" t="s">
        <v>10913</v>
      </c>
      <c r="X93" s="336" t="s">
        <v>1330</v>
      </c>
      <c r="Y93" s="336" t="s">
        <v>1950</v>
      </c>
      <c r="Z93" s="336" t="s">
        <v>9035</v>
      </c>
      <c r="AA93" s="980" t="s">
        <v>10914</v>
      </c>
      <c r="AB93" s="336" t="s">
        <v>10915</v>
      </c>
      <c r="AC93" s="336" t="s">
        <v>8067</v>
      </c>
      <c r="AD93" s="336" t="s">
        <v>10916</v>
      </c>
      <c r="AE93" s="336" t="s">
        <v>10917</v>
      </c>
      <c r="AF93" s="336" t="s">
        <v>10502</v>
      </c>
      <c r="AG93" s="336" t="s">
        <v>10918</v>
      </c>
      <c r="AH93" s="336" t="s">
        <v>10919</v>
      </c>
      <c r="AI93" s="336" t="s">
        <v>3651</v>
      </c>
      <c r="AJ93" s="336" t="s">
        <v>10920</v>
      </c>
      <c r="AK93" s="336" t="s">
        <v>10921</v>
      </c>
      <c r="AL93" s="336" t="s">
        <v>10922</v>
      </c>
      <c r="AM93" s="336" t="s">
        <v>10161</v>
      </c>
      <c r="AN93" s="336" t="s">
        <v>9691</v>
      </c>
      <c r="AO93" s="1654" t="s">
        <v>9862</v>
      </c>
      <c r="AP93" s="336" t="s">
        <v>10923</v>
      </c>
      <c r="AQ93" s="336" t="s">
        <v>10924</v>
      </c>
      <c r="AR93" s="336" t="s">
        <v>10925</v>
      </c>
      <c r="AS93" s="336" t="s">
        <v>9485</v>
      </c>
      <c r="AT93" s="336" t="s">
        <v>10926</v>
      </c>
      <c r="AU93" s="336" t="s">
        <v>10861</v>
      </c>
      <c r="AV93" s="1451" t="str">
        <f t="shared" si="1"/>
        <v>3:30</v>
      </c>
      <c r="AW93" s="1698"/>
    </row>
    <row r="94">
      <c r="A94" s="1590" t="s">
        <v>5305</v>
      </c>
      <c r="B94" s="1578" t="s">
        <v>9052</v>
      </c>
      <c r="C94" s="1533">
        <v>0.05482638888888889</v>
      </c>
      <c r="D94" s="1671" t="s">
        <v>10927</v>
      </c>
      <c r="E94" s="1654" t="s">
        <v>9773</v>
      </c>
      <c r="F94" s="1654" t="s">
        <v>10928</v>
      </c>
      <c r="G94" s="1654" t="s">
        <v>10929</v>
      </c>
      <c r="H94" s="1654" t="s">
        <v>10930</v>
      </c>
      <c r="I94" s="1654" t="s">
        <v>10931</v>
      </c>
      <c r="J94" s="1654" t="s">
        <v>10932</v>
      </c>
      <c r="K94" s="1654" t="s">
        <v>10194</v>
      </c>
      <c r="L94" s="1654" t="s">
        <v>10933</v>
      </c>
      <c r="M94" s="1654" t="s">
        <v>1759</v>
      </c>
      <c r="N94" s="1654" t="s">
        <v>6518</v>
      </c>
      <c r="O94" s="1654" t="s">
        <v>10934</v>
      </c>
      <c r="P94" s="1654" t="s">
        <v>6612</v>
      </c>
      <c r="Q94" s="1654" t="s">
        <v>10935</v>
      </c>
      <c r="R94" s="1654" t="s">
        <v>9483</v>
      </c>
      <c r="S94" s="1654" t="s">
        <v>10936</v>
      </c>
      <c r="T94" s="1654" t="s">
        <v>10850</v>
      </c>
      <c r="U94" s="1654" t="s">
        <v>10937</v>
      </c>
      <c r="V94" s="1654" t="s">
        <v>840</v>
      </c>
      <c r="W94" s="1654" t="s">
        <v>6460</v>
      </c>
      <c r="X94" s="1654" t="s">
        <v>10938</v>
      </c>
      <c r="Y94" s="1654" t="s">
        <v>1679</v>
      </c>
      <c r="Z94" s="1654" t="s">
        <v>10210</v>
      </c>
      <c r="AA94" s="1654" t="s">
        <v>2390</v>
      </c>
      <c r="AB94" s="1654" t="s">
        <v>6989</v>
      </c>
      <c r="AC94" s="1654" t="s">
        <v>10939</v>
      </c>
      <c r="AD94" s="1654" t="s">
        <v>10940</v>
      </c>
      <c r="AE94" s="1654" t="s">
        <v>1538</v>
      </c>
      <c r="AF94" s="1654" t="s">
        <v>10941</v>
      </c>
      <c r="AG94" s="1654" t="s">
        <v>10942</v>
      </c>
      <c r="AH94" s="1654" t="s">
        <v>10943</v>
      </c>
      <c r="AI94" s="1654" t="s">
        <v>5830</v>
      </c>
      <c r="AJ94" s="1654" t="s">
        <v>10944</v>
      </c>
      <c r="AK94" s="1654" t="s">
        <v>246</v>
      </c>
      <c r="AL94" s="1654" t="s">
        <v>8151</v>
      </c>
      <c r="AM94" s="1654" t="s">
        <v>4293</v>
      </c>
      <c r="AN94" s="1654" t="s">
        <v>10945</v>
      </c>
      <c r="AO94" s="1654" t="s">
        <v>1706</v>
      </c>
      <c r="AP94" s="1654" t="s">
        <v>883</v>
      </c>
      <c r="AQ94" s="1654" t="s">
        <v>10946</v>
      </c>
      <c r="AR94" s="1654" t="s">
        <v>10947</v>
      </c>
      <c r="AS94" s="1654" t="s">
        <v>2223</v>
      </c>
      <c r="AT94" s="1654" t="s">
        <v>10948</v>
      </c>
      <c r="AU94" s="1654" t="s">
        <v>10949</v>
      </c>
      <c r="AV94" s="1451" t="str">
        <f t="shared" si="1"/>
        <v>3:40</v>
      </c>
      <c r="AW94" s="1694" t="s">
        <v>10950</v>
      </c>
    </row>
    <row r="95">
      <c r="A95" s="1590" t="s">
        <v>5274</v>
      </c>
      <c r="B95" s="1578" t="s">
        <v>8997</v>
      </c>
      <c r="C95" s="1533">
        <v>0.05482638888888889</v>
      </c>
      <c r="D95" s="1567" t="s">
        <v>10951</v>
      </c>
      <c r="E95" s="1567" t="s">
        <v>9631</v>
      </c>
      <c r="F95" s="1567" t="s">
        <v>10952</v>
      </c>
      <c r="G95" s="1567" t="s">
        <v>10953</v>
      </c>
      <c r="H95" s="1567" t="s">
        <v>10954</v>
      </c>
      <c r="I95" s="1567">
        <v>50.26</v>
      </c>
      <c r="J95" s="1567" t="s">
        <v>10932</v>
      </c>
      <c r="K95" s="1567" t="s">
        <v>10955</v>
      </c>
      <c r="L95" s="1567" t="s">
        <v>10956</v>
      </c>
      <c r="M95" s="1567" t="s">
        <v>2252</v>
      </c>
      <c r="N95" s="1567" t="s">
        <v>10957</v>
      </c>
      <c r="O95" s="1567" t="s">
        <v>10958</v>
      </c>
      <c r="P95" s="1567">
        <v>49.15</v>
      </c>
      <c r="Q95" s="1567" t="s">
        <v>10959</v>
      </c>
      <c r="R95" s="1567" t="s">
        <v>3401</v>
      </c>
      <c r="S95" s="1567" t="s">
        <v>10960</v>
      </c>
      <c r="T95" s="1567" t="s">
        <v>5067</v>
      </c>
      <c r="U95" s="1567" t="s">
        <v>3260</v>
      </c>
      <c r="V95" s="1567" t="s">
        <v>10961</v>
      </c>
      <c r="W95" s="1567" t="s">
        <v>10962</v>
      </c>
      <c r="X95" s="1567" t="s">
        <v>10963</v>
      </c>
      <c r="Y95" s="1567">
        <v>51.87</v>
      </c>
      <c r="Z95" s="1567" t="s">
        <v>6331</v>
      </c>
      <c r="AA95" s="1567" t="s">
        <v>6589</v>
      </c>
      <c r="AB95" s="1567" t="s">
        <v>6565</v>
      </c>
      <c r="AC95" s="1567">
        <v>49.75</v>
      </c>
      <c r="AD95" s="1567" t="s">
        <v>10964</v>
      </c>
      <c r="AE95" s="1567">
        <v>50.16</v>
      </c>
      <c r="AF95" s="1567" t="s">
        <v>10965</v>
      </c>
      <c r="AG95" s="1567" t="s">
        <v>10966</v>
      </c>
      <c r="AH95" s="1567" t="s">
        <v>6421</v>
      </c>
      <c r="AI95" s="1567" t="s">
        <v>6818</v>
      </c>
      <c r="AJ95" s="1567" t="s">
        <v>10967</v>
      </c>
      <c r="AK95" s="1567" t="s">
        <v>10885</v>
      </c>
      <c r="AL95" s="1567">
        <v>59.29</v>
      </c>
      <c r="AM95" s="1567" t="s">
        <v>4461</v>
      </c>
      <c r="AN95" s="1567" t="s">
        <v>623</v>
      </c>
      <c r="AO95" s="1567" t="s">
        <v>10968</v>
      </c>
      <c r="AP95" s="1567" t="s">
        <v>10969</v>
      </c>
      <c r="AQ95" s="1567" t="s">
        <v>10970</v>
      </c>
      <c r="AR95" s="1567" t="s">
        <v>6884</v>
      </c>
      <c r="AS95" s="1567">
        <v>47.7</v>
      </c>
      <c r="AT95" s="1567" t="s">
        <v>10971</v>
      </c>
      <c r="AU95" s="1571" t="s">
        <v>10972</v>
      </c>
      <c r="AV95" s="1451" t="str">
        <f t="shared" si="1"/>
        <v>5:51</v>
      </c>
      <c r="AW95" s="1679" t="s">
        <v>10973</v>
      </c>
    </row>
    <row r="96">
      <c r="A96" s="1590" t="s">
        <v>5588</v>
      </c>
      <c r="B96" s="1588" t="s">
        <v>8997</v>
      </c>
      <c r="C96" s="1533">
        <v>0.05559027777777778</v>
      </c>
      <c r="D96" s="1671" t="s">
        <v>10974</v>
      </c>
      <c r="E96" s="1654" t="s">
        <v>10975</v>
      </c>
      <c r="F96" s="1654" t="s">
        <v>10976</v>
      </c>
      <c r="G96" s="1654" t="s">
        <v>10977</v>
      </c>
      <c r="H96" s="1654" t="s">
        <v>5944</v>
      </c>
      <c r="I96" s="1654" t="s">
        <v>1846</v>
      </c>
      <c r="J96" s="1654" t="s">
        <v>10978</v>
      </c>
      <c r="K96" s="1654" t="s">
        <v>6335</v>
      </c>
      <c r="L96" s="1654" t="s">
        <v>8827</v>
      </c>
      <c r="M96" s="1654" t="s">
        <v>6839</v>
      </c>
      <c r="N96" s="1654" t="s">
        <v>10979</v>
      </c>
      <c r="O96" s="1654" t="s">
        <v>10980</v>
      </c>
      <c r="P96" s="1654" t="s">
        <v>190</v>
      </c>
      <c r="Q96" s="1654" t="s">
        <v>1668</v>
      </c>
      <c r="R96" s="1654" t="s">
        <v>10981</v>
      </c>
      <c r="S96" s="1654" t="s">
        <v>5218</v>
      </c>
      <c r="T96" s="1654" t="s">
        <v>10982</v>
      </c>
      <c r="U96" s="1654" t="s">
        <v>10983</v>
      </c>
      <c r="V96" s="1654" t="s">
        <v>6610</v>
      </c>
      <c r="W96" s="1654" t="s">
        <v>9102</v>
      </c>
      <c r="X96" s="1654" t="s">
        <v>5022</v>
      </c>
      <c r="Y96" s="1654" t="s">
        <v>101</v>
      </c>
      <c r="Z96" s="1654" t="s">
        <v>10984</v>
      </c>
      <c r="AA96" s="1654" t="s">
        <v>10746</v>
      </c>
      <c r="AB96" s="1654" t="s">
        <v>3549</v>
      </c>
      <c r="AC96" s="1654" t="s">
        <v>4748</v>
      </c>
      <c r="AD96" s="1654" t="s">
        <v>6158</v>
      </c>
      <c r="AE96" s="1654" t="s">
        <v>858</v>
      </c>
      <c r="AF96" s="1654" t="s">
        <v>10985</v>
      </c>
      <c r="AG96" s="1654" t="s">
        <v>10986</v>
      </c>
      <c r="AH96" s="1654" t="s">
        <v>4091</v>
      </c>
      <c r="AI96" s="1654" t="s">
        <v>10987</v>
      </c>
      <c r="AJ96" s="1654" t="s">
        <v>10988</v>
      </c>
      <c r="AK96" s="1654" t="s">
        <v>4552</v>
      </c>
      <c r="AL96" s="1654" t="s">
        <v>128</v>
      </c>
      <c r="AM96" s="1654" t="s">
        <v>10989</v>
      </c>
      <c r="AN96" s="1654" t="s">
        <v>10990</v>
      </c>
      <c r="AO96" s="1654" t="s">
        <v>1033</v>
      </c>
      <c r="AP96" s="1654" t="s">
        <v>10991</v>
      </c>
      <c r="AQ96" s="1654" t="s">
        <v>10992</v>
      </c>
      <c r="AR96" s="1654" t="s">
        <v>10993</v>
      </c>
      <c r="AS96" s="1654" t="s">
        <v>828</v>
      </c>
      <c r="AT96" s="1654" t="s">
        <v>10994</v>
      </c>
      <c r="AU96" s="1654" t="s">
        <v>10995</v>
      </c>
      <c r="AV96" s="1451" t="str">
        <f t="shared" si="1"/>
        <v>5:05</v>
      </c>
      <c r="AW96" s="1694" t="s">
        <v>10996</v>
      </c>
    </row>
    <row r="97">
      <c r="A97" s="1590" t="s">
        <v>4945</v>
      </c>
      <c r="B97" s="1588" t="s">
        <v>9024</v>
      </c>
      <c r="C97" s="1620">
        <v>0.05565972222222222</v>
      </c>
      <c r="D97" s="1654" t="s">
        <v>10997</v>
      </c>
      <c r="E97" s="1654" t="s">
        <v>3209</v>
      </c>
      <c r="F97" s="1654" t="s">
        <v>8472</v>
      </c>
      <c r="G97" s="1654" t="s">
        <v>10998</v>
      </c>
      <c r="H97" s="980" t="s">
        <v>9541</v>
      </c>
      <c r="I97" s="1654" t="s">
        <v>3546</v>
      </c>
      <c r="J97" s="1654" t="s">
        <v>9765</v>
      </c>
      <c r="K97" s="1654" t="s">
        <v>804</v>
      </c>
      <c r="L97" s="1654" t="s">
        <v>10999</v>
      </c>
      <c r="M97" s="1654" t="s">
        <v>11000</v>
      </c>
      <c r="N97" s="1654" t="s">
        <v>6440</v>
      </c>
      <c r="O97" s="1654" t="s">
        <v>11001</v>
      </c>
      <c r="P97" s="1654" t="s">
        <v>10439</v>
      </c>
      <c r="Q97" s="1654" t="s">
        <v>11002</v>
      </c>
      <c r="R97" s="1654" t="s">
        <v>10212</v>
      </c>
      <c r="S97" s="1654" t="s">
        <v>418</v>
      </c>
      <c r="T97" s="1654" t="s">
        <v>11003</v>
      </c>
      <c r="U97" s="1654" t="s">
        <v>11004</v>
      </c>
      <c r="V97" s="1654" t="s">
        <v>11005</v>
      </c>
      <c r="W97" s="1654" t="s">
        <v>11006</v>
      </c>
      <c r="X97" s="1654" t="s">
        <v>11007</v>
      </c>
      <c r="Y97" s="1654" t="s">
        <v>2448</v>
      </c>
      <c r="Z97" s="1654" t="s">
        <v>5374</v>
      </c>
      <c r="AA97" s="1654" t="s">
        <v>10375</v>
      </c>
      <c r="AB97" s="1654" t="s">
        <v>10692</v>
      </c>
      <c r="AC97" s="1654" t="s">
        <v>10217</v>
      </c>
      <c r="AD97" s="1654" t="s">
        <v>11008</v>
      </c>
      <c r="AE97" s="1654" t="s">
        <v>5565</v>
      </c>
      <c r="AF97" s="1654" t="s">
        <v>11009</v>
      </c>
      <c r="AG97" s="1654" t="s">
        <v>11010</v>
      </c>
      <c r="AH97" s="1654" t="s">
        <v>11011</v>
      </c>
      <c r="AI97" s="1654" t="s">
        <v>11012</v>
      </c>
      <c r="AJ97" s="1654" t="s">
        <v>11013</v>
      </c>
      <c r="AK97" s="1654" t="s">
        <v>6776</v>
      </c>
      <c r="AL97" s="1654" t="s">
        <v>3758</v>
      </c>
      <c r="AM97" s="1654" t="s">
        <v>4859</v>
      </c>
      <c r="AN97" s="1654" t="s">
        <v>11014</v>
      </c>
      <c r="AO97" s="1654" t="s">
        <v>2057</v>
      </c>
      <c r="AP97" s="1654" t="s">
        <v>11015</v>
      </c>
      <c r="AQ97" s="1654" t="s">
        <v>11016</v>
      </c>
      <c r="AR97" s="1654" t="s">
        <v>11017</v>
      </c>
      <c r="AS97" s="1654" t="s">
        <v>2171</v>
      </c>
      <c r="AT97" s="1654" t="s">
        <v>11018</v>
      </c>
      <c r="AU97" s="1654" t="s">
        <v>11019</v>
      </c>
      <c r="AV97" s="1451" t="str">
        <f t="shared" si="1"/>
        <v>8:24</v>
      </c>
      <c r="AW97" s="1694" t="s">
        <v>10080</v>
      </c>
    </row>
    <row r="98">
      <c r="A98" s="954" t="s">
        <v>5796</v>
      </c>
      <c r="B98" s="1712" t="s">
        <v>11020</v>
      </c>
      <c r="C98" s="1713">
        <v>0.05614583333333333</v>
      </c>
      <c r="D98" s="980" t="s">
        <v>11021</v>
      </c>
      <c r="E98" s="1065" t="s">
        <v>10244</v>
      </c>
      <c r="F98" s="1065" t="s">
        <v>11022</v>
      </c>
      <c r="G98" s="1065" t="s">
        <v>11023</v>
      </c>
      <c r="H98" s="1714" t="s">
        <v>1363</v>
      </c>
      <c r="I98" s="1065" t="s">
        <v>9720</v>
      </c>
      <c r="J98" s="1065" t="s">
        <v>11024</v>
      </c>
      <c r="K98" s="1065" t="s">
        <v>11025</v>
      </c>
      <c r="L98" s="1065" t="s">
        <v>4715</v>
      </c>
      <c r="M98" s="1065" t="s">
        <v>7203</v>
      </c>
      <c r="N98" s="1065" t="s">
        <v>10270</v>
      </c>
      <c r="O98" s="1065" t="s">
        <v>11026</v>
      </c>
      <c r="P98" s="1065" t="s">
        <v>9151</v>
      </c>
      <c r="Q98" s="1065" t="s">
        <v>11027</v>
      </c>
      <c r="R98" s="1065" t="s">
        <v>4012</v>
      </c>
      <c r="S98" s="1065" t="s">
        <v>5379</v>
      </c>
      <c r="T98" s="1065" t="s">
        <v>1651</v>
      </c>
      <c r="U98" s="1065" t="s">
        <v>9288</v>
      </c>
      <c r="V98" s="1065" t="s">
        <v>2752</v>
      </c>
      <c r="W98" s="1065" t="s">
        <v>11028</v>
      </c>
      <c r="X98" s="1065" t="s">
        <v>11029</v>
      </c>
      <c r="Y98" s="1065" t="s">
        <v>11030</v>
      </c>
      <c r="Z98" s="1065" t="s">
        <v>11031</v>
      </c>
      <c r="AA98" s="1089" t="s">
        <v>2130</v>
      </c>
      <c r="AB98" s="1065" t="s">
        <v>10749</v>
      </c>
      <c r="AC98" s="1065" t="s">
        <v>784</v>
      </c>
      <c r="AD98" s="1065" t="s">
        <v>9233</v>
      </c>
      <c r="AE98" s="1065" t="s">
        <v>536</v>
      </c>
      <c r="AF98" s="1065" t="s">
        <v>11032</v>
      </c>
      <c r="AG98" s="1065" t="s">
        <v>11033</v>
      </c>
      <c r="AH98" s="1065" t="s">
        <v>9776</v>
      </c>
      <c r="AI98" s="1065" t="s">
        <v>11034</v>
      </c>
      <c r="AJ98" s="1065" t="s">
        <v>11035</v>
      </c>
      <c r="AK98" s="1065" t="s">
        <v>11036</v>
      </c>
      <c r="AL98" s="1065" t="s">
        <v>10537</v>
      </c>
      <c r="AM98" s="1065" t="s">
        <v>9813</v>
      </c>
      <c r="AN98" s="1065" t="s">
        <v>11037</v>
      </c>
      <c r="AO98" s="1065" t="s">
        <v>11038</v>
      </c>
      <c r="AP98" s="1065" t="s">
        <v>11039</v>
      </c>
      <c r="AQ98" s="1065" t="s">
        <v>2817</v>
      </c>
      <c r="AR98" s="1065" t="s">
        <v>10480</v>
      </c>
      <c r="AS98" s="1065" t="s">
        <v>11040</v>
      </c>
      <c r="AT98" s="1065" t="s">
        <v>11041</v>
      </c>
      <c r="AU98" s="1065" t="s">
        <v>11042</v>
      </c>
      <c r="AV98" s="1032" t="str">
        <f t="shared" si="1"/>
        <v>8:47</v>
      </c>
      <c r="AW98" s="1589" t="s">
        <v>11043</v>
      </c>
    </row>
    <row r="99">
      <c r="A99" s="1655" t="s">
        <v>11044</v>
      </c>
      <c r="B99" s="1623" t="s">
        <v>9024</v>
      </c>
      <c r="C99" s="1665">
        <v>0.057881944444444444</v>
      </c>
      <c r="D99" s="1654" t="s">
        <v>11045</v>
      </c>
      <c r="E99" s="336" t="s">
        <v>11046</v>
      </c>
      <c r="F99" s="1654" t="s">
        <v>11047</v>
      </c>
      <c r="G99" s="1654" t="s">
        <v>11048</v>
      </c>
      <c r="H99" s="336" t="s">
        <v>5476</v>
      </c>
      <c r="I99" s="336" t="s">
        <v>1022</v>
      </c>
      <c r="J99" s="336" t="s">
        <v>11049</v>
      </c>
      <c r="K99" s="336" t="s">
        <v>3712</v>
      </c>
      <c r="L99" s="336" t="s">
        <v>11050</v>
      </c>
      <c r="M99" s="336" t="s">
        <v>7808</v>
      </c>
      <c r="N99" s="336" t="s">
        <v>11051</v>
      </c>
      <c r="O99" s="336" t="s">
        <v>11052</v>
      </c>
      <c r="P99" s="336" t="s">
        <v>3813</v>
      </c>
      <c r="Q99" s="336" t="s">
        <v>11053</v>
      </c>
      <c r="R99" s="336" t="s">
        <v>11054</v>
      </c>
      <c r="S99" s="336" t="s">
        <v>11055</v>
      </c>
      <c r="T99" s="336" t="s">
        <v>1677</v>
      </c>
      <c r="U99" s="336" t="s">
        <v>11056</v>
      </c>
      <c r="V99" s="336" t="s">
        <v>11057</v>
      </c>
      <c r="W99" s="336" t="s">
        <v>11058</v>
      </c>
      <c r="X99" s="336" t="s">
        <v>11059</v>
      </c>
      <c r="Y99" s="336" t="s">
        <v>2978</v>
      </c>
      <c r="Z99" s="336" t="s">
        <v>11060</v>
      </c>
      <c r="AA99" s="1654" t="s">
        <v>11061</v>
      </c>
      <c r="AB99" s="336" t="s">
        <v>9573</v>
      </c>
      <c r="AC99" s="336" t="s">
        <v>3469</v>
      </c>
      <c r="AD99" s="336" t="s">
        <v>5334</v>
      </c>
      <c r="AE99" s="336" t="s">
        <v>2614</v>
      </c>
      <c r="AF99" s="336" t="s">
        <v>11062</v>
      </c>
      <c r="AG99" s="336" t="s">
        <v>5873</v>
      </c>
      <c r="AH99" s="336" t="s">
        <v>11063</v>
      </c>
      <c r="AI99" s="336" t="s">
        <v>4893</v>
      </c>
      <c r="AJ99" s="336" t="s">
        <v>11064</v>
      </c>
      <c r="AK99" s="336" t="s">
        <v>11065</v>
      </c>
      <c r="AL99" s="336" t="s">
        <v>4027</v>
      </c>
      <c r="AM99" s="336" t="s">
        <v>4901</v>
      </c>
      <c r="AN99" s="336" t="s">
        <v>11066</v>
      </c>
      <c r="AO99" s="336" t="s">
        <v>10440</v>
      </c>
      <c r="AP99" s="336" t="s">
        <v>11067</v>
      </c>
      <c r="AQ99" s="336" t="s">
        <v>6793</v>
      </c>
      <c r="AR99" s="336" t="s">
        <v>11068</v>
      </c>
      <c r="AS99" s="336" t="s">
        <v>618</v>
      </c>
      <c r="AT99" s="336" t="s">
        <v>11069</v>
      </c>
      <c r="AU99" s="336" t="s">
        <v>11070</v>
      </c>
      <c r="AV99" s="1451" t="str">
        <f t="shared" si="1"/>
        <v>2:11</v>
      </c>
      <c r="AW99" s="1698" t="s">
        <v>11071</v>
      </c>
    </row>
    <row r="100">
      <c r="A100" s="1626" t="s">
        <v>6535</v>
      </c>
      <c r="B100" s="1715" t="s">
        <v>11020</v>
      </c>
      <c r="C100" s="1716">
        <v>0.0609375</v>
      </c>
      <c r="D100" s="1717" t="s">
        <v>11072</v>
      </c>
      <c r="E100" s="1718" t="s">
        <v>3583</v>
      </c>
      <c r="F100" s="1718" t="s">
        <v>11073</v>
      </c>
      <c r="G100" s="1718" t="s">
        <v>11074</v>
      </c>
      <c r="H100" s="1717" t="s">
        <v>11075</v>
      </c>
      <c r="I100" s="1719" t="s">
        <v>9277</v>
      </c>
      <c r="J100" s="1720" t="s">
        <v>11076</v>
      </c>
      <c r="K100" s="1720" t="s">
        <v>1673</v>
      </c>
      <c r="L100" s="1720" t="s">
        <v>6912</v>
      </c>
      <c r="M100" s="1720" t="s">
        <v>11077</v>
      </c>
      <c r="N100" s="1720" t="s">
        <v>6901</v>
      </c>
      <c r="O100" s="1720" t="s">
        <v>11078</v>
      </c>
      <c r="P100" s="1720" t="s">
        <v>1647</v>
      </c>
      <c r="Q100" s="1721" t="s">
        <v>11079</v>
      </c>
      <c r="R100" s="1721" t="s">
        <v>11080</v>
      </c>
      <c r="S100" s="1721" t="s">
        <v>11081</v>
      </c>
      <c r="T100" s="1721" t="s">
        <v>11082</v>
      </c>
      <c r="U100" s="1721" t="s">
        <v>11083</v>
      </c>
      <c r="V100" s="1721" t="s">
        <v>11084</v>
      </c>
      <c r="W100" s="1722" t="s">
        <v>11085</v>
      </c>
      <c r="X100" s="1722" t="s">
        <v>11061</v>
      </c>
      <c r="Y100" s="1722" t="s">
        <v>10788</v>
      </c>
      <c r="Z100" s="1722" t="s">
        <v>6999</v>
      </c>
      <c r="AA100" s="1723" t="s">
        <v>10993</v>
      </c>
      <c r="AB100" s="1722" t="s">
        <v>11086</v>
      </c>
      <c r="AC100" s="1722" t="s">
        <v>9350</v>
      </c>
      <c r="AD100" s="1718" t="s">
        <v>11087</v>
      </c>
      <c r="AE100" s="1718" t="s">
        <v>1371</v>
      </c>
      <c r="AF100" s="1724" t="s">
        <v>11088</v>
      </c>
      <c r="AG100" s="1724" t="s">
        <v>11089</v>
      </c>
      <c r="AH100" s="1724" t="s">
        <v>11090</v>
      </c>
      <c r="AI100" s="1724" t="s">
        <v>6814</v>
      </c>
      <c r="AJ100" s="1724" t="s">
        <v>11091</v>
      </c>
      <c r="AK100" s="1724" t="s">
        <v>10520</v>
      </c>
      <c r="AL100" s="1724" t="s">
        <v>1820</v>
      </c>
      <c r="AM100" s="1725" t="s">
        <v>8839</v>
      </c>
      <c r="AN100" s="1725" t="s">
        <v>11092</v>
      </c>
      <c r="AO100" s="1725" t="s">
        <v>4482</v>
      </c>
      <c r="AP100" s="1725" t="s">
        <v>11093</v>
      </c>
      <c r="AQ100" s="1725" t="s">
        <v>6437</v>
      </c>
      <c r="AR100" s="1725" t="s">
        <v>11094</v>
      </c>
      <c r="AS100" s="1725" t="s">
        <v>9776</v>
      </c>
      <c r="AT100" s="1720" t="s">
        <v>11095</v>
      </c>
      <c r="AU100" s="1726" t="s">
        <v>11096</v>
      </c>
      <c r="AV100" s="1451" t="str">
        <f t="shared" si="1"/>
        <v>7:58</v>
      </c>
      <c r="AW100" s="1581" t="s">
        <v>11097</v>
      </c>
    </row>
    <row r="101" ht="15.75" customHeight="1">
      <c r="A101" s="1590" t="s">
        <v>6406</v>
      </c>
      <c r="B101" s="1623" t="s">
        <v>9024</v>
      </c>
      <c r="C101" s="1533">
        <v>0.06635416666666667</v>
      </c>
      <c r="D101" s="980" t="s">
        <v>11098</v>
      </c>
      <c r="E101" s="980" t="s">
        <v>8884</v>
      </c>
      <c r="F101" s="980" t="s">
        <v>11099</v>
      </c>
      <c r="G101" s="980" t="s">
        <v>11100</v>
      </c>
      <c r="H101" s="980" t="s">
        <v>11101</v>
      </c>
      <c r="I101" s="980" t="s">
        <v>3478</v>
      </c>
      <c r="J101" s="980" t="s">
        <v>11102</v>
      </c>
      <c r="K101" s="980" t="s">
        <v>3997</v>
      </c>
      <c r="L101" s="980" t="s">
        <v>6840</v>
      </c>
      <c r="M101" s="980" t="s">
        <v>934</v>
      </c>
      <c r="N101" s="980" t="s">
        <v>11103</v>
      </c>
      <c r="O101" s="980" t="s">
        <v>11104</v>
      </c>
      <c r="P101" s="980" t="s">
        <v>11105</v>
      </c>
      <c r="Q101" s="980" t="s">
        <v>11106</v>
      </c>
      <c r="R101" s="980" t="s">
        <v>4568</v>
      </c>
      <c r="S101" s="980" t="s">
        <v>11107</v>
      </c>
      <c r="T101" s="980" t="s">
        <v>6460</v>
      </c>
      <c r="U101" s="980" t="s">
        <v>11108</v>
      </c>
      <c r="V101" s="980" t="s">
        <v>7449</v>
      </c>
      <c r="W101" s="980" t="s">
        <v>11109</v>
      </c>
      <c r="X101" s="980" t="s">
        <v>11110</v>
      </c>
      <c r="Y101" s="980" t="s">
        <v>756</v>
      </c>
      <c r="Z101" s="980" t="s">
        <v>11111</v>
      </c>
      <c r="AA101" s="336"/>
      <c r="AB101" s="980" t="s">
        <v>11112</v>
      </c>
      <c r="AC101" s="980" t="s">
        <v>177</v>
      </c>
      <c r="AD101" s="980" t="s">
        <v>11113</v>
      </c>
      <c r="AE101" s="980" t="s">
        <v>11114</v>
      </c>
      <c r="AF101" s="980" t="s">
        <v>11115</v>
      </c>
      <c r="AG101" s="980" t="s">
        <v>11116</v>
      </c>
      <c r="AH101" s="980" t="s">
        <v>11117</v>
      </c>
      <c r="AI101" s="980" t="s">
        <v>11118</v>
      </c>
      <c r="AJ101" s="980" t="s">
        <v>11119</v>
      </c>
      <c r="AK101" s="980" t="s">
        <v>11120</v>
      </c>
      <c r="AL101" s="980" t="s">
        <v>11121</v>
      </c>
      <c r="AM101" s="980" t="s">
        <v>11122</v>
      </c>
      <c r="AN101" s="980" t="s">
        <v>9636</v>
      </c>
      <c r="AO101" s="980" t="s">
        <v>2330</v>
      </c>
      <c r="AP101" s="980" t="s">
        <v>11123</v>
      </c>
      <c r="AQ101" s="980" t="s">
        <v>132</v>
      </c>
      <c r="AR101" s="980" t="s">
        <v>11124</v>
      </c>
      <c r="AS101" s="980" t="s">
        <v>4079</v>
      </c>
      <c r="AT101" s="980" t="s">
        <v>11125</v>
      </c>
      <c r="AU101" s="1384" t="s">
        <v>11126</v>
      </c>
      <c r="AV101" s="1451" t="str">
        <f t="shared" si="1"/>
        <v>9:53</v>
      </c>
      <c r="AW101" s="1679" t="s">
        <v>11127</v>
      </c>
    </row>
    <row r="102">
      <c r="A102" s="1590" t="s">
        <v>7013</v>
      </c>
      <c r="B102" s="1588" t="s">
        <v>9024</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9534</v>
      </c>
      <c r="X102" s="1567"/>
      <c r="Y102" s="1567"/>
      <c r="Z102" s="1567"/>
      <c r="AA102" s="1567"/>
      <c r="AB102" s="1574" t="s">
        <v>2986</v>
      </c>
      <c r="AC102" s="1567"/>
      <c r="AD102" s="1567"/>
      <c r="AE102" s="1571"/>
      <c r="AF102" s="1567"/>
      <c r="AG102" s="1567"/>
      <c r="AH102" s="1567"/>
      <c r="AI102" s="1567"/>
      <c r="AJ102" s="1567"/>
      <c r="AK102" s="1567"/>
      <c r="AL102" s="1567"/>
      <c r="AM102" s="1574" t="s">
        <v>2401</v>
      </c>
      <c r="AN102" s="1567"/>
      <c r="AO102" s="1567"/>
      <c r="AP102" s="1567"/>
      <c r="AQ102" s="1567"/>
      <c r="AR102" s="1567"/>
      <c r="AS102" s="1567"/>
      <c r="AT102" s="1567"/>
      <c r="AU102" s="1451"/>
      <c r="AV102" s="1451"/>
      <c r="AW102" s="1622"/>
    </row>
    <row r="103">
      <c r="A103" s="1590" t="s">
        <v>4648</v>
      </c>
      <c r="B103" s="1578" t="s">
        <v>9024</v>
      </c>
      <c r="C103" s="1533"/>
      <c r="D103" s="1613"/>
      <c r="E103" s="1613"/>
      <c r="F103" s="1613"/>
      <c r="G103" s="1613"/>
      <c r="H103" s="980"/>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9041</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2"/>
      <c r="F104" s="1032"/>
      <c r="G104" s="1032"/>
      <c r="H104" s="1730"/>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2"/>
    </row>
    <row r="105">
      <c r="A105" s="1731"/>
      <c r="B105" s="1732"/>
      <c r="C105" s="1733"/>
      <c r="D105" s="1699"/>
      <c r="E105" s="1026"/>
      <c r="F105" s="1026"/>
      <c r="G105" s="1026"/>
      <c r="H105" s="1730"/>
      <c r="I105" s="1134"/>
      <c r="J105" s="1269"/>
      <c r="K105" s="1269"/>
      <c r="L105" s="1269"/>
      <c r="M105" s="1269"/>
      <c r="N105" s="1269"/>
      <c r="O105" s="1269"/>
      <c r="P105" s="1269"/>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2"/>
      <c r="AN105" s="1232"/>
      <c r="AO105" s="1232"/>
      <c r="AP105" s="1232"/>
      <c r="AQ105" s="1232"/>
      <c r="AR105" s="1232"/>
      <c r="AS105" s="1232"/>
      <c r="AT105" s="1269"/>
      <c r="AU105" s="1734"/>
      <c r="AV105" s="1734"/>
      <c r="AW105" s="1641"/>
    </row>
    <row r="106">
      <c r="A106" s="1727"/>
      <c r="B106" s="1728"/>
      <c r="C106" s="1729"/>
      <c r="D106" s="1699"/>
      <c r="E106" s="1032"/>
      <c r="F106" s="1032"/>
      <c r="G106" s="1032"/>
      <c r="H106" s="1730"/>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2"/>
    </row>
    <row r="107">
      <c r="A107" s="1731"/>
      <c r="B107" s="1732"/>
      <c r="C107" s="1733"/>
      <c r="D107" s="1699"/>
      <c r="E107" s="1026"/>
      <c r="F107" s="1026"/>
      <c r="G107" s="1026"/>
      <c r="H107" s="1730"/>
      <c r="I107" s="1134"/>
      <c r="J107" s="1269"/>
      <c r="K107" s="1269"/>
      <c r="L107" s="1269"/>
      <c r="M107" s="1269"/>
      <c r="N107" s="1269"/>
      <c r="O107" s="1269"/>
      <c r="P107" s="1269"/>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2"/>
      <c r="AN107" s="1232"/>
      <c r="AO107" s="1232"/>
      <c r="AP107" s="1232"/>
      <c r="AQ107" s="1232"/>
      <c r="AR107" s="1232"/>
      <c r="AS107" s="1232"/>
      <c r="AT107" s="1269"/>
      <c r="AU107" s="1734"/>
      <c r="AV107" s="1734"/>
      <c r="AW107" s="1641"/>
    </row>
    <row r="108">
      <c r="A108" s="1727"/>
      <c r="B108" s="1728"/>
      <c r="C108" s="1729"/>
      <c r="D108" s="1699"/>
      <c r="E108" s="1032"/>
      <c r="F108" s="1032"/>
      <c r="G108" s="1032"/>
      <c r="H108" s="1730"/>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2"/>
    </row>
    <row r="109">
      <c r="A109" s="1731"/>
      <c r="B109" s="1732"/>
      <c r="C109" s="1733"/>
      <c r="D109" s="1699"/>
      <c r="E109" s="1026"/>
      <c r="F109" s="1026"/>
      <c r="G109" s="1026"/>
      <c r="H109" s="1730"/>
      <c r="I109" s="1134"/>
      <c r="J109" s="1269"/>
      <c r="K109" s="1269"/>
      <c r="L109" s="1269"/>
      <c r="M109" s="1269"/>
      <c r="N109" s="1269"/>
      <c r="O109" s="1269"/>
      <c r="P109" s="1269"/>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2"/>
      <c r="AN109" s="1232"/>
      <c r="AO109" s="1232"/>
      <c r="AP109" s="1232"/>
      <c r="AQ109" s="1232"/>
      <c r="AR109" s="1232"/>
      <c r="AS109" s="1232"/>
      <c r="AT109" s="1269"/>
      <c r="AU109" s="1734"/>
      <c r="AV109" s="1734"/>
      <c r="AW109" s="1641"/>
    </row>
    <row r="110">
      <c r="A110" s="1727"/>
      <c r="B110" s="1728"/>
      <c r="C110" s="1729"/>
      <c r="D110" s="1699"/>
      <c r="E110" s="1032"/>
      <c r="F110" s="1032"/>
      <c r="G110" s="1032"/>
      <c r="H110" s="1730"/>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2"/>
    </row>
    <row r="111">
      <c r="A111" s="1731"/>
      <c r="B111" s="1732"/>
      <c r="C111" s="1733"/>
      <c r="D111" s="1699"/>
      <c r="E111" s="1026"/>
      <c r="F111" s="1026"/>
      <c r="G111" s="1026"/>
      <c r="H111" s="1730"/>
      <c r="I111" s="1134"/>
      <c r="J111" s="1269"/>
      <c r="K111" s="1269"/>
      <c r="L111" s="1269"/>
      <c r="M111" s="1269"/>
      <c r="N111" s="1269"/>
      <c r="O111" s="1269"/>
      <c r="P111" s="1269"/>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2"/>
      <c r="AN111" s="1232"/>
      <c r="AO111" s="1232"/>
      <c r="AP111" s="1232"/>
      <c r="AQ111" s="1232"/>
      <c r="AR111" s="1232"/>
      <c r="AS111" s="1232"/>
      <c r="AT111" s="1269"/>
      <c r="AU111" s="1734"/>
      <c r="AV111" s="1734"/>
      <c r="AW111" s="1641"/>
    </row>
    <row r="112">
      <c r="A112" s="1727"/>
      <c r="B112" s="1728"/>
      <c r="C112" s="1729"/>
      <c r="D112" s="1699"/>
      <c r="E112" s="1032"/>
      <c r="F112" s="1032"/>
      <c r="G112" s="1032"/>
      <c r="H112" s="1730"/>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2"/>
    </row>
    <row r="113">
      <c r="A113" s="1731"/>
      <c r="B113" s="1732"/>
      <c r="C113" s="1733"/>
      <c r="D113" s="1699"/>
      <c r="E113" s="1026"/>
      <c r="F113" s="1026"/>
      <c r="G113" s="1026"/>
      <c r="H113" s="1730"/>
      <c r="I113" s="1134"/>
      <c r="J113" s="1269"/>
      <c r="K113" s="1269"/>
      <c r="L113" s="1269"/>
      <c r="M113" s="1269"/>
      <c r="N113" s="1269"/>
      <c r="O113" s="1269"/>
      <c r="P113" s="1269"/>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2"/>
      <c r="AN113" s="1232"/>
      <c r="AO113" s="1232"/>
      <c r="AP113" s="1232"/>
      <c r="AQ113" s="1232"/>
      <c r="AR113" s="1232"/>
      <c r="AS113" s="1232"/>
      <c r="AT113" s="1269"/>
      <c r="AU113" s="1734"/>
      <c r="AV113" s="1734"/>
      <c r="AW113" s="1641"/>
    </row>
    <row r="114">
      <c r="A114" s="1727"/>
      <c r="B114" s="1728"/>
      <c r="C114" s="1729"/>
      <c r="D114" s="1699"/>
      <c r="E114" s="1032"/>
      <c r="F114" s="1032"/>
      <c r="G114" s="1032"/>
      <c r="H114" s="1730"/>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2"/>
    </row>
    <row r="115">
      <c r="A115" s="1731"/>
      <c r="B115" s="1732"/>
      <c r="C115" s="1733"/>
      <c r="D115" s="1699"/>
      <c r="E115" s="1026"/>
      <c r="F115" s="1026"/>
      <c r="G115" s="1026"/>
      <c r="H115" s="1134"/>
      <c r="I115" s="1134"/>
      <c r="J115" s="1269"/>
      <c r="K115" s="1269"/>
      <c r="L115" s="1269"/>
      <c r="M115" s="1269"/>
      <c r="N115" s="1269"/>
      <c r="O115" s="1269"/>
      <c r="P115" s="1269"/>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2"/>
      <c r="AN115" s="1232"/>
      <c r="AO115" s="1232"/>
      <c r="AP115" s="1232"/>
      <c r="AQ115" s="1232"/>
      <c r="AR115" s="1232"/>
      <c r="AS115" s="1232"/>
      <c r="AT115" s="1269"/>
      <c r="AU115" s="1734"/>
      <c r="AV115" s="1734"/>
      <c r="AW115" s="1641"/>
    </row>
    <row r="116">
      <c r="A116" s="1727"/>
      <c r="B116" s="1728"/>
      <c r="C116" s="1729"/>
      <c r="D116" s="1699"/>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2"/>
    </row>
    <row r="117">
      <c r="A117" s="1731"/>
      <c r="B117" s="1732"/>
      <c r="C117" s="1733"/>
      <c r="D117" s="1699"/>
      <c r="E117" s="1026"/>
      <c r="F117" s="1026"/>
      <c r="G117" s="1026"/>
      <c r="H117" s="1134"/>
      <c r="I117" s="1134"/>
      <c r="J117" s="1269"/>
      <c r="K117" s="1269"/>
      <c r="L117" s="1269"/>
      <c r="M117" s="1269"/>
      <c r="N117" s="1269"/>
      <c r="O117" s="1269"/>
      <c r="P117" s="1269"/>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2"/>
      <c r="AN117" s="1232"/>
      <c r="AO117" s="1232"/>
      <c r="AP117" s="1232"/>
      <c r="AQ117" s="1232"/>
      <c r="AR117" s="1232"/>
      <c r="AS117" s="1232"/>
      <c r="AT117" s="1269"/>
      <c r="AU117" s="1734"/>
      <c r="AV117" s="1734"/>
      <c r="AW117" s="1641"/>
    </row>
    <row r="118">
      <c r="A118" s="1727"/>
      <c r="B118" s="1728"/>
      <c r="C118" s="1729"/>
      <c r="D118" s="1699"/>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2"/>
    </row>
    <row r="119">
      <c r="A119" s="1731"/>
      <c r="B119" s="1732"/>
      <c r="C119" s="1733"/>
      <c r="D119" s="1699"/>
      <c r="E119" s="1026"/>
      <c r="F119" s="1026"/>
      <c r="G119" s="1026"/>
      <c r="H119" s="1134"/>
      <c r="I119" s="1134"/>
      <c r="J119" s="1269"/>
      <c r="K119" s="1269"/>
      <c r="L119" s="1269"/>
      <c r="M119" s="1269"/>
      <c r="N119" s="1269"/>
      <c r="O119" s="1269"/>
      <c r="P119" s="1269"/>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2"/>
      <c r="AN119" s="1232"/>
      <c r="AO119" s="1232"/>
      <c r="AP119" s="1232"/>
      <c r="AQ119" s="1232"/>
      <c r="AR119" s="1232"/>
      <c r="AS119" s="1232"/>
      <c r="AT119" s="1269"/>
      <c r="AU119" s="1734"/>
      <c r="AV119" s="1734"/>
      <c r="AW119" s="1641"/>
    </row>
    <row r="120">
      <c r="A120" s="1727"/>
      <c r="B120" s="1728"/>
      <c r="C120" s="1729"/>
      <c r="D120" s="1699"/>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2"/>
    </row>
    <row r="121">
      <c r="A121" s="1731"/>
      <c r="B121" s="1732"/>
      <c r="C121" s="1733"/>
      <c r="D121" s="1699"/>
      <c r="E121" s="1026"/>
      <c r="F121" s="1026"/>
      <c r="G121" s="1026"/>
      <c r="H121" s="1134"/>
      <c r="I121" s="1134"/>
      <c r="J121" s="1269"/>
      <c r="K121" s="1269"/>
      <c r="L121" s="1269"/>
      <c r="M121" s="1269"/>
      <c r="N121" s="1269"/>
      <c r="O121" s="1269"/>
      <c r="P121" s="1269"/>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2"/>
      <c r="AN121" s="1232"/>
      <c r="AO121" s="1232"/>
      <c r="AP121" s="1232"/>
      <c r="AQ121" s="1232"/>
      <c r="AR121" s="1232"/>
      <c r="AS121" s="1232"/>
      <c r="AT121" s="1269"/>
      <c r="AU121" s="1734"/>
      <c r="AV121" s="1734"/>
      <c r="AW121" s="1641"/>
    </row>
    <row r="122">
      <c r="A122" s="1727"/>
      <c r="B122" s="1728"/>
      <c r="C122" s="1729"/>
      <c r="D122" s="1699"/>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2"/>
    </row>
    <row r="123">
      <c r="A123" s="1731"/>
      <c r="B123" s="1732"/>
      <c r="C123" s="1733"/>
      <c r="D123" s="1699"/>
      <c r="E123" s="1026"/>
      <c r="F123" s="1026"/>
      <c r="G123" s="1026"/>
      <c r="H123" s="1134"/>
      <c r="I123" s="1134"/>
      <c r="J123" s="1269"/>
      <c r="K123" s="1269"/>
      <c r="L123" s="1269"/>
      <c r="M123" s="1269"/>
      <c r="N123" s="1269"/>
      <c r="O123" s="1269"/>
      <c r="P123" s="1269"/>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2"/>
      <c r="AN123" s="1232"/>
      <c r="AO123" s="1232"/>
      <c r="AP123" s="1232"/>
      <c r="AQ123" s="1232"/>
      <c r="AR123" s="1232"/>
      <c r="AS123" s="1232"/>
      <c r="AT123" s="1269"/>
      <c r="AU123" s="1734"/>
      <c r="AV123" s="1734"/>
      <c r="AW123" s="1641"/>
    </row>
    <row r="124">
      <c r="A124" s="1727"/>
      <c r="B124" s="1728"/>
      <c r="C124" s="1729"/>
      <c r="D124" s="1699"/>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2"/>
    </row>
    <row r="125">
      <c r="A125" s="1731"/>
      <c r="B125" s="1732"/>
      <c r="C125" s="1733"/>
      <c r="D125" s="1699"/>
      <c r="E125" s="1026"/>
      <c r="F125" s="1026"/>
      <c r="G125" s="1026"/>
      <c r="H125" s="1134"/>
      <c r="I125" s="1134"/>
      <c r="J125" s="1269"/>
      <c r="K125" s="1269"/>
      <c r="L125" s="1269"/>
      <c r="M125" s="1269"/>
      <c r="N125" s="1269"/>
      <c r="O125" s="1269"/>
      <c r="P125" s="1269"/>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2"/>
      <c r="AN125" s="1232"/>
      <c r="AO125" s="1232"/>
      <c r="AP125" s="1232"/>
      <c r="AQ125" s="1232"/>
      <c r="AR125" s="1232"/>
      <c r="AS125" s="1232"/>
      <c r="AT125" s="1269"/>
      <c r="AU125" s="1734"/>
      <c r="AV125" s="1734"/>
      <c r="AW125" s="1641"/>
    </row>
    <row r="126">
      <c r="A126" s="1727"/>
      <c r="B126" s="1728"/>
      <c r="C126" s="1729"/>
      <c r="D126" s="1699"/>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2"/>
    </row>
    <row r="127">
      <c r="A127" s="1731"/>
      <c r="B127" s="1732"/>
      <c r="C127" s="1733"/>
      <c r="D127" s="1699"/>
      <c r="E127" s="1026"/>
      <c r="F127" s="1026"/>
      <c r="G127" s="1026"/>
      <c r="H127" s="1134"/>
      <c r="I127" s="1134"/>
      <c r="J127" s="1269"/>
      <c r="K127" s="1269"/>
      <c r="L127" s="1269"/>
      <c r="M127" s="1269"/>
      <c r="N127" s="1269"/>
      <c r="O127" s="1269"/>
      <c r="P127" s="1269"/>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2"/>
      <c r="AN127" s="1232"/>
      <c r="AO127" s="1232"/>
      <c r="AP127" s="1232"/>
      <c r="AQ127" s="1232"/>
      <c r="AR127" s="1232"/>
      <c r="AS127" s="1232"/>
      <c r="AT127" s="1269"/>
      <c r="AU127" s="1734"/>
      <c r="AV127" s="1734"/>
      <c r="AW127" s="1641"/>
    </row>
    <row r="128">
      <c r="A128" s="1727"/>
      <c r="B128" s="1728"/>
      <c r="C128" s="1729"/>
      <c r="D128" s="1699"/>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2"/>
    </row>
    <row r="129">
      <c r="A129" s="1731"/>
      <c r="B129" s="1732"/>
      <c r="C129" s="1733"/>
      <c r="D129" s="1699"/>
      <c r="E129" s="1026"/>
      <c r="F129" s="1026"/>
      <c r="G129" s="1026"/>
      <c r="H129" s="1134"/>
      <c r="I129" s="1134"/>
      <c r="J129" s="1269"/>
      <c r="K129" s="1269"/>
      <c r="L129" s="1269"/>
      <c r="M129" s="1269"/>
      <c r="N129" s="1269"/>
      <c r="O129" s="1269"/>
      <c r="P129" s="1269"/>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2"/>
      <c r="AN129" s="1232"/>
      <c r="AO129" s="1232"/>
      <c r="AP129" s="1232"/>
      <c r="AQ129" s="1232"/>
      <c r="AR129" s="1232"/>
      <c r="AS129" s="1232"/>
      <c r="AT129" s="1269"/>
      <c r="AU129" s="1734"/>
      <c r="AV129" s="1734"/>
      <c r="AW129" s="1641"/>
    </row>
    <row r="130">
      <c r="A130" s="1727"/>
      <c r="B130" s="1728"/>
      <c r="C130" s="1729"/>
      <c r="D130" s="1699"/>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2"/>
    </row>
    <row r="131">
      <c r="A131" s="1731"/>
      <c r="B131" s="1732"/>
      <c r="C131" s="1733"/>
      <c r="D131" s="1699"/>
      <c r="E131" s="1026"/>
      <c r="F131" s="1026"/>
      <c r="G131" s="1026"/>
      <c r="H131" s="1134"/>
      <c r="I131" s="1134"/>
      <c r="J131" s="1269"/>
      <c r="K131" s="1269"/>
      <c r="L131" s="1269"/>
      <c r="M131" s="1269"/>
      <c r="N131" s="1269"/>
      <c r="O131" s="1269"/>
      <c r="P131" s="1269"/>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2"/>
      <c r="AN131" s="1232"/>
      <c r="AO131" s="1232"/>
      <c r="AP131" s="1232"/>
      <c r="AQ131" s="1232"/>
      <c r="AR131" s="1232"/>
      <c r="AS131" s="1232"/>
      <c r="AT131" s="1269"/>
      <c r="AU131" s="1734"/>
      <c r="AV131" s="1734"/>
      <c r="AW131" s="1641"/>
    </row>
    <row r="132">
      <c r="A132" s="1727"/>
      <c r="B132" s="1728"/>
      <c r="C132" s="1729"/>
      <c r="D132" s="1699"/>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2"/>
    </row>
    <row r="133">
      <c r="A133" s="1731"/>
      <c r="B133" s="1732"/>
      <c r="C133" s="1733"/>
      <c r="D133" s="1699"/>
      <c r="E133" s="1026"/>
      <c r="F133" s="1026"/>
      <c r="G133" s="1026"/>
      <c r="H133" s="1134"/>
      <c r="I133" s="1134"/>
      <c r="J133" s="1269"/>
      <c r="K133" s="1269"/>
      <c r="L133" s="1269"/>
      <c r="M133" s="1269"/>
      <c r="N133" s="1269"/>
      <c r="O133" s="1269"/>
      <c r="P133" s="1269"/>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2"/>
      <c r="AN133" s="1232"/>
      <c r="AO133" s="1232"/>
      <c r="AP133" s="1232"/>
      <c r="AQ133" s="1232"/>
      <c r="AR133" s="1232"/>
      <c r="AS133" s="1232"/>
      <c r="AT133" s="1269"/>
      <c r="AU133" s="1734"/>
      <c r="AV133" s="1734"/>
      <c r="AW133" s="1641"/>
    </row>
    <row r="134">
      <c r="A134" s="1727"/>
      <c r="B134" s="1728"/>
      <c r="C134" s="1729"/>
      <c r="D134" s="1699"/>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2"/>
    </row>
    <row r="135">
      <c r="A135" s="1731"/>
      <c r="B135" s="1732"/>
      <c r="C135" s="1733"/>
      <c r="D135" s="1699"/>
      <c r="E135" s="1026"/>
      <c r="F135" s="1026"/>
      <c r="G135" s="1026"/>
      <c r="H135" s="1134"/>
      <c r="I135" s="1134"/>
      <c r="J135" s="1269"/>
      <c r="K135" s="1269"/>
      <c r="L135" s="1269"/>
      <c r="M135" s="1269"/>
      <c r="N135" s="1269"/>
      <c r="O135" s="1269"/>
      <c r="P135" s="1269"/>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2"/>
      <c r="AN135" s="1232"/>
      <c r="AO135" s="1232"/>
      <c r="AP135" s="1232"/>
      <c r="AQ135" s="1232"/>
      <c r="AR135" s="1232"/>
      <c r="AS135" s="1232"/>
      <c r="AT135" s="1269"/>
      <c r="AU135" s="1734"/>
      <c r="AV135" s="1734"/>
      <c r="AW135" s="1641"/>
    </row>
    <row r="136">
      <c r="A136" s="1727"/>
      <c r="B136" s="1728"/>
      <c r="C136" s="1729"/>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2"/>
    </row>
    <row r="137">
      <c r="A137" s="1731"/>
      <c r="B137" s="1732"/>
      <c r="C137" s="1733"/>
      <c r="D137" s="1026"/>
      <c r="E137" s="1026"/>
      <c r="F137" s="1026"/>
      <c r="G137" s="1026"/>
      <c r="H137" s="1134"/>
      <c r="I137" s="1134"/>
      <c r="J137" s="1269"/>
      <c r="K137" s="1269"/>
      <c r="L137" s="1269"/>
      <c r="M137" s="1269"/>
      <c r="N137" s="1269"/>
      <c r="O137" s="1269"/>
      <c r="P137" s="1269"/>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2"/>
      <c r="AN137" s="1232"/>
      <c r="AO137" s="1232"/>
      <c r="AP137" s="1232"/>
      <c r="AQ137" s="1232"/>
      <c r="AR137" s="1232"/>
      <c r="AS137" s="1232"/>
      <c r="AT137" s="1269"/>
      <c r="AU137" s="1734"/>
      <c r="AV137" s="1734"/>
      <c r="AW137" s="1641"/>
    </row>
    <row r="138">
      <c r="A138" s="1727"/>
      <c r="B138" s="1728"/>
      <c r="C138" s="1729"/>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2"/>
    </row>
    <row r="139">
      <c r="A139" s="1731"/>
      <c r="B139" s="1732"/>
      <c r="C139" s="1733"/>
      <c r="D139" s="1026"/>
      <c r="E139" s="1026"/>
      <c r="F139" s="1026"/>
      <c r="G139" s="1026"/>
      <c r="H139" s="1134"/>
      <c r="I139" s="1134"/>
      <c r="J139" s="1269"/>
      <c r="K139" s="1269"/>
      <c r="L139" s="1269"/>
      <c r="M139" s="1269"/>
      <c r="N139" s="1269"/>
      <c r="O139" s="1269"/>
      <c r="P139" s="1269"/>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2"/>
      <c r="AN139" s="1232"/>
      <c r="AO139" s="1232"/>
      <c r="AP139" s="1232"/>
      <c r="AQ139" s="1232"/>
      <c r="AR139" s="1232"/>
      <c r="AS139" s="1232"/>
      <c r="AT139" s="1269"/>
      <c r="AU139" s="1734"/>
      <c r="AV139" s="1734"/>
      <c r="AW139" s="1641"/>
    </row>
    <row r="140">
      <c r="A140" s="1727"/>
      <c r="B140" s="1728"/>
      <c r="C140" s="1729"/>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2"/>
    </row>
    <row r="141">
      <c r="A141" s="1731"/>
      <c r="B141" s="1732"/>
      <c r="C141" s="1733"/>
      <c r="D141" s="1026"/>
      <c r="E141" s="1026"/>
      <c r="F141" s="1026"/>
      <c r="G141" s="1026"/>
      <c r="H141" s="1134"/>
      <c r="I141" s="1134"/>
      <c r="J141" s="1269"/>
      <c r="K141" s="1269"/>
      <c r="L141" s="1269"/>
      <c r="M141" s="1269"/>
      <c r="N141" s="1269"/>
      <c r="O141" s="1269"/>
      <c r="P141" s="1269"/>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2"/>
      <c r="AN141" s="1232"/>
      <c r="AO141" s="1232"/>
      <c r="AP141" s="1232"/>
      <c r="AQ141" s="1232"/>
      <c r="AR141" s="1232"/>
      <c r="AS141" s="1232"/>
      <c r="AT141" s="1269"/>
      <c r="AU141" s="1734"/>
      <c r="AV141" s="1734"/>
      <c r="AW141" s="1641"/>
    </row>
    <row r="142">
      <c r="A142" s="1727"/>
      <c r="B142" s="1728"/>
      <c r="C142" s="1729"/>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2"/>
    </row>
    <row r="143">
      <c r="A143" s="1731"/>
      <c r="B143" s="1732"/>
      <c r="C143" s="1733"/>
      <c r="D143" s="1026"/>
      <c r="E143" s="1026"/>
      <c r="F143" s="1026"/>
      <c r="G143" s="1026"/>
      <c r="H143" s="1134"/>
      <c r="I143" s="1134"/>
      <c r="J143" s="1269"/>
      <c r="K143" s="1269"/>
      <c r="L143" s="1269"/>
      <c r="M143" s="1269"/>
      <c r="N143" s="1269"/>
      <c r="O143" s="1269"/>
      <c r="P143" s="1269"/>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2"/>
      <c r="AN143" s="1232"/>
      <c r="AO143" s="1232"/>
      <c r="AP143" s="1232"/>
      <c r="AQ143" s="1232"/>
      <c r="AR143" s="1232"/>
      <c r="AS143" s="1232"/>
      <c r="AT143" s="1269"/>
      <c r="AU143" s="1734"/>
      <c r="AV143" s="1734"/>
      <c r="AW143" s="1641"/>
    </row>
    <row r="144">
      <c r="A144" s="1727"/>
      <c r="B144" s="1728"/>
      <c r="C144" s="1729"/>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2"/>
    </row>
    <row r="145">
      <c r="A145" s="1731"/>
      <c r="B145" s="1732"/>
      <c r="C145" s="1733"/>
      <c r="D145" s="1026"/>
      <c r="E145" s="1026"/>
      <c r="F145" s="1026"/>
      <c r="G145" s="1026"/>
      <c r="H145" s="1134"/>
      <c r="I145" s="1134"/>
      <c r="J145" s="1269"/>
      <c r="K145" s="1269"/>
      <c r="L145" s="1269"/>
      <c r="M145" s="1269"/>
      <c r="N145" s="1269"/>
      <c r="O145" s="1269"/>
      <c r="P145" s="1269"/>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2"/>
      <c r="AN145" s="1232"/>
      <c r="AO145" s="1232"/>
      <c r="AP145" s="1232"/>
      <c r="AQ145" s="1232"/>
      <c r="AR145" s="1232"/>
      <c r="AS145" s="1232"/>
      <c r="AT145" s="1269"/>
      <c r="AU145" s="1734"/>
      <c r="AV145" s="1734"/>
      <c r="AW145" s="1641"/>
    </row>
    <row r="146">
      <c r="A146" s="1727"/>
      <c r="B146" s="1728"/>
      <c r="C146" s="1729"/>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2"/>
    </row>
    <row r="147">
      <c r="A147" s="1731"/>
      <c r="B147" s="1732"/>
      <c r="C147" s="1733"/>
      <c r="D147" s="1026"/>
      <c r="E147" s="1026"/>
      <c r="F147" s="1026"/>
      <c r="G147" s="1026"/>
      <c r="H147" s="1134"/>
      <c r="I147" s="1134"/>
      <c r="J147" s="1269"/>
      <c r="K147" s="1269"/>
      <c r="L147" s="1269"/>
      <c r="M147" s="1269"/>
      <c r="N147" s="1269"/>
      <c r="O147" s="1269"/>
      <c r="P147" s="1269"/>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2"/>
      <c r="AN147" s="1232"/>
      <c r="AO147" s="1232"/>
      <c r="AP147" s="1232"/>
      <c r="AQ147" s="1232"/>
      <c r="AR147" s="1232"/>
      <c r="AS147" s="1232"/>
      <c r="AT147" s="1269"/>
      <c r="AU147" s="1734"/>
      <c r="AV147" s="1734"/>
      <c r="AW147" s="1641"/>
    </row>
    <row r="148">
      <c r="A148" s="1727"/>
      <c r="B148" s="1728"/>
      <c r="C148" s="1729"/>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2"/>
    </row>
    <row r="149">
      <c r="A149" s="1731"/>
      <c r="B149" s="1732"/>
      <c r="C149" s="1733"/>
      <c r="D149" s="1026"/>
      <c r="E149" s="1026"/>
      <c r="F149" s="1026"/>
      <c r="G149" s="1026"/>
      <c r="H149" s="1134"/>
      <c r="I149" s="1134"/>
      <c r="J149" s="1269"/>
      <c r="K149" s="1269"/>
      <c r="L149" s="1269"/>
      <c r="M149" s="1269"/>
      <c r="N149" s="1269"/>
      <c r="O149" s="1269"/>
      <c r="P149" s="1269"/>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2"/>
      <c r="AN149" s="1232"/>
      <c r="AO149" s="1232"/>
      <c r="AP149" s="1232"/>
      <c r="AQ149" s="1232"/>
      <c r="AR149" s="1232"/>
      <c r="AS149" s="1232"/>
      <c r="AT149" s="1269"/>
      <c r="AU149" s="1734"/>
      <c r="AV149" s="1734"/>
      <c r="AW149" s="1641"/>
    </row>
    <row r="150">
      <c r="A150" s="1727"/>
      <c r="B150" s="1728"/>
      <c r="C150" s="1729"/>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2"/>
    </row>
    <row r="151">
      <c r="A151" s="1731"/>
      <c r="B151" s="1732"/>
      <c r="C151" s="1733"/>
      <c r="D151" s="1026"/>
      <c r="E151" s="1026"/>
      <c r="F151" s="1026"/>
      <c r="G151" s="1026"/>
      <c r="H151" s="1134"/>
      <c r="I151" s="1134"/>
      <c r="J151" s="1269"/>
      <c r="K151" s="1269"/>
      <c r="L151" s="1269"/>
      <c r="M151" s="1269"/>
      <c r="N151" s="1269"/>
      <c r="O151" s="1269"/>
      <c r="P151" s="1269"/>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2"/>
      <c r="AN151" s="1232"/>
      <c r="AO151" s="1232"/>
      <c r="AP151" s="1232"/>
      <c r="AQ151" s="1232"/>
      <c r="AR151" s="1232"/>
      <c r="AS151" s="1232"/>
      <c r="AT151" s="1269"/>
      <c r="AU151" s="1734"/>
      <c r="AV151" s="1734"/>
      <c r="AW151" s="1641"/>
    </row>
    <row r="152">
      <c r="A152" s="1727"/>
      <c r="B152" s="1728"/>
      <c r="C152" s="1729"/>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2"/>
    </row>
    <row r="153">
      <c r="A153" s="1731"/>
      <c r="B153" s="1732"/>
      <c r="C153" s="1733"/>
      <c r="D153" s="1026"/>
      <c r="E153" s="1026"/>
      <c r="F153" s="1026"/>
      <c r="G153" s="1026"/>
      <c r="H153" s="1134"/>
      <c r="I153" s="1134"/>
      <c r="J153" s="1269"/>
      <c r="K153" s="1269"/>
      <c r="L153" s="1269"/>
      <c r="M153" s="1269"/>
      <c r="N153" s="1269"/>
      <c r="O153" s="1269"/>
      <c r="P153" s="1269"/>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2"/>
      <c r="AN153" s="1232"/>
      <c r="AO153" s="1232"/>
      <c r="AP153" s="1232"/>
      <c r="AQ153" s="1232"/>
      <c r="AR153" s="1232"/>
      <c r="AS153" s="1232"/>
      <c r="AT153" s="1269"/>
      <c r="AU153" s="1734"/>
      <c r="AV153" s="1734"/>
      <c r="AW153" s="1641"/>
    </row>
    <row r="154">
      <c r="A154" s="1727"/>
      <c r="B154" s="1728"/>
      <c r="C154" s="1729"/>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2"/>
    </row>
    <row r="155">
      <c r="A155" s="1731"/>
      <c r="B155" s="1732"/>
      <c r="C155" s="1733"/>
      <c r="D155" s="1026"/>
      <c r="E155" s="1026"/>
      <c r="F155" s="1026"/>
      <c r="G155" s="1026"/>
      <c r="H155" s="1134"/>
      <c r="I155" s="1134"/>
      <c r="J155" s="1269"/>
      <c r="K155" s="1269"/>
      <c r="L155" s="1269"/>
      <c r="M155" s="1269"/>
      <c r="N155" s="1269"/>
      <c r="O155" s="1269"/>
      <c r="P155" s="1269"/>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2"/>
      <c r="AN155" s="1232"/>
      <c r="AO155" s="1232"/>
      <c r="AP155" s="1232"/>
      <c r="AQ155" s="1232"/>
      <c r="AR155" s="1232"/>
      <c r="AS155" s="1232"/>
      <c r="AT155" s="1269"/>
      <c r="AU155" s="1734"/>
      <c r="AV155" s="1734"/>
      <c r="AW155" s="1641"/>
    </row>
    <row r="156">
      <c r="A156" s="1727"/>
      <c r="B156" s="1728"/>
      <c r="C156" s="1729"/>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2"/>
    </row>
    <row r="157">
      <c r="A157" s="1731"/>
      <c r="B157" s="1732"/>
      <c r="C157" s="1733"/>
      <c r="D157" s="1026"/>
      <c r="E157" s="1026"/>
      <c r="F157" s="1026"/>
      <c r="G157" s="1026"/>
      <c r="H157" s="1134"/>
      <c r="I157" s="1134"/>
      <c r="J157" s="1269"/>
      <c r="K157" s="1269"/>
      <c r="L157" s="1269"/>
      <c r="M157" s="1269"/>
      <c r="N157" s="1269"/>
      <c r="O157" s="1269"/>
      <c r="P157" s="1269"/>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2"/>
      <c r="AN157" s="1232"/>
      <c r="AO157" s="1232"/>
      <c r="AP157" s="1232"/>
      <c r="AQ157" s="1232"/>
      <c r="AR157" s="1232"/>
      <c r="AS157" s="1232"/>
      <c r="AT157" s="1269"/>
      <c r="AU157" s="1734"/>
      <c r="AV157" s="1734"/>
      <c r="AW157" s="1641"/>
    </row>
    <row r="158">
      <c r="A158" s="1727"/>
      <c r="B158" s="1728"/>
      <c r="C158" s="1729"/>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2"/>
    </row>
    <row r="159">
      <c r="A159" s="1731"/>
      <c r="B159" s="1732"/>
      <c r="C159" s="1733"/>
      <c r="D159" s="1026"/>
      <c r="E159" s="1026"/>
      <c r="F159" s="1026"/>
      <c r="G159" s="1026"/>
      <c r="H159" s="1134"/>
      <c r="I159" s="1134"/>
      <c r="J159" s="1269"/>
      <c r="K159" s="1269"/>
      <c r="L159" s="1269"/>
      <c r="M159" s="1269"/>
      <c r="N159" s="1269"/>
      <c r="O159" s="1269"/>
      <c r="P159" s="1269"/>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2"/>
      <c r="AN159" s="1232"/>
      <c r="AO159" s="1232"/>
      <c r="AP159" s="1232"/>
      <c r="AQ159" s="1232"/>
      <c r="AR159" s="1232"/>
      <c r="AS159" s="1232"/>
      <c r="AT159" s="1269"/>
      <c r="AU159" s="1734"/>
      <c r="AV159" s="1734"/>
      <c r="AW159" s="1641"/>
    </row>
    <row r="160">
      <c r="A160" s="1727"/>
      <c r="B160" s="1728"/>
      <c r="C160" s="1729"/>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2"/>
    </row>
    <row r="161">
      <c r="A161" s="1731"/>
      <c r="B161" s="1732"/>
      <c r="C161" s="1733"/>
      <c r="D161" s="1026"/>
      <c r="E161" s="1026"/>
      <c r="F161" s="1026"/>
      <c r="G161" s="1026"/>
      <c r="H161" s="1134"/>
      <c r="I161" s="1134"/>
      <c r="J161" s="1269"/>
      <c r="K161" s="1269"/>
      <c r="L161" s="1269"/>
      <c r="M161" s="1269"/>
      <c r="N161" s="1269"/>
      <c r="O161" s="1269"/>
      <c r="P161" s="1269"/>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2"/>
      <c r="AN161" s="1232"/>
      <c r="AO161" s="1232"/>
      <c r="AP161" s="1232"/>
      <c r="AQ161" s="1232"/>
      <c r="AR161" s="1232"/>
      <c r="AS161" s="1232"/>
      <c r="AT161" s="1269"/>
      <c r="AU161" s="1734"/>
      <c r="AV161" s="1734"/>
      <c r="AW161" s="1641"/>
    </row>
    <row r="162">
      <c r="A162" s="1727"/>
      <c r="B162" s="1728"/>
      <c r="C162" s="1729"/>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2"/>
    </row>
    <row r="163">
      <c r="A163" s="1731"/>
      <c r="B163" s="1732"/>
      <c r="C163" s="1733"/>
      <c r="D163" s="1026"/>
      <c r="E163" s="1026"/>
      <c r="F163" s="1026"/>
      <c r="G163" s="1026"/>
      <c r="H163" s="1134"/>
      <c r="I163" s="1134"/>
      <c r="J163" s="1269"/>
      <c r="K163" s="1269"/>
      <c r="L163" s="1269"/>
      <c r="M163" s="1269"/>
      <c r="N163" s="1269"/>
      <c r="O163" s="1269"/>
      <c r="P163" s="1269"/>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2"/>
      <c r="AN163" s="1232"/>
      <c r="AO163" s="1232"/>
      <c r="AP163" s="1232"/>
      <c r="AQ163" s="1232"/>
      <c r="AR163" s="1232"/>
      <c r="AS163" s="1232"/>
      <c r="AT163" s="1269"/>
      <c r="AU163" s="1734"/>
      <c r="AV163" s="1734"/>
      <c r="AW163" s="1641"/>
    </row>
    <row r="164">
      <c r="A164" s="1727"/>
      <c r="B164" s="1728"/>
      <c r="C164" s="1729"/>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2"/>
    </row>
    <row r="165">
      <c r="A165" s="1731"/>
      <c r="B165" s="1732"/>
      <c r="C165" s="1733"/>
      <c r="D165" s="1026"/>
      <c r="E165" s="1026"/>
      <c r="F165" s="1026"/>
      <c r="G165" s="1026"/>
      <c r="H165" s="1134"/>
      <c r="I165" s="1134"/>
      <c r="J165" s="1269"/>
      <c r="K165" s="1269"/>
      <c r="L165" s="1269"/>
      <c r="M165" s="1269"/>
      <c r="N165" s="1269"/>
      <c r="O165" s="1269"/>
      <c r="P165" s="1269"/>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2"/>
      <c r="AN165" s="1232"/>
      <c r="AO165" s="1232"/>
      <c r="AP165" s="1232"/>
      <c r="AQ165" s="1232"/>
      <c r="AR165" s="1232"/>
      <c r="AS165" s="1232"/>
      <c r="AT165" s="1269"/>
      <c r="AU165" s="1734"/>
      <c r="AV165" s="1734"/>
      <c r="AW165" s="1641"/>
    </row>
    <row r="166">
      <c r="A166" s="1727"/>
      <c r="B166" s="1728"/>
      <c r="C166" s="1729"/>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2"/>
    </row>
    <row r="167">
      <c r="A167" s="1731"/>
      <c r="B167" s="1732"/>
      <c r="C167" s="1733"/>
      <c r="D167" s="1026"/>
      <c r="E167" s="1026"/>
      <c r="F167" s="1026"/>
      <c r="G167" s="1026"/>
      <c r="H167" s="1134"/>
      <c r="I167" s="1134"/>
      <c r="J167" s="1269"/>
      <c r="K167" s="1269"/>
      <c r="L167" s="1269"/>
      <c r="M167" s="1269"/>
      <c r="N167" s="1269"/>
      <c r="O167" s="1269"/>
      <c r="P167" s="1269"/>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2"/>
      <c r="AN167" s="1232"/>
      <c r="AO167" s="1232"/>
      <c r="AP167" s="1232"/>
      <c r="AQ167" s="1232"/>
      <c r="AR167" s="1232"/>
      <c r="AS167" s="1232"/>
      <c r="AT167" s="1269"/>
      <c r="AU167" s="1734"/>
      <c r="AV167" s="1734"/>
      <c r="AW167" s="1641"/>
    </row>
    <row r="168">
      <c r="A168" s="1727"/>
      <c r="B168" s="1728"/>
      <c r="C168" s="1729"/>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2"/>
    </row>
    <row r="169">
      <c r="A169" s="1731"/>
      <c r="B169" s="1732"/>
      <c r="C169" s="1733"/>
      <c r="D169" s="1026"/>
      <c r="E169" s="1026"/>
      <c r="F169" s="1026"/>
      <c r="G169" s="1026"/>
      <c r="H169" s="1134"/>
      <c r="I169" s="1134"/>
      <c r="J169" s="1269"/>
      <c r="K169" s="1269"/>
      <c r="L169" s="1269"/>
      <c r="M169" s="1269"/>
      <c r="N169" s="1269"/>
      <c r="O169" s="1269"/>
      <c r="P169" s="1269"/>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2"/>
      <c r="AN169" s="1232"/>
      <c r="AO169" s="1232"/>
      <c r="AP169" s="1232"/>
      <c r="AQ169" s="1232"/>
      <c r="AR169" s="1232"/>
      <c r="AS169" s="1232"/>
      <c r="AT169" s="1269"/>
      <c r="AU169" s="1734"/>
      <c r="AV169" s="1734"/>
      <c r="AW169" s="1641"/>
    </row>
    <row r="170">
      <c r="A170" s="1727"/>
      <c r="B170" s="1728"/>
      <c r="C170" s="1729"/>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2"/>
    </row>
    <row r="171">
      <c r="A171" s="1731"/>
      <c r="B171" s="1732"/>
      <c r="C171" s="1733"/>
      <c r="D171" s="1026"/>
      <c r="E171" s="1026"/>
      <c r="F171" s="1026"/>
      <c r="G171" s="1026"/>
      <c r="H171" s="1134"/>
      <c r="I171" s="1134"/>
      <c r="J171" s="1269"/>
      <c r="K171" s="1269"/>
      <c r="L171" s="1269"/>
      <c r="M171" s="1269"/>
      <c r="N171" s="1269"/>
      <c r="O171" s="1269"/>
      <c r="P171" s="1269"/>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2"/>
      <c r="AN171" s="1232"/>
      <c r="AO171" s="1232"/>
      <c r="AP171" s="1232"/>
      <c r="AQ171" s="1232"/>
      <c r="AR171" s="1232"/>
      <c r="AS171" s="1232"/>
      <c r="AT171" s="1269"/>
      <c r="AU171" s="1734"/>
      <c r="AV171" s="1734"/>
      <c r="AW171" s="1641"/>
    </row>
    <row r="172">
      <c r="A172" s="1727"/>
      <c r="B172" s="1728"/>
      <c r="C172" s="1729"/>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2"/>
    </row>
    <row r="173">
      <c r="A173" s="1731"/>
      <c r="B173" s="1732"/>
      <c r="C173" s="1733"/>
      <c r="D173" s="1026"/>
      <c r="E173" s="1026"/>
      <c r="F173" s="1026"/>
      <c r="G173" s="1026"/>
      <c r="H173" s="1134"/>
      <c r="I173" s="1134"/>
      <c r="J173" s="1269"/>
      <c r="K173" s="1269"/>
      <c r="L173" s="1269"/>
      <c r="M173" s="1269"/>
      <c r="N173" s="1269"/>
      <c r="O173" s="1269"/>
      <c r="P173" s="1269"/>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2"/>
      <c r="AN173" s="1232"/>
      <c r="AO173" s="1232"/>
      <c r="AP173" s="1232"/>
      <c r="AQ173" s="1232"/>
      <c r="AR173" s="1232"/>
      <c r="AS173" s="1232"/>
      <c r="AT173" s="1269"/>
      <c r="AU173" s="1734"/>
      <c r="AV173" s="1734"/>
      <c r="AW173" s="1641"/>
    </row>
    <row r="174">
      <c r="A174" s="1727"/>
      <c r="B174" s="1728"/>
      <c r="C174" s="1729"/>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2"/>
    </row>
    <row r="175">
      <c r="A175" s="1731"/>
      <c r="B175" s="1732"/>
      <c r="C175" s="1733"/>
      <c r="D175" s="1026"/>
      <c r="E175" s="1026"/>
      <c r="F175" s="1026"/>
      <c r="G175" s="1026"/>
      <c r="H175" s="1134"/>
      <c r="I175" s="1134"/>
      <c r="J175" s="1269"/>
      <c r="K175" s="1269"/>
      <c r="L175" s="1269"/>
      <c r="M175" s="1269"/>
      <c r="N175" s="1269"/>
      <c r="O175" s="1269"/>
      <c r="P175" s="1269"/>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2"/>
      <c r="AN175" s="1232"/>
      <c r="AO175" s="1232"/>
      <c r="AP175" s="1232"/>
      <c r="AQ175" s="1232"/>
      <c r="AR175" s="1232"/>
      <c r="AS175" s="1232"/>
      <c r="AT175" s="1269"/>
      <c r="AU175" s="1734"/>
      <c r="AV175" s="1734"/>
      <c r="AW175" s="1641"/>
    </row>
    <row r="176">
      <c r="A176" s="1727"/>
      <c r="B176" s="1728"/>
      <c r="C176" s="1729"/>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2"/>
    </row>
    <row r="177">
      <c r="A177" s="1731"/>
      <c r="B177" s="1732"/>
      <c r="C177" s="1733"/>
      <c r="D177" s="1026"/>
      <c r="E177" s="1026"/>
      <c r="F177" s="1026"/>
      <c r="G177" s="1026"/>
      <c r="H177" s="1134"/>
      <c r="I177" s="1134"/>
      <c r="J177" s="1269"/>
      <c r="K177" s="1269"/>
      <c r="L177" s="1269"/>
      <c r="M177" s="1269"/>
      <c r="N177" s="1269"/>
      <c r="O177" s="1269"/>
      <c r="P177" s="1269"/>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2"/>
      <c r="AN177" s="1232"/>
      <c r="AO177" s="1232"/>
      <c r="AP177" s="1232"/>
      <c r="AQ177" s="1232"/>
      <c r="AR177" s="1232"/>
      <c r="AS177" s="1232"/>
      <c r="AT177" s="1269"/>
      <c r="AU177" s="1734"/>
      <c r="AV177" s="1734"/>
      <c r="AW177" s="1641"/>
    </row>
    <row r="178">
      <c r="A178" s="1727"/>
      <c r="B178" s="1728"/>
      <c r="C178" s="1729"/>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2"/>
    </row>
    <row r="179">
      <c r="A179" s="1731"/>
      <c r="B179" s="1732"/>
      <c r="C179" s="1733"/>
      <c r="D179" s="1026"/>
      <c r="E179" s="1026"/>
      <c r="F179" s="1026"/>
      <c r="G179" s="1026"/>
      <c r="H179" s="1134"/>
      <c r="I179" s="1134"/>
      <c r="J179" s="1269"/>
      <c r="K179" s="1269"/>
      <c r="L179" s="1269"/>
      <c r="M179" s="1269"/>
      <c r="N179" s="1269"/>
      <c r="O179" s="1269"/>
      <c r="P179" s="1269"/>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2"/>
      <c r="AN179" s="1232"/>
      <c r="AO179" s="1232"/>
      <c r="AP179" s="1232"/>
      <c r="AQ179" s="1232"/>
      <c r="AR179" s="1232"/>
      <c r="AS179" s="1232"/>
      <c r="AT179" s="1269"/>
      <c r="AU179" s="1734"/>
      <c r="AV179" s="1734"/>
      <c r="AW179" s="1641"/>
    </row>
    <row r="180">
      <c r="A180" s="1727"/>
      <c r="B180" s="1728"/>
      <c r="C180" s="1729"/>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2"/>
    </row>
    <row r="181">
      <c r="A181" s="1731"/>
      <c r="B181" s="1732"/>
      <c r="C181" s="1733"/>
      <c r="D181" s="1026"/>
      <c r="E181" s="1026"/>
      <c r="F181" s="1026"/>
      <c r="G181" s="1026"/>
      <c r="H181" s="1134"/>
      <c r="I181" s="1134"/>
      <c r="J181" s="1269"/>
      <c r="K181" s="1269"/>
      <c r="L181" s="1269"/>
      <c r="M181" s="1269"/>
      <c r="N181" s="1269"/>
      <c r="O181" s="1269"/>
      <c r="P181" s="1269"/>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2"/>
      <c r="AN181" s="1232"/>
      <c r="AO181" s="1232"/>
      <c r="AP181" s="1232"/>
      <c r="AQ181" s="1232"/>
      <c r="AR181" s="1232"/>
      <c r="AS181" s="1232"/>
      <c r="AT181" s="1269"/>
      <c r="AU181" s="1734"/>
      <c r="AV181" s="1734"/>
      <c r="AW181" s="1641"/>
    </row>
    <row r="182">
      <c r="A182" s="1727"/>
      <c r="B182" s="1728"/>
      <c r="C182" s="1729"/>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2"/>
    </row>
    <row r="183">
      <c r="A183" s="1731"/>
      <c r="B183" s="1732"/>
      <c r="C183" s="1733"/>
      <c r="D183" s="1026"/>
      <c r="E183" s="1026"/>
      <c r="F183" s="1026"/>
      <c r="G183" s="1026"/>
      <c r="H183" s="1134"/>
      <c r="I183" s="1134"/>
      <c r="J183" s="1269"/>
      <c r="K183" s="1269"/>
      <c r="L183" s="1269"/>
      <c r="M183" s="1269"/>
      <c r="N183" s="1269"/>
      <c r="O183" s="1269"/>
      <c r="P183" s="1269"/>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2"/>
      <c r="AN183" s="1232"/>
      <c r="AO183" s="1232"/>
      <c r="AP183" s="1232"/>
      <c r="AQ183" s="1232"/>
      <c r="AR183" s="1232"/>
      <c r="AS183" s="1232"/>
      <c r="AT183" s="1269"/>
      <c r="AU183" s="1734"/>
      <c r="AV183" s="1734"/>
      <c r="AW183" s="1641"/>
    </row>
    <row r="184">
      <c r="A184" s="1727"/>
      <c r="B184" s="1728"/>
      <c r="C184" s="1729"/>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2"/>
    </row>
    <row r="185">
      <c r="A185" s="1731"/>
      <c r="B185" s="1732"/>
      <c r="C185" s="1733"/>
      <c r="D185" s="1026"/>
      <c r="E185" s="1026"/>
      <c r="F185" s="1026"/>
      <c r="G185" s="1026"/>
      <c r="H185" s="1134"/>
      <c r="I185" s="1134"/>
      <c r="J185" s="1269"/>
      <c r="K185" s="1269"/>
      <c r="L185" s="1269"/>
      <c r="M185" s="1269"/>
      <c r="N185" s="1269"/>
      <c r="O185" s="1269"/>
      <c r="P185" s="1269"/>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2"/>
      <c r="AN185" s="1232"/>
      <c r="AO185" s="1232"/>
      <c r="AP185" s="1232"/>
      <c r="AQ185" s="1232"/>
      <c r="AR185" s="1232"/>
      <c r="AS185" s="1232"/>
      <c r="AT185" s="1269"/>
      <c r="AU185" s="1734"/>
      <c r="AV185" s="1734"/>
      <c r="AW185" s="1641"/>
    </row>
    <row r="186">
      <c r="A186" s="1727"/>
      <c r="B186" s="1728"/>
      <c r="C186" s="1729"/>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2"/>
    </row>
    <row r="187">
      <c r="A187" s="1731"/>
      <c r="B187" s="1732"/>
      <c r="C187" s="1733"/>
      <c r="D187" s="1026"/>
      <c r="E187" s="1026"/>
      <c r="F187" s="1026"/>
      <c r="G187" s="1026"/>
      <c r="H187" s="1134"/>
      <c r="I187" s="1134"/>
      <c r="J187" s="1269"/>
      <c r="K187" s="1269"/>
      <c r="L187" s="1269"/>
      <c r="M187" s="1269"/>
      <c r="N187" s="1269"/>
      <c r="O187" s="1269"/>
      <c r="P187" s="1269"/>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2"/>
      <c r="AN187" s="1232"/>
      <c r="AO187" s="1232"/>
      <c r="AP187" s="1232"/>
      <c r="AQ187" s="1232"/>
      <c r="AR187" s="1232"/>
      <c r="AS187" s="1232"/>
      <c r="AT187" s="1269"/>
      <c r="AU187" s="1734"/>
      <c r="AV187" s="1734"/>
      <c r="AW187" s="1641"/>
    </row>
    <row r="188">
      <c r="A188" s="1727"/>
      <c r="B188" s="1728"/>
      <c r="C188" s="1729"/>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2"/>
    </row>
    <row r="189">
      <c r="A189" s="1731"/>
      <c r="B189" s="1732"/>
      <c r="C189" s="1733"/>
      <c r="D189" s="1026"/>
      <c r="E189" s="1026"/>
      <c r="F189" s="1026"/>
      <c r="G189" s="1026"/>
      <c r="H189" s="1134"/>
      <c r="I189" s="1134"/>
      <c r="J189" s="1269"/>
      <c r="K189" s="1269"/>
      <c r="L189" s="1269"/>
      <c r="M189" s="1269"/>
      <c r="N189" s="1269"/>
      <c r="O189" s="1269"/>
      <c r="P189" s="1269"/>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2"/>
      <c r="AN189" s="1232"/>
      <c r="AO189" s="1232"/>
      <c r="AP189" s="1232"/>
      <c r="AQ189" s="1232"/>
      <c r="AR189" s="1232"/>
      <c r="AS189" s="1232"/>
      <c r="AT189" s="1269"/>
      <c r="AU189" s="1734"/>
      <c r="AV189" s="1734"/>
      <c r="AW189" s="1641"/>
    </row>
    <row r="190">
      <c r="A190" s="1727"/>
      <c r="B190" s="1728"/>
      <c r="C190" s="1729"/>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2"/>
    </row>
    <row r="191">
      <c r="A191" s="1731"/>
      <c r="B191" s="1732"/>
      <c r="C191" s="1733"/>
      <c r="D191" s="1026"/>
      <c r="E191" s="1026"/>
      <c r="F191" s="1026"/>
      <c r="G191" s="1026"/>
      <c r="H191" s="1134"/>
      <c r="I191" s="1134"/>
      <c r="J191" s="1269"/>
      <c r="K191" s="1269"/>
      <c r="L191" s="1269"/>
      <c r="M191" s="1269"/>
      <c r="N191" s="1269"/>
      <c r="O191" s="1269"/>
      <c r="P191" s="1269"/>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2"/>
      <c r="AN191" s="1232"/>
      <c r="AO191" s="1232"/>
      <c r="AP191" s="1232"/>
      <c r="AQ191" s="1232"/>
      <c r="AR191" s="1232"/>
      <c r="AS191" s="1232"/>
      <c r="AT191" s="1269"/>
      <c r="AU191" s="1734"/>
      <c r="AV191" s="1734"/>
      <c r="AW191" s="1641"/>
    </row>
    <row r="192">
      <c r="A192" s="1727"/>
      <c r="B192" s="1728"/>
      <c r="C192" s="1729"/>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2"/>
    </row>
    <row r="193">
      <c r="A193" s="1731"/>
      <c r="B193" s="1732"/>
      <c r="C193" s="1733"/>
      <c r="D193" s="1026"/>
      <c r="E193" s="1026"/>
      <c r="F193" s="1026"/>
      <c r="G193" s="1026"/>
      <c r="H193" s="1134"/>
      <c r="I193" s="1134"/>
      <c r="J193" s="1269"/>
      <c r="K193" s="1269"/>
      <c r="L193" s="1269"/>
      <c r="M193" s="1269"/>
      <c r="N193" s="1269"/>
      <c r="O193" s="1269"/>
      <c r="P193" s="1269"/>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2"/>
      <c r="AN193" s="1232"/>
      <c r="AO193" s="1232"/>
      <c r="AP193" s="1232"/>
      <c r="AQ193" s="1232"/>
      <c r="AR193" s="1232"/>
      <c r="AS193" s="1232"/>
      <c r="AT193" s="1269"/>
      <c r="AU193" s="1734"/>
      <c r="AV193" s="1734"/>
      <c r="AW193" s="1641"/>
    </row>
    <row r="194">
      <c r="A194" s="1727"/>
      <c r="B194" s="1728"/>
      <c r="C194" s="1729"/>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2"/>
    </row>
    <row r="195">
      <c r="A195" s="1731"/>
      <c r="B195" s="1732"/>
      <c r="C195" s="1733"/>
      <c r="D195" s="1026"/>
      <c r="E195" s="1026"/>
      <c r="F195" s="1026"/>
      <c r="G195" s="1026"/>
      <c r="H195" s="1134"/>
      <c r="I195" s="1134"/>
      <c r="J195" s="1269"/>
      <c r="K195" s="1269"/>
      <c r="L195" s="1269"/>
      <c r="M195" s="1269"/>
      <c r="N195" s="1269"/>
      <c r="O195" s="1269"/>
      <c r="P195" s="1269"/>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2"/>
      <c r="AN195" s="1232"/>
      <c r="AO195" s="1232"/>
      <c r="AP195" s="1232"/>
      <c r="AQ195" s="1232"/>
      <c r="AR195" s="1232"/>
      <c r="AS195" s="1232"/>
      <c r="AT195" s="1269"/>
      <c r="AU195" s="1734"/>
      <c r="AV195" s="1734"/>
      <c r="AW195" s="1641"/>
    </row>
    <row r="196">
      <c r="A196" s="1727"/>
      <c r="B196" s="1728"/>
      <c r="C196" s="1729"/>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2"/>
    </row>
    <row r="197">
      <c r="A197" s="1731"/>
      <c r="B197" s="1732"/>
      <c r="C197" s="1733"/>
      <c r="D197" s="1026"/>
      <c r="E197" s="1026"/>
      <c r="F197" s="1026"/>
      <c r="G197" s="1026"/>
      <c r="H197" s="1134"/>
      <c r="I197" s="1134"/>
      <c r="J197" s="1269"/>
      <c r="K197" s="1269"/>
      <c r="L197" s="1269"/>
      <c r="M197" s="1269"/>
      <c r="N197" s="1269"/>
      <c r="O197" s="1269"/>
      <c r="P197" s="1269"/>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2"/>
      <c r="AN197" s="1232"/>
      <c r="AO197" s="1232"/>
      <c r="AP197" s="1232"/>
      <c r="AQ197" s="1232"/>
      <c r="AR197" s="1232"/>
      <c r="AS197" s="1232"/>
      <c r="AT197" s="1269"/>
      <c r="AU197" s="1734"/>
      <c r="AV197" s="1734"/>
      <c r="AW197" s="1641"/>
    </row>
    <row r="198">
      <c r="A198" s="1727"/>
      <c r="B198" s="1728"/>
      <c r="C198" s="1729"/>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8959</v>
      </c>
      <c r="C1" s="1464" t="s">
        <v>8960</v>
      </c>
      <c r="D1" s="1735" t="s">
        <v>11128</v>
      </c>
      <c r="E1" s="1736" t="s">
        <v>7723</v>
      </c>
      <c r="F1" s="1737" t="s">
        <v>8034</v>
      </c>
      <c r="G1" s="1738" t="s">
        <v>38</v>
      </c>
      <c r="H1" s="1739" t="s">
        <v>36</v>
      </c>
      <c r="I1" s="1735" t="s">
        <v>11129</v>
      </c>
      <c r="J1" s="1740" t="s">
        <v>39</v>
      </c>
      <c r="K1" s="1741" t="s">
        <v>7968</v>
      </c>
      <c r="L1" s="1472" t="s">
        <v>8992</v>
      </c>
      <c r="M1" s="1473" t="s">
        <v>8993</v>
      </c>
      <c r="N1" s="1742" t="s">
        <v>8994</v>
      </c>
      <c r="O1" s="1743" t="s">
        <v>8995</v>
      </c>
    </row>
    <row r="2" ht="15.75" customHeight="1">
      <c r="A2" s="1744" t="s">
        <v>8996</v>
      </c>
      <c r="B2" s="1745" t="s">
        <v>8997</v>
      </c>
      <c r="C2" s="1746">
        <v>0.0496875</v>
      </c>
      <c r="D2" s="1747" t="s">
        <v>11130</v>
      </c>
      <c r="E2" s="1748" t="s">
        <v>11131</v>
      </c>
      <c r="F2" s="1749" t="s">
        <v>11132</v>
      </c>
      <c r="G2" s="1750" t="s">
        <v>11133</v>
      </c>
      <c r="H2" s="1751" t="s">
        <v>11134</v>
      </c>
      <c r="I2" s="1752" t="s">
        <v>11135</v>
      </c>
      <c r="J2" s="1753" t="s">
        <v>11136</v>
      </c>
      <c r="K2" s="1754" t="s">
        <v>11137</v>
      </c>
      <c r="L2" s="1755" t="s">
        <v>9021</v>
      </c>
      <c r="M2" s="1746">
        <v>0.05042824074074074</v>
      </c>
      <c r="N2" s="1756" t="str">
        <f t="shared" ref="N2:N41" si="1">TEXT(M2-C2, "m:ss")</f>
        <v>1:04</v>
      </c>
      <c r="O2" s="1757"/>
    </row>
    <row r="3" ht="15.75" customHeight="1">
      <c r="A3" s="1758" t="s">
        <v>9023</v>
      </c>
      <c r="B3" s="1759" t="s">
        <v>9024</v>
      </c>
      <c r="C3" s="1760">
        <v>0.051458333333333335</v>
      </c>
      <c r="D3" s="1502" t="s">
        <v>11138</v>
      </c>
      <c r="E3" s="1503" t="s">
        <v>11139</v>
      </c>
      <c r="F3" s="1504" t="s">
        <v>11140</v>
      </c>
      <c r="G3" s="1505" t="s">
        <v>11141</v>
      </c>
      <c r="H3" s="1507" t="s">
        <v>11142</v>
      </c>
      <c r="I3" s="1502" t="s">
        <v>11143</v>
      </c>
      <c r="J3" s="1509" t="s">
        <v>11144</v>
      </c>
      <c r="K3" s="1512" t="s">
        <v>11145</v>
      </c>
      <c r="L3" s="1504" t="s">
        <v>9049</v>
      </c>
      <c r="M3" s="1760">
        <v>0.05236111111111111</v>
      </c>
      <c r="N3" s="1761" t="str">
        <f t="shared" si="1"/>
        <v>1:18</v>
      </c>
      <c r="O3" s="1762"/>
    </row>
    <row r="4" ht="15.75" customHeight="1">
      <c r="A4" s="1763" t="s">
        <v>9051</v>
      </c>
      <c r="B4" s="1764" t="s">
        <v>9052</v>
      </c>
      <c r="C4" s="1765">
        <f>C26</f>
        <v>0.05158564815</v>
      </c>
      <c r="D4" s="1766" t="s">
        <v>11146</v>
      </c>
      <c r="E4" s="1767" t="s">
        <v>11147</v>
      </c>
      <c r="F4" s="1768" t="s">
        <v>11148</v>
      </c>
      <c r="G4" s="1769" t="s">
        <v>11149</v>
      </c>
      <c r="H4" s="1770" t="s">
        <v>11150</v>
      </c>
      <c r="I4" s="1766" t="s">
        <v>11151</v>
      </c>
      <c r="J4" s="1771" t="s">
        <v>11152</v>
      </c>
      <c r="K4" s="1772" t="s">
        <v>11153</v>
      </c>
      <c r="L4" s="1773" t="s">
        <v>9080</v>
      </c>
      <c r="M4" s="1774">
        <f>M26</f>
        <v>0.0521412037</v>
      </c>
      <c r="N4" s="1774" t="str">
        <f t="shared" si="1"/>
        <v>0:48</v>
      </c>
      <c r="O4" s="1757"/>
    </row>
    <row r="5" ht="15.75" customHeight="1">
      <c r="A5" s="954" t="s">
        <v>1056</v>
      </c>
      <c r="B5" s="1680" t="s">
        <v>8997</v>
      </c>
      <c r="C5" s="1775">
        <v>0.04981481481481481</v>
      </c>
      <c r="D5" s="1776" t="s">
        <v>11130</v>
      </c>
      <c r="E5" s="1568" t="s">
        <v>11154</v>
      </c>
      <c r="F5" s="1776" t="s">
        <v>11132</v>
      </c>
      <c r="G5" s="1776" t="s">
        <v>11133</v>
      </c>
      <c r="H5" s="1777" t="s">
        <v>11134</v>
      </c>
      <c r="I5" s="1776" t="s">
        <v>11135</v>
      </c>
      <c r="J5" s="1778" t="s">
        <v>11155</v>
      </c>
      <c r="K5" s="1777" t="s">
        <v>11137</v>
      </c>
      <c r="L5" s="1535" t="s">
        <v>11156</v>
      </c>
      <c r="M5" s="1779">
        <v>0.05042824074074074</v>
      </c>
      <c r="N5" s="1780" t="str">
        <f t="shared" si="1"/>
        <v>0:53</v>
      </c>
      <c r="O5" s="1619" t="s">
        <v>11157</v>
      </c>
    </row>
    <row r="6">
      <c r="A6" s="1781" t="s">
        <v>2543</v>
      </c>
      <c r="B6" s="1782" t="s">
        <v>8997</v>
      </c>
      <c r="C6" s="1783">
        <v>0.049953125</v>
      </c>
      <c r="D6" s="1784" t="s">
        <v>11158</v>
      </c>
      <c r="E6" s="1785" t="s">
        <v>11159</v>
      </c>
      <c r="F6" s="1778" t="s">
        <v>11160</v>
      </c>
      <c r="G6" s="1778" t="s">
        <v>11161</v>
      </c>
      <c r="H6" s="1776" t="s">
        <v>11162</v>
      </c>
      <c r="I6" s="1778" t="s">
        <v>8542</v>
      </c>
      <c r="J6" s="1778" t="s">
        <v>11163</v>
      </c>
      <c r="K6" s="1786" t="s">
        <v>11164</v>
      </c>
      <c r="L6" s="1778" t="s">
        <v>9115</v>
      </c>
      <c r="M6" s="1787">
        <v>0.05068287037037037</v>
      </c>
      <c r="N6" s="1787" t="str">
        <f t="shared" si="1"/>
        <v>1:03</v>
      </c>
      <c r="O6" s="1619"/>
    </row>
    <row r="7" ht="15.75" customHeight="1">
      <c r="A7" s="1727" t="s">
        <v>1809</v>
      </c>
      <c r="B7" s="1532" t="s">
        <v>8997</v>
      </c>
      <c r="C7" s="1788">
        <v>0.0499537037037037</v>
      </c>
      <c r="D7" s="1565" t="s">
        <v>11165</v>
      </c>
      <c r="E7" s="1565" t="s">
        <v>11166</v>
      </c>
      <c r="F7" s="1565" t="s">
        <v>11167</v>
      </c>
      <c r="G7" s="1565" t="s">
        <v>11168</v>
      </c>
      <c r="H7" s="1565" t="s">
        <v>11169</v>
      </c>
      <c r="I7" s="1565" t="s">
        <v>11170</v>
      </c>
      <c r="J7" s="1565" t="s">
        <v>11171</v>
      </c>
      <c r="K7" s="1789" t="s">
        <v>11172</v>
      </c>
      <c r="L7" s="1536" t="s">
        <v>9021</v>
      </c>
      <c r="M7" s="1787">
        <v>0.05056712962962963</v>
      </c>
      <c r="N7" s="1790" t="str">
        <f t="shared" si="1"/>
        <v>0:53</v>
      </c>
      <c r="O7" s="1619" t="s">
        <v>11173</v>
      </c>
    </row>
    <row r="8" ht="15.75" customHeight="1">
      <c r="A8" s="1791" t="s">
        <v>435</v>
      </c>
      <c r="B8" s="1532" t="s">
        <v>8997</v>
      </c>
      <c r="C8" s="1783">
        <v>0.04998842592592593</v>
      </c>
      <c r="D8" s="1565" t="s">
        <v>11174</v>
      </c>
      <c r="E8" s="1792" t="s">
        <v>11131</v>
      </c>
      <c r="F8" s="1565" t="s">
        <v>11175</v>
      </c>
      <c r="G8" s="1565" t="s">
        <v>11176</v>
      </c>
      <c r="H8" s="1565" t="s">
        <v>11177</v>
      </c>
      <c r="I8" s="1565" t="s">
        <v>11178</v>
      </c>
      <c r="J8" s="1793" t="s">
        <v>11136</v>
      </c>
      <c r="K8" s="1565" t="s">
        <v>11179</v>
      </c>
      <c r="L8" s="1565" t="s">
        <v>9136</v>
      </c>
      <c r="M8" s="1787">
        <v>0.0508912037037037</v>
      </c>
      <c r="N8" s="1790" t="str">
        <f t="shared" si="1"/>
        <v>1:18</v>
      </c>
      <c r="O8" s="1619" t="s">
        <v>11173</v>
      </c>
    </row>
    <row r="9" ht="15.75" customHeight="1">
      <c r="A9" s="1791" t="s">
        <v>6604</v>
      </c>
      <c r="B9" s="1592" t="s">
        <v>8997</v>
      </c>
      <c r="C9" s="1788">
        <v>0.05025462962962963</v>
      </c>
      <c r="D9" s="1053" t="s">
        <v>11180</v>
      </c>
      <c r="E9" s="1566" t="s">
        <v>11181</v>
      </c>
      <c r="F9" s="1565" t="s">
        <v>11182</v>
      </c>
      <c r="G9" s="1565" t="s">
        <v>11183</v>
      </c>
      <c r="H9" s="1565" t="s">
        <v>11184</v>
      </c>
      <c r="I9" s="1565" t="s">
        <v>10909</v>
      </c>
      <c r="J9" s="1565" t="s">
        <v>11185</v>
      </c>
      <c r="K9" s="1565" t="s">
        <v>11186</v>
      </c>
      <c r="L9" s="1565" t="s">
        <v>9246</v>
      </c>
      <c r="M9" s="1787">
        <v>0.0506712962962963</v>
      </c>
      <c r="N9" s="1790" t="str">
        <f t="shared" si="1"/>
        <v>0:36</v>
      </c>
      <c r="O9" s="1619"/>
    </row>
    <row r="10" ht="15.75" customHeight="1">
      <c r="A10" s="1727" t="s">
        <v>6719</v>
      </c>
      <c r="B10" s="1532" t="s">
        <v>8997</v>
      </c>
      <c r="C10" s="1788">
        <v>0.050416666666666665</v>
      </c>
      <c r="D10" s="1565" t="s">
        <v>11187</v>
      </c>
      <c r="E10" s="1566" t="s">
        <v>11188</v>
      </c>
      <c r="F10" s="1568" t="s">
        <v>11189</v>
      </c>
      <c r="G10" s="1568" t="s">
        <v>11190</v>
      </c>
      <c r="H10" s="1565" t="s">
        <v>11191</v>
      </c>
      <c r="I10" s="1565" t="s">
        <v>11192</v>
      </c>
      <c r="J10" s="1565" t="s">
        <v>11193</v>
      </c>
      <c r="K10" s="1565" t="s">
        <v>11194</v>
      </c>
      <c r="L10" s="1568" t="s">
        <v>11195</v>
      </c>
      <c r="M10" s="1787">
        <v>0.0512037037037037</v>
      </c>
      <c r="N10" s="1790" t="str">
        <f t="shared" si="1"/>
        <v>1:08</v>
      </c>
      <c r="O10" s="1619" t="s">
        <v>11173</v>
      </c>
    </row>
    <row r="11">
      <c r="A11" s="1794" t="s">
        <v>825</v>
      </c>
      <c r="B11" s="1795" t="s">
        <v>8997</v>
      </c>
      <c r="C11" s="1788">
        <v>0.05047453703703704</v>
      </c>
      <c r="D11" s="1065" t="s">
        <v>11196</v>
      </c>
      <c r="E11" s="1566" t="s">
        <v>11197</v>
      </c>
      <c r="F11" s="1778" t="s">
        <v>11198</v>
      </c>
      <c r="G11" s="1778" t="s">
        <v>11199</v>
      </c>
      <c r="H11" s="1778" t="s">
        <v>11200</v>
      </c>
      <c r="I11" s="1565" t="s">
        <v>11201</v>
      </c>
      <c r="J11" s="1565" t="s">
        <v>11202</v>
      </c>
      <c r="K11" s="1778" t="s">
        <v>11203</v>
      </c>
      <c r="L11" s="1565" t="s">
        <v>3673</v>
      </c>
      <c r="M11" s="1787">
        <v>0.051076388888888886</v>
      </c>
      <c r="N11" s="1790" t="str">
        <f t="shared" si="1"/>
        <v>0:52</v>
      </c>
      <c r="O11" s="1619" t="s">
        <v>11204</v>
      </c>
    </row>
    <row r="12">
      <c r="A12" s="1626" t="s">
        <v>1879</v>
      </c>
      <c r="B12" s="1795" t="s">
        <v>8997</v>
      </c>
      <c r="C12" s="1783">
        <v>0.05059429398148148</v>
      </c>
      <c r="D12" s="1053" t="s">
        <v>11205</v>
      </c>
      <c r="E12" s="1566" t="s">
        <v>11206</v>
      </c>
      <c r="F12" s="1565" t="s">
        <v>11207</v>
      </c>
      <c r="G12" s="1565" t="s">
        <v>11208</v>
      </c>
      <c r="H12" s="1565" t="s">
        <v>11209</v>
      </c>
      <c r="I12" s="1565" t="s">
        <v>11210</v>
      </c>
      <c r="J12" s="1565" t="s">
        <v>11211</v>
      </c>
      <c r="K12" s="1565" t="s">
        <v>11212</v>
      </c>
      <c r="L12" s="1565" t="s">
        <v>11213</v>
      </c>
      <c r="M12" s="1787">
        <v>0.051319444444444445</v>
      </c>
      <c r="N12" s="1790" t="str">
        <f t="shared" si="1"/>
        <v>1:03</v>
      </c>
      <c r="O12" s="1619"/>
    </row>
    <row r="13" ht="15.75" customHeight="1">
      <c r="A13" s="954" t="s">
        <v>1550</v>
      </c>
      <c r="B13" s="1796" t="s">
        <v>8997</v>
      </c>
      <c r="C13" s="1788">
        <v>0.05061342592592592</v>
      </c>
      <c r="D13" s="1797" t="s">
        <v>11214</v>
      </c>
      <c r="E13" s="1566" t="s">
        <v>11215</v>
      </c>
      <c r="F13" s="1798" t="s">
        <v>11216</v>
      </c>
      <c r="G13" s="1565" t="s">
        <v>11217</v>
      </c>
      <c r="H13" s="1798" t="s">
        <v>11218</v>
      </c>
      <c r="I13" s="1798" t="s">
        <v>11219</v>
      </c>
      <c r="J13" s="1565" t="s">
        <v>11220</v>
      </c>
      <c r="K13" s="1565" t="s">
        <v>11221</v>
      </c>
      <c r="L13" s="1565" t="s">
        <v>3556</v>
      </c>
      <c r="M13" s="1787">
        <v>0.05122685185185185</v>
      </c>
      <c r="N13" s="1790" t="str">
        <f t="shared" si="1"/>
        <v>0:53</v>
      </c>
      <c r="O13" s="1619" t="s">
        <v>11222</v>
      </c>
    </row>
    <row r="14" ht="15.75" customHeight="1">
      <c r="A14" s="1731" t="s">
        <v>2087</v>
      </c>
      <c r="B14" s="1532" t="s">
        <v>8997</v>
      </c>
      <c r="C14" s="1783">
        <v>0.05061342592592592</v>
      </c>
      <c r="D14" s="1065" t="s">
        <v>11223</v>
      </c>
      <c r="E14" s="1799" t="s">
        <v>11224</v>
      </c>
      <c r="F14" s="1565" t="s">
        <v>11225</v>
      </c>
      <c r="G14" s="1565" t="s">
        <v>11226</v>
      </c>
      <c r="H14" s="1565" t="s">
        <v>11227</v>
      </c>
      <c r="I14" s="1565" t="s">
        <v>11228</v>
      </c>
      <c r="J14" s="1565" t="s">
        <v>11229</v>
      </c>
      <c r="K14" s="1565" t="s">
        <v>11230</v>
      </c>
      <c r="L14" s="1565" t="s">
        <v>6584</v>
      </c>
      <c r="M14" s="1787">
        <v>0.05153935185185185</v>
      </c>
      <c r="N14" s="1790" t="str">
        <f t="shared" si="1"/>
        <v>1:20</v>
      </c>
      <c r="O14" s="1619" t="s">
        <v>11173</v>
      </c>
    </row>
    <row r="15" ht="15.75" customHeight="1">
      <c r="A15" s="1791" t="s">
        <v>330</v>
      </c>
      <c r="B15" s="1532" t="s">
        <v>8997</v>
      </c>
      <c r="C15" s="1783">
        <v>0.05068287037037037</v>
      </c>
      <c r="D15" s="1565" t="s">
        <v>11231</v>
      </c>
      <c r="E15" s="1799" t="s">
        <v>11232</v>
      </c>
      <c r="F15" s="1565" t="s">
        <v>11233</v>
      </c>
      <c r="G15" s="1565" t="s">
        <v>11234</v>
      </c>
      <c r="H15" s="1565" t="s">
        <v>11235</v>
      </c>
      <c r="I15" s="1565" t="s">
        <v>6528</v>
      </c>
      <c r="J15" s="1565" t="s">
        <v>11236</v>
      </c>
      <c r="K15" s="1565" t="s">
        <v>11237</v>
      </c>
      <c r="L15" s="1565" t="s">
        <v>9225</v>
      </c>
      <c r="M15" s="1787">
        <v>0.05164351851851852</v>
      </c>
      <c r="N15" s="1790" t="str">
        <f t="shared" si="1"/>
        <v>1:23</v>
      </c>
      <c r="O15" s="1619" t="s">
        <v>11173</v>
      </c>
    </row>
    <row r="16" ht="15.75" customHeight="1">
      <c r="A16" s="1626" t="s">
        <v>2647</v>
      </c>
      <c r="B16" s="1680" t="s">
        <v>9024</v>
      </c>
      <c r="C16" s="1800">
        <v>0.050729166666666665</v>
      </c>
      <c r="D16" s="1053" t="s">
        <v>11238</v>
      </c>
      <c r="E16" s="1777" t="s">
        <v>11239</v>
      </c>
      <c r="F16" s="1801" t="s">
        <v>11240</v>
      </c>
      <c r="G16" s="1801" t="s">
        <v>11241</v>
      </c>
      <c r="H16" s="1801" t="s">
        <v>11242</v>
      </c>
      <c r="I16" s="1801" t="s">
        <v>11243</v>
      </c>
      <c r="J16" s="1801" t="s">
        <v>11244</v>
      </c>
      <c r="K16" s="1801" t="s">
        <v>11245</v>
      </c>
      <c r="L16" s="1268" t="s">
        <v>9384</v>
      </c>
      <c r="M16" s="1787">
        <v>0.05143506944444444</v>
      </c>
      <c r="N16" s="1802" t="str">
        <f t="shared" si="1"/>
        <v>1:01</v>
      </c>
      <c r="O16" s="1619"/>
    </row>
    <row r="17" ht="15.75" customHeight="1">
      <c r="A17" s="1626" t="s">
        <v>2151</v>
      </c>
      <c r="B17" s="1680" t="s">
        <v>9024</v>
      </c>
      <c r="C17" s="1788">
        <v>0.05092592592592592</v>
      </c>
      <c r="D17" s="1053" t="s">
        <v>11246</v>
      </c>
      <c r="E17" s="1803" t="s">
        <v>11139</v>
      </c>
      <c r="F17" s="1804" t="s">
        <v>11140</v>
      </c>
      <c r="G17" s="1804" t="s">
        <v>11141</v>
      </c>
      <c r="H17" s="1804" t="s">
        <v>11247</v>
      </c>
      <c r="I17" s="1804" t="s">
        <v>11143</v>
      </c>
      <c r="J17" s="1804" t="s">
        <v>11248</v>
      </c>
      <c r="K17" s="1804" t="s">
        <v>11145</v>
      </c>
      <c r="L17" s="1805" t="s">
        <v>9049</v>
      </c>
      <c r="M17" s="1787">
        <v>0.052662037037037035</v>
      </c>
      <c r="N17" s="1790" t="str">
        <f t="shared" si="1"/>
        <v>2:30</v>
      </c>
      <c r="O17" s="1619" t="s">
        <v>11173</v>
      </c>
    </row>
    <row r="18" ht="15.75" customHeight="1">
      <c r="A18" s="1806" t="s">
        <v>2771</v>
      </c>
      <c r="B18" s="1532" t="s">
        <v>8997</v>
      </c>
      <c r="C18" s="1807">
        <v>0.05103009259259259</v>
      </c>
      <c r="D18" s="1565" t="s">
        <v>11249</v>
      </c>
      <c r="E18" s="1799" t="s">
        <v>10722</v>
      </c>
      <c r="F18" s="1565" t="s">
        <v>11250</v>
      </c>
      <c r="G18" s="1565" t="s">
        <v>11251</v>
      </c>
      <c r="H18" s="1778" t="s">
        <v>11252</v>
      </c>
      <c r="I18" s="1565" t="s">
        <v>8640</v>
      </c>
      <c r="J18" s="1565" t="s">
        <v>11253</v>
      </c>
      <c r="K18" s="1565" t="s">
        <v>11254</v>
      </c>
      <c r="L18" s="1565" t="s">
        <v>11255</v>
      </c>
      <c r="M18" s="1787">
        <v>0.051909722222222225</v>
      </c>
      <c r="N18" s="1790" t="str">
        <f t="shared" si="1"/>
        <v>1:16</v>
      </c>
      <c r="O18" s="1619" t="s">
        <v>11173</v>
      </c>
    </row>
    <row r="19" ht="15.75" customHeight="1">
      <c r="A19" s="1626" t="s">
        <v>2264</v>
      </c>
      <c r="B19" s="1592" t="s">
        <v>8997</v>
      </c>
      <c r="C19" s="1783">
        <v>0.051145833333333335</v>
      </c>
      <c r="D19" s="1065" t="s">
        <v>11256</v>
      </c>
      <c r="E19" s="1566" t="s">
        <v>11257</v>
      </c>
      <c r="F19" s="1565" t="s">
        <v>11258</v>
      </c>
      <c r="G19" s="1565" t="s">
        <v>11259</v>
      </c>
      <c r="H19" s="1565" t="s">
        <v>11260</v>
      </c>
      <c r="I19" s="1565" t="s">
        <v>11261</v>
      </c>
      <c r="J19" s="1565" t="s">
        <v>11262</v>
      </c>
      <c r="K19" s="1565" t="s">
        <v>11263</v>
      </c>
      <c r="L19" s="1565" t="s">
        <v>3121</v>
      </c>
      <c r="M19" s="1787">
        <v>0.05228009259259259</v>
      </c>
      <c r="N19" s="1790" t="str">
        <f t="shared" si="1"/>
        <v>1:38</v>
      </c>
      <c r="O19" s="1619" t="s">
        <v>11264</v>
      </c>
    </row>
    <row r="20" ht="15.75" customHeight="1">
      <c r="A20" s="1791" t="s">
        <v>1413</v>
      </c>
      <c r="B20" s="1532" t="s">
        <v>8997</v>
      </c>
      <c r="C20" s="1783">
        <v>0.05122685185185185</v>
      </c>
      <c r="D20" s="1565" t="s">
        <v>11265</v>
      </c>
      <c r="E20" s="1799" t="s">
        <v>9056</v>
      </c>
      <c r="F20" s="1565" t="s">
        <v>11266</v>
      </c>
      <c r="G20" s="1565" t="s">
        <v>11267</v>
      </c>
      <c r="H20" s="1565" t="s">
        <v>11268</v>
      </c>
      <c r="I20" s="1565" t="s">
        <v>11269</v>
      </c>
      <c r="J20" s="1565" t="s">
        <v>11270</v>
      </c>
      <c r="K20" s="1565" t="s">
        <v>11271</v>
      </c>
      <c r="L20" s="1565" t="s">
        <v>11272</v>
      </c>
      <c r="M20" s="1787">
        <v>0.052037037037037034</v>
      </c>
      <c r="N20" s="1790" t="str">
        <f t="shared" si="1"/>
        <v>1:10</v>
      </c>
      <c r="O20" s="1619" t="s">
        <v>11173</v>
      </c>
    </row>
    <row r="21" ht="15.75" customHeight="1">
      <c r="A21" s="1626" t="s">
        <v>1632</v>
      </c>
      <c r="B21" s="1592" t="s">
        <v>8997</v>
      </c>
      <c r="C21" s="1783">
        <v>0.05122685185185185</v>
      </c>
      <c r="D21" s="1053" t="s">
        <v>11273</v>
      </c>
      <c r="E21" s="1566" t="s">
        <v>11274</v>
      </c>
      <c r="F21" s="1565" t="s">
        <v>11275</v>
      </c>
      <c r="G21" s="1565" t="s">
        <v>11276</v>
      </c>
      <c r="H21" s="1565" t="s">
        <v>11277</v>
      </c>
      <c r="I21" s="1565" t="s">
        <v>11278</v>
      </c>
      <c r="J21" s="1565" t="s">
        <v>11279</v>
      </c>
      <c r="K21" s="1565" t="s">
        <v>11280</v>
      </c>
      <c r="L21" s="1565" t="s">
        <v>6112</v>
      </c>
      <c r="M21" s="1787">
        <v>0.05224537037037037</v>
      </c>
      <c r="N21" s="1790" t="str">
        <f t="shared" si="1"/>
        <v>1:28</v>
      </c>
      <c r="O21" s="1619" t="s">
        <v>11281</v>
      </c>
    </row>
    <row r="22" ht="15.75" customHeight="1">
      <c r="A22" s="1626" t="s">
        <v>7013</v>
      </c>
      <c r="B22" s="1592" t="s">
        <v>8997</v>
      </c>
      <c r="C22" s="1783">
        <v>0.05133101851851852</v>
      </c>
      <c r="D22" s="1565" t="s">
        <v>11282</v>
      </c>
      <c r="E22" s="1566" t="s">
        <v>11283</v>
      </c>
      <c r="F22" s="1565" t="s">
        <v>11284</v>
      </c>
      <c r="G22" s="1568" t="s">
        <v>11285</v>
      </c>
      <c r="H22" s="1568" t="s">
        <v>11286</v>
      </c>
      <c r="I22" s="1565" t="s">
        <v>11287</v>
      </c>
      <c r="J22" s="1565" t="s">
        <v>11288</v>
      </c>
      <c r="K22" s="1565" t="s">
        <v>11289</v>
      </c>
      <c r="L22" s="1565" t="s">
        <v>11290</v>
      </c>
      <c r="M22" s="1787">
        <v>0.05197916666666667</v>
      </c>
      <c r="N22" s="1790" t="str">
        <f t="shared" si="1"/>
        <v>0:56</v>
      </c>
      <c r="O22" s="1619" t="s">
        <v>11291</v>
      </c>
    </row>
    <row r="23" ht="15.75" customHeight="1">
      <c r="A23" s="1727" t="s">
        <v>9474</v>
      </c>
      <c r="B23" s="1532" t="s">
        <v>8997</v>
      </c>
      <c r="C23" s="1788">
        <v>0.05144675925925926</v>
      </c>
      <c r="D23" s="1565" t="s">
        <v>11292</v>
      </c>
      <c r="E23" s="1799" t="s">
        <v>11293</v>
      </c>
      <c r="F23" s="1565" t="s">
        <v>11294</v>
      </c>
      <c r="G23" s="1565" t="s">
        <v>11295</v>
      </c>
      <c r="H23" s="1565" t="s">
        <v>11296</v>
      </c>
      <c r="I23" s="1565" t="s">
        <v>11297</v>
      </c>
      <c r="J23" s="1565" t="s">
        <v>11298</v>
      </c>
      <c r="K23" s="1565" t="s">
        <v>11299</v>
      </c>
      <c r="L23" s="1246" t="s">
        <v>9349</v>
      </c>
      <c r="M23" s="1787">
        <v>0.05258101851851852</v>
      </c>
      <c r="N23" s="1790" t="str">
        <f t="shared" si="1"/>
        <v>1:38</v>
      </c>
      <c r="O23" s="1619" t="s">
        <v>11173</v>
      </c>
    </row>
    <row r="24" ht="15.75" customHeight="1">
      <c r="A24" s="1626" t="s">
        <v>9611</v>
      </c>
      <c r="B24" s="1592" t="s">
        <v>9024</v>
      </c>
      <c r="C24" s="1783">
        <v>0.05146990740740741</v>
      </c>
      <c r="D24" s="1803" t="s">
        <v>11138</v>
      </c>
      <c r="E24" s="1566" t="s">
        <v>10552</v>
      </c>
      <c r="F24" s="1566" t="s">
        <v>11300</v>
      </c>
      <c r="G24" s="1566" t="s">
        <v>11301</v>
      </c>
      <c r="H24" s="1566" t="s">
        <v>11302</v>
      </c>
      <c r="I24" s="1565" t="s">
        <v>11303</v>
      </c>
      <c r="J24" s="1065" t="s">
        <v>11304</v>
      </c>
      <c r="K24" s="1565" t="s">
        <v>11305</v>
      </c>
      <c r="L24" s="1065" t="s">
        <v>9627</v>
      </c>
      <c r="M24" s="1808">
        <v>0.05236111111111111</v>
      </c>
      <c r="N24" s="1790" t="str">
        <f t="shared" si="1"/>
        <v>1:17</v>
      </c>
      <c r="O24" s="1619" t="s">
        <v>11173</v>
      </c>
    </row>
    <row r="25" ht="15.75" customHeight="1">
      <c r="A25" s="1791" t="s">
        <v>897</v>
      </c>
      <c r="B25" s="1532" t="s">
        <v>8997</v>
      </c>
      <c r="C25" s="1788">
        <v>0.051550925925925924</v>
      </c>
      <c r="D25" s="1565" t="s">
        <v>11306</v>
      </c>
      <c r="E25" s="1799" t="s">
        <v>10536</v>
      </c>
      <c r="F25" s="1565" t="s">
        <v>11307</v>
      </c>
      <c r="G25" s="1565" t="s">
        <v>11308</v>
      </c>
      <c r="H25" s="1565" t="s">
        <v>11309</v>
      </c>
      <c r="I25" s="1565" t="s">
        <v>11310</v>
      </c>
      <c r="J25" s="1565" t="s">
        <v>11311</v>
      </c>
      <c r="K25" s="1565" t="s">
        <v>11312</v>
      </c>
      <c r="L25" s="1246" t="s">
        <v>11313</v>
      </c>
      <c r="M25" s="1787">
        <v>0.05229166666666667</v>
      </c>
      <c r="N25" s="1790" t="str">
        <f t="shared" si="1"/>
        <v>1:04</v>
      </c>
      <c r="O25" s="1619" t="s">
        <v>11173</v>
      </c>
    </row>
    <row r="26">
      <c r="A26" s="1781" t="s">
        <v>1809</v>
      </c>
      <c r="B26" s="1680" t="s">
        <v>9052</v>
      </c>
      <c r="C26" s="1809">
        <v>0.05158564814814815</v>
      </c>
      <c r="D26" s="1810" t="s">
        <v>11146</v>
      </c>
      <c r="E26" s="1811" t="s">
        <v>11147</v>
      </c>
      <c r="F26" s="1810" t="s">
        <v>11148</v>
      </c>
      <c r="G26" s="1810" t="s">
        <v>11149</v>
      </c>
      <c r="H26" s="1810" t="s">
        <v>11150</v>
      </c>
      <c r="I26" s="1810" t="s">
        <v>11151</v>
      </c>
      <c r="J26" s="1810" t="s">
        <v>11152</v>
      </c>
      <c r="K26" s="1810" t="s">
        <v>11153</v>
      </c>
      <c r="L26" s="1810" t="s">
        <v>9080</v>
      </c>
      <c r="M26" s="1812">
        <v>0.052141203703703703</v>
      </c>
      <c r="N26" s="1790" t="str">
        <f t="shared" si="1"/>
        <v>0:48</v>
      </c>
      <c r="O26" s="1619" t="s">
        <v>11314</v>
      </c>
    </row>
    <row r="27" ht="15.75" customHeight="1">
      <c r="A27" s="954" t="s">
        <v>2824</v>
      </c>
      <c r="B27" s="1592" t="s">
        <v>8997</v>
      </c>
      <c r="C27" s="1788">
        <v>0.051706365740740744</v>
      </c>
      <c r="D27" s="1065" t="s">
        <v>11315</v>
      </c>
      <c r="E27" s="1566" t="s">
        <v>11316</v>
      </c>
      <c r="F27" s="1565" t="s">
        <v>11317</v>
      </c>
      <c r="G27" s="1565" t="s">
        <v>11318</v>
      </c>
      <c r="H27" s="1565" t="s">
        <v>11319</v>
      </c>
      <c r="I27" s="1565" t="s">
        <v>11320</v>
      </c>
      <c r="J27" s="1565" t="s">
        <v>11321</v>
      </c>
      <c r="K27" s="1565" t="s">
        <v>11322</v>
      </c>
      <c r="L27" s="1565" t="s">
        <v>9916</v>
      </c>
      <c r="M27" s="1787">
        <v>0.0525</v>
      </c>
      <c r="N27" s="1787" t="str">
        <f t="shared" si="1"/>
        <v>1:09</v>
      </c>
      <c r="O27" s="1619"/>
    </row>
    <row r="28" ht="15.75" customHeight="1">
      <c r="A28" s="1813" t="s">
        <v>2105</v>
      </c>
      <c r="B28" s="1672" t="s">
        <v>8997</v>
      </c>
      <c r="C28" s="1788">
        <v>0.05171296296296296</v>
      </c>
      <c r="D28" s="1031" t="s">
        <v>11323</v>
      </c>
      <c r="E28" s="1031" t="s">
        <v>11324</v>
      </c>
      <c r="F28" s="1031" t="s">
        <v>11325</v>
      </c>
      <c r="G28" s="1031" t="s">
        <v>11326</v>
      </c>
      <c r="H28" s="1065" t="s">
        <v>11327</v>
      </c>
      <c r="I28" s="1031" t="s">
        <v>11328</v>
      </c>
      <c r="J28" s="1065" t="s">
        <v>11329</v>
      </c>
      <c r="K28" s="1031" t="s">
        <v>11330</v>
      </c>
      <c r="L28" s="1065" t="s">
        <v>9450</v>
      </c>
      <c r="M28" s="1787">
        <v>0.054375</v>
      </c>
      <c r="N28" s="1790" t="str">
        <f t="shared" si="1"/>
        <v>3:50</v>
      </c>
      <c r="O28" s="1619" t="s">
        <v>11331</v>
      </c>
    </row>
    <row r="29" ht="15.75" customHeight="1">
      <c r="A29" s="1626" t="s">
        <v>3096</v>
      </c>
      <c r="B29" s="1592" t="s">
        <v>8997</v>
      </c>
      <c r="C29" s="1783">
        <v>0.05180160879629629</v>
      </c>
      <c r="D29" s="1065" t="s">
        <v>11332</v>
      </c>
      <c r="E29" s="1566" t="s">
        <v>11333</v>
      </c>
      <c r="F29" s="1565" t="s">
        <v>11334</v>
      </c>
      <c r="G29" s="1565" t="s">
        <v>11335</v>
      </c>
      <c r="H29" s="1565" t="s">
        <v>11336</v>
      </c>
      <c r="I29" s="1565" t="s">
        <v>11337</v>
      </c>
      <c r="J29" s="1565" t="s">
        <v>11338</v>
      </c>
      <c r="K29" s="1565" t="s">
        <v>11339</v>
      </c>
      <c r="L29" s="1565" t="s">
        <v>11340</v>
      </c>
      <c r="M29" s="1787">
        <v>0.05303240740740741</v>
      </c>
      <c r="N29" s="1790" t="str">
        <f t="shared" si="1"/>
        <v>1:46</v>
      </c>
      <c r="O29" s="1619"/>
    </row>
    <row r="30" ht="15.75" customHeight="1">
      <c r="A30" s="954" t="s">
        <v>1345</v>
      </c>
      <c r="B30" s="1680" t="s">
        <v>9052</v>
      </c>
      <c r="C30" s="1788">
        <v>0.052088194444444444</v>
      </c>
      <c r="D30" s="1065" t="s">
        <v>11341</v>
      </c>
      <c r="E30" s="1566" t="s">
        <v>11342</v>
      </c>
      <c r="F30" s="1565" t="s">
        <v>11343</v>
      </c>
      <c r="G30" s="1565" t="s">
        <v>11344</v>
      </c>
      <c r="H30" s="1565" t="s">
        <v>11345</v>
      </c>
      <c r="I30" s="1565" t="s">
        <v>11346</v>
      </c>
      <c r="J30" s="1565" t="s">
        <v>11347</v>
      </c>
      <c r="K30" s="1565" t="s">
        <v>11348</v>
      </c>
      <c r="L30" s="1565" t="s">
        <v>10222</v>
      </c>
      <c r="M30" s="1787">
        <v>0.053043981481481484</v>
      </c>
      <c r="N30" s="1790" t="str">
        <f t="shared" si="1"/>
        <v>1:23</v>
      </c>
      <c r="O30" s="1619" t="s">
        <v>11173</v>
      </c>
    </row>
    <row r="31" ht="15.75" customHeight="1">
      <c r="A31" s="954" t="s">
        <v>2579</v>
      </c>
      <c r="B31" s="1592" t="s">
        <v>9024</v>
      </c>
      <c r="C31" s="1788">
        <v>0.05215277777777778</v>
      </c>
      <c r="D31" s="1565" t="s">
        <v>11349</v>
      </c>
      <c r="E31" s="1565" t="s">
        <v>6037</v>
      </c>
      <c r="F31" s="1565" t="s">
        <v>11350</v>
      </c>
      <c r="G31" s="1565" t="s">
        <v>11351</v>
      </c>
      <c r="H31" s="1565" t="s">
        <v>11352</v>
      </c>
      <c r="I31" s="1565" t="s">
        <v>11215</v>
      </c>
      <c r="J31" s="1565" t="s">
        <v>11353</v>
      </c>
      <c r="K31" s="1565" t="s">
        <v>11354</v>
      </c>
      <c r="L31" s="1565" t="s">
        <v>9963</v>
      </c>
      <c r="M31" s="1787">
        <v>0.05399305555555556</v>
      </c>
      <c r="N31" s="1790" t="str">
        <f t="shared" si="1"/>
        <v>2:39</v>
      </c>
      <c r="O31" s="1619" t="s">
        <v>11355</v>
      </c>
    </row>
    <row r="32" ht="15.75" customHeight="1">
      <c r="A32" s="1626" t="s">
        <v>2992</v>
      </c>
      <c r="B32" s="1592" t="s">
        <v>8997</v>
      </c>
      <c r="C32" s="1783">
        <v>0.05216435185185185</v>
      </c>
      <c r="D32" s="1565" t="s">
        <v>11356</v>
      </c>
      <c r="E32" s="1566" t="s">
        <v>11357</v>
      </c>
      <c r="F32" s="1565" t="s">
        <v>11358</v>
      </c>
      <c r="G32" s="1565" t="s">
        <v>11359</v>
      </c>
      <c r="H32" s="1565" t="s">
        <v>11360</v>
      </c>
      <c r="I32" s="1565" t="s">
        <v>11361</v>
      </c>
      <c r="J32" s="1565" t="s">
        <v>11362</v>
      </c>
      <c r="K32" s="1565" t="s">
        <v>11363</v>
      </c>
      <c r="L32" s="1565" t="s">
        <v>11364</v>
      </c>
      <c r="M32" s="1787">
        <v>0.05337962962962963</v>
      </c>
      <c r="N32" s="1790" t="str">
        <f t="shared" si="1"/>
        <v>1:45</v>
      </c>
      <c r="O32" s="1619" t="s">
        <v>11365</v>
      </c>
    </row>
    <row r="33" ht="15.75" customHeight="1">
      <c r="A33" s="954" t="s">
        <v>739</v>
      </c>
      <c r="B33" s="1592" t="s">
        <v>9024</v>
      </c>
      <c r="C33" s="1788">
        <v>0.05224537037037037</v>
      </c>
      <c r="D33" s="1565" t="s">
        <v>11366</v>
      </c>
      <c r="E33" s="1814" t="s">
        <v>11367</v>
      </c>
      <c r="F33" s="1565" t="s">
        <v>11368</v>
      </c>
      <c r="G33" s="1565" t="s">
        <v>11369</v>
      </c>
      <c r="H33" s="1565" t="s">
        <v>11370</v>
      </c>
      <c r="I33" s="1565" t="s">
        <v>11371</v>
      </c>
      <c r="J33" s="1565" t="s">
        <v>11372</v>
      </c>
      <c r="K33" s="1568" t="s">
        <v>11373</v>
      </c>
      <c r="L33" s="1565" t="s">
        <v>11374</v>
      </c>
      <c r="M33" s="1787">
        <v>0.053043981481481484</v>
      </c>
      <c r="N33" s="1790" t="str">
        <f t="shared" si="1"/>
        <v>1:09</v>
      </c>
      <c r="O33" s="1619" t="s">
        <v>11375</v>
      </c>
    </row>
    <row r="34" ht="15.75" customHeight="1">
      <c r="A34" s="1626" t="s">
        <v>3096</v>
      </c>
      <c r="B34" s="1680" t="s">
        <v>9024</v>
      </c>
      <c r="C34" s="1783">
        <v>0.052316898148148154</v>
      </c>
      <c r="D34" s="1065" t="s">
        <v>11376</v>
      </c>
      <c r="E34" s="1566" t="s">
        <v>11377</v>
      </c>
      <c r="F34" s="1565" t="s">
        <v>11378</v>
      </c>
      <c r="G34" s="1565" t="s">
        <v>11379</v>
      </c>
      <c r="H34" s="1565" t="s">
        <v>11380</v>
      </c>
      <c r="I34" s="1565" t="s">
        <v>11381</v>
      </c>
      <c r="J34" s="1565" t="s">
        <v>11382</v>
      </c>
      <c r="K34" s="1565" t="s">
        <v>11383</v>
      </c>
      <c r="L34" s="1565" t="s">
        <v>9701</v>
      </c>
      <c r="M34" s="1787">
        <v>0.05376157407407407</v>
      </c>
      <c r="N34" s="1790" t="str">
        <f t="shared" si="1"/>
        <v>2:05</v>
      </c>
      <c r="O34" s="1619" t="s">
        <v>11173</v>
      </c>
    </row>
    <row r="35" ht="15.75" customHeight="1">
      <c r="A35" s="954" t="s">
        <v>4048</v>
      </c>
      <c r="B35" s="1592" t="s">
        <v>8997</v>
      </c>
      <c r="C35" s="1788">
        <v>0.05238425925925926</v>
      </c>
      <c r="D35" s="1053" t="s">
        <v>11384</v>
      </c>
      <c r="E35" s="1566" t="s">
        <v>11357</v>
      </c>
      <c r="F35" s="1565" t="s">
        <v>11385</v>
      </c>
      <c r="G35" s="1789" t="s">
        <v>11386</v>
      </c>
      <c r="H35" s="1565" t="s">
        <v>11387</v>
      </c>
      <c r="I35" s="1565" t="s">
        <v>11388</v>
      </c>
      <c r="J35" s="1565" t="s">
        <v>11389</v>
      </c>
      <c r="K35" s="1565" t="s">
        <v>11390</v>
      </c>
      <c r="L35" s="1565" t="s">
        <v>10240</v>
      </c>
      <c r="M35" s="1787">
        <v>0.05340277777777778</v>
      </c>
      <c r="N35" s="1790" t="str">
        <f t="shared" si="1"/>
        <v>1:28</v>
      </c>
      <c r="O35" s="1619" t="s">
        <v>11391</v>
      </c>
    </row>
    <row r="36" ht="15.75" customHeight="1">
      <c r="A36" s="954" t="s">
        <v>2713</v>
      </c>
      <c r="B36" s="1592" t="s">
        <v>8997</v>
      </c>
      <c r="C36" s="1788">
        <v>0.0525</v>
      </c>
      <c r="D36" s="1065" t="s">
        <v>11392</v>
      </c>
      <c r="E36" s="1566" t="s">
        <v>11393</v>
      </c>
      <c r="F36" s="1565" t="s">
        <v>11394</v>
      </c>
      <c r="G36" s="1565" t="s">
        <v>11395</v>
      </c>
      <c r="H36" s="1565" t="s">
        <v>11396</v>
      </c>
      <c r="I36" s="1565" t="s">
        <v>11397</v>
      </c>
      <c r="J36" s="1565" t="s">
        <v>11398</v>
      </c>
      <c r="K36" s="1565" t="s">
        <v>11399</v>
      </c>
      <c r="L36" s="1565" t="s">
        <v>699</v>
      </c>
      <c r="M36" s="1787">
        <v>0.053773148148148146</v>
      </c>
      <c r="N36" s="1790" t="str">
        <f t="shared" si="1"/>
        <v>1:50</v>
      </c>
      <c r="O36" s="1619" t="s">
        <v>11400</v>
      </c>
    </row>
    <row r="37" ht="15.75" customHeight="1">
      <c r="A37" s="1626" t="s">
        <v>10267</v>
      </c>
      <c r="B37" s="1592" t="s">
        <v>8997</v>
      </c>
      <c r="C37" s="1783">
        <v>0.05268518518518518</v>
      </c>
      <c r="D37" s="1065" t="s">
        <v>11401</v>
      </c>
      <c r="E37" s="1566" t="s">
        <v>11402</v>
      </c>
      <c r="F37" s="1565" t="s">
        <v>11403</v>
      </c>
      <c r="G37" s="1565" t="s">
        <v>11404</v>
      </c>
      <c r="H37" s="1565" t="s">
        <v>11405</v>
      </c>
      <c r="I37" s="1565" t="s">
        <v>7430</v>
      </c>
      <c r="J37" s="1565" t="s">
        <v>11406</v>
      </c>
      <c r="K37" s="1565" t="s">
        <v>11407</v>
      </c>
      <c r="L37" s="1565" t="s">
        <v>10285</v>
      </c>
      <c r="M37" s="1787">
        <v>0.05331018518518518</v>
      </c>
      <c r="N37" s="1790" t="str">
        <f t="shared" si="1"/>
        <v>0:54</v>
      </c>
      <c r="O37" s="1619" t="s">
        <v>11408</v>
      </c>
    </row>
    <row r="38" ht="15.75" customHeight="1">
      <c r="A38" s="1626" t="s">
        <v>3746</v>
      </c>
      <c r="B38" s="1795" t="s">
        <v>8997</v>
      </c>
      <c r="C38" s="1783">
        <v>0.05270034722222223</v>
      </c>
      <c r="D38" s="1053" t="s">
        <v>11409</v>
      </c>
      <c r="E38" s="1566" t="s">
        <v>11410</v>
      </c>
      <c r="F38" s="1565" t="s">
        <v>11411</v>
      </c>
      <c r="G38" s="1565" t="s">
        <v>11412</v>
      </c>
      <c r="H38" s="1565" t="s">
        <v>11413</v>
      </c>
      <c r="I38" s="1565" t="s">
        <v>11414</v>
      </c>
      <c r="J38" s="1565" t="s">
        <v>11415</v>
      </c>
      <c r="K38" s="1565" t="s">
        <v>11416</v>
      </c>
      <c r="L38" s="1565" t="s">
        <v>11417</v>
      </c>
      <c r="M38" s="1787">
        <v>0.05425925925925926</v>
      </c>
      <c r="N38" s="1790" t="str">
        <f t="shared" si="1"/>
        <v>2:15</v>
      </c>
      <c r="O38" s="1619" t="s">
        <v>11173</v>
      </c>
    </row>
    <row r="39">
      <c r="A39" s="1815" t="s">
        <v>3439</v>
      </c>
      <c r="B39" s="1795" t="s">
        <v>8997</v>
      </c>
      <c r="C39" s="1783">
        <v>0.053009259259259256</v>
      </c>
      <c r="D39" s="1053" t="s">
        <v>11418</v>
      </c>
      <c r="E39" s="1566" t="s">
        <v>11419</v>
      </c>
      <c r="F39" s="1565" t="s">
        <v>11420</v>
      </c>
      <c r="G39" s="1565" t="s">
        <v>11421</v>
      </c>
      <c r="H39" s="1565" t="s">
        <v>11422</v>
      </c>
      <c r="I39" s="1565" t="s">
        <v>11423</v>
      </c>
      <c r="J39" s="1565" t="s">
        <v>11424</v>
      </c>
      <c r="K39" s="1565" t="s">
        <v>11425</v>
      </c>
      <c r="L39" s="1565" t="s">
        <v>11426</v>
      </c>
      <c r="M39" s="1787">
        <v>0.05372685185185185</v>
      </c>
      <c r="N39" s="1790" t="str">
        <f t="shared" si="1"/>
        <v>1:02</v>
      </c>
      <c r="O39" s="1619" t="s">
        <v>11173</v>
      </c>
    </row>
    <row r="40" ht="15.75" customHeight="1">
      <c r="A40" s="954" t="s">
        <v>979</v>
      </c>
      <c r="B40" s="1759" t="s">
        <v>9024</v>
      </c>
      <c r="C40" s="1788">
        <v>0.05378472222222222</v>
      </c>
      <c r="D40" s="1065" t="s">
        <v>11427</v>
      </c>
      <c r="E40" s="1566" t="s">
        <v>11428</v>
      </c>
      <c r="F40" s="1565" t="s">
        <v>11429</v>
      </c>
      <c r="G40" s="1565" t="s">
        <v>11430</v>
      </c>
      <c r="H40" s="1565" t="s">
        <v>11431</v>
      </c>
      <c r="I40" s="1565" t="s">
        <v>9588</v>
      </c>
      <c r="J40" s="1565" t="s">
        <v>11432</v>
      </c>
      <c r="K40" s="1565" t="s">
        <v>11433</v>
      </c>
      <c r="L40" s="1565" t="s">
        <v>10012</v>
      </c>
      <c r="M40" s="1787">
        <v>0.054560185185185184</v>
      </c>
      <c r="N40" s="1790" t="str">
        <f t="shared" si="1"/>
        <v>1:07</v>
      </c>
      <c r="O40" s="1619"/>
    </row>
    <row r="41" ht="15.75" customHeight="1">
      <c r="A41" s="954" t="s">
        <v>4945</v>
      </c>
      <c r="B41" s="1680" t="s">
        <v>9024</v>
      </c>
      <c r="C41" s="1788">
        <v>0.05748842592592593</v>
      </c>
      <c r="D41" s="1566" t="s">
        <v>11434</v>
      </c>
      <c r="E41" s="1566" t="s">
        <v>11435</v>
      </c>
      <c r="F41" s="1565" t="s">
        <v>11436</v>
      </c>
      <c r="G41" s="1565" t="s">
        <v>11437</v>
      </c>
      <c r="H41" s="1565" t="s">
        <v>11438</v>
      </c>
      <c r="I41" s="1565" t="s">
        <v>11439</v>
      </c>
      <c r="J41" s="1565" t="s">
        <v>11440</v>
      </c>
      <c r="K41" s="1565" t="s">
        <v>11441</v>
      </c>
      <c r="L41" s="1565" t="s">
        <v>11018</v>
      </c>
      <c r="M41" s="1787">
        <v>0.06149305555555556</v>
      </c>
      <c r="N41" s="1790" t="str">
        <f t="shared" si="1"/>
        <v>5:46</v>
      </c>
      <c r="O41" s="1619" t="s">
        <v>11173</v>
      </c>
    </row>
    <row r="42" ht="15.75" customHeight="1">
      <c r="A42" s="954" t="s">
        <v>6535</v>
      </c>
      <c r="B42" s="1715" t="s">
        <v>11020</v>
      </c>
      <c r="C42" s="1816">
        <v>0.0609375</v>
      </c>
      <c r="D42" s="1723" t="s">
        <v>11442</v>
      </c>
      <c r="E42" s="1817" t="s">
        <v>8902</v>
      </c>
      <c r="F42" s="1817" t="s">
        <v>11443</v>
      </c>
      <c r="G42" s="1817" t="s">
        <v>11444</v>
      </c>
      <c r="H42" s="1817" t="s">
        <v>11445</v>
      </c>
      <c r="I42" s="1817" t="s">
        <v>8451</v>
      </c>
      <c r="J42" s="1817" t="s">
        <v>11446</v>
      </c>
      <c r="K42" s="1817" t="s">
        <v>11447</v>
      </c>
      <c r="L42" s="1817" t="s">
        <v>11448</v>
      </c>
      <c r="M42" s="1818">
        <v>0.06646990740740741</v>
      </c>
      <c r="N42" s="1817" t="s">
        <v>11449</v>
      </c>
      <c r="O42" s="1619" t="s">
        <v>11450</v>
      </c>
    </row>
    <row r="43" ht="15.75" customHeight="1">
      <c r="A43" s="1626"/>
      <c r="B43" s="1592"/>
      <c r="C43" s="1819"/>
      <c r="D43" s="1053"/>
      <c r="E43" s="1799"/>
      <c r="F43" s="1565"/>
      <c r="G43" s="1565"/>
      <c r="H43" s="1565"/>
      <c r="I43" s="1565"/>
      <c r="J43" s="1565"/>
      <c r="K43" s="1565"/>
      <c r="L43" s="1565"/>
      <c r="M43" s="1565"/>
      <c r="N43" s="1787"/>
      <c r="O43" s="1619"/>
    </row>
    <row r="44">
      <c r="A44" s="1781"/>
      <c r="B44" s="1782"/>
      <c r="C44" s="1819"/>
      <c r="D44" s="1032"/>
      <c r="E44" s="1799"/>
      <c r="F44" s="1565"/>
      <c r="G44" s="1565"/>
      <c r="H44" s="1565"/>
      <c r="I44" s="1565"/>
      <c r="J44" s="1565"/>
      <c r="K44" s="1565"/>
      <c r="L44" s="1565"/>
      <c r="M44" s="1565"/>
      <c r="N44" s="1787"/>
      <c r="O44" s="1619"/>
    </row>
    <row r="45" ht="15.75" customHeight="1">
      <c r="A45" s="1626"/>
      <c r="B45" s="1592"/>
      <c r="C45" s="1819"/>
      <c r="D45" s="1026"/>
      <c r="E45" s="1799"/>
      <c r="F45" s="1565"/>
      <c r="G45" s="1565"/>
      <c r="H45" s="1565"/>
      <c r="I45" s="1565"/>
      <c r="J45" s="1565"/>
      <c r="K45" s="1565"/>
      <c r="L45" s="1565"/>
      <c r="M45" s="1565"/>
      <c r="N45" s="1787"/>
      <c r="O45" s="1619"/>
    </row>
    <row r="46" ht="15.75" customHeight="1">
      <c r="A46" s="1731"/>
      <c r="B46" s="1684"/>
      <c r="C46" s="1820"/>
      <c r="D46" s="1032"/>
      <c r="E46" s="1799"/>
      <c r="F46" s="1565"/>
      <c r="G46" s="1565"/>
      <c r="H46" s="1565"/>
      <c r="I46" s="1565"/>
      <c r="J46" s="1565"/>
      <c r="K46" s="1565"/>
      <c r="L46" s="1565"/>
      <c r="M46" s="1565"/>
      <c r="N46" s="1787"/>
      <c r="O46" s="1619"/>
    </row>
    <row r="47">
      <c r="A47" s="1815"/>
      <c r="B47" s="1795"/>
      <c r="C47" s="1821"/>
      <c r="D47" s="1026"/>
      <c r="E47" s="1799"/>
      <c r="F47" s="1565"/>
      <c r="G47" s="1565"/>
      <c r="H47" s="1565"/>
      <c r="I47" s="1565"/>
      <c r="J47" s="1565"/>
      <c r="K47" s="1565"/>
      <c r="L47" s="1565"/>
      <c r="M47" s="1565"/>
      <c r="N47" s="1787"/>
      <c r="O47" s="1619"/>
    </row>
    <row r="48" ht="15.75" customHeight="1">
      <c r="A48" s="1727"/>
      <c r="B48" s="1532"/>
      <c r="C48" s="1822"/>
      <c r="D48" s="1032"/>
      <c r="E48" s="1799"/>
      <c r="F48" s="1565"/>
      <c r="G48" s="1565"/>
      <c r="H48" s="1565"/>
      <c r="I48" s="1565"/>
      <c r="J48" s="1565"/>
      <c r="K48" s="1565"/>
      <c r="L48" s="1565"/>
      <c r="M48" s="1565"/>
      <c r="N48" s="1787"/>
      <c r="O48" s="1619"/>
    </row>
    <row r="49" ht="15.75" customHeight="1">
      <c r="A49" s="1731"/>
      <c r="B49" s="1532"/>
      <c r="C49" s="1820"/>
      <c r="D49" s="1026"/>
      <c r="E49" s="1799"/>
      <c r="F49" s="1565"/>
      <c r="G49" s="1565"/>
      <c r="H49" s="1565"/>
      <c r="I49" s="1565"/>
      <c r="J49" s="1565"/>
      <c r="K49" s="1565"/>
      <c r="L49" s="1565"/>
      <c r="M49" s="1565"/>
      <c r="N49" s="1787"/>
      <c r="O49" s="1619"/>
    </row>
    <row r="50" ht="15.75" customHeight="1">
      <c r="A50" s="1781"/>
      <c r="B50" s="1782"/>
      <c r="C50" s="1819"/>
      <c r="D50" s="1032"/>
      <c r="E50" s="1799"/>
      <c r="F50" s="1565"/>
      <c r="G50" s="1565"/>
      <c r="H50" s="1565"/>
      <c r="I50" s="1565"/>
      <c r="J50" s="1565"/>
      <c r="K50" s="1565"/>
      <c r="L50" s="1565"/>
      <c r="M50" s="1565"/>
      <c r="N50" s="1787"/>
      <c r="O50" s="1619"/>
    </row>
    <row r="51" ht="15.75" customHeight="1">
      <c r="A51" s="1727"/>
      <c r="B51" s="1623"/>
      <c r="C51" s="1822"/>
      <c r="D51" s="1026"/>
      <c r="E51" s="1799"/>
      <c r="F51" s="1565"/>
      <c r="G51" s="1565"/>
      <c r="H51" s="1565"/>
      <c r="I51" s="1565"/>
      <c r="J51" s="1565"/>
      <c r="K51" s="1565"/>
      <c r="L51" s="1565"/>
      <c r="M51" s="1565"/>
      <c r="N51" s="1787"/>
      <c r="O51" s="1619"/>
    </row>
    <row r="52" ht="15.75" customHeight="1">
      <c r="A52" s="1731"/>
      <c r="B52" s="1684"/>
      <c r="C52" s="1820"/>
      <c r="D52" s="1032"/>
      <c r="E52" s="1799"/>
      <c r="F52" s="1565"/>
      <c r="G52" s="1565"/>
      <c r="H52" s="1565"/>
      <c r="I52" s="1565"/>
      <c r="J52" s="1565"/>
      <c r="K52" s="1565"/>
      <c r="L52" s="1565"/>
      <c r="M52" s="1565"/>
      <c r="N52" s="1787"/>
      <c r="O52" s="1619"/>
    </row>
    <row r="53" ht="15.75" customHeight="1">
      <c r="A53" s="1781"/>
      <c r="B53" s="1592"/>
      <c r="C53" s="1819"/>
      <c r="D53" s="1026"/>
      <c r="E53" s="1799"/>
      <c r="F53" s="1565"/>
      <c r="G53" s="1565"/>
      <c r="H53" s="1565"/>
      <c r="I53" s="1565"/>
      <c r="J53" s="1565"/>
      <c r="K53" s="1565"/>
      <c r="L53" s="1565"/>
      <c r="M53" s="1565"/>
      <c r="N53" s="1787"/>
      <c r="O53" s="1619"/>
    </row>
    <row r="54" ht="15.75" customHeight="1">
      <c r="A54" s="1626"/>
      <c r="B54" s="1680"/>
      <c r="C54" s="1819"/>
      <c r="D54" s="1032"/>
      <c r="E54" s="1799"/>
      <c r="F54" s="1565"/>
      <c r="G54" s="1565"/>
      <c r="H54" s="1565"/>
      <c r="I54" s="1565"/>
      <c r="J54" s="1565"/>
      <c r="K54" s="1565"/>
      <c r="L54" s="1565"/>
      <c r="M54" s="1565"/>
      <c r="N54" s="1787"/>
      <c r="O54" s="1619"/>
    </row>
    <row r="55" ht="15.75" customHeight="1">
      <c r="A55" s="1781"/>
      <c r="B55" s="1782"/>
      <c r="C55" s="1819"/>
      <c r="D55" s="1026"/>
      <c r="E55" s="1799"/>
      <c r="F55" s="1565"/>
      <c r="G55" s="1565"/>
      <c r="H55" s="1565"/>
      <c r="I55" s="1565"/>
      <c r="J55" s="1565"/>
      <c r="K55" s="1565"/>
      <c r="L55" s="1565"/>
      <c r="M55" s="1565"/>
      <c r="N55" s="1787"/>
      <c r="O55" s="1619"/>
    </row>
    <row r="56" ht="15.75" customHeight="1">
      <c r="A56" s="1731"/>
      <c r="B56" s="1684"/>
      <c r="C56" s="1820"/>
      <c r="D56" s="1032"/>
      <c r="E56" s="1799"/>
      <c r="F56" s="1565"/>
      <c r="G56" s="1565"/>
      <c r="H56" s="1565"/>
      <c r="I56" s="1565"/>
      <c r="J56" s="1565"/>
      <c r="K56" s="1565"/>
      <c r="L56" s="1565"/>
      <c r="M56" s="1565"/>
      <c r="N56" s="1787"/>
      <c r="O56" s="1619"/>
    </row>
    <row r="57" ht="16.5" customHeight="1">
      <c r="A57" s="1727"/>
      <c r="B57" s="1684"/>
      <c r="C57" s="1822"/>
      <c r="D57" s="1026"/>
      <c r="E57" s="1799"/>
      <c r="F57" s="1565"/>
      <c r="G57" s="1565"/>
      <c r="H57" s="1565"/>
      <c r="I57" s="1565"/>
      <c r="J57" s="1565"/>
      <c r="K57" s="1565"/>
      <c r="L57" s="1565"/>
      <c r="M57" s="1565"/>
      <c r="N57" s="1787"/>
      <c r="O57" s="1619"/>
    </row>
    <row r="58">
      <c r="A58" s="1781"/>
      <c r="B58" s="1782"/>
      <c r="C58" s="1823"/>
      <c r="D58" s="1032"/>
      <c r="E58" s="1799"/>
      <c r="F58" s="1565"/>
      <c r="G58" s="1565"/>
      <c r="H58" s="1565"/>
      <c r="I58" s="1565"/>
      <c r="J58" s="1565"/>
      <c r="K58" s="1565"/>
      <c r="L58" s="1565"/>
      <c r="M58" s="1565"/>
      <c r="N58" s="1787"/>
      <c r="O58" s="1619"/>
    </row>
    <row r="59">
      <c r="A59" s="1815"/>
      <c r="B59" s="1672"/>
      <c r="C59" s="1823"/>
      <c r="D59" s="1032"/>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2"/>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2"/>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2"/>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2"/>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2"/>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2"/>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2"/>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2"/>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2"/>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2"/>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2"/>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2"/>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2"/>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2"/>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2"/>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2"/>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2"/>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2"/>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2"/>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2"/>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2"/>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2"/>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2"/>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2"/>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2"/>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2"/>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2"/>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2"/>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2"/>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2"/>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2"/>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2"/>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2"/>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2"/>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2"/>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2"/>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2"/>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2"/>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2"/>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2"/>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2"/>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2"/>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2"/>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2"/>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2"/>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2"/>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2"/>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2"/>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2"/>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2"/>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2"/>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2"/>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2"/>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2"/>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2"/>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2"/>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2"/>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2"/>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2"/>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2"/>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2"/>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2"/>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2"/>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2"/>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2"/>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2"/>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2"/>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2"/>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2"/>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2"/>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2"/>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2"/>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2"/>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2"/>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2"/>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2"/>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2"/>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2"/>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2"/>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2"/>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2"/>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2"/>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2"/>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2"/>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2"/>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2"/>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2"/>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2"/>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2"/>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2"/>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2"/>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2"/>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2"/>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2"/>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2"/>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2"/>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2"/>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2"/>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2"/>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2"/>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2"/>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2"/>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2"/>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2"/>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2"/>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2"/>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2"/>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2"/>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2"/>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2"/>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2"/>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2"/>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2"/>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2"/>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2"/>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2"/>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2"/>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2"/>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2"/>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2"/>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2"/>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2"/>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2"/>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2"/>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2"/>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2"/>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2"/>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2"/>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2"/>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2"/>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2"/>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2"/>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2"/>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2"/>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2"/>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2"/>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2"/>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2"/>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2"/>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2"/>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2"/>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2"/>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2"/>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2"/>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2"/>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2"/>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2"/>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2"/>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2"/>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2"/>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2"/>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2"/>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2"/>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2"/>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2"/>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2"/>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2"/>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2"/>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2"/>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2"/>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2"/>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2"/>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2"/>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2"/>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2"/>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2"/>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2"/>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2"/>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2"/>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2"/>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2"/>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2"/>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2"/>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2"/>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2"/>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2"/>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2"/>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2"/>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2"/>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2"/>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2"/>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2"/>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2"/>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2"/>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2"/>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2"/>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2"/>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2"/>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2"/>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2"/>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2"/>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2"/>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2"/>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2"/>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2"/>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2"/>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2"/>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2"/>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2"/>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2"/>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2"/>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2"/>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2"/>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2"/>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2"/>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2"/>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2"/>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2"/>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2"/>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2"/>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2"/>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2"/>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2"/>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2"/>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2"/>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2"/>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2"/>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2"/>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2"/>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2"/>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2"/>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2"/>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2"/>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2"/>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2"/>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2"/>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2"/>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2"/>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2"/>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2"/>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2"/>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2"/>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2"/>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2"/>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2"/>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2"/>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2"/>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2"/>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2"/>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2"/>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2"/>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2"/>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2"/>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2"/>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2"/>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2"/>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2"/>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2"/>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2"/>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2"/>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2"/>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2"/>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2"/>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2"/>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2"/>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2"/>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2"/>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2"/>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2"/>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2"/>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2"/>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2"/>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2"/>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2"/>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2"/>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2"/>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2"/>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2"/>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2"/>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2"/>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2"/>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2"/>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2"/>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2"/>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2"/>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2"/>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2"/>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2"/>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2"/>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2"/>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2"/>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2"/>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2"/>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2"/>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2"/>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2"/>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2"/>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2"/>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2"/>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2"/>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2"/>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2"/>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2"/>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2"/>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2"/>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2"/>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2"/>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2"/>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2"/>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2"/>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2"/>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2"/>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2"/>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2"/>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2"/>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2"/>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2"/>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2"/>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2"/>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2"/>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2"/>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2"/>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2"/>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2"/>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2"/>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2"/>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2"/>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2"/>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2"/>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2"/>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2"/>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2"/>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2"/>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2"/>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2"/>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2"/>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2"/>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2"/>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2"/>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2"/>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2"/>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2"/>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2"/>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2"/>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2"/>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2"/>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2"/>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2"/>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2"/>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2"/>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2"/>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2"/>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2"/>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2"/>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2"/>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2"/>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2"/>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2"/>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2"/>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2"/>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2"/>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2"/>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2"/>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2"/>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2"/>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2"/>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2"/>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2"/>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2"/>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2"/>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2"/>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2"/>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2"/>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2"/>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2"/>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2"/>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2"/>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2"/>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2"/>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2"/>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2"/>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2"/>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2"/>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2"/>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2"/>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2"/>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2"/>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2"/>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2"/>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2"/>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2"/>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2"/>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2"/>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2"/>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2"/>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2"/>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2"/>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2"/>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2"/>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2"/>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2"/>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2"/>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2"/>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2"/>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2"/>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2"/>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2"/>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2"/>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2"/>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2"/>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2"/>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2"/>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2"/>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2"/>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2"/>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2"/>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2"/>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2"/>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2"/>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2"/>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2"/>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2"/>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2"/>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2"/>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2"/>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2"/>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2"/>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2"/>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2"/>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2"/>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2"/>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2"/>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2"/>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2"/>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2"/>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2"/>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2"/>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2"/>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2"/>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2"/>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2"/>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2"/>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2"/>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2"/>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2"/>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2"/>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2"/>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2"/>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2"/>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2"/>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2"/>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2"/>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2"/>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2"/>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2"/>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2"/>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2"/>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2"/>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2"/>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2"/>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2"/>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2"/>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2"/>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2"/>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2"/>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2"/>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2"/>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2"/>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2"/>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2"/>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2"/>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2"/>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2"/>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2"/>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2"/>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2"/>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8959</v>
      </c>
      <c r="C1" s="1844" t="s">
        <v>11128</v>
      </c>
      <c r="D1" s="1845" t="s">
        <v>7723</v>
      </c>
      <c r="E1" s="1846" t="s">
        <v>8034</v>
      </c>
      <c r="F1" s="1847" t="s">
        <v>38</v>
      </c>
      <c r="G1" s="1848" t="s">
        <v>36</v>
      </c>
      <c r="H1" s="1844" t="s">
        <v>11129</v>
      </c>
      <c r="I1" s="1849" t="s">
        <v>39</v>
      </c>
      <c r="J1" s="1741" t="s">
        <v>7968</v>
      </c>
      <c r="K1" s="1473" t="s">
        <v>8993</v>
      </c>
      <c r="L1" s="1743" t="s">
        <v>8995</v>
      </c>
    </row>
    <row r="2" ht="15.75" customHeight="1">
      <c r="A2" s="1744" t="s">
        <v>8996</v>
      </c>
      <c r="B2" s="1745" t="s">
        <v>8997</v>
      </c>
      <c r="C2" s="1747" t="s">
        <v>11451</v>
      </c>
      <c r="D2" s="1850" t="s">
        <v>11452</v>
      </c>
      <c r="E2" s="1851" t="s">
        <v>11453</v>
      </c>
      <c r="F2" s="1852" t="s">
        <v>11454</v>
      </c>
      <c r="G2" s="1751" t="s">
        <v>11455</v>
      </c>
      <c r="H2" s="1747" t="s">
        <v>11456</v>
      </c>
      <c r="I2" s="1853" t="s">
        <v>11457</v>
      </c>
      <c r="J2" s="1754" t="s">
        <v>11458</v>
      </c>
      <c r="K2" s="1854" t="s">
        <v>9090</v>
      </c>
      <c r="L2" s="1855"/>
    </row>
    <row r="3" ht="15.75" customHeight="1">
      <c r="A3" s="1758" t="s">
        <v>9023</v>
      </c>
      <c r="B3" s="1759" t="s">
        <v>9024</v>
      </c>
      <c r="C3" s="1502" t="s">
        <v>11349</v>
      </c>
      <c r="D3" s="1510" t="s">
        <v>11459</v>
      </c>
      <c r="E3" s="1504" t="s">
        <v>11460</v>
      </c>
      <c r="F3" s="1505" t="s">
        <v>11461</v>
      </c>
      <c r="G3" s="1507" t="s">
        <v>11462</v>
      </c>
      <c r="H3" s="1502" t="s">
        <v>11463</v>
      </c>
      <c r="I3" s="1509" t="s">
        <v>11464</v>
      </c>
      <c r="J3" s="1512" t="s">
        <v>11465</v>
      </c>
      <c r="K3" s="1760">
        <v>0.053043981481481484</v>
      </c>
      <c r="L3" s="1856"/>
    </row>
    <row r="4" ht="15.75" customHeight="1">
      <c r="A4" s="1763" t="s">
        <v>9051</v>
      </c>
      <c r="B4" s="1764" t="s">
        <v>9052</v>
      </c>
      <c r="C4" s="1766" t="s">
        <v>11341</v>
      </c>
      <c r="D4" s="1857" t="s">
        <v>11466</v>
      </c>
      <c r="E4" s="1768" t="s">
        <v>11467</v>
      </c>
      <c r="F4" s="1769" t="s">
        <v>11468</v>
      </c>
      <c r="G4" s="1770" t="s">
        <v>11469</v>
      </c>
      <c r="H4" s="1766" t="s">
        <v>11470</v>
      </c>
      <c r="I4" s="1771" t="s">
        <v>11471</v>
      </c>
      <c r="J4" s="1772" t="s">
        <v>11472</v>
      </c>
      <c r="K4" s="1765">
        <v>0.053043981481481484</v>
      </c>
      <c r="L4" s="1855"/>
    </row>
    <row r="5" ht="15.75" customHeight="1">
      <c r="A5" s="954" t="s">
        <v>1056</v>
      </c>
      <c r="B5" s="1592" t="s">
        <v>8997</v>
      </c>
      <c r="C5" s="1776" t="s">
        <v>11451</v>
      </c>
      <c r="D5" s="1776" t="s">
        <v>11452</v>
      </c>
      <c r="E5" s="1776" t="s">
        <v>11453</v>
      </c>
      <c r="F5" s="1776" t="s">
        <v>11454</v>
      </c>
      <c r="G5" s="1858" t="s">
        <v>11455</v>
      </c>
      <c r="H5" s="1858" t="s">
        <v>11456</v>
      </c>
      <c r="I5" s="1858" t="s">
        <v>11457</v>
      </c>
      <c r="J5" s="1858" t="s">
        <v>11458</v>
      </c>
      <c r="K5" s="1859" t="s">
        <v>9090</v>
      </c>
      <c r="L5" s="1619" t="s">
        <v>11473</v>
      </c>
    </row>
    <row r="6" ht="15.75" customHeight="1">
      <c r="A6" s="1727" t="s">
        <v>1809</v>
      </c>
      <c r="B6" s="1860" t="s">
        <v>8997</v>
      </c>
      <c r="C6" s="1861" t="s">
        <v>11165</v>
      </c>
      <c r="D6" s="1862" t="s">
        <v>11474</v>
      </c>
      <c r="E6" s="1863" t="s">
        <v>11475</v>
      </c>
      <c r="F6" s="1864" t="s">
        <v>11476</v>
      </c>
      <c r="G6" s="1865" t="s">
        <v>11477</v>
      </c>
      <c r="H6" s="1866" t="s">
        <v>11478</v>
      </c>
      <c r="I6" s="1867" t="s">
        <v>11479</v>
      </c>
      <c r="J6" s="1868" t="s">
        <v>11480</v>
      </c>
      <c r="K6" s="1565" t="s">
        <v>9180</v>
      </c>
      <c r="L6" s="1869" t="s">
        <v>11481</v>
      </c>
    </row>
    <row r="7" ht="15.75" customHeight="1">
      <c r="A7" s="1870" t="s">
        <v>6604</v>
      </c>
      <c r="B7" s="1592" t="s">
        <v>8997</v>
      </c>
      <c r="C7" s="1704" t="s">
        <v>11180</v>
      </c>
      <c r="D7" s="1565" t="s">
        <v>11482</v>
      </c>
      <c r="E7" s="1565" t="s">
        <v>11483</v>
      </c>
      <c r="F7" s="1565" t="s">
        <v>11484</v>
      </c>
      <c r="G7" s="1871" t="s">
        <v>11485</v>
      </c>
      <c r="H7" s="1871" t="s">
        <v>11486</v>
      </c>
      <c r="I7" s="1871" t="s">
        <v>11487</v>
      </c>
      <c r="J7" s="1871" t="s">
        <v>11488</v>
      </c>
      <c r="K7" s="1565" t="s">
        <v>9247</v>
      </c>
      <c r="L7" s="1619"/>
    </row>
    <row r="8" ht="15.75" customHeight="1">
      <c r="A8" s="954" t="s">
        <v>2543</v>
      </c>
      <c r="B8" s="1592" t="s">
        <v>8997</v>
      </c>
      <c r="C8" s="1784" t="s">
        <v>11158</v>
      </c>
      <c r="D8" s="1778" t="s">
        <v>11489</v>
      </c>
      <c r="E8" s="1778" t="s">
        <v>11490</v>
      </c>
      <c r="F8" s="1778" t="s">
        <v>11491</v>
      </c>
      <c r="G8" s="1872" t="s">
        <v>11492</v>
      </c>
      <c r="H8" s="1873" t="s">
        <v>11493</v>
      </c>
      <c r="I8" s="1874" t="s">
        <v>11494</v>
      </c>
      <c r="J8" s="1875" t="s">
        <v>11495</v>
      </c>
      <c r="K8" s="1778" t="s">
        <v>9116</v>
      </c>
      <c r="L8" s="1619"/>
    </row>
    <row r="9" ht="15.75" customHeight="1">
      <c r="A9" s="1791" t="s">
        <v>435</v>
      </c>
      <c r="B9" s="1532" t="s">
        <v>8997</v>
      </c>
      <c r="C9" s="1704" t="s">
        <v>11174</v>
      </c>
      <c r="D9" s="1565" t="s">
        <v>11496</v>
      </c>
      <c r="E9" s="1565" t="s">
        <v>11497</v>
      </c>
      <c r="F9" s="1565" t="s">
        <v>11498</v>
      </c>
      <c r="G9" s="1871" t="s">
        <v>11499</v>
      </c>
      <c r="H9" s="1871" t="s">
        <v>11500</v>
      </c>
      <c r="I9" s="1871" t="s">
        <v>11501</v>
      </c>
      <c r="J9" s="1871" t="s">
        <v>11502</v>
      </c>
      <c r="K9" s="1565" t="s">
        <v>9137</v>
      </c>
      <c r="L9" s="1619"/>
    </row>
    <row r="10" ht="15.75" customHeight="1">
      <c r="A10" s="1727" t="s">
        <v>6719</v>
      </c>
      <c r="B10" s="1532" t="s">
        <v>8997</v>
      </c>
      <c r="C10" s="1565" t="s">
        <v>11503</v>
      </c>
      <c r="D10" s="1565" t="s">
        <v>11504</v>
      </c>
      <c r="E10" s="1565" t="s">
        <v>11505</v>
      </c>
      <c r="F10" s="1568" t="s">
        <v>11506</v>
      </c>
      <c r="G10" s="1876" t="s">
        <v>11507</v>
      </c>
      <c r="H10" s="1877" t="s">
        <v>11508</v>
      </c>
      <c r="I10" s="1878" t="s">
        <v>11509</v>
      </c>
      <c r="J10" s="815" t="s">
        <v>11510</v>
      </c>
      <c r="K10" s="1565" t="s">
        <v>9160</v>
      </c>
      <c r="L10" s="1619"/>
    </row>
    <row r="11" ht="15.75" customHeight="1">
      <c r="A11" s="954" t="s">
        <v>1550</v>
      </c>
      <c r="B11" s="1592" t="s">
        <v>8997</v>
      </c>
      <c r="C11" s="1879" t="s">
        <v>11214</v>
      </c>
      <c r="D11" s="1798" t="s">
        <v>11511</v>
      </c>
      <c r="E11" s="1798" t="s">
        <v>11512</v>
      </c>
      <c r="F11" s="1565" t="s">
        <v>11513</v>
      </c>
      <c r="G11" s="1880" t="s">
        <v>11514</v>
      </c>
      <c r="H11" s="1880" t="s">
        <v>11515</v>
      </c>
      <c r="I11" s="1880" t="s">
        <v>11516</v>
      </c>
      <c r="J11" s="1880" t="s">
        <v>11517</v>
      </c>
      <c r="K11" s="1789" t="s">
        <v>9430</v>
      </c>
      <c r="L11" s="1619" t="s">
        <v>11518</v>
      </c>
    </row>
    <row r="12" ht="15.75" customHeight="1">
      <c r="A12" s="1626" t="s">
        <v>825</v>
      </c>
      <c r="B12" s="1680" t="s">
        <v>8997</v>
      </c>
      <c r="C12" s="1881" t="s">
        <v>11196</v>
      </c>
      <c r="D12" s="1565" t="s">
        <v>11519</v>
      </c>
      <c r="E12" s="1565" t="s">
        <v>11520</v>
      </c>
      <c r="F12" s="1565" t="s">
        <v>11521</v>
      </c>
      <c r="G12" s="825" t="s">
        <v>11522</v>
      </c>
      <c r="H12" s="1861" t="s">
        <v>11523</v>
      </c>
      <c r="I12" s="1867" t="s">
        <v>11524</v>
      </c>
      <c r="J12" s="1868" t="s">
        <v>11525</v>
      </c>
      <c r="K12" s="1565" t="s">
        <v>11526</v>
      </c>
      <c r="L12" s="1619" t="s">
        <v>11527</v>
      </c>
    </row>
    <row r="13" ht="15.75" customHeight="1">
      <c r="A13" s="1731" t="s">
        <v>2087</v>
      </c>
      <c r="B13" s="1532" t="s">
        <v>8997</v>
      </c>
      <c r="C13" s="1879" t="s">
        <v>11223</v>
      </c>
      <c r="D13" s="1565" t="s">
        <v>11528</v>
      </c>
      <c r="E13" s="1565" t="s">
        <v>11529</v>
      </c>
      <c r="F13" s="1565" t="s">
        <v>11530</v>
      </c>
      <c r="G13" s="1871" t="s">
        <v>11531</v>
      </c>
      <c r="H13" s="1871" t="s">
        <v>11532</v>
      </c>
      <c r="I13" s="1871" t="s">
        <v>11533</v>
      </c>
      <c r="J13" s="1871" t="s">
        <v>11534</v>
      </c>
      <c r="K13" s="1565" t="s">
        <v>9409</v>
      </c>
      <c r="L13" s="1619"/>
    </row>
    <row r="14" ht="15.75" customHeight="1">
      <c r="A14" s="1791" t="s">
        <v>330</v>
      </c>
      <c r="B14" s="1532" t="s">
        <v>8997</v>
      </c>
      <c r="C14" s="1565" t="s">
        <v>11535</v>
      </c>
      <c r="D14" s="1565" t="s">
        <v>11536</v>
      </c>
      <c r="E14" s="1565" t="s">
        <v>11537</v>
      </c>
      <c r="F14" s="1565" t="s">
        <v>11538</v>
      </c>
      <c r="G14" s="825" t="s">
        <v>11539</v>
      </c>
      <c r="H14" s="1861" t="s">
        <v>11540</v>
      </c>
      <c r="I14" s="1867" t="s">
        <v>11541</v>
      </c>
      <c r="J14" s="1868" t="s">
        <v>11542</v>
      </c>
      <c r="K14" s="1565" t="s">
        <v>9226</v>
      </c>
      <c r="L14" s="1619"/>
    </row>
    <row r="15" ht="16.5" customHeight="1">
      <c r="A15" s="1806" t="s">
        <v>2771</v>
      </c>
      <c r="B15" s="1532" t="s">
        <v>8997</v>
      </c>
      <c r="C15" s="1565" t="s">
        <v>11249</v>
      </c>
      <c r="D15" s="1565" t="s">
        <v>11543</v>
      </c>
      <c r="E15" s="1565" t="s">
        <v>11544</v>
      </c>
      <c r="F15" s="1565" t="s">
        <v>11545</v>
      </c>
      <c r="G15" s="1871" t="s">
        <v>11546</v>
      </c>
      <c r="H15" s="1871" t="s">
        <v>11547</v>
      </c>
      <c r="I15" s="1871" t="s">
        <v>11548</v>
      </c>
      <c r="J15" s="1871" t="s">
        <v>11549</v>
      </c>
      <c r="K15" s="1565" t="s">
        <v>11550</v>
      </c>
      <c r="L15" s="1619" t="s">
        <v>11551</v>
      </c>
    </row>
    <row r="16" ht="15.0" customHeight="1">
      <c r="A16" s="1813" t="s">
        <v>1722</v>
      </c>
      <c r="B16" s="1672" t="s">
        <v>8997</v>
      </c>
      <c r="C16" s="1881" t="s">
        <v>11552</v>
      </c>
      <c r="D16" s="1565" t="s">
        <v>11553</v>
      </c>
      <c r="E16" s="1565" t="s">
        <v>11554</v>
      </c>
      <c r="F16" s="1565" t="s">
        <v>11555</v>
      </c>
      <c r="G16" s="825" t="s">
        <v>11556</v>
      </c>
      <c r="H16" s="1861" t="s">
        <v>11557</v>
      </c>
      <c r="I16" s="1867" t="s">
        <v>11558</v>
      </c>
      <c r="J16" s="1868" t="s">
        <v>11559</v>
      </c>
      <c r="K16" s="1565" t="s">
        <v>9681</v>
      </c>
      <c r="L16" s="1619"/>
    </row>
    <row r="17" ht="15.75" customHeight="1">
      <c r="A17" s="954" t="s">
        <v>7013</v>
      </c>
      <c r="B17" s="1532" t="s">
        <v>8997</v>
      </c>
      <c r="C17" s="1565" t="s">
        <v>11282</v>
      </c>
      <c r="D17" s="1565" t="s">
        <v>11560</v>
      </c>
      <c r="E17" s="1565" t="s">
        <v>11561</v>
      </c>
      <c r="F17" s="1565" t="s">
        <v>11562</v>
      </c>
      <c r="G17" s="1871" t="s">
        <v>11563</v>
      </c>
      <c r="H17" s="1871" t="s">
        <v>11564</v>
      </c>
      <c r="I17" s="1871" t="s">
        <v>11565</v>
      </c>
      <c r="J17" s="1871" t="s">
        <v>11566</v>
      </c>
      <c r="K17" s="1565" t="s">
        <v>9582</v>
      </c>
      <c r="L17" s="1619" t="s">
        <v>11567</v>
      </c>
    </row>
    <row r="18" ht="15.75" customHeight="1">
      <c r="A18" s="1791" t="s">
        <v>1413</v>
      </c>
      <c r="B18" s="1532" t="s">
        <v>8997</v>
      </c>
      <c r="C18" s="1565" t="s">
        <v>11568</v>
      </c>
      <c r="D18" s="1565" t="s">
        <v>11569</v>
      </c>
      <c r="E18" s="1565" t="s">
        <v>11570</v>
      </c>
      <c r="F18" s="1565" t="s">
        <v>11571</v>
      </c>
      <c r="G18" s="825" t="s">
        <v>11572</v>
      </c>
      <c r="H18" s="1861" t="s">
        <v>11573</v>
      </c>
      <c r="I18" s="1867" t="s">
        <v>11574</v>
      </c>
      <c r="J18" s="1868" t="s">
        <v>11575</v>
      </c>
      <c r="K18" s="1565" t="s">
        <v>9561</v>
      </c>
      <c r="L18" s="1619"/>
    </row>
    <row r="19" ht="15.75" customHeight="1">
      <c r="A19" s="954" t="s">
        <v>2264</v>
      </c>
      <c r="B19" s="1680" t="s">
        <v>8997</v>
      </c>
      <c r="C19" s="1881" t="s">
        <v>11256</v>
      </c>
      <c r="D19" s="1565" t="s">
        <v>11576</v>
      </c>
      <c r="E19" s="1565" t="s">
        <v>11577</v>
      </c>
      <c r="F19" s="1565" t="s">
        <v>11578</v>
      </c>
      <c r="G19" s="1871" t="s">
        <v>11579</v>
      </c>
      <c r="H19" s="1871" t="s">
        <v>11580</v>
      </c>
      <c r="I19" s="1871" t="s">
        <v>11581</v>
      </c>
      <c r="J19" s="1871" t="s">
        <v>11582</v>
      </c>
      <c r="K19" s="1565" t="s">
        <v>9472</v>
      </c>
      <c r="L19" s="1619" t="s">
        <v>11583</v>
      </c>
    </row>
    <row r="20" ht="15.75" customHeight="1">
      <c r="A20" s="1791" t="s">
        <v>897</v>
      </c>
      <c r="B20" s="1532" t="s">
        <v>8997</v>
      </c>
      <c r="C20" s="1565" t="s">
        <v>11584</v>
      </c>
      <c r="D20" s="1565" t="s">
        <v>11585</v>
      </c>
      <c r="E20" s="1565" t="s">
        <v>11586</v>
      </c>
      <c r="F20" s="1565" t="s">
        <v>11587</v>
      </c>
      <c r="G20" s="825" t="s">
        <v>11588</v>
      </c>
      <c r="H20" s="1861" t="s">
        <v>11589</v>
      </c>
      <c r="I20" s="1867" t="s">
        <v>11590</v>
      </c>
      <c r="J20" s="1868" t="s">
        <v>11591</v>
      </c>
      <c r="K20" s="1565" t="s">
        <v>9827</v>
      </c>
      <c r="L20" s="1619"/>
    </row>
    <row r="21" ht="15.75" customHeight="1">
      <c r="A21" s="954" t="s">
        <v>1632</v>
      </c>
      <c r="B21" s="1592" t="s">
        <v>8997</v>
      </c>
      <c r="C21" s="1565" t="s">
        <v>11592</v>
      </c>
      <c r="D21" s="1565" t="s">
        <v>11593</v>
      </c>
      <c r="E21" s="1789" t="s">
        <v>11594</v>
      </c>
      <c r="F21" s="1565" t="s">
        <v>11595</v>
      </c>
      <c r="G21" s="1871" t="s">
        <v>11596</v>
      </c>
      <c r="H21" s="1871" t="s">
        <v>11597</v>
      </c>
      <c r="I21" s="1871" t="s">
        <v>11598</v>
      </c>
      <c r="J21" s="1871" t="s">
        <v>11599</v>
      </c>
      <c r="K21" s="1565" t="s">
        <v>9609</v>
      </c>
      <c r="L21" s="1619"/>
    </row>
    <row r="22" ht="15.75" customHeight="1">
      <c r="A22" s="1727" t="s">
        <v>9474</v>
      </c>
      <c r="B22" s="1532" t="s">
        <v>8997</v>
      </c>
      <c r="C22" s="1565" t="s">
        <v>11292</v>
      </c>
      <c r="D22" s="1565" t="s">
        <v>11600</v>
      </c>
      <c r="E22" s="1565" t="s">
        <v>11601</v>
      </c>
      <c r="F22" s="1565" t="s">
        <v>11602</v>
      </c>
      <c r="G22" s="825" t="s">
        <v>11603</v>
      </c>
      <c r="H22" s="1861" t="s">
        <v>11604</v>
      </c>
      <c r="I22" s="1867" t="s">
        <v>11605</v>
      </c>
      <c r="J22" s="1868" t="s">
        <v>11606</v>
      </c>
      <c r="K22" s="1565" t="s">
        <v>9489</v>
      </c>
      <c r="L22" s="1619"/>
    </row>
    <row r="23">
      <c r="A23" s="1781" t="s">
        <v>2151</v>
      </c>
      <c r="B23" s="1680" t="s">
        <v>9024</v>
      </c>
      <c r="C23" s="1565" t="s">
        <v>11246</v>
      </c>
      <c r="D23" s="1565" t="s">
        <v>11607</v>
      </c>
      <c r="E23" s="1565" t="s">
        <v>11608</v>
      </c>
      <c r="F23" s="1565" t="s">
        <v>11609</v>
      </c>
      <c r="G23" s="1871" t="s">
        <v>11610</v>
      </c>
      <c r="H23" s="1871" t="s">
        <v>11611</v>
      </c>
      <c r="I23" s="1871" t="s">
        <v>11612</v>
      </c>
      <c r="J23" s="1871" t="s">
        <v>11613</v>
      </c>
      <c r="K23" s="1565" t="s">
        <v>11614</v>
      </c>
      <c r="L23" s="1619" t="s">
        <v>11615</v>
      </c>
    </row>
    <row r="24" ht="15.75" customHeight="1">
      <c r="A24" s="954" t="s">
        <v>739</v>
      </c>
      <c r="B24" s="1592" t="s">
        <v>9024</v>
      </c>
      <c r="C24" s="1565" t="s">
        <v>11616</v>
      </c>
      <c r="D24" s="1803" t="s">
        <v>11459</v>
      </c>
      <c r="E24" s="1803" t="s">
        <v>11460</v>
      </c>
      <c r="F24" s="1803" t="s">
        <v>11461</v>
      </c>
      <c r="G24" s="1882" t="s">
        <v>11462</v>
      </c>
      <c r="H24" s="1883" t="s">
        <v>11463</v>
      </c>
      <c r="I24" s="1884" t="s">
        <v>11464</v>
      </c>
      <c r="J24" s="1885" t="s">
        <v>11465</v>
      </c>
      <c r="K24" s="1803" t="s">
        <v>9451</v>
      </c>
      <c r="L24" s="1619" t="s">
        <v>11617</v>
      </c>
    </row>
    <row r="25" ht="15.75" customHeight="1">
      <c r="A25" s="1626" t="s">
        <v>1345</v>
      </c>
      <c r="B25" s="1592" t="s">
        <v>9052</v>
      </c>
      <c r="C25" s="1674" t="s">
        <v>11341</v>
      </c>
      <c r="D25" s="1674" t="s">
        <v>11466</v>
      </c>
      <c r="E25" s="1674" t="s">
        <v>11467</v>
      </c>
      <c r="F25" s="1674" t="s">
        <v>11468</v>
      </c>
      <c r="G25" s="1886" t="s">
        <v>11469</v>
      </c>
      <c r="H25" s="1886" t="s">
        <v>11470</v>
      </c>
      <c r="I25" s="1886" t="s">
        <v>11471</v>
      </c>
      <c r="J25" s="1886" t="s">
        <v>11472</v>
      </c>
      <c r="K25" s="1674" t="s">
        <v>9451</v>
      </c>
      <c r="L25" s="1619"/>
    </row>
    <row r="26" ht="16.5" customHeight="1">
      <c r="A26" s="1626" t="s">
        <v>11618</v>
      </c>
      <c r="B26" s="1592" t="s">
        <v>8997</v>
      </c>
      <c r="C26" s="1031" t="s">
        <v>11323</v>
      </c>
      <c r="D26" s="1565" t="s">
        <v>11619</v>
      </c>
      <c r="E26" s="1565" t="s">
        <v>11620</v>
      </c>
      <c r="F26" s="1565" t="s">
        <v>11621</v>
      </c>
      <c r="G26" s="825" t="s">
        <v>11603</v>
      </c>
      <c r="H26" s="1861" t="s">
        <v>11622</v>
      </c>
      <c r="I26" s="1867" t="s">
        <v>11623</v>
      </c>
      <c r="J26" s="1868" t="s">
        <v>11624</v>
      </c>
      <c r="K26" s="1565" t="s">
        <v>9987</v>
      </c>
      <c r="L26" s="1619"/>
    </row>
    <row r="27" ht="15.75" customHeight="1">
      <c r="A27" s="1626" t="s">
        <v>2992</v>
      </c>
      <c r="B27" s="1592" t="s">
        <v>8997</v>
      </c>
      <c r="C27" s="1565" t="s">
        <v>11625</v>
      </c>
      <c r="D27" s="1565" t="s">
        <v>11626</v>
      </c>
      <c r="E27" s="1565" t="s">
        <v>11627</v>
      </c>
      <c r="F27" s="1565" t="s">
        <v>11628</v>
      </c>
      <c r="G27" s="1871" t="s">
        <v>11629</v>
      </c>
      <c r="H27" s="1871" t="s">
        <v>11630</v>
      </c>
      <c r="I27" s="1871" t="s">
        <v>11631</v>
      </c>
      <c r="J27" s="1871" t="s">
        <v>11632</v>
      </c>
      <c r="K27" s="1565" t="s">
        <v>11633</v>
      </c>
      <c r="L27" s="1619" t="s">
        <v>11634</v>
      </c>
    </row>
    <row r="28">
      <c r="A28" s="1815" t="s">
        <v>3096</v>
      </c>
      <c r="B28" s="1795" t="s">
        <v>9024</v>
      </c>
      <c r="C28" s="1881" t="s">
        <v>11635</v>
      </c>
      <c r="D28" s="1565"/>
      <c r="E28" s="1565" t="s">
        <v>11636</v>
      </c>
      <c r="F28" s="1565" t="s">
        <v>11637</v>
      </c>
      <c r="G28" s="825"/>
      <c r="H28" s="1861"/>
      <c r="I28" s="1867"/>
      <c r="J28" s="1868"/>
      <c r="K28" s="1565" t="s">
        <v>10123</v>
      </c>
      <c r="L28" s="1619"/>
    </row>
    <row r="29" ht="15.75" customHeight="1">
      <c r="A29" s="1626" t="s">
        <v>2713</v>
      </c>
      <c r="B29" s="1592" t="s">
        <v>8997</v>
      </c>
      <c r="C29" s="1881" t="s">
        <v>11638</v>
      </c>
      <c r="D29" s="1565" t="s">
        <v>11639</v>
      </c>
      <c r="E29" s="1565" t="s">
        <v>11640</v>
      </c>
      <c r="F29" s="1565" t="s">
        <v>11641</v>
      </c>
      <c r="G29" s="1871" t="s">
        <v>11642</v>
      </c>
      <c r="H29" s="1871" t="s">
        <v>11643</v>
      </c>
      <c r="I29" s="1871" t="s">
        <v>11644</v>
      </c>
      <c r="J29" s="1871" t="s">
        <v>11645</v>
      </c>
      <c r="K29" s="1565" t="s">
        <v>10054</v>
      </c>
      <c r="L29" s="1619" t="s">
        <v>11646</v>
      </c>
    </row>
    <row r="30" ht="15.75" customHeight="1">
      <c r="A30" s="954" t="s">
        <v>2579</v>
      </c>
      <c r="B30" s="1672" t="s">
        <v>9024</v>
      </c>
      <c r="C30" s="1803" t="s">
        <v>11349</v>
      </c>
      <c r="D30" s="1565" t="s">
        <v>11647</v>
      </c>
      <c r="E30" s="1565" t="s">
        <v>11648</v>
      </c>
      <c r="F30" s="1565" t="s">
        <v>11649</v>
      </c>
      <c r="G30" s="825" t="s">
        <v>11650</v>
      </c>
      <c r="H30" s="1861" t="s">
        <v>11651</v>
      </c>
      <c r="I30" s="1867" t="s">
        <v>11652</v>
      </c>
      <c r="J30" s="1868" t="s">
        <v>11653</v>
      </c>
      <c r="K30" s="1565" t="s">
        <v>9964</v>
      </c>
      <c r="L30" s="1619"/>
    </row>
    <row r="31" ht="15.75" customHeight="1">
      <c r="A31" s="1626" t="s">
        <v>5274</v>
      </c>
      <c r="B31" s="1592" t="s">
        <v>8997</v>
      </c>
      <c r="C31" s="1881" t="s">
        <v>11654</v>
      </c>
      <c r="D31" s="1565" t="s">
        <v>11655</v>
      </c>
      <c r="E31" s="1565" t="s">
        <v>11656</v>
      </c>
      <c r="F31" s="1565" t="s">
        <v>11657</v>
      </c>
      <c r="G31" s="1871" t="s">
        <v>11658</v>
      </c>
      <c r="H31" s="1871" t="s">
        <v>11659</v>
      </c>
      <c r="I31" s="1871" t="s">
        <v>11660</v>
      </c>
      <c r="J31" s="1871" t="s">
        <v>11661</v>
      </c>
      <c r="K31" s="1565" t="s">
        <v>11662</v>
      </c>
      <c r="L31" s="1619" t="s">
        <v>11663</v>
      </c>
    </row>
    <row r="32" ht="15.75" customHeight="1">
      <c r="A32" s="1626" t="s">
        <v>4945</v>
      </c>
      <c r="B32" s="1592" t="s">
        <v>9024</v>
      </c>
      <c r="C32" s="1881" t="s">
        <v>11434</v>
      </c>
      <c r="D32" s="1565" t="s">
        <v>11664</v>
      </c>
      <c r="E32" s="1565" t="s">
        <v>11665</v>
      </c>
      <c r="F32" s="1565" t="s">
        <v>11666</v>
      </c>
      <c r="G32" s="825" t="s">
        <v>11667</v>
      </c>
      <c r="H32" s="1861" t="s">
        <v>11668</v>
      </c>
      <c r="I32" s="1867" t="s">
        <v>11669</v>
      </c>
      <c r="J32" s="1868" t="s">
        <v>11670</v>
      </c>
      <c r="K32" s="1565" t="s">
        <v>11019</v>
      </c>
      <c r="L32" s="1619" t="s">
        <v>11671</v>
      </c>
    </row>
    <row r="33" ht="15.75" customHeight="1">
      <c r="A33" s="954" t="s">
        <v>5796</v>
      </c>
      <c r="B33" s="1715" t="s">
        <v>11020</v>
      </c>
      <c r="C33" s="1887" t="s">
        <v>11672</v>
      </c>
      <c r="D33" s="1817" t="s">
        <v>11673</v>
      </c>
      <c r="E33" s="1817" t="s">
        <v>11674</v>
      </c>
      <c r="F33" s="1817" t="s">
        <v>11675</v>
      </c>
      <c r="G33" s="1888" t="s">
        <v>11676</v>
      </c>
      <c r="H33" s="1888" t="s">
        <v>11677</v>
      </c>
      <c r="I33" s="1888" t="s">
        <v>11678</v>
      </c>
      <c r="J33" s="1888" t="s">
        <v>11679</v>
      </c>
      <c r="K33" s="1817" t="s">
        <v>11680</v>
      </c>
      <c r="L33" s="1619" t="s">
        <v>11681</v>
      </c>
    </row>
    <row r="34" ht="15.75" customHeight="1">
      <c r="A34" s="1626" t="s">
        <v>6535</v>
      </c>
      <c r="B34" s="1715" t="s">
        <v>11020</v>
      </c>
      <c r="C34" s="1889" t="s">
        <v>11682</v>
      </c>
      <c r="D34" s="1804" t="s">
        <v>11683</v>
      </c>
      <c r="E34" s="1804" t="s">
        <v>11684</v>
      </c>
      <c r="F34" s="1804" t="s">
        <v>11685</v>
      </c>
      <c r="G34" s="1890" t="s">
        <v>11686</v>
      </c>
      <c r="K34" s="1804" t="s">
        <v>11096</v>
      </c>
      <c r="L34" s="1619" t="s">
        <v>11687</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4"/>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4"/>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11688</v>
      </c>
      <c r="C1" s="1901" t="s">
        <v>43</v>
      </c>
      <c r="D1" s="1902" t="s">
        <v>11689</v>
      </c>
      <c r="E1" s="1901" t="s">
        <v>11690</v>
      </c>
      <c r="F1" s="1903" t="s">
        <v>11691</v>
      </c>
    </row>
    <row r="2">
      <c r="A2" s="1904"/>
      <c r="B2" s="1905"/>
      <c r="C2" s="1905"/>
      <c r="D2" s="1905"/>
      <c r="E2" s="1905"/>
      <c r="F2" s="1905"/>
    </row>
    <row r="3">
      <c r="A3" s="1904"/>
      <c r="B3" s="1905"/>
      <c r="C3" s="1905"/>
      <c r="D3" s="1905"/>
      <c r="E3" s="1905"/>
      <c r="F3" s="1905"/>
    </row>
    <row r="4">
      <c r="A4" s="1906" t="s">
        <v>11692</v>
      </c>
      <c r="B4" s="1907" t="s">
        <v>11693</v>
      </c>
      <c r="C4" s="1908"/>
      <c r="D4" s="1908"/>
      <c r="E4" s="1908"/>
      <c r="F4" s="1909"/>
    </row>
    <row r="5">
      <c r="A5" s="1905"/>
      <c r="B5" s="1910"/>
      <c r="C5" s="1911"/>
      <c r="D5" s="1911"/>
      <c r="E5" s="1911"/>
      <c r="F5" s="1912"/>
    </row>
    <row r="6">
      <c r="A6" s="1913" t="s">
        <v>11693</v>
      </c>
      <c r="B6" s="1914" t="s">
        <v>11694</v>
      </c>
      <c r="C6" s="1915" t="s">
        <v>4342</v>
      </c>
      <c r="D6" s="1916" t="s">
        <v>11695</v>
      </c>
      <c r="E6" s="1915" t="s">
        <v>11696</v>
      </c>
      <c r="F6" s="1917">
        <v>44233.0</v>
      </c>
    </row>
    <row r="7">
      <c r="A7" s="1913" t="s">
        <v>11697</v>
      </c>
      <c r="B7" s="1918" t="s">
        <v>11698</v>
      </c>
      <c r="C7" s="1915" t="s">
        <v>897</v>
      </c>
      <c r="D7" s="1916" t="s">
        <v>11699</v>
      </c>
      <c r="E7" s="1915" t="s">
        <v>11696</v>
      </c>
      <c r="F7" s="1917">
        <v>43878.0</v>
      </c>
    </row>
    <row r="8">
      <c r="A8" s="1913" t="s">
        <v>11700</v>
      </c>
      <c r="B8" s="1919" t="s">
        <v>11701</v>
      </c>
      <c r="C8" s="1915" t="s">
        <v>330</v>
      </c>
      <c r="D8" s="1916" t="s">
        <v>11702</v>
      </c>
      <c r="E8" s="1915" t="s">
        <v>11696</v>
      </c>
      <c r="F8" s="1917">
        <v>43879.0</v>
      </c>
    </row>
    <row r="9">
      <c r="A9" s="1913" t="s">
        <v>11703</v>
      </c>
      <c r="B9" s="1920" t="s">
        <v>11704</v>
      </c>
      <c r="C9" s="1915" t="s">
        <v>4048</v>
      </c>
      <c r="D9" s="1916" t="s">
        <v>11705</v>
      </c>
      <c r="E9" s="1915" t="s">
        <v>11706</v>
      </c>
      <c r="F9" s="1917">
        <v>44084.0</v>
      </c>
    </row>
    <row r="10">
      <c r="A10" s="1913" t="s">
        <v>11707</v>
      </c>
      <c r="B10" s="1920" t="s">
        <v>11708</v>
      </c>
      <c r="C10" s="1921"/>
      <c r="D10" s="1922"/>
      <c r="E10" s="1921"/>
      <c r="F10" s="1921"/>
    </row>
    <row r="11">
      <c r="A11" s="1913" t="s">
        <v>11709</v>
      </c>
      <c r="B11" s="1907" t="s">
        <v>11697</v>
      </c>
      <c r="C11" s="1908"/>
      <c r="D11" s="1908"/>
      <c r="E11" s="1908"/>
      <c r="F11" s="1909"/>
    </row>
    <row r="12">
      <c r="A12" s="1913" t="s">
        <v>11710</v>
      </c>
      <c r="B12" s="1910"/>
      <c r="C12" s="1911"/>
      <c r="D12" s="1911"/>
      <c r="E12" s="1911"/>
      <c r="F12" s="1912"/>
    </row>
    <row r="13">
      <c r="A13" s="1913" t="s">
        <v>11711</v>
      </c>
      <c r="B13" s="1914" t="s">
        <v>11694</v>
      </c>
      <c r="C13" s="1915" t="s">
        <v>4342</v>
      </c>
      <c r="D13" s="1916" t="s">
        <v>11712</v>
      </c>
      <c r="E13" s="1915" t="s">
        <v>11696</v>
      </c>
      <c r="F13" s="1917">
        <v>44250.0</v>
      </c>
    </row>
    <row r="14" ht="15.75" customHeight="1">
      <c r="A14" s="1913" t="s">
        <v>11713</v>
      </c>
      <c r="B14" s="1918" t="s">
        <v>11698</v>
      </c>
      <c r="C14" s="1915" t="s">
        <v>4258</v>
      </c>
      <c r="D14" s="1916" t="s">
        <v>11714</v>
      </c>
      <c r="E14" s="1915" t="s">
        <v>11696</v>
      </c>
      <c r="F14" s="1917">
        <v>43364.0</v>
      </c>
    </row>
    <row r="15">
      <c r="A15" s="1913" t="s">
        <v>11715</v>
      </c>
      <c r="B15" s="1919" t="s">
        <v>11701</v>
      </c>
      <c r="C15" s="1915" t="s">
        <v>11716</v>
      </c>
      <c r="D15" s="1916" t="s">
        <v>11717</v>
      </c>
      <c r="E15" s="1915" t="s">
        <v>11706</v>
      </c>
      <c r="F15" s="1917">
        <v>43757.0</v>
      </c>
    </row>
    <row r="16">
      <c r="A16" s="1913" t="s">
        <v>11718</v>
      </c>
      <c r="B16" s="1920" t="s">
        <v>11704</v>
      </c>
      <c r="C16" s="1915" t="s">
        <v>11719</v>
      </c>
      <c r="D16" s="1916" t="s">
        <v>11720</v>
      </c>
      <c r="E16" s="1915" t="s">
        <v>11706</v>
      </c>
      <c r="F16" s="1917">
        <v>43438.0</v>
      </c>
    </row>
    <row r="17">
      <c r="A17" s="1913" t="s">
        <v>11721</v>
      </c>
      <c r="B17" s="1920" t="s">
        <v>11708</v>
      </c>
      <c r="C17" s="1921"/>
      <c r="D17" s="1922"/>
      <c r="E17" s="1921"/>
      <c r="F17" s="1921"/>
    </row>
    <row r="18">
      <c r="A18" s="1913" t="s">
        <v>11722</v>
      </c>
      <c r="B18" s="1923" t="s">
        <v>11700</v>
      </c>
      <c r="C18" s="1908"/>
      <c r="D18" s="1908"/>
      <c r="E18" s="1908"/>
      <c r="F18" s="1909"/>
    </row>
    <row r="19">
      <c r="A19" s="1913" t="s">
        <v>11723</v>
      </c>
      <c r="B19" s="1911"/>
      <c r="C19" s="1911"/>
      <c r="D19" s="1911"/>
      <c r="E19" s="1911"/>
      <c r="F19" s="1912"/>
    </row>
    <row r="20">
      <c r="A20" s="1924"/>
      <c r="B20" s="1914" t="s">
        <v>11694</v>
      </c>
      <c r="C20" s="1915" t="s">
        <v>11724</v>
      </c>
      <c r="D20" s="1916" t="s">
        <v>11725</v>
      </c>
      <c r="E20" s="1915" t="s">
        <v>11696</v>
      </c>
      <c r="F20" s="1917">
        <v>44021.0</v>
      </c>
    </row>
    <row r="21">
      <c r="A21" s="1924"/>
      <c r="B21" s="1918" t="s">
        <v>11698</v>
      </c>
      <c r="C21" s="1915" t="s">
        <v>5305</v>
      </c>
      <c r="D21" s="1916" t="s">
        <v>11726</v>
      </c>
      <c r="E21" s="1915" t="s">
        <v>11706</v>
      </c>
      <c r="F21" s="1917">
        <v>44022.0</v>
      </c>
    </row>
    <row r="22">
      <c r="A22" s="1925"/>
      <c r="B22" s="1919" t="s">
        <v>11701</v>
      </c>
      <c r="C22" s="1915" t="s">
        <v>11727</v>
      </c>
      <c r="D22" s="1916" t="s">
        <v>11728</v>
      </c>
      <c r="E22" s="1915" t="s">
        <v>11729</v>
      </c>
      <c r="F22" s="1917">
        <v>43884.0</v>
      </c>
    </row>
    <row r="23">
      <c r="A23" s="1925"/>
      <c r="B23" s="1920" t="s">
        <v>11704</v>
      </c>
      <c r="C23" s="1915" t="s">
        <v>5274</v>
      </c>
      <c r="D23" s="1916" t="s">
        <v>11730</v>
      </c>
      <c r="E23" s="1915" t="s">
        <v>11696</v>
      </c>
      <c r="F23" s="1917">
        <v>43892.0</v>
      </c>
    </row>
    <row r="24">
      <c r="A24" s="1925"/>
      <c r="B24" s="1920" t="s">
        <v>11708</v>
      </c>
      <c r="C24" s="1921"/>
      <c r="D24" s="1922"/>
      <c r="E24" s="1921"/>
      <c r="F24" s="1921"/>
    </row>
    <row r="25">
      <c r="A25" s="1925"/>
      <c r="B25" s="1907" t="s">
        <v>11703</v>
      </c>
      <c r="C25" s="1908"/>
      <c r="D25" s="1908"/>
      <c r="E25" s="1908"/>
      <c r="F25" s="1909"/>
    </row>
    <row r="26">
      <c r="A26" s="1925"/>
      <c r="B26" s="1910"/>
      <c r="C26" s="1911"/>
      <c r="D26" s="1911"/>
      <c r="E26" s="1911"/>
      <c r="F26" s="1912"/>
    </row>
    <row r="27">
      <c r="A27" s="1925"/>
      <c r="B27" s="1926" t="s">
        <v>11731</v>
      </c>
      <c r="C27" s="1908"/>
      <c r="D27" s="1908"/>
      <c r="E27" s="1908"/>
      <c r="F27" s="1909"/>
    </row>
    <row r="28">
      <c r="A28" s="1925"/>
      <c r="B28" s="1910"/>
      <c r="C28" s="1911"/>
      <c r="D28" s="1911"/>
      <c r="E28" s="1911"/>
      <c r="F28" s="1912"/>
    </row>
    <row r="29">
      <c r="A29" s="1925"/>
      <c r="B29" s="1914" t="s">
        <v>11694</v>
      </c>
      <c r="C29" s="1927" t="s">
        <v>435</v>
      </c>
      <c r="D29" s="1916" t="s">
        <v>11732</v>
      </c>
      <c r="E29" s="1915" t="s">
        <v>11696</v>
      </c>
      <c r="F29" s="1917">
        <v>43659.0</v>
      </c>
    </row>
    <row r="30">
      <c r="A30" s="1925"/>
      <c r="B30" s="1918" t="s">
        <v>11698</v>
      </c>
      <c r="C30" s="1915" t="s">
        <v>1722</v>
      </c>
      <c r="D30" s="1916" t="s">
        <v>11733</v>
      </c>
      <c r="E30" s="1915" t="s">
        <v>11696</v>
      </c>
      <c r="F30" s="1917">
        <v>43228.0</v>
      </c>
    </row>
    <row r="31">
      <c r="A31" s="1925"/>
      <c r="B31" s="1919" t="s">
        <v>11701</v>
      </c>
      <c r="C31" s="1921"/>
      <c r="D31" s="1928"/>
      <c r="E31" s="1921"/>
      <c r="F31" s="1921"/>
    </row>
    <row r="32">
      <c r="A32" s="1925"/>
      <c r="B32" s="1920" t="s">
        <v>11704</v>
      </c>
      <c r="C32" s="1921"/>
      <c r="D32" s="1928"/>
      <c r="E32" s="1921"/>
      <c r="F32" s="1921"/>
    </row>
    <row r="33">
      <c r="A33" s="1925"/>
      <c r="B33" s="1920" t="s">
        <v>11708</v>
      </c>
      <c r="C33" s="1921"/>
      <c r="D33" s="1928"/>
      <c r="E33" s="1921"/>
      <c r="F33" s="1921"/>
    </row>
    <row r="34">
      <c r="A34" s="1925"/>
      <c r="B34" s="1926" t="s">
        <v>11734</v>
      </c>
      <c r="C34" s="1908"/>
      <c r="D34" s="1908"/>
      <c r="E34" s="1908"/>
      <c r="F34" s="1909"/>
    </row>
    <row r="35">
      <c r="A35" s="1925"/>
      <c r="B35" s="1910"/>
      <c r="C35" s="1911"/>
      <c r="D35" s="1911"/>
      <c r="E35" s="1911"/>
      <c r="F35" s="1912"/>
    </row>
    <row r="36">
      <c r="A36" s="1925"/>
      <c r="B36" s="1914" t="s">
        <v>11694</v>
      </c>
      <c r="C36" s="1915" t="s">
        <v>1722</v>
      </c>
      <c r="D36" s="1916" t="s">
        <v>11735</v>
      </c>
      <c r="E36" s="1915" t="s">
        <v>11696</v>
      </c>
      <c r="F36" s="1917">
        <v>43352.0</v>
      </c>
    </row>
    <row r="37">
      <c r="A37" s="1925"/>
      <c r="B37" s="1918" t="s">
        <v>11698</v>
      </c>
      <c r="C37" s="1915" t="s">
        <v>11736</v>
      </c>
      <c r="D37" s="1916" t="s">
        <v>11737</v>
      </c>
      <c r="E37" s="1915" t="s">
        <v>11696</v>
      </c>
      <c r="F37" s="1917">
        <v>43799.0</v>
      </c>
    </row>
    <row r="38">
      <c r="A38" s="1925"/>
      <c r="B38" s="1919" t="s">
        <v>11701</v>
      </c>
      <c r="C38" s="1921"/>
      <c r="D38" s="1922"/>
      <c r="E38" s="1921"/>
      <c r="F38" s="1921"/>
    </row>
    <row r="39">
      <c r="A39" s="1925"/>
      <c r="B39" s="1920" t="s">
        <v>11704</v>
      </c>
      <c r="C39" s="1921"/>
      <c r="D39" s="1922"/>
      <c r="E39" s="1921"/>
      <c r="F39" s="1921"/>
    </row>
    <row r="40">
      <c r="A40" s="1925"/>
      <c r="B40" s="1920" t="s">
        <v>11708</v>
      </c>
      <c r="C40" s="1921"/>
      <c r="D40" s="1922"/>
      <c r="E40" s="1921"/>
      <c r="F40" s="1921"/>
    </row>
    <row r="41">
      <c r="A41" s="1925"/>
      <c r="B41" s="1907" t="s">
        <v>11707</v>
      </c>
      <c r="C41" s="1908"/>
      <c r="D41" s="1908"/>
      <c r="E41" s="1908"/>
      <c r="F41" s="1909"/>
    </row>
    <row r="42">
      <c r="A42" s="1925"/>
      <c r="B42" s="1910"/>
      <c r="C42" s="1911"/>
      <c r="D42" s="1911"/>
      <c r="E42" s="1911"/>
      <c r="F42" s="1912"/>
    </row>
    <row r="43">
      <c r="A43" s="1925"/>
      <c r="B43" s="1914" t="s">
        <v>11694</v>
      </c>
      <c r="C43" s="1915" t="s">
        <v>6689</v>
      </c>
      <c r="D43" s="1929" t="s">
        <v>11738</v>
      </c>
      <c r="E43" s="1915" t="s">
        <v>11696</v>
      </c>
      <c r="F43" s="1930">
        <v>44511.0</v>
      </c>
    </row>
    <row r="44">
      <c r="A44" s="1925"/>
      <c r="B44" s="1918" t="s">
        <v>11698</v>
      </c>
      <c r="C44" s="1915" t="s">
        <v>11736</v>
      </c>
      <c r="D44" s="1929" t="s">
        <v>11739</v>
      </c>
      <c r="E44" s="1915" t="s">
        <v>11696</v>
      </c>
      <c r="F44" s="1930">
        <v>43740.0</v>
      </c>
    </row>
    <row r="45">
      <c r="A45" s="1925"/>
      <c r="B45" s="1919" t="s">
        <v>11701</v>
      </c>
      <c r="C45" s="1915" t="s">
        <v>10709</v>
      </c>
      <c r="D45" s="1929" t="s">
        <v>11740</v>
      </c>
      <c r="E45" s="1915" t="s">
        <v>11696</v>
      </c>
      <c r="F45" s="1930">
        <v>42098.0</v>
      </c>
    </row>
    <row r="46">
      <c r="A46" s="1925"/>
      <c r="B46" s="1920" t="s">
        <v>11704</v>
      </c>
      <c r="C46" s="1915"/>
      <c r="D46" s="1929"/>
      <c r="E46" s="1915"/>
      <c r="F46" s="1930"/>
    </row>
    <row r="47">
      <c r="A47" s="1925"/>
      <c r="B47" s="1920" t="s">
        <v>11708</v>
      </c>
      <c r="C47" s="1921"/>
      <c r="D47" s="1931"/>
      <c r="E47" s="1921"/>
      <c r="F47" s="1925"/>
    </row>
    <row r="48">
      <c r="A48" s="1925"/>
      <c r="B48" s="1907" t="s">
        <v>11709</v>
      </c>
      <c r="C48" s="1908"/>
      <c r="D48" s="1908"/>
      <c r="E48" s="1908"/>
      <c r="F48" s="1909"/>
    </row>
    <row r="49">
      <c r="A49" s="1925"/>
      <c r="B49" s="1910"/>
      <c r="C49" s="1911"/>
      <c r="D49" s="1911"/>
      <c r="E49" s="1911"/>
      <c r="F49" s="1912"/>
    </row>
    <row r="50">
      <c r="A50" s="1925"/>
      <c r="B50" s="1914" t="s">
        <v>11694</v>
      </c>
      <c r="C50" s="1915" t="s">
        <v>11741</v>
      </c>
      <c r="D50" s="1929" t="s">
        <v>11742</v>
      </c>
      <c r="E50" s="1915" t="s">
        <v>11743</v>
      </c>
      <c r="F50" s="1930">
        <v>43395.0</v>
      </c>
    </row>
    <row r="51">
      <c r="A51" s="1925"/>
      <c r="B51" s="1918" t="s">
        <v>11698</v>
      </c>
      <c r="C51" s="1915" t="s">
        <v>2264</v>
      </c>
      <c r="D51" s="1929" t="s">
        <v>11744</v>
      </c>
      <c r="E51" s="1915" t="s">
        <v>11706</v>
      </c>
      <c r="F51" s="1930">
        <v>43376.0</v>
      </c>
    </row>
    <row r="52">
      <c r="A52" s="1925"/>
      <c r="B52" s="1919" t="s">
        <v>11701</v>
      </c>
      <c r="C52" s="1921"/>
      <c r="D52" s="1931"/>
      <c r="E52" s="1921"/>
      <c r="F52" s="1925"/>
    </row>
    <row r="53">
      <c r="A53" s="1925"/>
      <c r="B53" s="1920" t="s">
        <v>11704</v>
      </c>
      <c r="C53" s="1921"/>
      <c r="D53" s="1931"/>
      <c r="E53" s="1921"/>
      <c r="F53" s="1925"/>
    </row>
    <row r="54">
      <c r="A54" s="1925"/>
      <c r="B54" s="1920" t="s">
        <v>11708</v>
      </c>
      <c r="C54" s="1921"/>
      <c r="D54" s="1931"/>
      <c r="E54" s="1921"/>
      <c r="F54" s="1925"/>
    </row>
    <row r="55">
      <c r="A55" s="1925"/>
      <c r="B55" s="1907" t="s">
        <v>11710</v>
      </c>
      <c r="C55" s="1908"/>
      <c r="D55" s="1908"/>
      <c r="E55" s="1908"/>
      <c r="F55" s="1909"/>
    </row>
    <row r="56">
      <c r="A56" s="1925"/>
      <c r="B56" s="1910"/>
      <c r="C56" s="1911"/>
      <c r="D56" s="1911"/>
      <c r="E56" s="1911"/>
      <c r="F56" s="1912"/>
    </row>
    <row r="57">
      <c r="A57" s="1925"/>
      <c r="B57" s="1932" t="s">
        <v>11745</v>
      </c>
      <c r="C57" s="1908"/>
      <c r="D57" s="1908"/>
      <c r="E57" s="1908"/>
      <c r="F57" s="1909"/>
    </row>
    <row r="58">
      <c r="A58" s="1925"/>
      <c r="B58" s="1910"/>
      <c r="C58" s="1911"/>
      <c r="D58" s="1911"/>
      <c r="E58" s="1911"/>
      <c r="F58" s="1912"/>
    </row>
    <row r="59">
      <c r="A59" s="1925"/>
      <c r="B59" s="1914" t="s">
        <v>11694</v>
      </c>
      <c r="C59" s="1933" t="s">
        <v>435</v>
      </c>
      <c r="D59" s="1929" t="s">
        <v>11746</v>
      </c>
      <c r="E59" s="1915" t="s">
        <v>11696</v>
      </c>
      <c r="F59" s="1930">
        <v>43758.0</v>
      </c>
    </row>
    <row r="60">
      <c r="A60" s="1925"/>
      <c r="B60" s="1918" t="s">
        <v>11698</v>
      </c>
      <c r="C60" s="1921"/>
      <c r="D60" s="1931"/>
      <c r="E60" s="1921"/>
      <c r="F60" s="1925"/>
    </row>
    <row r="61">
      <c r="A61" s="1925"/>
      <c r="B61" s="1919" t="s">
        <v>11701</v>
      </c>
      <c r="C61" s="1921"/>
      <c r="D61" s="1931"/>
      <c r="E61" s="1921"/>
      <c r="F61" s="1925"/>
    </row>
    <row r="62">
      <c r="A62" s="1925"/>
      <c r="B62" s="1920" t="s">
        <v>11704</v>
      </c>
      <c r="C62" s="1921"/>
      <c r="D62" s="1931"/>
      <c r="E62" s="1921"/>
      <c r="F62" s="1925"/>
    </row>
    <row r="63">
      <c r="A63" s="1925"/>
      <c r="B63" s="1920" t="s">
        <v>11708</v>
      </c>
      <c r="C63" s="1921"/>
      <c r="D63" s="1931"/>
      <c r="E63" s="1921"/>
      <c r="F63" s="1925"/>
    </row>
    <row r="64">
      <c r="A64" s="1925"/>
      <c r="B64" s="1932" t="s">
        <v>11734</v>
      </c>
      <c r="C64" s="1908"/>
      <c r="D64" s="1908"/>
      <c r="E64" s="1908"/>
      <c r="F64" s="1909"/>
    </row>
    <row r="65">
      <c r="A65" s="1925"/>
      <c r="B65" s="1910"/>
      <c r="C65" s="1911"/>
      <c r="D65" s="1911"/>
      <c r="E65" s="1911"/>
      <c r="F65" s="1912"/>
    </row>
    <row r="66">
      <c r="A66" s="1925"/>
      <c r="B66" s="1914" t="s">
        <v>11694</v>
      </c>
      <c r="C66" s="1915" t="s">
        <v>11747</v>
      </c>
      <c r="D66" s="1934" t="s">
        <v>11748</v>
      </c>
      <c r="E66" s="1915" t="s">
        <v>11696</v>
      </c>
      <c r="F66" s="1930">
        <v>44805.0</v>
      </c>
    </row>
    <row r="67">
      <c r="A67" s="1925"/>
      <c r="B67" s="1918" t="s">
        <v>11698</v>
      </c>
      <c r="C67" s="1915" t="s">
        <v>11749</v>
      </c>
      <c r="D67" s="1929" t="s">
        <v>11750</v>
      </c>
      <c r="E67" s="1915" t="s">
        <v>11696</v>
      </c>
      <c r="F67" s="1930">
        <v>43307.0</v>
      </c>
    </row>
    <row r="68">
      <c r="A68" s="1925"/>
      <c r="B68" s="1919" t="s">
        <v>11701</v>
      </c>
      <c r="C68" s="1921"/>
      <c r="D68" s="1931"/>
      <c r="E68" s="1921"/>
      <c r="F68" s="1925"/>
    </row>
    <row r="69">
      <c r="A69" s="1925"/>
      <c r="B69" s="1920" t="s">
        <v>11704</v>
      </c>
      <c r="C69" s="1921"/>
      <c r="D69" s="1931"/>
      <c r="E69" s="1921"/>
      <c r="F69" s="1925"/>
    </row>
    <row r="70">
      <c r="A70" s="1925"/>
      <c r="B70" s="1920" t="s">
        <v>11708</v>
      </c>
      <c r="C70" s="1921"/>
      <c r="D70" s="1931"/>
      <c r="E70" s="1921"/>
      <c r="F70" s="1925"/>
    </row>
    <row r="71">
      <c r="A71" s="1925"/>
      <c r="B71" s="1907" t="s">
        <v>11711</v>
      </c>
      <c r="C71" s="1908"/>
      <c r="D71" s="1908"/>
      <c r="E71" s="1908"/>
      <c r="F71" s="1909"/>
    </row>
    <row r="72">
      <c r="A72" s="1925"/>
      <c r="B72" s="1910"/>
      <c r="C72" s="1911"/>
      <c r="D72" s="1911"/>
      <c r="E72" s="1911"/>
      <c r="F72" s="1912"/>
    </row>
    <row r="73">
      <c r="A73" s="1925"/>
      <c r="B73" s="1932" t="s">
        <v>11751</v>
      </c>
      <c r="C73" s="1908"/>
      <c r="D73" s="1908"/>
      <c r="E73" s="1908"/>
      <c r="F73" s="1909"/>
    </row>
    <row r="74">
      <c r="A74" s="1925"/>
      <c r="B74" s="1910"/>
      <c r="C74" s="1911"/>
      <c r="D74" s="1911"/>
      <c r="E74" s="1911"/>
      <c r="F74" s="1912"/>
    </row>
    <row r="75">
      <c r="A75" s="1925"/>
      <c r="B75" s="1914" t="s">
        <v>11694</v>
      </c>
      <c r="C75" s="1915" t="s">
        <v>4342</v>
      </c>
      <c r="D75" s="1929" t="s">
        <v>11752</v>
      </c>
      <c r="E75" s="1915" t="s">
        <v>11696</v>
      </c>
      <c r="F75" s="1930">
        <v>44246.0</v>
      </c>
    </row>
    <row r="76">
      <c r="A76" s="1925"/>
      <c r="B76" s="1918" t="s">
        <v>11698</v>
      </c>
      <c r="C76" s="1915" t="s">
        <v>11741</v>
      </c>
      <c r="D76" s="1929" t="s">
        <v>11753</v>
      </c>
      <c r="E76" s="1915" t="s">
        <v>11743</v>
      </c>
      <c r="F76" s="1930">
        <v>43637.0</v>
      </c>
    </row>
    <row r="77">
      <c r="A77" s="1925"/>
      <c r="B77" s="1919" t="s">
        <v>11701</v>
      </c>
      <c r="C77" s="1921"/>
      <c r="D77" s="1931"/>
      <c r="E77" s="1921"/>
      <c r="F77" s="1925"/>
    </row>
    <row r="78">
      <c r="A78" s="1925"/>
      <c r="B78" s="1920" t="s">
        <v>11704</v>
      </c>
      <c r="C78" s="1921"/>
      <c r="D78" s="1931"/>
      <c r="E78" s="1921"/>
      <c r="F78" s="1925"/>
    </row>
    <row r="79">
      <c r="A79" s="1925"/>
      <c r="B79" s="1920" t="s">
        <v>11708</v>
      </c>
      <c r="C79" s="1921"/>
      <c r="D79" s="1931"/>
      <c r="E79" s="1921"/>
      <c r="F79" s="1925"/>
    </row>
    <row r="80">
      <c r="A80" s="1925"/>
      <c r="B80" s="1932" t="s">
        <v>11754</v>
      </c>
      <c r="C80" s="1908"/>
      <c r="D80" s="1908"/>
      <c r="E80" s="1908"/>
      <c r="F80" s="1909"/>
    </row>
    <row r="81">
      <c r="A81" s="1925"/>
      <c r="B81" s="1910"/>
      <c r="C81" s="1911"/>
      <c r="D81" s="1911"/>
      <c r="E81" s="1911"/>
      <c r="F81" s="1912"/>
    </row>
    <row r="82">
      <c r="A82" s="1925"/>
      <c r="B82" s="1914" t="s">
        <v>11694</v>
      </c>
      <c r="C82" s="1915" t="s">
        <v>6402</v>
      </c>
      <c r="D82" s="1929" t="s">
        <v>11755</v>
      </c>
      <c r="E82" s="1915" t="s">
        <v>11696</v>
      </c>
      <c r="F82" s="1930">
        <v>43592.0</v>
      </c>
    </row>
    <row r="83">
      <c r="A83" s="1925"/>
      <c r="B83" s="1918" t="s">
        <v>11698</v>
      </c>
      <c r="C83" s="1915" t="s">
        <v>11756</v>
      </c>
      <c r="D83" s="1929" t="s">
        <v>11757</v>
      </c>
      <c r="E83" s="1915" t="s">
        <v>11696</v>
      </c>
      <c r="F83" s="1930">
        <v>43396.0</v>
      </c>
    </row>
    <row r="84">
      <c r="A84" s="1925"/>
      <c r="B84" s="1919" t="s">
        <v>11701</v>
      </c>
      <c r="C84" s="1921"/>
      <c r="D84" s="1931"/>
      <c r="E84" s="1921"/>
      <c r="F84" s="1925"/>
    </row>
    <row r="85">
      <c r="A85" s="1925"/>
      <c r="B85" s="1920" t="s">
        <v>11704</v>
      </c>
      <c r="C85" s="1921"/>
      <c r="D85" s="1931"/>
      <c r="E85" s="1921"/>
      <c r="F85" s="1925"/>
    </row>
    <row r="86">
      <c r="A86" s="1925"/>
      <c r="B86" s="1920" t="s">
        <v>11708</v>
      </c>
      <c r="C86" s="1921"/>
      <c r="D86" s="1931"/>
      <c r="E86" s="1921"/>
      <c r="F86" s="1925"/>
    </row>
    <row r="87">
      <c r="A87" s="1925"/>
      <c r="B87" s="1907" t="s">
        <v>11713</v>
      </c>
      <c r="C87" s="1908"/>
      <c r="D87" s="1908"/>
      <c r="E87" s="1908"/>
      <c r="F87" s="1909"/>
    </row>
    <row r="88">
      <c r="A88" s="1925"/>
      <c r="B88" s="1910"/>
      <c r="C88" s="1911"/>
      <c r="D88" s="1911"/>
      <c r="E88" s="1911"/>
      <c r="F88" s="1912"/>
    </row>
    <row r="89">
      <c r="A89" s="1925"/>
      <c r="B89" s="1914" t="s">
        <v>11694</v>
      </c>
      <c r="C89" s="1933" t="s">
        <v>435</v>
      </c>
      <c r="D89" s="1929" t="s">
        <v>11758</v>
      </c>
      <c r="E89" s="1915" t="s">
        <v>11696</v>
      </c>
      <c r="F89" s="1930">
        <v>43457.0</v>
      </c>
    </row>
    <row r="90">
      <c r="A90" s="1925"/>
      <c r="B90" s="1918" t="s">
        <v>11698</v>
      </c>
      <c r="C90" s="1915" t="s">
        <v>2460</v>
      </c>
      <c r="D90" s="1929" t="s">
        <v>11759</v>
      </c>
      <c r="E90" s="1915" t="s">
        <v>11696</v>
      </c>
      <c r="F90" s="1930">
        <v>43925.0</v>
      </c>
    </row>
    <row r="91">
      <c r="A91" s="1925"/>
      <c r="B91" s="1919" t="s">
        <v>11701</v>
      </c>
      <c r="C91" s="1915" t="s">
        <v>4794</v>
      </c>
      <c r="D91" s="1929" t="s">
        <v>11760</v>
      </c>
      <c r="E91" s="1915" t="s">
        <v>11729</v>
      </c>
      <c r="F91" s="1930">
        <v>43433.0</v>
      </c>
    </row>
    <row r="92">
      <c r="A92" s="1925"/>
      <c r="B92" s="1920" t="s">
        <v>11704</v>
      </c>
      <c r="C92" s="1921"/>
      <c r="D92" s="1931"/>
      <c r="E92" s="1921"/>
      <c r="F92" s="1925"/>
    </row>
    <row r="93">
      <c r="A93" s="1925"/>
      <c r="B93" s="1920" t="s">
        <v>11708</v>
      </c>
      <c r="C93" s="1921"/>
      <c r="D93" s="1931"/>
      <c r="E93" s="1921"/>
      <c r="F93" s="1925"/>
    </row>
    <row r="94">
      <c r="A94" s="1925"/>
      <c r="B94" s="1907" t="s">
        <v>11715</v>
      </c>
      <c r="C94" s="1908"/>
      <c r="D94" s="1908"/>
      <c r="E94" s="1908"/>
      <c r="F94" s="1909"/>
    </row>
    <row r="95">
      <c r="A95" s="1925"/>
      <c r="B95" s="1910"/>
      <c r="C95" s="1911"/>
      <c r="D95" s="1911"/>
      <c r="E95" s="1911"/>
      <c r="F95" s="1912"/>
    </row>
    <row r="96">
      <c r="A96" s="1925"/>
      <c r="B96" s="1932" t="s">
        <v>11761</v>
      </c>
      <c r="C96" s="1908"/>
      <c r="D96" s="1908"/>
      <c r="E96" s="1908"/>
      <c r="F96" s="1909"/>
    </row>
    <row r="97">
      <c r="A97" s="1925"/>
      <c r="B97" s="1910"/>
      <c r="C97" s="1911"/>
      <c r="D97" s="1911"/>
      <c r="E97" s="1911"/>
      <c r="F97" s="1912"/>
    </row>
    <row r="98">
      <c r="A98" s="1925"/>
      <c r="B98" s="1914" t="s">
        <v>11694</v>
      </c>
      <c r="C98" s="1915" t="s">
        <v>11736</v>
      </c>
      <c r="D98" s="1929" t="s">
        <v>11762</v>
      </c>
      <c r="E98" s="1915" t="s">
        <v>11696</v>
      </c>
      <c r="F98" s="1930">
        <v>43862.0</v>
      </c>
    </row>
    <row r="99">
      <c r="A99" s="1925"/>
      <c r="B99" s="1918" t="s">
        <v>11698</v>
      </c>
      <c r="C99" s="1921"/>
      <c r="D99" s="1931"/>
      <c r="E99" s="1921"/>
      <c r="F99" s="1925"/>
    </row>
    <row r="100">
      <c r="A100" s="1925"/>
      <c r="B100" s="1919" t="s">
        <v>11701</v>
      </c>
      <c r="C100" s="1921"/>
      <c r="D100" s="1931"/>
      <c r="E100" s="1921"/>
      <c r="F100" s="1925"/>
    </row>
    <row r="101">
      <c r="A101" s="1925"/>
      <c r="B101" s="1920" t="s">
        <v>11704</v>
      </c>
      <c r="C101" s="1921"/>
      <c r="D101" s="1931"/>
      <c r="E101" s="1921"/>
      <c r="F101" s="1925"/>
    </row>
    <row r="102">
      <c r="A102" s="1925"/>
      <c r="B102" s="1920" t="s">
        <v>11708</v>
      </c>
      <c r="C102" s="1921"/>
      <c r="D102" s="1931"/>
      <c r="E102" s="1921"/>
      <c r="F102" s="1925"/>
    </row>
    <row r="103">
      <c r="A103" s="1925"/>
      <c r="B103" s="1932" t="s">
        <v>11763</v>
      </c>
      <c r="C103" s="1908"/>
      <c r="D103" s="1908"/>
      <c r="E103" s="1908"/>
      <c r="F103" s="1909"/>
    </row>
    <row r="104">
      <c r="A104" s="1925"/>
      <c r="B104" s="1910"/>
      <c r="C104" s="1911"/>
      <c r="D104" s="1911"/>
      <c r="E104" s="1911"/>
      <c r="F104" s="1912"/>
    </row>
    <row r="105">
      <c r="A105" s="1925"/>
      <c r="B105" s="1914" t="s">
        <v>11694</v>
      </c>
      <c r="C105" s="1915" t="s">
        <v>11736</v>
      </c>
      <c r="D105" s="1929" t="s">
        <v>11764</v>
      </c>
      <c r="E105" s="1915" t="s">
        <v>11696</v>
      </c>
      <c r="F105" s="1930">
        <v>43862.0</v>
      </c>
    </row>
    <row r="106">
      <c r="A106" s="1925"/>
      <c r="B106" s="1918" t="s">
        <v>11698</v>
      </c>
      <c r="C106" s="1935" t="s">
        <v>6324</v>
      </c>
      <c r="D106" s="1929" t="s">
        <v>11765</v>
      </c>
      <c r="E106" s="1915" t="s">
        <v>11743</v>
      </c>
      <c r="F106" s="1930">
        <v>43630.0</v>
      </c>
    </row>
    <row r="107">
      <c r="A107" s="1925"/>
      <c r="B107" s="1919" t="s">
        <v>11701</v>
      </c>
      <c r="C107" s="1921"/>
      <c r="D107" s="1931"/>
      <c r="E107" s="1921"/>
      <c r="F107" s="1925"/>
    </row>
    <row r="108">
      <c r="A108" s="1925"/>
      <c r="B108" s="1920" t="s">
        <v>11704</v>
      </c>
      <c r="C108" s="1921"/>
      <c r="D108" s="1931"/>
      <c r="E108" s="1921"/>
      <c r="F108" s="1925"/>
    </row>
    <row r="109">
      <c r="A109" s="1925"/>
      <c r="B109" s="1920" t="s">
        <v>11708</v>
      </c>
      <c r="C109" s="1921"/>
      <c r="D109" s="1931"/>
      <c r="E109" s="1921"/>
      <c r="F109" s="1925"/>
    </row>
    <row r="110">
      <c r="A110" s="1925"/>
      <c r="B110" s="1907" t="s">
        <v>11718</v>
      </c>
      <c r="C110" s="1908"/>
      <c r="D110" s="1908"/>
      <c r="E110" s="1908"/>
      <c r="F110" s="1909"/>
    </row>
    <row r="111">
      <c r="A111" s="1925"/>
      <c r="B111" s="1910"/>
      <c r="C111" s="1911"/>
      <c r="D111" s="1911"/>
      <c r="E111" s="1911"/>
      <c r="F111" s="1912"/>
    </row>
    <row r="112">
      <c r="A112" s="1925"/>
      <c r="B112" s="1914" t="s">
        <v>11694</v>
      </c>
      <c r="C112" s="1915" t="s">
        <v>5305</v>
      </c>
      <c r="D112" s="1929" t="s">
        <v>11766</v>
      </c>
      <c r="E112" s="1915" t="s">
        <v>11706</v>
      </c>
      <c r="F112" s="1930">
        <v>44132.0</v>
      </c>
    </row>
    <row r="113">
      <c r="A113" s="1925"/>
      <c r="B113" s="1918" t="s">
        <v>11698</v>
      </c>
      <c r="C113" s="1921"/>
      <c r="D113" s="1931"/>
      <c r="E113" s="1921"/>
      <c r="F113" s="1925"/>
    </row>
    <row r="114">
      <c r="A114" s="1925"/>
      <c r="B114" s="1919" t="s">
        <v>11701</v>
      </c>
      <c r="C114" s="1921"/>
      <c r="D114" s="1931"/>
      <c r="E114" s="1921"/>
      <c r="F114" s="1925"/>
    </row>
    <row r="115">
      <c r="A115" s="1925"/>
      <c r="B115" s="1920" t="s">
        <v>11704</v>
      </c>
      <c r="C115" s="1921"/>
      <c r="D115" s="1931"/>
      <c r="E115" s="1921"/>
      <c r="F115" s="1925"/>
    </row>
    <row r="116">
      <c r="A116" s="1925"/>
      <c r="B116" s="1920" t="s">
        <v>11708</v>
      </c>
      <c r="C116" s="1921"/>
      <c r="D116" s="1931"/>
      <c r="E116" s="1921"/>
      <c r="F116" s="1925"/>
    </row>
    <row r="117">
      <c r="A117" s="1925"/>
      <c r="B117" s="1907" t="s">
        <v>11721</v>
      </c>
      <c r="C117" s="1908"/>
      <c r="D117" s="1908"/>
      <c r="E117" s="1908"/>
      <c r="F117" s="1909"/>
    </row>
    <row r="118">
      <c r="A118" s="1925"/>
      <c r="B118" s="1910"/>
      <c r="C118" s="1911"/>
      <c r="D118" s="1911"/>
      <c r="E118" s="1911"/>
      <c r="F118" s="1912"/>
    </row>
    <row r="119">
      <c r="A119" s="1925"/>
      <c r="B119" s="1914" t="s">
        <v>11694</v>
      </c>
      <c r="C119" s="1915" t="s">
        <v>6386</v>
      </c>
      <c r="D119" s="1929" t="s">
        <v>11767</v>
      </c>
      <c r="E119" s="1915" t="s">
        <v>11696</v>
      </c>
      <c r="F119" s="1930">
        <v>43741.0</v>
      </c>
    </row>
    <row r="120">
      <c r="A120" s="1925"/>
      <c r="B120" s="1918" t="s">
        <v>11698</v>
      </c>
      <c r="C120" s="1915" t="s">
        <v>11768</v>
      </c>
      <c r="D120" s="1929" t="s">
        <v>11769</v>
      </c>
      <c r="E120" s="1915" t="s">
        <v>11729</v>
      </c>
      <c r="F120" s="1930">
        <v>43748.0</v>
      </c>
    </row>
    <row r="121">
      <c r="A121" s="1925"/>
      <c r="B121" s="1919" t="s">
        <v>11701</v>
      </c>
      <c r="C121" s="1915" t="s">
        <v>2189</v>
      </c>
      <c r="D121" s="1929" t="s">
        <v>11770</v>
      </c>
      <c r="E121" s="1915" t="s">
        <v>11743</v>
      </c>
      <c r="F121" s="1930">
        <v>43729.0</v>
      </c>
    </row>
    <row r="122">
      <c r="A122" s="1925"/>
      <c r="B122" s="1920" t="s">
        <v>11704</v>
      </c>
      <c r="C122" s="1933" t="s">
        <v>435</v>
      </c>
      <c r="D122" s="1929" t="s">
        <v>11771</v>
      </c>
      <c r="E122" s="1915" t="s">
        <v>11696</v>
      </c>
      <c r="F122" s="1930">
        <v>44470.0</v>
      </c>
    </row>
    <row r="123">
      <c r="A123" s="1925"/>
      <c r="B123" s="1920" t="s">
        <v>11708</v>
      </c>
      <c r="C123" s="1915" t="s">
        <v>5305</v>
      </c>
      <c r="D123" s="1929" t="s">
        <v>11772</v>
      </c>
      <c r="E123" s="1915" t="s">
        <v>11706</v>
      </c>
      <c r="F123" s="1930">
        <v>44020.0</v>
      </c>
    </row>
    <row r="124">
      <c r="A124" s="1936" t="s">
        <v>11773</v>
      </c>
      <c r="B124" s="1907" t="s">
        <v>11722</v>
      </c>
      <c r="C124" s="1908"/>
      <c r="D124" s="1908"/>
      <c r="E124" s="1908"/>
      <c r="F124" s="1909"/>
    </row>
    <row r="125">
      <c r="A125" s="1936" t="s">
        <v>11774</v>
      </c>
      <c r="B125" s="1910"/>
      <c r="C125" s="1911"/>
      <c r="D125" s="1911"/>
      <c r="E125" s="1911"/>
      <c r="F125" s="1912"/>
    </row>
    <row r="126">
      <c r="A126" s="1937"/>
      <c r="B126" s="1914" t="s">
        <v>11694</v>
      </c>
      <c r="C126" s="1915" t="s">
        <v>979</v>
      </c>
      <c r="D126" s="1938">
        <v>0.06525462962962963</v>
      </c>
      <c r="E126" s="1915" t="s">
        <v>11706</v>
      </c>
      <c r="F126" s="1917">
        <v>44652.0</v>
      </c>
    </row>
    <row r="127">
      <c r="A127" s="1937"/>
      <c r="B127" s="1918" t="s">
        <v>11698</v>
      </c>
      <c r="C127" s="1915" t="s">
        <v>4128</v>
      </c>
      <c r="D127" s="1938">
        <v>0.06892361111111112</v>
      </c>
      <c r="E127" s="1915" t="s">
        <v>11706</v>
      </c>
      <c r="F127" s="1917">
        <v>44652.0</v>
      </c>
    </row>
    <row r="128">
      <c r="A128" s="1937"/>
      <c r="B128" s="1919" t="s">
        <v>11701</v>
      </c>
      <c r="C128" s="1924" t="s">
        <v>5408</v>
      </c>
      <c r="D128" s="1939">
        <v>0.07195601851851852</v>
      </c>
      <c r="E128" s="1924" t="s">
        <v>11706</v>
      </c>
      <c r="F128" s="1930">
        <v>44652.0</v>
      </c>
    </row>
    <row r="129">
      <c r="A129" s="1937"/>
      <c r="B129" s="1920" t="s">
        <v>11704</v>
      </c>
      <c r="C129" s="1921" t="s">
        <v>11775</v>
      </c>
      <c r="D129" s="1940">
        <v>0.07211805555555556</v>
      </c>
      <c r="E129" s="1941" t="s">
        <v>11776</v>
      </c>
      <c r="F129" s="1930">
        <v>44652.0</v>
      </c>
    </row>
    <row r="130">
      <c r="A130" s="1937"/>
      <c r="B130" s="1920" t="s">
        <v>11708</v>
      </c>
      <c r="C130" s="1921"/>
      <c r="D130" s="1921"/>
      <c r="E130" s="1921"/>
      <c r="F130" s="1921"/>
    </row>
    <row r="131">
      <c r="A131" s="1942"/>
      <c r="B131" s="1907" t="s">
        <v>11723</v>
      </c>
      <c r="C131" s="1908"/>
      <c r="D131" s="1908"/>
      <c r="E131" s="1908"/>
      <c r="F131" s="1909"/>
    </row>
    <row r="132">
      <c r="A132" s="1937"/>
      <c r="B132" s="1910"/>
      <c r="C132" s="1911"/>
      <c r="D132" s="1911"/>
      <c r="E132" s="1911"/>
      <c r="F132" s="1912"/>
    </row>
    <row r="133">
      <c r="A133" s="1937"/>
      <c r="B133" s="1914" t="s">
        <v>11694</v>
      </c>
      <c r="C133" s="1915" t="s">
        <v>2460</v>
      </c>
      <c r="D133" s="1943" t="s">
        <v>11777</v>
      </c>
      <c r="E133" s="1915" t="s">
        <v>11696</v>
      </c>
      <c r="F133" s="1917">
        <v>45152.0</v>
      </c>
    </row>
    <row r="134">
      <c r="A134" s="1937"/>
      <c r="B134" s="1918" t="s">
        <v>11698</v>
      </c>
      <c r="C134" s="1915" t="s">
        <v>4258</v>
      </c>
      <c r="D134" s="1943" t="s">
        <v>11778</v>
      </c>
      <c r="E134" s="1915" t="s">
        <v>11696</v>
      </c>
      <c r="F134" s="1917">
        <v>44866.0</v>
      </c>
    </row>
    <row r="135">
      <c r="A135" s="1937"/>
      <c r="B135" s="1919" t="s">
        <v>11701</v>
      </c>
      <c r="C135" s="1921"/>
      <c r="D135" s="1940"/>
      <c r="E135" s="1941"/>
      <c r="F135" s="1930"/>
    </row>
    <row r="136">
      <c r="A136" s="1937"/>
      <c r="B136" s="1920" t="s">
        <v>11704</v>
      </c>
      <c r="C136" s="1921"/>
      <c r="D136" s="1940"/>
      <c r="E136" s="1941"/>
      <c r="F136" s="1930"/>
    </row>
    <row r="137">
      <c r="A137" s="1937"/>
      <c r="B137" s="1920" t="s">
        <v>11708</v>
      </c>
      <c r="C137" s="1921"/>
      <c r="D137" s="1921"/>
      <c r="E137" s="1921"/>
      <c r="F137" s="1921"/>
    </row>
    <row r="138">
      <c r="A138" s="1937"/>
      <c r="B138" s="1907" t="s">
        <v>11779</v>
      </c>
      <c r="C138" s="1908"/>
      <c r="D138" s="1908"/>
      <c r="E138" s="1908"/>
      <c r="F138" s="1909"/>
    </row>
    <row r="139">
      <c r="A139" s="1937"/>
      <c r="B139" s="1910"/>
      <c r="C139" s="1911"/>
      <c r="D139" s="1911"/>
      <c r="E139" s="1911"/>
      <c r="F139" s="1912"/>
    </row>
    <row r="140">
      <c r="A140" s="1937"/>
      <c r="B140" s="1914" t="s">
        <v>11694</v>
      </c>
      <c r="C140" s="1915" t="s">
        <v>2460</v>
      </c>
      <c r="D140" s="1944">
        <v>0.1396990740740741</v>
      </c>
      <c r="E140" s="1915" t="s">
        <v>11696</v>
      </c>
      <c r="F140" s="1917">
        <v>45998.0</v>
      </c>
    </row>
    <row r="141">
      <c r="A141" s="1937"/>
      <c r="B141" s="1918" t="s">
        <v>11698</v>
      </c>
      <c r="C141" s="1915"/>
      <c r="D141" s="1945"/>
      <c r="E141" s="1915"/>
      <c r="F141" s="1917"/>
    </row>
    <row r="142">
      <c r="A142" s="1937"/>
      <c r="B142" s="1919" t="s">
        <v>11701</v>
      </c>
      <c r="C142" s="1921"/>
      <c r="D142" s="1940"/>
      <c r="E142" s="1941"/>
      <c r="F142" s="1930"/>
    </row>
    <row r="143">
      <c r="A143" s="1937"/>
      <c r="B143" s="1920" t="s">
        <v>11704</v>
      </c>
      <c r="C143" s="1921"/>
      <c r="D143" s="1940"/>
      <c r="E143" s="1941"/>
      <c r="F143" s="1930"/>
    </row>
    <row r="144">
      <c r="A144" s="1937"/>
      <c r="B144" s="1920" t="s">
        <v>11708</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