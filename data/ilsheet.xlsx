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<sst xmlns="http://schemas.openxmlformats.org/spreadsheetml/2006/main" count="27917" uniqueCount="11553">
  <si>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</si>
  <si>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</si>
  <si>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</si>
  <si>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</si>
  <si>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</si>
  <si>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</si>
  <si>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</si>
  <si>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</si>
  <si>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</si>
  <si>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</si>
  <si>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</si>
  <si>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</si>
  <si>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</si>
  <si>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</si>
  <si>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</si>
  <si>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</si>
  <si>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</si>
  <si>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</si>
  <si>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</si>
  <si>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</si>
  <si>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</si>
  <si>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</si>
  <si>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</si>
  <si>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</si>
  <si>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</si>
  <si>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</si>
  <si>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</si>
  <si>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</si>
  <si>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</si>
  <si>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</si>
  <si>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</si>
  <si>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</si>
  <si>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</si>
  <si>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</si>
  <si>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</si>
  <si>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</si>
  <si>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</si>
  <si>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</si>
  <si>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</si>
  <si>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</si>
  <si>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</si>
  <si>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</si>
  <si>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</si>
  <si>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</si>
  <si>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</si>
  <si>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</si>
  <si>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</si>
  <si>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</si>
  <si>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</si>
  <si>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</si>
  <si>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</si>
  <si>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</si>
  <si>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</si>
  <si>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</si>
  <si>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</si>
  <si>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</si>
  <si>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</si>
  <si>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</si>
  <si>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</si>
  <si>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</si>
  <si>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</si>
  <si>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</si>
  <si>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</si>
  <si>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</si>
  <si>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</si>
  <si>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</si>
  <si>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</si>
  <si>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</si>
  <si>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</si>
  <si>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</si>
  <si>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</si>
  <si>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</si>
  <si>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</si>
  <si>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</si>
  <si>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</si>
  <si>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</si>
  <si>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</si>
  <si>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</si>
  <si>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</si>
  <si>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</si>
  <si>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</si>
  <si>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</si>
  <si>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</si>
  <si>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</si>
  <si>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</si>
  <si>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</si>
  <si>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</si>
  <si>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</si>
  <si>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</si>
  <si>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</si>
  <si>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</si>
  <si>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</si>
  <si>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</si>
  <si>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</si>
  <si>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</si>
  <si>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</si>
  <si>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</si>
  <si>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</si>
  <si>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</si>
  <si>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</si>
  <si>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</si>
  <si>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</si>
  <si>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</si>
  <si>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</si>
  <si>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</si>
  <si>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</si>
  <si>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</si>
  <si>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</si>
  <si>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</si>
  <si>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</si>
  <si>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</si>
  <si>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</si>
  <si>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</si>
  <si>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</si>
  <si>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</si>
  <si>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</si>
  <si>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</si>
  <si>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</si>
  <si>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</si>
  <si>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</si>
  <si>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</si>
  <si>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</si>
  <si>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</si>
  <si>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</si>
  <si>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</si>
  <si>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</si>
  <si>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</si>
  <si>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</si>
  <si>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</si>
  <si>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</si>
  <si>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</si>
  <si>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</si>
  <si>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</si>
  <si>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</si>
  <si>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</si>
  <si>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</si>
  <si>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</si>
  <si>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</si>
  <si>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</si>
  <si>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</si>
  <si>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</si>
  <si>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</si>
  <si>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</si>
  <si>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</si>
  <si>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</si>
  <si>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</si>
  <si>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</si>
  <si>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</si>
  <si>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</si>
  <si>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</si>
  <si>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</si>
  <si>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</si>
  <si>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</si>
  <si>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</si>
  <si>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</si>
  <si>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</si>
  <si>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</si>
  <si>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</si>
  <si>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</si>
  <si>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</si>
  <si>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</si>
  <si>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</si>
  <si>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</si>
  <si>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</si>
  <si>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</si>
  <si>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</si>
  <si>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</si>
  <si>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</si>
  <si>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</si>
  <si>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</si>
  <si>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</si>
  <si>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</si>
  <si>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</si>
  <si>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</si>
  <si>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</si>
  <si>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</si>
  <si>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</si>
  <si>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</si>
  <si>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</si>
  <si>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</si>
  <si>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</si>
  <si>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</si>
  <si>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</si>
  <si>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</si>
  <si>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</si>
  <si>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</si>
  <si>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</si>
  <si>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</si>
  <si>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</si>
  <si>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</si>
  <si>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</si>
  <si>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</si>
  <si>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</si>
  <si>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</si>
  <si>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</si>
  <si>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</si>
  <si>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</si>
  <si>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</si>
  <si>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</si>
  <si>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</si>
  <si>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</si>
  <si>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</si>
  <si>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</si>
  <si>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</si>
  <si>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</si>
  <si>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</si>
  <si>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</si>
  <si>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</si>
  <si>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</si>
  <si>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</si>
  <si>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</si>
  <si>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</si>
  <si>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</si>
  <si>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</si>
  <si>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</si>
  <si>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</si>
  <si>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</si>
  <si>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</si>
  <si>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</si>
  <si>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</si>
  <si>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</si>
  <si>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</si>
  <si>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</si>
  <si>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</si>
  <si>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</si>
  <si>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</si>
  <si>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</si>
  <si>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</si>
  <si>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</si>
  <si>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</si>
  <si>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</si>
  <si>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</si>
  <si>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</si>
  <si>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</si>
  <si>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</si>
  <si>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</si>
  <si>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</si>
  <si>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</si>
  <si>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</si>
  <si>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</si>
  <si>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</si>
  <si>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</si>
  <si>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</si>
  <si>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</si>
  <si>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</si>
  <si>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</si>
  <si>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</si>
  <si>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</si>
  <si>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</si>
  <si>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</si>
  <si>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</si>
  <si>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</si>
  <si>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</si>
  <si>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</si>
  <si>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</si>
  <si>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</si>
  <si>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</si>
  <si>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</si>
  <si>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</si>
  <si>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</si>
  <si>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</si>
  <si>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</si>
  <si>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</si>
  <si>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</si>
  <si>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</si>
  <si>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</si>
  <si>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</si>
  <si>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</si>
  <si>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</si>
  <si>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</si>
  <si>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</si>
  <si>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</si>
  <si>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</si>
  <si>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</si>
  <si>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</si>
  <si>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</si>
  <si>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</si>
  <si>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</si>
  <si>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</si>
  <si>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</si>
  <si>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</si>
  <si>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</si>
  <si>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</si>
  <si>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</si>
  <si>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</si>
  <si>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</si>
  <si>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</si>
  <si>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</si>
  <si>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</si>
  <si>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</si>
  <si>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</si>
  <si>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</si>
  <si>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</si>
  <si>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</si>
  <si>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</si>
  <si>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</si>
  <si>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</si>
  <si>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</si>
  <si>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</si>
  <si>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</si>
  <si>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</si>
  <si>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</si>
  <si>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</si>
  <si>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</si>
  <si>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</si>
  <si>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</si>
  <si>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</si>
  <si>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</si>
  <si>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</si>
  <si>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</si>
  <si>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</si>
  <si>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</si>
  <si>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</si>
  <si>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</si>
  <si>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</si>
  <si>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</si>
  <si>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</si>
  <si>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</si>
  <si>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</si>
  <si>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</si>
  <si>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</si>
  <si>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</si>
  <si>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</si>
  <si>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</si>
  <si>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</si>
  <si>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</si>
  <si>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</si>
  <si>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</si>
  <si>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</si>
  <si>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</si>
  <si>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</si>
  <si>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</si>
  <si>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</si>
  <si>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</si>
  <si>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</si>
  <si>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</si>
  <si>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</si>
  <si>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</si>
  <si>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</si>
  <si>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</si>
  <si>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</si>
  <si>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</si>
  <si>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</si>
  <si>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</si>
  <si>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</si>
  <si>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</si>
  <si>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</si>
  <si>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</si>
  <si>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</si>
  <si>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</si>
  <si>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</si>
  <si>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</si>
  <si>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</si>
  <si>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</si>
  <si>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</si>
  <si>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</si>
  <si>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</si>
  <si>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</si>
  <si>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</si>
  <si>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</si>
  <si>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</si>
  <si>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</si>
  <si>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</si>
  <si>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</si>
  <si>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</si>
  <si>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</si>
  <si>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</si>
  <si>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</si>
  <si>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</si>
  <si>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</si>
  <si>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</si>
  <si>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</si>
  <si>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</si>
  <si>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</si>
  <si>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</si>
  <si>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</si>
  <si>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</si>
  <si>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</si>
  <si>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</si>
  <si>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</si>
  <si>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</si>
  <si>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</si>
  <si>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</si>
  <si>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</si>
  <si>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</si>
  <si>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</si>
  <si>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</si>
  <si>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</si>
  <si>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</si>
  <si>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</si>
  <si>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</si>
  <si>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</si>
  <si>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</si>
  <si>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</si>
  <si>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</si>
  <si>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</si>
  <si>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</si>
  <si>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</si>
  <si>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</si>
  <si>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</si>
  <si>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</si>
  <si>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</si>
  <si>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</si>
  <si>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</si>
  <si>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</si>
  <si>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</si>
  <si>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</si>
  <si>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</si>
  <si>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</si>
  <si>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</si>
  <si>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</si>
  <si>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</si>
  <si>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</si>
  <si>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</si>
  <si>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</si>
  <si>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</si>
  <si>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</si>
  <si>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</si>
  <si>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</si>
  <si>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</si>
  <si>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</si>
  <si>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</si>
  <si>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</si>
  <si>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</si>
  <si>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</si>
  <si>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</si>
  <si>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</si>
  <si>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</si>
  <si>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</si>
  <si>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</si>
  <si>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</si>
  <si>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</si>
  <si>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</si>
  <si>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</si>
  <si>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</si>
  <si>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</si>
  <si>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</si>
  <si>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</si>
  <si>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</si>
  <si>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</si>
  <si>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</si>
  <si>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</si>
  <si>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</si>
  <si>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</si>
  <si>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</si>
  <si>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</si>
  <si>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</si>
  <si>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</si>
  <si>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</si>
  <si>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</si>
  <si>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</si>
  <si>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</si>
  <si>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</si>
  <si>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</si>
  <si>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</si>
  <si>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</si>
  <si>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</si>
  <si>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</si>
  <si>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</si>
  <si>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</si>
  <si>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</si>
  <si>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</si>
  <si>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</si>
  <si>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</si>
  <si>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</si>
  <si>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</si>
  <si>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</si>
  <si>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</si>
  <si>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</si>
  <si>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</si>
  <si>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</si>
  <si>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</si>
  <si>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</si>
  <si>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</si>
  <si>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</si>
  <si>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</si>
  <si>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</si>
  <si>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</si>
  <si>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</si>
  <si>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</si>
  <si>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</si>
  <si>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</si>
  <si>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</si>
  <si>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</si>
  <si>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</si>
  <si>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</si>
  <si>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</si>
  <si>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</si>
  <si>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</si>
  <si>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</si>
  <si>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</si>
  <si>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</si>
  <si>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</si>
  <si>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</si>
  <si>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</si>
  <si>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</si>
  <si>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</si>
  <si>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</si>
  <si>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</si>
  <si>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</si>
  <si>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</si>
  <si>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</si>
  <si>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</si>
  <si>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</si>
  <si>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</si>
  <si>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</si>
  <si>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</si>
  <si>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</si>
  <si>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</si>
  <si>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</si>
  <si>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</si>
  <si>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</si>
  <si>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</si>
  <si>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</si>
  <si>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</si>
  <si>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</si>
  <si>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</si>
  <si>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</si>
  <si>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</si>
  <si>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</si>
  <si>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</si>
  <si>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</si>
  <si>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</si>
  <si>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</si>
  <si>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</si>
  <si>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</si>
  <si>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</si>
  <si>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</si>
  <si>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</si>
  <si>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</si>
  <si>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</si>
  <si>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</si>
  <si>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</si>
  <si>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</si>
  <si>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</si>
  <si>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</si>
  <si>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</si>
  <si>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</si>
  <si>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</si>
  <si>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</si>
  <si>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</si>
  <si>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</si>
  <si>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</si>
  <si>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</si>
  <si>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</si>
  <si>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</si>
  <si>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</si>
  <si>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</si>
  <si>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</si>
  <si>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</si>
  <si>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</si>
  <si>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</si>
  <si>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</si>
  <si>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</si>
  <si>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</si>
  <si>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</si>
  <si>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</si>
  <si>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</si>
  <si>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</si>
  <si>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</si>
  <si>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</si>
  <si>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</si>
  <si>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</si>
  <si>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</si>
  <si>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</si>
  <si>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</si>
  <si>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</si>
  <si>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</si>
  <si>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</si>
  <si>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</si>
  <si>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</si>
  <si>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</si>
  <si>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</si>
  <si>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</si>
  <si>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</si>
  <si>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</si>
  <si>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</si>
  <si>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</si>
  <si>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</si>
  <si>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</si>
  <si>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</si>
  <si>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</si>
  <si>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</si>
  <si>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</si>
  <si>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</si>
  <si>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</si>
  <si>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</si>
  <si>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</si>
  <si>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</si>
  <si>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</si>
  <si>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</si>
  <si>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</si>
  <si>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</si>
  <si>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</si>
  <si>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</si>
  <si>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</si>
  <si>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</si>
  <si>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</si>
  <si>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</si>
  <si>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</si>
  <si>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</si>
  <si>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</si>
  <si>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</si>
  <si>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</si>
  <si>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</si>
  <si>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</si>
  <si>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</si>
  <si>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</si>
  <si>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</si>
  <si>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</si>
  <si>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</si>
  <si>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</si>
  <si>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</si>
  <si>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</si>
  <si>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</si>
  <si>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</si>
  <si>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</si>
  <si>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</si>
  <si>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</si>
  <si>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</si>
  <si>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</si>
  <si>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</si>
  <si>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</si>
  <si>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</si>
  <si>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</si>
  <si>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</si>
  <si>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</si>
  <si>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</si>
  <si>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</si>
  <si>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</si>
  <si>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</si>
  <si>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</si>
  <si>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</si>
  <si>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</si>
  <si>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</si>
  <si>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</si>
  <si>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</si>
  <si>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</si>
  <si>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</si>
  <si>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</si>
  <si>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</si>
  <si>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</si>
  <si>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</si>
  <si>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</si>
  <si>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</si>
  <si>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</si>
  <si>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</si>
  <si>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</si>
  <si>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</si>
  <si>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</si>
  <si>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</si>
  <si>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</si>
  <si>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</si>
  <si>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</si>
  <si>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</si>
  <si>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</si>
  <si>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</si>
  <si>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</si>
  <si>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</si>
  <si>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</si>
  <si>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</si>
  <si>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</si>
  <si>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</si>
  <si>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</si>
  <si>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</si>
  <si>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</si>
  <si>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</si>
  <si>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</si>
  <si>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</si>
  <si>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</si>
  <si>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</si>
  <si>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</si>
  <si>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</si>
  <si>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</si>
  <si>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</si>
  <si>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</si>
  <si>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</si>
  <si>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</si>
  <si>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</si>
  <si>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</si>
  <si>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</si>
  <si>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</si>
  <si>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</si>
  <si>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</si>
  <si>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</si>
  <si>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</si>
  <si>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</si>
  <si>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</si>
  <si>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</si>
  <si>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</si>
  <si>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</si>
  <si>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</si>
  <si>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</si>
  <si>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</si>
  <si>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</si>
  <si>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</si>
  <si>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</si>
  <si>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</si>
  <si>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</si>
  <si>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</si>
  <si>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</si>
  <si>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</si>
  <si>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</si>
  <si>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</si>
  <si>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</si>
  <si>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</si>
  <si>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</si>
  <si>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</si>
  <si>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</si>
  <si>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</si>
  <si>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</si>
  <si>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</si>
  <si>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</si>
  <si>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</si>
  <si>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</si>
  <si>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</si>
  <si>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</si>
  <si>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</si>
  <si>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</si>
  <si>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</si>
  <si>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</si>
  <si>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</si>
  <si>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</si>
  <si>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</si>
  <si>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</si>
  <si>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</si>
  <si>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</si>
  <si>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</si>
  <si>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</si>
  <si>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</si>
  <si>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</si>
  <si>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</si>
  <si>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</si>
  <si>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</si>
  <si>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</si>
  <si>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</si>
  <si>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</si>
  <si>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</si>
  <si>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</si>
  <si>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</si>
  <si>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</si>
  <si>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</si>
  <si>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</si>
  <si>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</si>
  <si>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</si>
  <si>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</si>
  <si>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</si>
  <si>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</si>
  <si>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</si>
  <si>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</si>
  <si>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</si>
  <si>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</si>
  <si>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</si>
  <si>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</si>
  <si>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</si>
  <si>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</si>
  <si>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</si>
  <si>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</si>
  <si>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</si>
  <si>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</si>
  <si>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</si>
  <si>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</si>
  <si>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</si>
  <si>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</si>
  <si>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</si>
  <si>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</si>
  <si>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</si>
  <si>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</si>
  <si>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</si>
  <si>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</si>
  <si>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</si>
  <si>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</si>
  <si>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</si>
  <si>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</si>
  <si>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</si>
  <si>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</si>
  <si>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</si>
  <si>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</si>
  <si>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</si>
  <si>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</si>
  <si>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</si>
  <si>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</si>
  <si>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</si>
  <si>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</si>
  <si>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</si>
  <si>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</si>
  <si>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</si>
  <si>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</si>
  <si>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</si>
  <si>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</si>
  <si>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</si>
  <si>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</si>
  <si>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</si>
  <si>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</si>
  <si>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</si>
  <si>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</si>
  <si>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</si>
  <si>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</si>
  <si>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</si>
  <si>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</si>
  <si>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</si>
  <si>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</si>
  <si>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</si>
  <si>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</si>
  <si>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</si>
  <si>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</si>
  <si>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</si>
  <si>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</si>
  <si>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</si>
  <si>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</si>
  <si>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</si>
  <si>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</si>
  <si>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</si>
  <si>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</si>
  <si>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</si>
  <si>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</si>
  <si>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</si>
  <si>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</si>
  <si>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</si>
  <si>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</si>
  <si>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</si>
  <si>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</si>
  <si>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</si>
  <si>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</si>
  <si>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</si>
  <si>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</si>
  <si>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</si>
  <si>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</si>
  <si>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</si>
  <si>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</si>
  <si>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</si>
  <si>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</si>
  <si>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</si>
  <si>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</si>
  <si>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</si>
  <si>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</si>
  <si>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</si>
  <si>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</si>
  <si>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</si>
  <si>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</si>
  <si>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</si>
  <si>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</si>
  <si>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</si>
  <si>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</si>
  <si>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</si>
  <si>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</si>
  <si>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</si>
  <si>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</si>
  <si>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</si>
  <si>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</si>
  <si>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</si>
  <si>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</si>
  <si>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</si>
  <si>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</si>
  <si>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</si>
  <si>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</si>
  <si>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</si>
  <si>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</si>
  <si>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</si>
  <si>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</si>
  <si>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</si>
  <si>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</si>
  <si>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</si>
  <si>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</si>
  <si>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</si>
  <si>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</si>
  <si>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</si>
  <si>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</si>
  <si>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</si>
  <si>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</si>
  <si>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</si>
  <si>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</si>
  <si>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</si>
  <si>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</si>
  <si>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</si>
  <si>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</si>
  <si>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</si>
  <si>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</si>
  <si>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</si>
  <si>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</si>
  <si>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</si>
  <si>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</si>
  <si>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</si>
  <si>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</si>
  <si>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</si>
  <si>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</si>
  <si>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</si>
  <si>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</si>
  <si>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</si>
  <si>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</si>
  <si>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</si>
  <si>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</si>
  <si>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</si>
  <si>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</si>
  <si>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</si>
  <si>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</si>
  <si>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</si>
  <si>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</si>
  <si>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</si>
  <si>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</si>
  <si>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</si>
  <si>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</si>
  <si>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</si>
  <si>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</si>
  <si>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</si>
  <si>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</si>
  <si>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</si>
  <si>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</si>
  <si>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</si>
  <si>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</si>
  <si>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</si>
  <si>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</si>
  <si>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</si>
  <si>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</si>
  <si>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</si>
  <si>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</si>
  <si>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</si>
  <si>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</si>
  <si>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</si>
  <si>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</si>
  <si>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</si>
  <si>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</si>
  <si>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</si>
  <si>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</si>
  <si>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</si>
  <si>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</si>
  <si>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</si>
  <si>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</si>
  <si>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</si>
  <si>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</si>
  <si>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</si>
  <si>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</si>
  <si>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</si>
  <si>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</si>
  <si>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</si>
  <si>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</si>
  <si>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</si>
  <si>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</si>
  <si>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</si>
  <si>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</si>
  <si>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</si>
  <si>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</si>
  <si>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</si>
  <si>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</si>
  <si>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</si>
  <si>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</si>
  <si>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</si>
  <si>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</si>
  <si>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</si>
  <si>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</si>
  <si>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</si>
  <si>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</si>
  <si>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</si>
  <si>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</si>
  <si>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</si>
  <si>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</si>
  <si>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</si>
  <si>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</si>
  <si>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</si>
  <si>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</si>
  <si>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</si>
  <si>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</si>
  <si>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</si>
  <si>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</si>
  <si>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</si>
  <si>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</si>
  <si>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</si>
  <si>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</si>
  <si>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</si>
  <si>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</si>
  <si>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</si>
  <si>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</si>
  <si>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</si>
  <si>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</si>
  <si>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</si>
  <si>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</si>
  <si>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</si>
  <si>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</si>
  <si>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</si>
  <si>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</si>
  <si>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</si>
  <si>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</si>
  <si>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</si>
  <si>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</si>
  <si>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</si>
  <si>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</si>
  <si>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</si>
  <si>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</si>
  <si>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</si>
  <si>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</si>
  <si>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</si>
  <si>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</si>
  <si>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</si>
  <si>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</si>
  <si>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</si>
  <si>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</si>
  <si>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</si>
  <si>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</si>
  <si>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</si>
  <si>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</si>
  <si>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</si>
  <si>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</si>
  <si>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</si>
  <si>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</si>
  <si>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</si>
  <si>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</si>
  <si>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</si>
  <si>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</si>
  <si>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</si>
  <si>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</si>
  <si>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</si>
  <si>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</si>
  <si>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</si>
  <si>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</si>
  <si>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</si>
  <si>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</si>
  <si>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</si>
  <si>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</si>
  <si>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</si>
  <si>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</si>
  <si>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</si>
  <si>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</si>
  <si>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</si>
  <si>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</si>
  <si>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</si>
  <si>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</si>
  <si>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</si>
  <si>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</si>
  <si>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</si>
  <si>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</si>
  <si>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</si>
  <si>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</si>
  <si>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</si>
  <si>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</si>
  <si>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</si>
  <si>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</si>
  <si>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</si>
  <si>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</si>
  <si>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</si>
  <si>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</si>
  <si>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</si>
  <si>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</si>
  <si>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</si>
  <si>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</si>
  <si>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</si>
  <si>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</si>
  <si>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</si>
  <si>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</si>
  <si>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</si>
  <si>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</si>
  <si>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</si>
  <si>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</si>
  <si>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</si>
  <si>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</si>
  <si>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</si>
  <si>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</si>
  <si>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</si>
  <si>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</si>
  <si>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</si>
  <si>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</si>
  <si>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</si>
  <si>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</si>
  <si>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</si>
  <si>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</si>
  <si>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</si>
  <si>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</si>
  <si>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</si>
  <si>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</si>
  <si>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</si>
  <si>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</si>
  <si>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</si>
  <si>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</si>
  <si>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</si>
  <si>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</si>
  <si>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</si>
  <si>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</si>
  <si>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</si>
  <si>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</si>
  <si>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</si>
  <si>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</si>
  <si>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</si>
  <si>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</si>
  <si>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</si>
  <si>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</si>
  <si>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</si>
  <si>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</si>
  <si>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</si>
  <si>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</si>
  <si>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</si>
  <si>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</si>
  <si>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</si>
  <si>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</si>
  <si>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</si>
  <si>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</si>
  <si>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</si>
  <si>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</si>
  <si>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</si>
  <si>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</si>
  <si>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</si>
  <si>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</si>
  <si>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</si>
  <si>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</si>
  <si>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</si>
  <si>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</si>
  <si>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</si>
  <si>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</si>
  <si>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</si>
  <si>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</si>
  <si>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</si>
  <si>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</si>
  <si>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</si>
  <si>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</si>
  <si>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</si>
  <si>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</si>
  <si>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</si>
  <si>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</si>
  <si>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</si>
  <si>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</si>
  <si>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</si>
  <si>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</si>
  <si>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</si>
  <si>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</si>
  <si>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</si>
  <si>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</si>
  <si>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</si>
  <si>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</si>
  <si>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</si>
  <si>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</si>
  <si>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</si>
  <si>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</si>
  <si>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</si>
  <si>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</si>
  <si>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</si>
  <si>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</si>
  <si>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</si>
  <si>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</si>
  <si>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</si>
  <si>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</si>
  <si>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</si>
  <si>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</si>
  <si>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</si>
  <si>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</si>
  <si>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</si>
  <si>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</si>
  <si>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</si>
  <si>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</si>
  <si>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</si>
  <si>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</si>
  <si>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</si>
  <si>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</si>
  <si>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</si>
  <si>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</si>
  <si>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</si>
  <si>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</si>
  <si>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</si>
  <si>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</si>
  <si>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</si>
  <si>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</si>
  <si>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</si>
  <si>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</si>
  <si>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</si>
  <si>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</si>
  <si>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</si>
  <si>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</si>
  <si>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</si>
  <si>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</si>
  <si>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</si>
  <si>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</si>
  <si>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</si>
  <si>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</si>
  <si>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</si>
  <si>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</si>
  <si>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</si>
  <si>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</si>
  <si>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</si>
  <si>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</si>
  <si>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</si>
  <si>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</si>
  <si>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</si>
  <si>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</si>
  <si>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</si>
  <si>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</si>
  <si>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</si>
  <si>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</si>
  <si>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</si>
  <si>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</si>
  <si>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</si>
  <si>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</si>
  <si>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</si>
  <si>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</si>
  <si>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</si>
  <si>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</si>
  <si>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</si>
  <si>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</si>
  <si>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</si>
  <si>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</si>
  <si>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</si>
  <si>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</si>
  <si>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</si>
  <si>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</si>
  <si>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</si>
  <si>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</si>
  <si>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</si>
  <si>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</si>
  <si>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</si>
  <si>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</si>
  <si>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</si>
  <si>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</si>
  <si>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</si>
  <si>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</si>
  <si>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</si>
  <si>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</si>
  <si>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</si>
  <si>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</si>
  <si>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</si>
  <si>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</si>
  <si>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</si>
  <si>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</si>
  <si>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</si>
  <si>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</si>
  <si>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</si>
  <si>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</si>
  <si>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</si>
  <si>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</si>
  <si>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</si>
  <si>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</si>
  <si>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</si>
  <si>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</si>
  <si>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</si>
  <si>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</si>
  <si>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</si>
  <si>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</si>
  <si>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</si>
  <si>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</si>
  <si>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</si>
  <si>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</si>
  <si>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</si>
  <si>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</si>
  <si>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</si>
  <si>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</si>
  <si>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</si>
  <si>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</si>
  <si>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</si>
  <si>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</si>
  <si>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</si>
  <si>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</si>
  <si>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</si>
  <si>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</si>
  <si>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</si>
  <si>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</si>
  <si>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</si>
  <si>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</si>
  <si>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</si>
  <si>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</si>
  <si>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</si>
  <si>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</si>
  <si>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</si>
  <si>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</si>
  <si>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</si>
  <si>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</si>
  <si>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</si>
  <si>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</si>
  <si>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</si>
  <si>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</si>
  <si>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</si>
  <si>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</si>
  <si>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</si>
  <si>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</si>
  <si>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</si>
  <si>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</si>
  <si>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</si>
  <si>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</si>
  <si>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</si>
  <si>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</si>
  <si>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</si>
  <si>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</si>
  <si>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</si>
  <si>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</si>
  <si>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</si>
  <si>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</si>
  <si>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</si>
  <si>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</si>
  <si>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</si>
  <si>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</si>
  <si>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</si>
  <si>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</si>
  <si>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</si>
  <si>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</si>
  <si>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</si>
  <si>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</si>
  <si>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</si>
  <si>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</si>
  <si>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</si>
  <si>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</si>
  <si>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</si>
  <si>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</si>
  <si>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</si>
  <si>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</si>
  <si>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</si>
  <si>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</si>
  <si>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</si>
  <si>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</si>
  <si>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</si>
  <si>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</si>
  <si>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</si>
  <si>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</si>
  <si>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</si>
  <si>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</si>
  <si>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</si>
  <si>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</si>
  <si>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</si>
  <si>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</si>
  <si>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</si>
  <si>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</si>
  <si>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</si>
  <si>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</si>
  <si>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</si>
  <si>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</si>
  <si>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</si>
  <si>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</si>
  <si>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</si>
  <si>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</si>
  <si>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</si>
  <si>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</si>
  <si>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</si>
  <si>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</si>
  <si>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</si>
  <si>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</si>
  <si>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</si>
  <si>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</si>
  <si>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</si>
  <si>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</si>
  <si>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</si>
  <si>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</si>
  <si>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</si>
  <si>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</si>
  <si>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</si>
  <si>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</si>
  <si>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</si>
  <si>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</si>
  <si>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</si>
  <si>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</si>
  <si>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</si>
  <si>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</si>
  <si>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</si>
  <si>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</si>
  <si>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</si>
  <si>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</si>
  <si>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</si>
  <si>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</si>
  <si>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</si>
  <si>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</si>
  <si>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</si>
  <si>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</si>
  <si>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</si>
  <si>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</si>
  <si>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</si>
  <si>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</si>
  <si>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</si>
  <si>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</si>
  <si>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</si>
  <si>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</si>
  <si>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</si>
  <si>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</si>
  <si>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</si>
  <si>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</si>
  <si>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</si>
  <si>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</si>
  <si>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</si>
  <si>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</si>
  <si>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</si>
  <si>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</si>
  <si>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</si>
  <si>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</si>
  <si>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</si>
  <si>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</si>
  <si>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</si>
  <si>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</si>
  <si>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</si>
  <si>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</si>
  <si>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</si>
  <si>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</si>
  <si>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</si>
  <si>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</si>
  <si>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</si>
  <si>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</si>
  <si>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</si>
  <si>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</si>
  <si>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</si>
  <si>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</si>
  <si>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</si>
  <si>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</si>
  <si>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</si>
  <si>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</si>
  <si>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</si>
  <si>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</si>
  <si>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</si>
  <si>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</si>
  <si>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</si>
  <si>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</si>
  <si>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</si>
  <si>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</si>
  <si>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</si>
  <si>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</si>
  <si>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</si>
  <si>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</si>
  <si>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</si>
  <si>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</si>
  <si>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</si>
  <si>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</si>
  <si>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</si>
  <si>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</si>
  <si>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</si>
  <si>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</si>
  <si>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</si>
  <si>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</si>
  <si>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</si>
  <si>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</si>
  <si>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</si>
  <si>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</si>
  <si>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</si>
  <si>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</si>
  <si>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</si>
  <si>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</si>
  <si>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</si>
  <si>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</si>
  <si>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</si>
  <si>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</si>
  <si>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</si>
  <si>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</si>
  <si>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</si>
  <si>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</si>
  <si>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</si>
  <si>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</si>
  <si>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</si>
  <si>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</si>
  <si>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</si>
  <si>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</si>
  <si>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</si>
  <si>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</si>
  <si>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</si>
  <si>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</si>
  <si>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</si>
  <si>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</si>
  <si>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</si>
  <si>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</si>
  <si>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</si>
  <si>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</si>
  <si>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</si>
  <si>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</si>
  <si>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</si>
  <si>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</si>
  <si>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</si>
  <si>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</si>
  <si>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</si>
  <si>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</si>
  <si>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</si>
  <si>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</si>
  <si>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</si>
  <si>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</si>
  <si>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</si>
  <si>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</si>
  <si>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</si>
  <si>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</si>
  <si>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</si>
  <si>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</si>
  <si>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</si>
  <si>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</si>
  <si>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</si>
  <si>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</si>
  <si>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</si>
  <si>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</si>
  <si>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</si>
  <si>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</si>
  <si>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</si>
  <si>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</si>
  <si>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</si>
  <si>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</si>
  <si>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</si>
  <si>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</si>
  <si>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</si>
  <si>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</si>
  <si>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</si>
  <si>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</si>
  <si>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</si>
  <si>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</si>
  <si>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</si>
  <si>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</si>
  <si>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</si>
  <si>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</si>
  <si>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</si>
  <si>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</si>
  <si>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</si>
  <si>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</si>
  <si>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</si>
  <si>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</si>
  <si>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</si>
  <si>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</si>
  <si>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</si>
  <si>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</si>
  <si>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</si>
  <si>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</si>
  <si>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</si>
  <si>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</si>
  <si>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</si>
  <si>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</si>
  <si>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</si>
  <si>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</si>
  <si>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</si>
  <si>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</si>
  <si>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</si>
  <si>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</si>
  <si>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</si>
  <si>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</si>
  <si>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</si>
  <si>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</si>
  <si>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</si>
  <si>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</si>
  <si>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</si>
  <si>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</si>
  <si>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</si>
  <si>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</si>
  <si>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</si>
  <si>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</si>
  <si>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</si>
  <si>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</si>
  <si>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</si>
  <si>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</si>
  <si>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</si>
  <si>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</si>
  <si>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</si>
  <si>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</si>
  <si>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</si>
  <si>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</si>
  <si>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</si>
  <si>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</si>
  <si>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</si>
  <si>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</si>
  <si>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</si>
  <si>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</si>
  <si>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</si>
  <si>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</si>
  <si>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</si>
  <si>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</si>
  <si>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</si>
  <si>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</si>
  <si>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</si>
  <si>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</si>
  <si>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</si>
  <si>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</si>
  <si>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</si>
  <si>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</si>
  <si>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</si>
  <si>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</si>
  <si>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</si>
  <si>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</si>
  <si>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</si>
  <si>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</si>
  <si>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</si>
  <si>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</si>
  <si>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</si>
  <si>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</si>
  <si>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</si>
  <si>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</si>
  <si>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</si>
  <si>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</si>
  <si>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</si>
  <si>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</si>
  <si>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</si>
  <si>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</si>
  <si>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</si>
  <si>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</si>
  <si>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</si>
  <si>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</si>
  <si>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</si>
  <si>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</si>
  <si>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</si>
  <si>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</si>
  <si>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</si>
  <si>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</si>
  <si>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</si>
  <si>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</si>
  <si>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</si>
  <si>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</si>
  <si>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</si>
  <si>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</si>
  <si>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</si>
  <si>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</si>
  <si>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</si>
  <si>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</si>
  <si>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</si>
  <si>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</si>
  <si>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</si>
  <si>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</si>
  <si>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</si>
  <si>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</si>
  <si>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</si>
  <si>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</si>
  <si>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</si>
  <si>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</si>
  <si>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</si>
  <si>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</si>
  <si>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</si>
  <si>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</si>
  <si>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</si>
  <si>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</si>
  <si>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</si>
  <si>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</si>
  <si>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</si>
  <si>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</si>
  <si>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</si>
  <si>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</si>
  <si>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</si>
  <si>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</si>
  <si>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</si>
  <si>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</si>
  <si>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</si>
  <si>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</si>
  <si>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</si>
  <si>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</si>
  <si>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</si>
  <si>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</si>
  <si>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</si>
  <si>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</si>
  <si>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</si>
  <si>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</si>
  <si>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</si>
  <si>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</si>
  <si>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</si>
  <si>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</si>
  <si>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</si>
  <si>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</si>
  <si>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</si>
  <si>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</si>
  <si>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</si>
  <si>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</si>
  <si>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</si>
  <si>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</si>
  <si>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</si>
  <si>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</si>
  <si>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</si>
  <si>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</si>
  <si>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</si>
  <si>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</si>
  <si>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</si>
  <si>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</si>
  <si>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</si>
  <si>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</si>
  <si>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</si>
  <si>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</si>
  <si>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</si>
  <si>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</si>
  <si>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</si>
  <si>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</si>
  <si>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</si>
  <si>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</si>
  <si>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</si>
  <si>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</si>
  <si>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</si>
  <si>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</si>
  <si>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</si>
  <si>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</si>
  <si>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</si>
  <si>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</si>
  <si>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</si>
  <si>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</si>
  <si>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</si>
  <si>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</si>
  <si>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</si>
  <si>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</si>
  <si>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</si>
  <si>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</si>
  <si>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</si>
  <si>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</si>
  <si>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</si>
  <si>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</si>
  <si>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</si>
  <si>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</si>
  <si>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</si>
  <si>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</si>
  <si>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</si>
  <si>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</si>
  <si>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</si>
  <si>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</si>
  <si>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</si>
  <si>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</si>
  <si>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</si>
  <si>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</si>
  <si>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</si>
  <si>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</si>
  <si>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</si>
  <si>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</si>
  <si>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</si>
  <si>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</si>
  <si>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</si>
  <si>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</si>
  <si>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</si>
  <si>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</si>
  <si>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</si>
  <si>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</si>
  <si>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</si>
  <si>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</si>
  <si>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</si>
  <si>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</si>
  <si>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</si>
  <si>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</si>
  <si>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</si>
  <si>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</si>
  <si>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</si>
  <si>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</si>
  <si>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</si>
  <si>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</si>
  <si>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</si>
  <si>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</si>
  <si>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</si>
  <si>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</si>
  <si>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</si>
  <si>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</si>
  <si>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</si>
  <si>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</si>
  <si>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</si>
  <si>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</si>
  <si>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</si>
  <si>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</si>
  <si>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</si>
  <si>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</si>
  <si>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</si>
  <si>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</si>
  <si>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</si>
  <si>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</si>
  <si>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</si>
  <si>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</si>
  <si>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</si>
  <si>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</si>
  <si>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</si>
  <si>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</si>
  <si>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</si>
  <si>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</si>
  <si>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</si>
  <si>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</si>
  <si>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</si>
  <si>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</si>
  <si>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</si>
  <si>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</si>
  <si>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</si>
  <si>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</si>
  <si>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</si>
  <si>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</si>
  <si>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</si>
  <si>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</si>
  <si>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</si>
  <si>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</si>
  <si>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</si>
  <si>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</si>
  <si>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</si>
  <si>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</si>
  <si>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</si>
  <si>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</si>
  <si>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</si>
  <si>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</si>
  <si>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</si>
  <si>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</si>
  <si>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</si>
  <si>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</si>
  <si>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</si>
  <si>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</si>
  <si>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</si>
  <si>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</si>
  <si>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</si>
  <si>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</si>
  <si>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</si>
  <si>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</si>
  <si>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</si>
  <si>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</si>
  <si>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</si>
  <si>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</si>
  <si>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</si>
  <si>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</si>
  <si>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</si>
  <si>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</si>
  <si>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</si>
  <si>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</si>
  <si>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</si>
  <si>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</si>
  <si>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</si>
  <si>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</si>
  <si>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</si>
  <si>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</si>
  <si>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</si>
  <si>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</si>
  <si>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</si>
  <si>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</si>
  <si>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</si>
  <si>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</si>
  <si>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</si>
  <si>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</si>
  <si>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</si>
  <si>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</si>
  <si>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</si>
  <si>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</si>
  <si>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</si>
  <si>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</si>
  <si>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</si>
  <si>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</si>
  <si>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</si>
  <si>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</si>
  <si>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</si>
  <si>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</si>
  <si>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</si>
  <si>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</si>
  <si>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</si>
  <si>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</si>
  <si>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</si>
  <si>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</si>
  <si>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</si>
  <si>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</si>
  <si>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</si>
  <si>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</si>
  <si>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</si>
  <si>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</si>
  <si>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</si>
  <si>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</si>
  <si>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</si>
  <si>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</si>
  <si>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</si>
  <si>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</si>
  <si>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</si>
  <si>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</si>
  <si>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</si>
  <si>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</si>
  <si>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</si>
  <si>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</si>
  <si>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</si>
  <si>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</si>
  <si>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</si>
  <si>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</si>
  <si>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</si>
  <si>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</si>
  <si>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</si>
  <si>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</si>
  <si>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</si>
  <si>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</si>
  <si>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</si>
  <si>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</si>
  <si>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</si>
  <si>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</si>
  <si>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</si>
  <si>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</si>
  <si>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</si>
  <si>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</si>
  <si>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</si>
  <si>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</si>
  <si>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</si>
  <si>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</si>
  <si>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</si>
  <si>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</si>
  <si>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</si>
  <si>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</si>
  <si>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</si>
  <si>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</si>
  <si>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</si>
  <si>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</si>
  <si>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</si>
  <si>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</si>
  <si>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</si>
  <si>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</si>
  <si>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</si>
  <si>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</si>
  <si>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</si>
  <si>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</si>
  <si>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</si>
  <si>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</si>
  <si>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</si>
  <si>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</si>
  <si>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</si>
  <si>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</si>
  <si>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</si>
  <si>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</si>
  <si>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</si>
  <si>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</si>
  <si>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</si>
  <si>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</si>
  <si>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</si>
  <si>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</si>
  <si>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</si>
  <si>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</si>
  <si>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</si>
  <si>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</si>
  <si>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</si>
  <si>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</si>
  <si>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</si>
  <si>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</si>
  <si>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</si>
  <si>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</si>
  <si>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</si>
  <si>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</si>
  <si>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</si>
  <si>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</si>
  <si>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</si>
  <si>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</si>
  <si>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</si>
  <si>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</si>
  <si>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</si>
  <si>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</si>
  <si>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</si>
  <si>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</si>
  <si>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</si>
  <si>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</si>
  <si>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</si>
  <si>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</si>
  <si>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</si>
  <si>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</si>
  <si>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</si>
  <si>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</si>
  <si>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</si>
  <si>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</si>
  <si>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</si>
  <si>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</si>
  <si>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</si>
  <si>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</si>
  <si>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</si>
  <si>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</si>
  <si>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</si>
  <si>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</si>
  <si>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</si>
  <si>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</si>
  <si>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</si>
  <si>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</si>
  <si>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</si>
  <si>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</si>
  <si>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</si>
  <si>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</si>
  <si>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</si>
  <si>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</si>
  <si>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</si>
  <si>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</si>
  <si>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</si>
  <si>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</si>
  <si>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</si>
  <si>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</si>
  <si>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</si>
  <si>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</si>
  <si>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</si>
  <si>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</si>
  <si>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</si>
  <si>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</si>
  <si>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</si>
  <si>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</si>
  <si>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</si>
  <si>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</si>
  <si>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</si>
  <si>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</si>
  <si>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</si>
  <si>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</si>
  <si>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</si>
  <si>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</si>
  <si>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</si>
  <si>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</si>
  <si>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</si>
  <si>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</si>
  <si>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</si>
  <si>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</si>
  <si>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</si>
  <si>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</si>
  <si>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</si>
  <si>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</si>
  <si>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</si>
  <si>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</si>
  <si>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</si>
  <si>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</si>
  <si>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</si>
  <si>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</si>
  <si>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</si>
  <si>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</si>
  <si>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</si>
  <si>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</si>
  <si>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</si>
  <si>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</si>
  <si>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</si>
  <si>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</si>
  <si>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</si>
  <si>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</si>
  <si>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</si>
  <si>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</si>
  <si>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</si>
  <si>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</si>
  <si>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</si>
  <si>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</si>
  <si>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</si>
  <si>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</si>
  <si>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</si>
  <si>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</si>
  <si>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</si>
  <si>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</si>
  <si>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</si>
  <si>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</si>
  <si>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</si>
  <si>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</si>
  <si>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</si>
  <si>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</si>
  <si>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</si>
  <si>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</si>
  <si>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</si>
  <si>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</si>
  <si>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</si>
  <si>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</si>
  <si>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</si>
  <si>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</si>
  <si>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</si>
  <si>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</si>
  <si>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</si>
  <si>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</si>
  <si>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</si>
  <si>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</si>
  <si>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</si>
  <si>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</si>
  <si>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</si>
  <si>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</si>
  <si>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</si>
  <si>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</si>
  <si>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</si>
  <si>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</si>
  <si>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</si>
  <si>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</si>
  <si>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</si>
  <si>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</si>
  <si>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</si>
  <si>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</si>
  <si>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</si>
  <si>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</si>
  <si>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</si>
  <si>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</si>
  <si>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</si>
  <si>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</si>
  <si>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</si>
  <si>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</si>
  <si>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</si>
  <si>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</si>
  <si>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</si>
  <si>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</si>
  <si>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</si>
  <si>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</si>
  <si>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</si>
  <si>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</si>
  <si>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</si>
  <si>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</si>
  <si>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</si>
  <si>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</si>
  <si>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</si>
  <si>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</si>
  <si>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</si>
  <si>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</si>
  <si>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</si>
  <si>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</si>
  <si>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</si>
  <si>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</si>
  <si>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</si>
  <si>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</si>
  <si>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</si>
  <si>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</si>
  <si>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</si>
  <si>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</si>
  <si>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</si>
  <si>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</si>
  <si>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</si>
  <si>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</si>
  <si>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</si>
  <si>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</si>
  <si>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</si>
  <si>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</si>
  <si>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</si>
  <si>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</si>
  <si>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</si>
  <si>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</si>
  <si>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</si>
  <si>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</si>
  <si>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</si>
  <si>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</si>
  <si>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</si>
  <si>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</si>
  <si>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</si>
  <si>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</si>
  <si>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</si>
  <si>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</si>
  <si>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</si>
  <si>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</si>
  <si>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</si>
  <si>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</si>
  <si>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</si>
  <si>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</si>
  <si>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</si>
  <si>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</si>
  <si>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</si>
  <si>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</si>
  <si>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</si>
  <si>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</si>
  <si>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</si>
  <si>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</si>
  <si>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</si>
  <si>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</si>
  <si>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</si>
  <si>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</si>
  <si>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</si>
  <si>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</si>
  <si>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</si>
  <si>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</si>
  <si>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</si>
  <si>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</si>
  <si>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</si>
  <si>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</si>
  <si>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</si>
  <si>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</si>
  <si>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</si>
  <si>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</si>
  <si>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</si>
  <si>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</si>
  <si>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</si>
  <si>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</si>
  <si>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</si>
  <si>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</si>
  <si>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</si>
  <si>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</si>
  <si>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</si>
  <si>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</si>
  <si>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</si>
  <si>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</si>
  <si>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</si>
  <si>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</si>
  <si>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</si>
  <si>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</si>
  <si>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</si>
  <si>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</si>
  <si>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</si>
  <si>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</si>
  <si>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</si>
  <si>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</si>
  <si>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</si>
  <si>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</si>
  <si>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</si>
  <si>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</si>
  <si>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</si>
  <si>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</si>
  <si>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</si>
  <si>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</si>
  <si>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</si>
  <si>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</si>
  <si>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</si>
  <si>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</si>
  <si>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</si>
  <si>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</si>
  <si>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</si>
  <si>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</si>
  <si>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</si>
  <si>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</si>
  <si>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</si>
  <si>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</si>
  <si>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</si>
  <si>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</si>
  <si>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</si>
  <si>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</si>
  <si>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</si>
  <si>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</si>
  <si>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</si>
  <si>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</si>
  <si>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</si>
  <si>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</si>
  <si>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</si>
  <si>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</si>
  <si>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</si>
  <si>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</si>
  <si>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</si>
  <si>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</si>
  <si>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</si>
  <si>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</si>
  <si>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</si>
  <si>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</si>
  <si>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</si>
  <si>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</si>
  <si>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</si>
  <si>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</si>
  <si>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</si>
  <si>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</si>
  <si>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</si>
  <si>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</si>
  <si>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</si>
  <si>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</si>
  <si>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</si>
  <si>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</si>
  <si>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</si>
  <si>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</si>
  <si>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</si>
  <si>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</si>
  <si>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</si>
  <si>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</si>
  <si>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</si>
  <si>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</si>
  <si>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</si>
  <si>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</si>
  <si>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</si>
  <si>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</si>
  <si>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</si>
  <si>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</si>
  <si>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</si>
  <si>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</si>
  <si>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</si>
  <si>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</si>
  <si>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</si>
  <si>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</si>
  <si>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</si>
  <si>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</si>
  <si>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</si>
  <si>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</si>
  <si>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</si>
  <si>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</si>
  <si>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</si>
  <si>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</si>
  <si>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</si>
  <si>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</si>
  <si>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</si>
  <si>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</si>
  <si>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</si>
  <si>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</si>
  <si>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</si>
  <si>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</si>
  <si>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</si>
  <si>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</si>
  <si>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</si>
  <si>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</si>
  <si>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</si>
  <si>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</si>
  <si>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</si>
  <si>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</si>
  <si>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</si>
  <si>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</si>
  <si>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</si>
  <si>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</si>
  <si>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</si>
  <si>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</si>
  <si>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</si>
  <si>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</si>
  <si>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</si>
  <si>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</si>
  <si>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</si>
  <si>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</si>
  <si>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</si>
  <si>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</si>
  <si>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</si>
  <si>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</si>
  <si>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</si>
  <si>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</si>
  <si>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</si>
  <si>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</si>
  <si>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</si>
  <si>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</si>
  <si>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</si>
  <si>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</si>
  <si>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</si>
  <si>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</si>
  <si>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</si>
  <si>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</si>
  <si>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</si>
  <si>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</si>
  <si>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</si>
  <si>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</si>
  <si>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</si>
  <si>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</si>
  <si>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</si>
  <si>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</si>
  <si>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</si>
  <si>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</si>
  <si>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</si>
  <si>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</si>
  <si>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</si>
  <si>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</si>
  <si>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</si>
  <si>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</si>
  <si>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</si>
  <si>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</si>
  <si>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</si>
  <si>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</si>
  <si>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</si>
  <si>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</si>
  <si>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</si>
  <si>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</si>
  <si>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</si>
  <si>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</si>
  <si>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</si>
  <si>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</si>
  <si>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</si>
  <si>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</si>
  <si>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</si>
  <si>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</si>
  <si>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</si>
  <si>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</si>
  <si>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</si>
  <si>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</si>
  <si>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</si>
  <si>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</si>
  <si>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</si>
  <si>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</si>
  <si>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</si>
  <si>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</si>
  <si>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</si>
  <si>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</si>
  <si>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</si>
  <si>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</si>
  <si>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</si>
  <si>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</si>
  <si>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</si>
  <si>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</si>
  <si>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</si>
  <si>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</si>
  <si>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</si>
  <si>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</si>
  <si>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</si>
  <si>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</si>
  <si>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</si>
  <si>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</si>
  <si>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</si>
  <si>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</si>
  <si>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</si>
  <si>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</si>
  <si>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</si>
  <si>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</si>
  <si>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</si>
  <si>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</si>
  <si>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</si>
  <si>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</si>
  <si>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</si>
  <si>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</si>
  <si>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</si>
  <si>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</si>
  <si>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</si>
  <si>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</si>
  <si>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</si>
  <si>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</si>
  <si>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</si>
  <si>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</si>
  <si>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</si>
  <si>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</si>
  <si>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</si>
  <si>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</si>
  <si>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</si>
  <si>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</si>
  <si>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</si>
  <si>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</si>
  <si>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</si>
  <si>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</si>
  <si>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</si>
  <si>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</si>
  <si>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</si>
  <si>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</si>
  <si>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</si>
  <si>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</si>
  <si>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</si>
  <si>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</si>
  <si>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</si>
  <si>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</si>
  <si>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</si>
  <si>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</si>
  <si>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</si>
  <si>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</si>
  <si>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</si>
  <si>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</si>
  <si>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</si>
  <si>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</si>
  <si>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</si>
  <si>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</si>
  <si>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</si>
  <si>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</si>
  <si>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</si>
  <si>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</si>
  <si>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</si>
  <si>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</si>
  <si>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</si>
  <si>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</si>
  <si>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</si>
  <si>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</si>
  <si>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</si>
  <si>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</si>
  <si>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</si>
  <si>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</si>
  <si>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</si>
  <si>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</si>
  <si>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</si>
  <si>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</si>
  <si>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</si>
  <si>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</si>
  <si>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</si>
  <si>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</si>
  <si>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</si>
  <si>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</si>
  <si>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</si>
  <si>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</si>
  <si>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</si>
  <si>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</si>
  <si>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</si>
  <si>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</si>
  <si>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</si>
  <si>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</si>
  <si>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</si>
  <si>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</si>
  <si>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</si>
  <si>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</si>
  <si>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</si>
  <si>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</si>
  <si>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</si>
  <si>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</si>
  <si>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</si>
  <si>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</si>
  <si>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</si>
  <si>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</si>
  <si>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</si>
  <si>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</si>
  <si>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</si>
  <si>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</si>
  <si>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</si>
  <si>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</si>
  <si>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</si>
  <si>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</si>
  <si>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</si>
  <si>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</si>
  <si>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</si>
  <si>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</si>
  <si>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</si>
  <si>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</si>
  <si>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</si>
  <si>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</si>
  <si>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</si>
  <si>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</si>
  <si>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</si>
  <si>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</si>
  <si>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</si>
  <si>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</si>
  <si>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</si>
  <si>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</si>
  <si>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</si>
  <si>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</si>
  <si>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</si>
  <si>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</si>
  <si>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</si>
  <si>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</si>
  <si>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</si>
  <si>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</si>
  <si>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</si>
  <si>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</si>
  <si>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</si>
  <si>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</si>
  <si>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</si>
  <si>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</si>
  <si>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</si>
  <si>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</si>
  <si>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</si>
  <si>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</si>
  <si>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</si>
  <si>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</si>
  <si>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</si>
  <si>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</si>
  <si>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</si>
  <si>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</si>
  <si>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</si>
  <si>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</si>
  <si>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</si>
  <si>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</si>
  <si>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</si>
  <si>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</si>
  <si>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</si>
  <si>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</si>
  <si>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</si>
  <si>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</si>
  <si>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</si>
  <si>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</si>
  <si>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</si>
  <si>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</si>
  <si>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</si>
  <si>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</si>
  <si>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</si>
  <si>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</si>
  <si>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</si>
  <si>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</si>
  <si>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</si>
  <si>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</si>
  <si>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</si>
  <si>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</si>
  <si>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</si>
  <si>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</si>
  <si>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</si>
  <si>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</si>
  <si>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</si>
  <si>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</si>
  <si>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</si>
  <si>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</si>
  <si>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</si>
  <si>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</si>
  <si>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</si>
  <si>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</si>
  <si>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</si>
  <si>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</si>
  <si>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</si>
  <si>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</si>
  <si>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</si>
  <si>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</si>
  <si>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</si>
  <si>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</si>
  <si>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</si>
  <si>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</si>
  <si>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</si>
  <si>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</si>
  <si>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</si>
  <si>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</si>
  <si>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</si>
  <si>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</si>
  <si>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</si>
  <si>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</si>
  <si>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</si>
  <si>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</si>
  <si>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</si>
  <si>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</si>
  <si>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</si>
  <si>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</si>
  <si>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</si>
  <si>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</si>
  <si>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</si>
  <si>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</si>
  <si>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</si>
  <si>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</si>
  <si>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</si>
  <si>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</si>
  <si>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</si>
  <si>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</si>
  <si>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</si>
  <si>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</si>
  <si>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</si>
  <si>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</si>
  <si>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</si>
  <si>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</si>
  <si>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</si>
  <si>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</si>
  <si>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</si>
  <si>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</si>
  <si>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</si>
  <si>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</si>
  <si>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</si>
  <si>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</si>
  <si>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</si>
  <si>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</si>
  <si>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</si>
  <si>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</si>
  <si>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</si>
  <si>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</si>
  <si>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</si>
  <si>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</si>
  <si>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</si>
  <si>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</si>
  <si>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</si>
  <si>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</si>
  <si>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</si>
  <si>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</si>
  <si>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</si>
  <si>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</si>
  <si>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</si>
  <si>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</si>
  <si>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</si>
  <si>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</si>
  <si>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</si>
  <si>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</si>
  <si>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</si>
  <si>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</si>
  <si>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</si>
  <si>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</si>
  <si>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</si>
  <si>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</si>
  <si>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</si>
  <si>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</si>
  <si>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</si>
  <si>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</si>
  <si>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</si>
  <si>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</si>
  <si>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</si>
  <si>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</si>
  <si>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</si>
  <si>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</si>
  <si>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</si>
  <si>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</si>
  <si>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</si>
  <si>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</si>
  <si>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</si>
  <si>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</si>
  <si>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</si>
  <si>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</si>
  <si>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</si>
  <si>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</si>
  <si>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</si>
  <si>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</si>
  <si>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</si>
  <si>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</si>
  <si>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</si>
  <si>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</si>
  <si>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</si>
  <si>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</si>
  <si>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</si>
  <si>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</si>
  <si>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</si>
  <si>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</si>
  <si>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</si>
  <si>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</si>
  <si>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</si>
  <si>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</si>
  <si>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</si>
  <si>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</si>
  <si>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</si>
  <si>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</si>
  <si>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</si>
  <si>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</si>
  <si>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</si>
  <si>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</si>
  <si>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</si>
  <si>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</si>
  <si>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</si>
  <si>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</si>
  <si>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</si>
  <si>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</si>
  <si>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</si>
  <si>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</si>
  <si>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</si>
  <si>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</si>
  <si>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</si>
  <si>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</si>
  <si>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</si>
  <si>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</si>
  <si>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</si>
  <si>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</si>
  <si>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</si>
  <si>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</si>
  <si>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</si>
  <si>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</si>
  <si>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</si>
  <si>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</si>
  <si>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</si>
  <si>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</si>
  <si>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</si>
  <si>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</si>
  <si>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</si>
  <si>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</si>
  <si>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</si>
  <si>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</si>
  <si>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</si>
  <si>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</si>
  <si>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</si>
  <si>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</si>
  <si>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</si>
  <si>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</si>
  <si>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</si>
  <si>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</si>
  <si>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</si>
  <si>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</si>
  <si>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</si>
  <si>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</si>
  <si>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</si>
  <si>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</si>
  <si>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</si>
  <si>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</si>
  <si>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</si>
  <si>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</si>
  <si>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</si>
  <si>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</si>
  <si>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</si>
  <si>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</si>
  <si>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</si>
  <si>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</si>
  <si>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</si>
  <si>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</si>
  <si>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</si>
  <si>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</si>
  <si>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</si>
  <si>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</si>
  <si>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</si>
  <si>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</si>
  <si>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</si>
  <si>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</si>
  <si>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</si>
  <si>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</si>
  <si>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</si>
  <si>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</si>
  <si>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</si>
  <si>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</si>
  <si>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</si>
  <si>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</si>
  <si>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</si>
  <si>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</si>
  <si>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</si>
  <si>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</si>
  <si>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</si>
  <si>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</si>
  <si>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</si>
  <si>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</si>
  <si>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</si>
  <si>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</si>
  <si>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</si>
  <si>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</si>
  <si>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</si>
  <si>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</si>
  <si>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</si>
  <si>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</si>
  <si>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</si>
  <si>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</si>
  <si>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</si>
  <si>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</si>
  <si>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</si>
  <si>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</si>
  <si>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</si>
  <si>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</si>
  <si>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</si>
  <si>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</si>
  <si>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</si>
  <si>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</si>
  <si>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</si>
  <si>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</si>
  <si>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</si>
  <si>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</si>
  <si>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</si>
  <si>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</si>
  <si>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</si>
  <si>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</si>
  <si>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</si>
  <si>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</si>
  <si>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</si>
  <si>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</si>
  <si>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</si>
  <si>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</si>
  <si>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</si>
  <si>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</si>
  <si>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</si>
  <si>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</si>
  <si>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</si>
  <si>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</si>
  <si>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</si>
  <si>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</si>
  <si>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</si>
  <si>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</si>
  <si>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</si>
  <si>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</si>
  <si>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</si>
  <si>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</si>
  <si>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</si>
  <si>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</si>
  <si>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</si>
  <si>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</si>
  <si>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</si>
  <si>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</si>
  <si>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</si>
  <si>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</si>
  <si>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</si>
  <si>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</si>
  <si>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</si>
  <si>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</si>
  <si>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</si>
  <si>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</si>
  <si>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</si>
  <si>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</si>
  <si>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</si>
  <si>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</si>
  <si>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</si>
  <si>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</si>
  <si>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</si>
  <si>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</si>
  <si>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</si>
  <si>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</si>
  <si>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</si>
  <si>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</si>
  <si>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</si>
  <si>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</si>
  <si>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</si>
  <si>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</si>
  <si>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</si>
  <si>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</si>
  <si>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</si>
  <si>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</si>
  <si>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</si>
  <si>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</si>
  <si>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</si>
  <si>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</si>
  <si>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</si>
  <si>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</si>
  <si>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</si>
  <si>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</si>
  <si>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</si>
  <si>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</si>
  <si>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</si>
  <si>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</si>
  <si>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</si>
  <si>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</si>
  <si>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</si>
  <si>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</si>
  <si>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</si>
  <si>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</si>
  <si>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</si>
  <si>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</si>
  <si>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</si>
  <si>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</si>
  <si>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</si>
  <si>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</si>
  <si>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</si>
  <si>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</si>
  <si>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</si>
  <si>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</si>
  <si>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</si>
  <si>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</si>
  <si>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</si>
  <si>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</si>
  <si>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</si>
  <si>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</si>
  <si>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</si>
  <si>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</si>
  <si>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</si>
  <si>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</si>
  <si>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</si>
  <si>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</si>
  <si>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</si>
  <si>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</si>
  <si>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</si>
  <si>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</si>
  <si>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</si>
  <si>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</si>
  <si>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</si>
  <si>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</si>
  <si>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</si>
  <si>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</si>
  <si>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</si>
  <si>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</si>
  <si>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</si>
  <si>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</si>
  <si>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</si>
  <si>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</si>
  <si>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</si>
  <si>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</si>
  <si>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</si>
  <si>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</si>
  <si>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</si>
  <si>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</si>
  <si>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</si>
  <si>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</si>
  <si>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</si>
  <si>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</si>
  <si>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</si>
  <si>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</si>
  <si>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</si>
  <si>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</si>
  <si>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</si>
  <si>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</si>
  <si>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</si>
  <si>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</si>
  <si>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</si>
  <si>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</si>
  <si>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</si>
  <si>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</si>
  <si>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</si>
  <si>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</si>
  <si>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</si>
  <si>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</si>
  <si>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</si>
  <si>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</si>
  <si>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</si>
  <si>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</si>
  <si>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</si>
  <si>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</si>
  <si>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</si>
  <si>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</si>
  <si>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</si>
  <si>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</si>
  <si>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</si>
  <si>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</si>
  <si>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</si>
  <si>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</si>
  <si>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</si>
  <si>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</si>
  <si>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</si>
  <si>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</si>
  <si>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</si>
  <si>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</si>
  <si>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</si>
  <si>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</si>
  <si>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</si>
  <si>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</si>
  <si>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</si>
  <si>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</si>
  <si>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</si>
  <si>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</si>
  <si>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</si>
  <si>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</si>
  <si>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</si>
  <si>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</si>
  <si>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</si>
  <si>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</si>
  <si>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</si>
  <si>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</si>
  <si>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</si>
  <si>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</si>
  <si>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</si>
  <si>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</si>
  <si>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</si>
  <si>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</si>
  <si>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5937</t>
  </si>
  <si>
    <t>35</t>
  </si>
  <si>
    <t>36.86</t>
  </si>
  <si>
    <t>2:12.17</t>
  </si>
  <si>
    <t>1:09.44</t>
  </si>
  <si>
    <t>38.69</t>
  </si>
  <si>
    <r>
      <rPr>
        <color rgb="FF000000"/>
        <sz val="9.0"/>
        <u/>
      </rPr>
      <t>49.4</t>
    </r>
    <r>
      <rPr>
        <color rgb="FF000000"/>
        <sz val="9.0"/>
      </rPr>
      <t>5</t>
    </r>
  </si>
  <si>
    <t>16.84</t>
  </si>
  <si>
    <t>14.50</t>
  </si>
  <si>
    <t>30.23</t>
  </si>
  <si>
    <t>18.09</t>
  </si>
  <si>
    <t>48.915</t>
  </si>
  <si>
    <t>32.44</t>
  </si>
  <si>
    <t>1:18.32</t>
  </si>
  <si>
    <t>12.59</t>
  </si>
  <si>
    <t>1:30.86</t>
  </si>
  <si>
    <t>23.93</t>
  </si>
  <si>
    <t>1:59.69</t>
  </si>
  <si>
    <t>2:31.61</t>
  </si>
  <si>
    <t>32.58</t>
  </si>
  <si>
    <t>1:30.75</t>
  </si>
  <si>
    <t>15.80</t>
  </si>
  <si>
    <t>41.60</t>
  </si>
  <si>
    <t>2:17.46</t>
  </si>
  <si>
    <t>1:15.67</t>
  </si>
  <si>
    <t>31.26</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</si>
  <si>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</si>
  <si>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</si>
  <si>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</si>
  <si>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</si>
  <si>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</si>
  <si>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</si>
  <si>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</si>
  <si>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</si>
  <si>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</si>
  <si>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</si>
  <si>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</si>
  <si>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</si>
  <si>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</si>
  <si>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</si>
  <si>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</si>
  <si>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</si>
  <si>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</si>
  <si>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</si>
  <si>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</si>
  <si>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</si>
  <si>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</si>
  <si>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</si>
  <si>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</si>
  <si>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</si>
  <si>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</si>
  <si>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</si>
  <si>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</si>
  <si>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</si>
  <si>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</si>
  <si>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</si>
  <si>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</si>
  <si>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</si>
  <si>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</si>
  <si>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</si>
  <si>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</si>
  <si>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</si>
  <si>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</si>
  <si>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</si>
  <si>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</si>
  <si>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</si>
  <si>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</si>
  <si>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</si>
  <si>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</si>
  <si>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</si>
  <si>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</si>
  <si>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</si>
  <si>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</si>
  <si>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</si>
  <si>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</si>
  <si>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</si>
  <si>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</si>
  <si>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</si>
  <si>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</si>
  <si>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</si>
  <si>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</si>
  <si>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</si>
  <si>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</si>
  <si>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</si>
  <si>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</si>
  <si>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</si>
  <si>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</si>
  <si>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</si>
  <si>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</si>
  <si>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</si>
  <si>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</si>
  <si>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</si>
  <si>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</si>
  <si>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</si>
  <si>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</si>
  <si>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</si>
  <si>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</si>
  <si>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</si>
  <si>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</si>
  <si>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</si>
  <si>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</si>
  <si>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</si>
  <si>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</si>
  <si>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</si>
  <si>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</si>
  <si>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</si>
  <si>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</si>
  <si>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</si>
  <si>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</si>
  <si>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</si>
  <si>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</si>
  <si>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</si>
  <si>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</si>
  <si>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</si>
  <si>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</si>
  <si>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</si>
  <si>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</si>
  <si>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</si>
  <si>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</si>
  <si>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</si>
  <si>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</si>
  <si>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</si>
  <si>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</si>
  <si>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</si>
  <si>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</si>
  <si>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</si>
  <si>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</si>
  <si>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</si>
  <si>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</si>
  <si>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</si>
  <si>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</si>
  <si>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</si>
  <si>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</si>
  <si>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</si>
  <si>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</si>
  <si>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</si>
  <si>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</si>
  <si>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</si>
  <si>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</si>
  <si>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</si>
  <si>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</si>
  <si>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</si>
  <si>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</si>
  <si>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</si>
  <si>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</si>
  <si>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</si>
  <si>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</si>
  <si>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</si>
  <si>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</si>
  <si>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</si>
  <si>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</si>
  <si>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</si>
  <si>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</si>
  <si>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</si>
  <si>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</si>
  <si>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</si>
  <si>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</si>
  <si>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</si>
  <si>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</si>
  <si>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</si>
  <si>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</si>
  <si>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</si>
  <si>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</si>
  <si>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</si>
  <si>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</si>
  <si>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</si>
  <si>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</si>
  <si>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</si>
  <si>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</si>
  <si>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</si>
  <si>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</si>
  <si>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</si>
  <si>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</si>
  <si>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</si>
  <si>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</si>
  <si>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</si>
  <si>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</si>
  <si>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</si>
  <si>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</si>
  <si>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</si>
  <si>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</si>
  <si>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</si>
  <si>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</si>
  <si>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</si>
  <si>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</si>
  <si>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</si>
  <si>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</si>
  <si>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</si>
  <si>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</si>
  <si>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</si>
  <si>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</si>
  <si>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</si>
  <si>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</si>
  <si>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</si>
  <si>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</si>
  <si>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</si>
  <si>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</si>
  <si>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</si>
  <si>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</si>
  <si>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</si>
  <si>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</si>
  <si>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</si>
  <si>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</si>
  <si>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</si>
  <si>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</si>
  <si>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</si>
  <si>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</si>
  <si>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</si>
  <si>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</si>
  <si>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</si>
  <si>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</si>
  <si>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</si>
  <si>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</si>
  <si>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</si>
  <si>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</si>
  <si>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</si>
  <si>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</si>
  <si>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</si>
  <si>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</si>
  <si>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</si>
  <si>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</si>
  <si>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</si>
  <si>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</si>
  <si>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</si>
  <si>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</si>
  <si>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</si>
  <si>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</si>
  <si>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</si>
  <si>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</si>
  <si>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</si>
  <si>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</si>
  <si>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</si>
  <si>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</si>
  <si>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</si>
  <si>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</si>
  <si>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</si>
  <si>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</si>
  <si>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</si>
  <si>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</si>
  <si>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</si>
  <si>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</si>
  <si>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</si>
  <si>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</si>
  <si>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</si>
  <si>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</si>
  <si>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</si>
  <si>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</si>
  <si>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</si>
  <si>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</si>
  <si>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</si>
  <si>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</si>
  <si>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</si>
  <si>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</si>
  <si>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</si>
  <si>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</si>
  <si>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</si>
  <si>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</si>
  <si>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</si>
  <si>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</si>
  <si>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</si>
  <si>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</si>
  <si>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</si>
  <si>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</si>
  <si>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</si>
  <si>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</si>
  <si>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</si>
  <si>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</si>
  <si>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</si>
  <si>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</si>
  <si>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</si>
  <si>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</si>
  <si>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</si>
  <si>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</si>
  <si>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</si>
  <si>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</si>
  <si>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</si>
  <si>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</si>
  <si>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</si>
  <si>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</si>
  <si>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</si>
  <si>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</si>
  <si>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</si>
  <si>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</si>
  <si>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</si>
  <si>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</si>
  <si>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</si>
  <si>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</si>
  <si>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</si>
  <si>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</si>
  <si>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</si>
  <si>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</si>
  <si>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</si>
  <si>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</si>
  <si>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</si>
  <si>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</si>
  <si>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</si>
  <si>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</si>
  <si>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</si>
  <si>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</si>
  <si>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</si>
  <si>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</si>
  <si>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</si>
  <si>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</si>
  <si>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</si>
  <si>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</si>
  <si>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</si>
  <si>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</si>
  <si>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</si>
  <si>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</si>
  <si>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</si>
  <si>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</si>
  <si>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</si>
  <si>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</si>
  <si>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</si>
  <si>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</si>
  <si>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</si>
  <si>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</si>
  <si>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</si>
  <si>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</si>
  <si>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</si>
  <si>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</si>
  <si>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</si>
  <si>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</si>
  <si>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</si>
  <si>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</si>
  <si>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</si>
  <si>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</si>
  <si>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</si>
  <si>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</si>
  <si>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</si>
  <si>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</si>
  <si>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</si>
  <si>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</si>
  <si>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</si>
  <si>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</si>
  <si>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</si>
  <si>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</si>
  <si>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</si>
  <si>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</si>
  <si>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</si>
  <si>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</si>
  <si>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</si>
  <si>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</si>
  <si>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</si>
  <si>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</si>
  <si>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</si>
  <si>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</si>
  <si>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</si>
  <si>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</si>
  <si>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</si>
  <si>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</si>
  <si>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</si>
  <si>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</si>
  <si>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</si>
  <si>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</si>
  <si>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</si>
  <si>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</si>
  <si>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</si>
  <si>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</si>
  <si>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</si>
  <si>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</si>
  <si>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</si>
  <si>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</si>
  <si>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</si>
  <si>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</si>
  <si>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</si>
  <si>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</si>
  <si>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</si>
  <si>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</si>
  <si>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</si>
  <si>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</si>
  <si>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</si>
  <si>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</si>
  <si>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</si>
  <si>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</si>
  <si>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</si>
  <si>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</si>
  <si>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</si>
  <si>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</si>
  <si>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</si>
  <si>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</si>
  <si>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</si>
  <si>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</si>
  <si>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</si>
  <si>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</si>
  <si>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</si>
  <si>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</si>
  <si>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</si>
  <si>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</si>
  <si>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</si>
  <si>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</si>
  <si>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</si>
  <si>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</si>
  <si>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</si>
  <si>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</si>
  <si>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</si>
  <si>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</si>
  <si>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</si>
  <si>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</si>
  <si>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</si>
  <si>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</si>
  <si>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</si>
  <si>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</si>
  <si>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</si>
  <si>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</si>
  <si>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</si>
  <si>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</si>
  <si>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</si>
  <si>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</si>
  <si>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</si>
  <si>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</si>
  <si>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</si>
  <si>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</si>
  <si>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</si>
  <si>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</si>
  <si>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</si>
  <si>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</si>
  <si>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</si>
  <si>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</si>
  <si>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</si>
  <si>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</si>
  <si>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</si>
  <si>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</si>
  <si>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</si>
  <si>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</si>
  <si>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</si>
  <si>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</si>
  <si>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</si>
  <si>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</si>
  <si>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</si>
  <si>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</si>
  <si>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</si>
  <si>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</si>
  <si>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</si>
  <si>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</si>
  <si>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</si>
  <si>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</si>
  <si>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</si>
  <si>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</si>
  <si>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</si>
  <si>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</si>
  <si>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</si>
  <si>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</si>
  <si>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</si>
  <si>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</si>
  <si>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</si>
  <si>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</si>
  <si>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</si>
  <si>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</si>
  <si>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</si>
  <si>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</si>
  <si>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</si>
  <si>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</si>
  <si>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</si>
  <si>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</si>
  <si>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</si>
  <si>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</si>
  <si>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</si>
  <si>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</si>
  <si>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</si>
  <si>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</si>
  <si>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</si>
  <si>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</si>
  <si>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</si>
  <si>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</si>
  <si>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</si>
  <si>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</si>
  <si>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</si>
  <si>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</si>
  <si>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</si>
  <si>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</si>
  <si>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</si>
  <si>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</si>
  <si>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</si>
  <si>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</si>
  <si>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</si>
  <si>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</si>
  <si>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</si>
  <si>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</si>
  <si>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</si>
  <si>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</si>
  <si>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</si>
  <si>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</si>
  <si>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</si>
  <si>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</si>
  <si>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</si>
  <si>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</si>
  <si>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</si>
  <si>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</si>
  <si>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</si>
  <si>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</si>
  <si>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</si>
  <si>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</si>
  <si>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</si>
  <si>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</si>
  <si>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</si>
  <si>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</si>
  <si>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</si>
  <si>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</si>
  <si>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</si>
  <si>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</si>
  <si>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</si>
  <si>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</si>
  <si>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</si>
  <si>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</si>
  <si>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</si>
  <si>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</si>
  <si>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</si>
  <si>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</si>
  <si>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</si>
  <si>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</si>
  <si>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</si>
  <si>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</si>
  <si>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</si>
  <si>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</si>
  <si>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</si>
  <si>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</si>
  <si>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</si>
  <si>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</si>
  <si>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</si>
  <si>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</si>
  <si>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</si>
  <si>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</si>
  <si>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</si>
  <si>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</si>
  <si>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</si>
  <si>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</si>
  <si>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</si>
  <si>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</si>
  <si>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</si>
  <si>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</si>
  <si>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</si>
  <si>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</si>
  <si>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</si>
  <si>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</si>
  <si>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</si>
  <si>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</si>
  <si>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</si>
  <si>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</si>
  <si>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</si>
  <si>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</si>
  <si>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</si>
  <si>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</si>
  <si>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</si>
  <si>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</si>
  <si>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</si>
  <si>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</si>
  <si>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</si>
  <si>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</si>
  <si>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</si>
  <si>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</si>
  <si>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</si>
  <si>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</si>
  <si>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</si>
  <si>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</si>
  <si>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</si>
  <si>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</si>
  <si>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</si>
  <si>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</si>
  <si>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</si>
  <si>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</si>
  <si>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</si>
  <si>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</si>
  <si>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</si>
  <si>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</si>
  <si>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</si>
  <si>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</si>
  <si>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</si>
  <si>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</si>
  <si>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</si>
  <si>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</si>
  <si>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</si>
  <si>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</si>
  <si>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</si>
  <si>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</si>
  <si>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</si>
  <si>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</si>
  <si>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</si>
  <si>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</si>
  <si>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</si>
  <si>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</si>
  <si>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</si>
  <si>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</si>
  <si>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</si>
  <si>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</si>
  <si>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</si>
  <si>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</si>
  <si>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</si>
  <si>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</si>
  <si>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</si>
  <si>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</si>
  <si>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</si>
  <si>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</si>
  <si>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</si>
  <si>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</si>
  <si>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</si>
  <si>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</si>
  <si>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</si>
  <si>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</si>
  <si>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</si>
  <si>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</si>
  <si>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</si>
  <si>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</si>
  <si>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</si>
  <si>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</si>
  <si>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</si>
  <si>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</si>
  <si>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</si>
  <si>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</si>
  <si>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</si>
  <si>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</si>
  <si>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</si>
  <si>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</si>
  <si>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</si>
  <si>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</si>
  <si>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</si>
  <si>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</si>
  <si>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</si>
  <si>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</si>
  <si>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</si>
  <si>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</si>
  <si>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</si>
  <si>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</si>
  <si>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</si>
  <si>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</si>
  <si>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</si>
  <si>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</si>
  <si>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</si>
  <si>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</si>
  <si>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</si>
  <si>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</si>
  <si>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</si>
  <si>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</si>
  <si>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</si>
  <si>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</si>
  <si>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</si>
  <si>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</si>
  <si>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</si>
  <si>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</si>
  <si>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</si>
  <si>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</si>
  <si>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</si>
  <si>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</si>
  <si>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</si>
  <si>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</si>
  <si>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</si>
  <si>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</si>
  <si>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</si>
  <si>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</si>
  <si>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</si>
  <si>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</si>
  <si>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</si>
  <si>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</si>
  <si>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</si>
  <si>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</si>
  <si>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</si>
  <si>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</si>
  <si>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</si>
  <si>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</si>
  <si>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</si>
  <si>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</si>
  <si>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</si>
  <si>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</si>
  <si>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</si>
  <si>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</si>
  <si>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</si>
  <si>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</si>
  <si>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</si>
  <si>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</si>
  <si>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</si>
  <si>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</si>
  <si>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</si>
  <si>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</si>
  <si>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</si>
  <si>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</si>
  <si>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</si>
  <si>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</si>
  <si>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</si>
  <si>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</si>
  <si>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</si>
  <si>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</si>
  <si>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</si>
  <si>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</si>
  <si>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</si>
  <si>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</si>
  <si>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</si>
  <si>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</si>
  <si>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</si>
  <si>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</si>
  <si>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</si>
  <si>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</si>
  <si>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</si>
  <si>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</si>
  <si>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</si>
  <si>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</si>
  <si>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</si>
  <si>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</si>
  <si>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</si>
  <si>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</si>
  <si>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</si>
  <si>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</si>
  <si>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</si>
  <si>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</si>
  <si>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</si>
  <si>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</si>
  <si>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</si>
  <si>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</si>
  <si>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</si>
  <si>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</si>
  <si>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</si>
  <si>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</si>
  <si>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</si>
  <si>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</si>
  <si>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</si>
  <si>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</si>
  <si>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</si>
  <si>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</si>
  <si>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</si>
  <si>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</si>
  <si>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</si>
  <si>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</si>
  <si>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</si>
  <si>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</si>
  <si>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</si>
  <si>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</si>
  <si>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</si>
  <si>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</si>
  <si>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</si>
  <si>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</si>
  <si>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</si>
  <si>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</si>
  <si>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</si>
  <si>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</si>
  <si>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</si>
  <si>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</si>
  <si>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</si>
  <si>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</si>
  <si>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</si>
  <si>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</si>
  <si>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</si>
  <si>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</si>
  <si>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</si>
  <si>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</si>
  <si>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</si>
  <si>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</si>
  <si>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</si>
  <si>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</si>
  <si>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</si>
  <si>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</si>
  <si>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</si>
  <si>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</si>
  <si>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</si>
  <si>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</si>
  <si>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</si>
  <si>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</si>
  <si>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</si>
  <si>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</si>
  <si>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</si>
  <si>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</si>
  <si>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</si>
  <si>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</si>
  <si>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</si>
  <si>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</si>
  <si>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</si>
  <si>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</si>
  <si>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</si>
  <si>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</si>
  <si>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</si>
  <si>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</si>
  <si>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</si>
  <si>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</si>
  <si>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</si>
  <si>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</si>
  <si>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</si>
  <si>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</si>
  <si>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</si>
  <si>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</si>
  <si>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</si>
  <si>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</si>
  <si>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</si>
  <si>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</si>
  <si>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</si>
  <si>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</si>
  <si>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</si>
  <si>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</si>
  <si>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</si>
  <si>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</si>
  <si>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</si>
  <si>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</si>
  <si>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</si>
  <si>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</si>
  <si>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</si>
  <si>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</si>
  <si>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</si>
  <si>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</si>
  <si>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</si>
  <si>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</si>
  <si>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</si>
  <si>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</si>
  <si>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</si>
  <si>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</si>
  <si>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</si>
  <si>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</si>
  <si>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</si>
  <si>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</si>
  <si>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</si>
  <si>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</si>
  <si>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</si>
  <si>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</si>
  <si>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</si>
  <si>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</si>
  <si>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</si>
  <si>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</si>
  <si>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</si>
  <si>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</si>
  <si>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</si>
  <si>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</si>
  <si>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</si>
  <si>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</si>
  <si>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</si>
  <si>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</si>
  <si>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</si>
  <si>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</si>
  <si>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</si>
  <si>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</si>
  <si>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</si>
  <si>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</si>
  <si>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</si>
  <si>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</si>
  <si>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</si>
  <si>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</si>
  <si>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</si>
  <si>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</si>
  <si>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</si>
  <si>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</si>
  <si>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</si>
  <si>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</si>
  <si>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</si>
  <si>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</si>
  <si>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</si>
  <si>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</si>
  <si>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</si>
  <si>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</si>
  <si>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</si>
  <si>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</si>
  <si>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</si>
  <si>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</si>
  <si>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</si>
  <si>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</si>
  <si>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</si>
  <si>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</si>
  <si>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</si>
  <si>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</si>
  <si>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</si>
  <si>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</si>
  <si>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</si>
  <si>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</si>
  <si>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</si>
  <si>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</si>
  <si>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</si>
  <si>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</si>
  <si>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</si>
  <si>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</si>
  <si>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</si>
  <si>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</si>
  <si>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</si>
  <si>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</si>
  <si>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</si>
  <si>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</si>
  <si>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</si>
  <si>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</si>
  <si>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</si>
  <si>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</si>
  <si>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</si>
  <si>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</si>
  <si>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</si>
  <si>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</si>
  <si>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</si>
  <si>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</si>
  <si>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</si>
  <si>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</si>
  <si>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</si>
  <si>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</si>
  <si>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</si>
  <si>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</si>
  <si>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</si>
  <si>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</si>
  <si>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</si>
  <si>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</si>
  <si>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</si>
  <si>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</si>
  <si>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</si>
  <si>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</si>
  <si>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</si>
  <si>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</si>
  <si>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</si>
  <si>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</si>
  <si>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</si>
  <si>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</si>
  <si>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</si>
  <si>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</si>
  <si>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</si>
  <si>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</si>
  <si>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</si>
  <si>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</si>
  <si>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</si>
  <si>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</si>
  <si>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</si>
  <si>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</si>
  <si>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</si>
  <si>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</si>
  <si>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</si>
  <si>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</si>
  <si>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</si>
  <si>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</si>
  <si>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</si>
  <si>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</si>
  <si>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</si>
  <si>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</si>
  <si>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</si>
  <si>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</si>
  <si>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</si>
  <si>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</si>
  <si>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</si>
  <si>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</si>
  <si>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</si>
  <si>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</si>
  <si>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</si>
  <si>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</si>
  <si>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</si>
  <si>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</si>
  <si>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</si>
  <si>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</si>
  <si>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</si>
  <si>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</si>
  <si>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</si>
  <si>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</si>
  <si>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</si>
  <si>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</si>
  <si>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</si>
  <si>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</si>
  <si>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</si>
  <si>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</si>
  <si>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</si>
  <si>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</si>
  <si>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</si>
  <si>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</si>
  <si>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</si>
  <si>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</si>
  <si>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</si>
  <si>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</si>
  <si>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</si>
  <si>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</si>
  <si>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</si>
  <si>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</si>
  <si>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</si>
  <si>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</si>
  <si>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</si>
  <si>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</si>
  <si>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</si>
  <si>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</si>
  <si>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</si>
  <si>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</si>
  <si>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</si>
  <si>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</si>
  <si>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</si>
  <si>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</si>
  <si>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</si>
  <si>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</si>
  <si>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</si>
  <si>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</si>
  <si>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</si>
  <si>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</si>
  <si>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</si>
  <si>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</si>
  <si>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</si>
  <si>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</si>
  <si>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</si>
  <si>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</si>
  <si>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</si>
  <si>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</si>
  <si>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</si>
  <si>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</si>
  <si>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</si>
  <si>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</si>
  <si>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</si>
  <si>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</si>
  <si>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</si>
  <si>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</si>
  <si>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</si>
  <si>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</si>
  <si>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</si>
  <si>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</si>
  <si>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</si>
  <si>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</si>
  <si>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</si>
  <si>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</si>
  <si>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</si>
  <si>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</si>
  <si>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</si>
  <si>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</si>
  <si>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</si>
  <si>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</si>
  <si>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</si>
  <si>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</si>
  <si>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</si>
  <si>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</si>
  <si>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</si>
  <si>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</si>
  <si>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</si>
  <si>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</si>
  <si>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</si>
  <si>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</si>
  <si>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</si>
  <si>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</si>
  <si>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</si>
  <si>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</si>
  <si>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</si>
  <si>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</si>
  <si>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</si>
  <si>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</si>
  <si>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</si>
  <si>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</si>
  <si>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</si>
  <si>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</si>
  <si>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</si>
  <si>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</si>
  <si>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</si>
  <si>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</si>
  <si>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</si>
  <si>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</si>
  <si>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</si>
  <si>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</si>
  <si>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</si>
  <si>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</si>
  <si>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</si>
  <si>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</si>
  <si>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</si>
  <si>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</si>
  <si>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</si>
  <si>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</si>
  <si>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</si>
  <si>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</si>
  <si>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</si>
  <si>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</si>
  <si>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</si>
  <si>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</si>
  <si>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</si>
  <si>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</si>
  <si>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</si>
  <si>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</si>
  <si>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</si>
  <si>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</si>
  <si>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</si>
  <si>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</si>
  <si>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</si>
  <si>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</si>
  <si>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</si>
  <si>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</si>
  <si>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</si>
  <si>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</si>
  <si>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</si>
  <si>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</si>
  <si>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</si>
  <si>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</si>
  <si>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</si>
  <si>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</si>
  <si>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</si>
  <si>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</si>
  <si>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</si>
  <si>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</si>
  <si>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</si>
  <si>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</si>
  <si>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</si>
  <si>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</si>
  <si>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</si>
  <si>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</si>
  <si>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</si>
  <si>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</si>
  <si>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</si>
  <si>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</si>
  <si>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</si>
  <si>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</si>
  <si>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</si>
  <si>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</si>
  <si>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</si>
  <si>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</si>
  <si>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</si>
  <si>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</si>
  <si>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</si>
  <si>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</si>
  <si>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</si>
  <si>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</si>
  <si>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</si>
  <si>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</si>
  <si>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</si>
  <si>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</si>
  <si>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</si>
  <si>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</si>
  <si>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</si>
  <si>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</si>
  <si>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</si>
  <si>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</si>
  <si>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</si>
  <si>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</si>
  <si>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</si>
  <si>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</si>
  <si>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</si>
  <si>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</si>
  <si>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</si>
  <si>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</si>
  <si>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</si>
  <si>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</si>
  <si>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</si>
  <si>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</si>
  <si>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</si>
  <si>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</si>
  <si>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</si>
  <si>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</si>
  <si>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</si>
  <si>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</si>
  <si>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</si>
  <si>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</si>
  <si>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</si>
  <si>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</si>
  <si>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</si>
  <si>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</si>
  <si>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</si>
  <si>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</si>
  <si>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</si>
  <si>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</si>
  <si>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</si>
  <si>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</si>
  <si>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</si>
  <si>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</si>
  <si>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</si>
  <si>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</si>
  <si>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</si>
  <si>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</si>
  <si>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</si>
  <si>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</si>
  <si>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</si>
  <si>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</si>
  <si>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</si>
  <si>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</si>
  <si>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</si>
  <si>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</si>
  <si>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</si>
  <si>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</si>
  <si>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</si>
  <si>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</si>
  <si>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</si>
  <si>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</si>
  <si>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</si>
  <si>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</si>
  <si>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</si>
  <si>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</si>
  <si>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</si>
  <si>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</si>
  <si>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</si>
  <si>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</si>
  <si>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</si>
  <si>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</si>
  <si>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</si>
  <si>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</si>
  <si>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</si>
  <si>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</si>
  <si>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</si>
  <si>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</si>
  <si>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</si>
  <si>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</si>
  <si>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</si>
  <si>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</si>
  <si>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</si>
  <si>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</si>
  <si>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</si>
  <si>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</si>
  <si>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</si>
  <si>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</si>
  <si>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</si>
  <si>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</si>
  <si>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</si>
  <si>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</si>
  <si>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</si>
  <si>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</si>
  <si>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</si>
  <si>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</si>
  <si>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</si>
  <si>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</si>
  <si>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</si>
  <si>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</si>
  <si>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</si>
  <si>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</si>
  <si>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</si>
  <si>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</si>
  <si>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</si>
  <si>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</si>
  <si>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</si>
  <si>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</si>
  <si>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</si>
  <si>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</si>
  <si>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</si>
  <si>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</si>
  <si>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</si>
  <si>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</si>
  <si>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</si>
  <si>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</si>
  <si>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</si>
  <si>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</si>
  <si>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</si>
  <si>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</si>
  <si>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</si>
  <si>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</si>
  <si>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</si>
  <si>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</si>
  <si>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</si>
  <si>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</si>
  <si>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</si>
  <si>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</si>
  <si>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</si>
  <si>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</si>
  <si>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</si>
  <si>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</si>
  <si>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</si>
  <si>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</si>
  <si>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</si>
  <si>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</si>
  <si>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</si>
  <si>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</si>
  <si>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</si>
  <si>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</si>
  <si>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</si>
  <si>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</si>
  <si>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</si>
  <si>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</si>
  <si>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</si>
  <si>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</si>
  <si>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</si>
  <si>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</si>
  <si>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</si>
  <si>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</si>
  <si>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</si>
  <si>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</si>
  <si>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</si>
  <si>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</si>
  <si>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</si>
  <si>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</si>
  <si>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</si>
  <si>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</si>
  <si>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</si>
  <si>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</si>
  <si>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</si>
  <si>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</si>
  <si>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</si>
  <si>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</si>
  <si>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</si>
  <si>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</si>
  <si>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</si>
  <si>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</si>
  <si>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</si>
  <si>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</si>
  <si>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</si>
  <si>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</si>
  <si>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</si>
  <si>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</si>
  <si>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</si>
  <si>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</si>
  <si>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</si>
  <si>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</si>
  <si>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</si>
  <si>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</si>
  <si>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</si>
  <si>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</si>
  <si>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</si>
  <si>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</si>
  <si>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</si>
  <si>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</si>
  <si>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</si>
  <si>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</si>
  <si>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</si>
  <si>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</si>
  <si>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</si>
  <si>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</si>
  <si>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</si>
  <si>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</si>
  <si>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</si>
  <si>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</si>
  <si>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</si>
  <si>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</si>
  <si>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</si>
  <si>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</si>
  <si>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</si>
  <si>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</si>
  <si>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</si>
  <si>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</si>
  <si>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</si>
  <si>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</si>
  <si>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</si>
  <si>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</si>
  <si>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</si>
  <si>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</si>
  <si>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</si>
  <si>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</si>
  <si>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</si>
  <si>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</si>
  <si>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</si>
  <si>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</si>
  <si>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</si>
  <si>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</si>
  <si>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</si>
  <si>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</si>
  <si>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</si>
  <si>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</si>
  <si>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</si>
  <si>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</si>
  <si>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</si>
  <si>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</si>
  <si>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</si>
  <si>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</si>
  <si>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</si>
  <si>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</si>
  <si>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</si>
  <si>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</si>
  <si>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</si>
  <si>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</si>
  <si>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</si>
  <si>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</si>
  <si>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</si>
  <si>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</si>
  <si>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</si>
  <si>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</si>
  <si>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</si>
  <si>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</si>
  <si>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</si>
  <si>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</si>
  <si>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</si>
  <si>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</si>
  <si>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</si>
  <si>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</si>
  <si>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</si>
  <si>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</si>
  <si>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</si>
  <si>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</si>
  <si>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</si>
  <si>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</si>
  <si>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</si>
  <si>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</si>
  <si>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</si>
  <si>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</si>
  <si>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</si>
  <si>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</si>
  <si>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</si>
  <si>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</si>
  <si>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</si>
  <si>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</si>
  <si>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</si>
  <si>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</si>
  <si>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</si>
  <si>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</si>
  <si>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</si>
  <si>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</si>
  <si>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</si>
  <si>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</si>
  <si>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</si>
  <si>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</si>
  <si>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</si>
  <si>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</si>
  <si>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</si>
  <si>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</si>
  <si>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</si>
  <si>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</si>
  <si>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</si>
  <si>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</si>
  <si>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</si>
  <si>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</si>
  <si>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</si>
  <si>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</si>
  <si>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</si>
  <si>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</si>
  <si>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</si>
  <si>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</si>
  <si>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</si>
  <si>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</si>
  <si>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</si>
  <si>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</si>
  <si>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</si>
  <si>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</si>
  <si>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</si>
  <si>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</si>
  <si>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</si>
  <si>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</si>
  <si>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</si>
  <si>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</si>
  <si>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</si>
  <si>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</si>
  <si>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</si>
  <si>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</si>
  <si>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</si>
  <si>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</si>
  <si>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</si>
  <si>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</si>
  <si>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</si>
  <si>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</si>
  <si>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</si>
  <si>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</si>
  <si>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</si>
  <si>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</si>
  <si>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</si>
  <si>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</si>
  <si>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</si>
  <si>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</si>
  <si>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</si>
  <si>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</si>
  <si>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</si>
  <si>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</si>
  <si>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</si>
  <si>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</si>
  <si>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</si>
  <si>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</si>
  <si>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</si>
  <si>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</si>
  <si>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</si>
  <si>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</si>
  <si>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</si>
  <si>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</si>
  <si>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</si>
  <si>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</si>
  <si>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</si>
  <si>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</si>
  <si>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</si>
  <si>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</si>
  <si>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</si>
  <si>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</si>
  <si>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</si>
  <si>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</si>
  <si>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</si>
  <si>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</si>
  <si>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</si>
  <si>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</si>
  <si>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</si>
  <si>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</si>
  <si>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</si>
  <si>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</si>
  <si>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</si>
  <si>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</si>
  <si>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</si>
  <si>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</si>
  <si>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</si>
  <si>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</si>
  <si>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</si>
  <si>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</si>
  <si>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</si>
  <si>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</si>
  <si>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</si>
  <si>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</si>
  <si>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</si>
  <si>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</si>
  <si>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</si>
  <si>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</si>
  <si>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</si>
  <si>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</si>
  <si>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</si>
  <si>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</si>
  <si>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</si>
  <si>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</si>
  <si>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</si>
  <si>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</si>
  <si>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</si>
  <si>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</si>
  <si>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</si>
  <si>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</si>
  <si>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</si>
  <si>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</si>
  <si>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</si>
  <si>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</si>
  <si>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</si>
  <si>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</si>
  <si>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</si>
  <si>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</si>
  <si>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</si>
  <si>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</si>
  <si>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</si>
  <si>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</si>
  <si>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</si>
  <si>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</si>
  <si>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</si>
  <si>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</si>
  <si>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</si>
  <si>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</si>
  <si>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</si>
  <si>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</si>
  <si>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</si>
  <si>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</si>
  <si>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</si>
  <si>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</si>
  <si>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</si>
  <si>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</si>
  <si>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</si>
  <si>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</si>
  <si>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</si>
  <si>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</si>
  <si>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</si>
  <si>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</si>
  <si>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</si>
  <si>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</si>
  <si>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</si>
  <si>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</si>
  <si>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</si>
  <si>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</si>
  <si>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</si>
  <si>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</si>
  <si>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</si>
  <si>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</si>
  <si>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</si>
  <si>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</si>
  <si>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</si>
  <si>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</si>
  <si>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</si>
  <si>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</si>
  <si>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</si>
  <si>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</si>
  <si>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</si>
  <si>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</si>
  <si>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</si>
  <si>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</si>
  <si>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</si>
  <si>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</si>
  <si>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</si>
  <si>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</si>
  <si>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</si>
  <si>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</si>
  <si>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</si>
  <si>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</si>
  <si>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</si>
  <si>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</si>
  <si>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</si>
  <si>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</si>
  <si>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</si>
  <si>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</si>
  <si>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</si>
  <si>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</si>
  <si>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</si>
  <si>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</si>
  <si>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</si>
  <si>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</si>
  <si>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</si>
  <si>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</si>
  <si>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</si>
  <si>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</si>
  <si>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</si>
  <si>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</si>
  <si>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</si>
  <si>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</si>
  <si>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</si>
  <si>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</si>
  <si>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</si>
  <si>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</si>
  <si>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</si>
  <si>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</si>
  <si>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</si>
  <si>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</si>
  <si>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</si>
  <si>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</si>
  <si>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</si>
  <si>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</si>
  <si>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</si>
  <si>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</si>
  <si>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</si>
  <si>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</si>
  <si>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</si>
  <si>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</si>
  <si>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</si>
  <si>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</si>
  <si>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</si>
  <si>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</si>
  <si>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</si>
  <si>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</si>
  <si>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</si>
  <si>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</si>
  <si>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</si>
  <si>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</si>
  <si>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</si>
  <si>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</si>
  <si>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</si>
  <si>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</si>
  <si>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</si>
  <si>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</si>
  <si>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</si>
  <si>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</si>
  <si>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</si>
  <si>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</si>
  <si>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</si>
  <si>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</si>
  <si>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</si>
  <si>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</si>
  <si>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</si>
  <si>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</si>
  <si>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</si>
  <si>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</si>
  <si>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</si>
  <si>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</si>
  <si>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</si>
  <si>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</si>
  <si>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</si>
  <si>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</si>
  <si>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</si>
  <si>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</si>
  <si>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</si>
  <si>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</si>
  <si>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</si>
  <si>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</si>
  <si>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</si>
  <si>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</si>
  <si>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</si>
  <si>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</si>
  <si>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</si>
  <si>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</si>
  <si>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</si>
  <si>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</si>
  <si>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</si>
  <si>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</si>
  <si>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</si>
  <si>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</si>
  <si>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</si>
  <si>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</si>
  <si>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</si>
  <si>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</si>
  <si>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</si>
  <si>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</si>
  <si>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</si>
  <si>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</si>
  <si>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</si>
  <si>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</si>
  <si>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</si>
  <si>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</si>
  <si>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</si>
  <si>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</si>
  <si>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</si>
  <si>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</si>
  <si>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</si>
  <si>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</si>
  <si>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</si>
  <si>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</si>
  <si>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</si>
  <si>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</si>
  <si>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</si>
  <si>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</si>
  <si>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</si>
  <si>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</si>
  <si>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</si>
  <si>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</si>
  <si>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</si>
  <si>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</si>
  <si>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</si>
  <si>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</si>
  <si>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</si>
  <si>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</si>
  <si>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</si>
  <si>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</si>
  <si>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</si>
  <si>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</si>
  <si>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</si>
  <si>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</si>
  <si>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</si>
  <si>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</si>
  <si>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</si>
  <si>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</si>
  <si>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</si>
  <si>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</si>
  <si>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</si>
  <si>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</si>
  <si>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</si>
  <si>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</si>
  <si>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</si>
  <si>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</si>
  <si>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</si>
  <si>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</si>
  <si>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</si>
  <si>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</si>
  <si>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</si>
  <si>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</si>
  <si>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</si>
  <si>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</si>
  <si>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</si>
  <si>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</si>
  <si>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</si>
  <si>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</si>
  <si>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</si>
  <si>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</si>
  <si>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</si>
  <si>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</si>
  <si>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</si>
  <si>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</si>
  <si>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</si>
  <si>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</si>
  <si>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</si>
  <si>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</si>
  <si>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</si>
  <si>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</si>
  <si>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</si>
  <si>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</si>
  <si>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</si>
  <si>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</si>
  <si>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</si>
  <si>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</si>
  <si>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</si>
  <si>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</si>
  <si>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</si>
  <si>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</si>
  <si>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</si>
  <si>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</si>
  <si>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</si>
  <si>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</si>
  <si>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</si>
  <si>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</si>
  <si>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</si>
  <si>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</si>
  <si>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</si>
  <si>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</si>
  <si>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</si>
  <si>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</si>
  <si>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</si>
  <si>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</si>
  <si>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</si>
  <si>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</si>
  <si>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</si>
  <si>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</si>
  <si>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</si>
  <si>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</si>
  <si>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</si>
  <si>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</si>
  <si>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</si>
  <si>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</si>
  <si>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</si>
  <si>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</si>
  <si>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</si>
  <si>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</si>
  <si>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</si>
  <si>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</si>
  <si>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</si>
  <si>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</si>
  <si>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</si>
  <si>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</si>
  <si>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</si>
  <si>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</si>
  <si>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</si>
  <si>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</si>
  <si>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</si>
  <si>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</si>
  <si>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</si>
  <si>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</si>
  <si>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</si>
  <si>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</si>
  <si>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</si>
  <si>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</si>
  <si>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</si>
  <si>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</si>
  <si>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</si>
  <si>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</si>
  <si>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</si>
  <si>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</si>
  <si>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</si>
  <si>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</si>
  <si>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</si>
  <si>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</si>
  <si>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</si>
  <si>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</si>
  <si>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</si>
  <si>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</si>
  <si>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</si>
  <si>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</si>
  <si>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</si>
  <si>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</si>
  <si>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</si>
  <si>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</si>
  <si>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</si>
  <si>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</si>
  <si>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</si>
  <si>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</si>
  <si>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</si>
  <si>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</si>
  <si>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</si>
  <si>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</si>
  <si>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</si>
  <si>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</si>
  <si>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</si>
  <si>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</si>
  <si>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</si>
  <si>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</si>
  <si>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</si>
  <si>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</si>
  <si>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</si>
  <si>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</si>
  <si>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</si>
  <si>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</si>
  <si>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</si>
  <si>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</si>
  <si>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</si>
  <si>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</si>
  <si>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</si>
  <si>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</si>
  <si>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</si>
  <si>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</si>
  <si>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</si>
  <si>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</si>
  <si>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</si>
  <si>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</si>
  <si>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</si>
  <si>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</si>
  <si>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</si>
  <si>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</si>
  <si>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</si>
  <si>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</si>
  <si>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</si>
  <si>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</si>
  <si>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</si>
  <si>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</si>
  <si>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</si>
  <si>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</si>
  <si>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</si>
  <si>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</si>
  <si>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</si>
  <si>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</si>
  <si>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</si>
  <si>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</si>
  <si>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</si>
  <si>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</si>
  <si>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</si>
  <si>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</si>
  <si>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</si>
  <si>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</si>
  <si>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</si>
  <si>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</si>
  <si>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</si>
  <si>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</si>
  <si>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</si>
  <si>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</si>
  <si>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</si>
  <si>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</si>
  <si>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</si>
  <si>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</si>
  <si>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</si>
  <si>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</si>
  <si>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</si>
  <si>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</si>
  <si>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</si>
  <si>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</si>
  <si>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</si>
  <si>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</si>
  <si>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</si>
  <si>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</si>
  <si>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</si>
  <si>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</si>
  <si>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</si>
  <si>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</si>
  <si>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</si>
  <si>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</si>
  <si>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</si>
  <si>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</si>
  <si>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</si>
  <si>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</si>
  <si>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</si>
  <si>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</si>
  <si>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</si>
  <si>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</si>
  <si>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</si>
  <si>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</si>
  <si>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</si>
  <si>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</si>
  <si>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</si>
  <si>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</si>
  <si>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</si>
  <si>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</si>
  <si>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</si>
  <si>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</si>
  <si>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</si>
  <si>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</si>
  <si>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</si>
  <si>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</si>
  <si>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</si>
  <si>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</si>
  <si>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</si>
  <si>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</si>
  <si>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</si>
  <si>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</si>
  <si>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</si>
  <si>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</si>
  <si>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</si>
  <si>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</si>
  <si>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</si>
  <si>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</si>
  <si>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</si>
  <si>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</si>
  <si>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</si>
  <si>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</si>
  <si>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</si>
  <si>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</si>
  <si>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</si>
  <si>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</si>
  <si>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</si>
  <si>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</si>
  <si>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</si>
  <si>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</si>
  <si>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</si>
  <si>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</si>
  <si>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</si>
  <si>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</si>
  <si>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</si>
  <si>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</si>
  <si>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</si>
  <si>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</si>
  <si>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</si>
  <si>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</si>
  <si>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</si>
  <si>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</si>
  <si>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</si>
  <si>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</si>
  <si>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</si>
  <si>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</si>
  <si>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</si>
  <si>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</si>
  <si>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</si>
  <si>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</si>
  <si>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</si>
  <si>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</si>
  <si>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</si>
  <si>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</si>
  <si>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</si>
  <si>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</si>
  <si>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</si>
  <si>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</si>
  <si>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</si>
  <si>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</si>
  <si>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</si>
  <si>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</si>
  <si>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</si>
  <si>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</si>
  <si>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</si>
  <si>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</si>
  <si>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</si>
  <si>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</si>
  <si>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</si>
  <si>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</si>
  <si>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</si>
  <si>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</si>
  <si>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</si>
  <si>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</si>
  <si>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</si>
  <si>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</si>
  <si>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</si>
  <si>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</si>
  <si>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</si>
  <si>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</si>
  <si>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</si>
  <si>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</si>
  <si>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</si>
  <si>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</si>
  <si>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</si>
  <si>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</si>
  <si>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</si>
  <si>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</si>
  <si>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</si>
  <si>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</si>
  <si>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</si>
  <si>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</si>
  <si>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</si>
  <si>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</si>
  <si>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</si>
  <si>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</si>
  <si>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</si>
  <si>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</si>
  <si>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</si>
  <si>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</si>
  <si>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</si>
  <si>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</si>
  <si>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</si>
  <si>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</si>
  <si>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</si>
  <si>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</si>
  <si>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</si>
  <si>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</si>
  <si>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</si>
  <si>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</si>
  <si>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</si>
  <si>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</si>
  <si>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</si>
  <si>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</si>
  <si>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</si>
  <si>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</si>
  <si>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</si>
  <si>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</si>
  <si>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</si>
  <si>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</si>
  <si>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</si>
  <si>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</si>
  <si>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</si>
  <si>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</si>
  <si>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</si>
  <si>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</si>
  <si>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</si>
  <si>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</si>
  <si>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</si>
  <si>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</si>
  <si>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</si>
  <si>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</si>
  <si>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</si>
  <si>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</si>
  <si>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</si>
  <si>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</si>
  <si>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</si>
  <si>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</si>
  <si>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</si>
  <si>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</si>
  <si>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</si>
  <si>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</si>
  <si>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</si>
  <si>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</si>
  <si>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</si>
  <si>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</si>
  <si>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</si>
  <si>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</si>
  <si>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</si>
  <si>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</si>
  <si>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</si>
  <si>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</si>
  <si>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</si>
  <si>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</si>
  <si>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</si>
  <si>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</si>
  <si>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</si>
  <si>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</si>
  <si>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</si>
  <si>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</si>
  <si>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</si>
  <si>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</si>
  <si>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</si>
  <si>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</si>
  <si>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</si>
  <si>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</si>
  <si>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</si>
  <si>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</si>
  <si>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</si>
  <si>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</si>
  <si>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</si>
  <si>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</si>
  <si>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</si>
  <si>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</si>
  <si>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</si>
  <si>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</si>
  <si>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</si>
  <si>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</si>
  <si>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</si>
  <si>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</si>
  <si>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</si>
  <si>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</si>
  <si>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</si>
  <si>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</si>
  <si>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</si>
  <si>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</si>
  <si>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</si>
  <si>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</si>
  <si>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</si>
  <si>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</si>
  <si>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</si>
  <si>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</si>
  <si>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</si>
  <si>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</si>
  <si>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</si>
  <si>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</si>
  <si>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</si>
  <si>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</si>
  <si>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</si>
  <si>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</si>
  <si>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</si>
  <si>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</si>
  <si>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</si>
  <si>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</si>
  <si>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</si>
  <si>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</si>
  <si>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</si>
  <si>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</si>
  <si>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</si>
  <si>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</si>
  <si>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</si>
  <si>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</si>
  <si>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</si>
  <si>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</si>
  <si>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</si>
  <si>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</si>
  <si>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2583</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</si>
  <si>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</si>
  <si>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</si>
  <si>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</si>
  <si>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</si>
  <si>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</si>
  <si>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</si>
  <si>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</si>
  <si>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</si>
  <si>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</si>
  <si>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</si>
  <si>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</si>
  <si>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</si>
  <si>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</si>
  <si>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</si>
  <si>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</si>
  <si>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</si>
  <si>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</si>
  <si>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</si>
  <si>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</si>
  <si>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</si>
  <si>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</si>
  <si>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</si>
  <si>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</si>
  <si>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</si>
  <si>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</si>
  <si>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</si>
  <si>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</si>
  <si>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</si>
  <si>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</si>
  <si>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</si>
  <si>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</si>
  <si>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</si>
  <si>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</si>
  <si>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</si>
  <si>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</si>
  <si>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</si>
  <si>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</si>
  <si>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</si>
  <si>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</si>
  <si>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</si>
  <si>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</si>
  <si>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</si>
  <si>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</si>
  <si>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</si>
  <si>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</si>
  <si>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</si>
  <si>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</si>
  <si>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</si>
  <si>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</si>
  <si>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</si>
  <si>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</si>
  <si>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</si>
  <si>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</si>
  <si>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</si>
  <si>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</si>
  <si>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</si>
  <si>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</si>
  <si>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</si>
  <si>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</si>
  <si>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</si>
  <si>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</si>
  <si>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</si>
  <si>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</si>
  <si>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</si>
  <si>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</si>
  <si>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</si>
  <si>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</si>
  <si>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</si>
  <si>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</si>
  <si>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</si>
  <si>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</si>
  <si>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</si>
  <si>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</si>
  <si>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</si>
  <si>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</si>
  <si>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</si>
  <si>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</si>
  <si>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</si>
  <si>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</si>
  <si>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</si>
  <si>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</si>
  <si>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</si>
  <si>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</si>
  <si>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</si>
  <si>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</si>
  <si>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</si>
  <si>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</si>
  <si>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</si>
  <si>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</si>
  <si>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</si>
  <si>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</si>
  <si>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</si>
  <si>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</si>
  <si>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</si>
  <si>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</si>
  <si>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</si>
  <si>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</si>
  <si>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</si>
  <si>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</si>
  <si>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</si>
  <si>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</si>
  <si>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</si>
  <si>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</si>
  <si>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</si>
  <si>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</si>
  <si>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</si>
  <si>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</si>
  <si>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</si>
  <si>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</si>
  <si>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</si>
  <si>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</si>
  <si>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</si>
  <si>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</si>
  <si>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</si>
  <si>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</si>
  <si>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</si>
  <si>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</si>
  <si>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</si>
  <si>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</si>
  <si>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</si>
  <si>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</si>
  <si>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</si>
  <si>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</si>
  <si>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</si>
  <si>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</si>
  <si>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</si>
  <si>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</si>
  <si>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</si>
  <si>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</si>
  <si>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</si>
  <si>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</si>
  <si>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</si>
  <si>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</si>
  <si>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</si>
  <si>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</si>
  <si>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</si>
  <si>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</si>
  <si>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</si>
  <si>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</si>
  <si>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</si>
  <si>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</si>
  <si>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</si>
  <si>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</si>
  <si>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</si>
  <si>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</si>
  <si>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</si>
  <si>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</si>
  <si>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</si>
  <si>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</si>
  <si>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</si>
  <si>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</si>
  <si>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</si>
  <si>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</si>
  <si>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</si>
  <si>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</si>
  <si>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</si>
  <si>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</si>
  <si>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</si>
  <si>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</si>
  <si>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</si>
  <si>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</si>
  <si>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</si>
  <si>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</si>
  <si>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</si>
  <si>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</si>
  <si>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</si>
  <si>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</si>
  <si>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</si>
  <si>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</si>
  <si>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</si>
  <si>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</si>
  <si>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</si>
  <si>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</si>
  <si>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</si>
  <si>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</si>
  <si>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</si>
  <si>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</si>
  <si>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</si>
  <si>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</si>
  <si>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</si>
  <si>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</si>
  <si>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</si>
  <si>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</si>
  <si>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</si>
  <si>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</si>
  <si>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</si>
  <si>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</si>
  <si>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</si>
  <si>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</si>
  <si>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</si>
  <si>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</si>
  <si>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</si>
  <si>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</si>
  <si>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</si>
  <si>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</si>
  <si>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</si>
  <si>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</si>
  <si>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</si>
  <si>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</si>
  <si>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</si>
  <si>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</si>
  <si>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</si>
  <si>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</si>
  <si>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</si>
  <si>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</si>
  <si>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</si>
  <si>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</si>
  <si>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</si>
  <si>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</si>
  <si>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</si>
  <si>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</si>
  <si>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</si>
  <si>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</si>
  <si>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</si>
  <si>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</si>
  <si>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</si>
  <si>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</si>
  <si>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</si>
  <si>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</si>
  <si>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</si>
  <si>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</si>
  <si>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</si>
  <si>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</si>
  <si>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</si>
  <si>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</si>
  <si>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</si>
  <si>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</si>
  <si>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</si>
  <si>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</si>
  <si>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</si>
  <si>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</si>
  <si>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</si>
  <si>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</si>
  <si>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</si>
  <si>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</si>
  <si>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</si>
  <si>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</si>
  <si>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</si>
  <si>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</si>
  <si>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</si>
  <si>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</si>
  <si>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</si>
  <si>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</si>
  <si>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</si>
  <si>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</si>
  <si>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</si>
  <si>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</si>
  <si>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</si>
  <si>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</si>
  <si>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</si>
  <si>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</si>
  <si>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</si>
  <si>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</si>
  <si>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</si>
  <si>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</si>
  <si>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</si>
  <si>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</si>
  <si>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</si>
  <si>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</si>
  <si>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</si>
  <si>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</si>
  <si>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</si>
  <si>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</si>
  <si>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</si>
  <si>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</si>
  <si>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</si>
  <si>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</si>
  <si>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</si>
  <si>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</si>
  <si>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</si>
  <si>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</si>
  <si>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</si>
  <si>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</si>
  <si>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</si>
  <si>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</si>
  <si>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</si>
  <si>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</si>
  <si>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2067</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</si>
  <si>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</si>
  <si>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</si>
  <si>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</si>
  <si>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</si>
  <si>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</si>
  <si>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</si>
  <si>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</si>
  <si>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</si>
  <si>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</si>
  <si>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</si>
  <si>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</si>
  <si>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</si>
  <si>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</si>
  <si>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</si>
  <si>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</si>
  <si>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</si>
  <si>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</si>
  <si>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</si>
  <si>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</si>
  <si>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</si>
  <si>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</si>
  <si>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</si>
  <si>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</si>
  <si>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</si>
  <si>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</si>
  <si>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</si>
  <si>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</si>
  <si>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</si>
  <si>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</si>
  <si>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</si>
  <si>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</si>
  <si>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</si>
  <si>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</si>
  <si>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</si>
  <si>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</si>
  <si>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</si>
  <si>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</si>
  <si>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</si>
  <si>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</si>
  <si>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</si>
  <si>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</si>
  <si>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</si>
  <si>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</si>
  <si>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</si>
  <si>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</si>
  <si>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</si>
  <si>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</si>
  <si>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</si>
  <si>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</si>
  <si>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</si>
  <si>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</si>
  <si>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</si>
  <si>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</si>
  <si>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</si>
  <si>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</si>
  <si>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</si>
  <si>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</si>
  <si>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</si>
  <si>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</si>
  <si>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</si>
  <si>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</si>
  <si>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</si>
  <si>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</si>
  <si>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</si>
  <si>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</si>
  <si>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</si>
  <si>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</si>
  <si>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</si>
  <si>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</si>
  <si>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</si>
  <si>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</si>
  <si>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</si>
  <si>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</si>
  <si>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</si>
  <si>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</si>
  <si>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</si>
  <si>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</si>
  <si>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</si>
  <si>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</si>
  <si>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</si>
  <si>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</si>
  <si>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</si>
  <si>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</si>
  <si>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</si>
  <si>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</si>
  <si>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</si>
  <si>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</si>
  <si>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</si>
  <si>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</si>
  <si>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</si>
  <si>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</si>
  <si>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</si>
  <si>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</si>
  <si>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</si>
  <si>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</si>
  <si>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</si>
  <si>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</si>
  <si>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</si>
  <si>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</si>
  <si>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</si>
  <si>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</si>
  <si>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</si>
  <si>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</si>
  <si>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</si>
  <si>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</si>
  <si>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</si>
  <si>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</si>
  <si>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</si>
  <si>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</si>
  <si>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</si>
  <si>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</si>
  <si>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</si>
  <si>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</si>
  <si>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</si>
  <si>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</si>
  <si>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</si>
  <si>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</si>
  <si>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</si>
  <si>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</si>
  <si>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</si>
  <si>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</si>
  <si>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</si>
  <si>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</si>
  <si>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</si>
  <si>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</si>
  <si>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</si>
  <si>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</si>
  <si>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</si>
  <si>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</si>
  <si>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</si>
  <si>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</si>
  <si>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</si>
  <si>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</si>
  <si>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</si>
  <si>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</si>
  <si>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</si>
  <si>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</si>
  <si>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</si>
  <si>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</si>
  <si>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</si>
  <si>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</si>
  <si>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</si>
  <si>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</si>
  <si>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</si>
  <si>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</si>
  <si>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</si>
  <si>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</si>
  <si>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</si>
  <si>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</si>
  <si>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</si>
  <si>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</si>
  <si>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</si>
  <si>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</si>
  <si>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</si>
  <si>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</si>
  <si>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</si>
  <si>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</si>
  <si>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</si>
  <si>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</si>
  <si>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</si>
  <si>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</si>
  <si>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</si>
  <si>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</si>
  <si>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</si>
  <si>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</si>
  <si>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</si>
  <si>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</si>
  <si>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</si>
  <si>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</si>
  <si>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</si>
  <si>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</si>
  <si>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</si>
  <si>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</si>
  <si>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</si>
  <si>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</si>
  <si>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</si>
  <si>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</si>
  <si>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</si>
  <si>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</si>
  <si>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</si>
  <si>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</si>
  <si>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</si>
  <si>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</si>
  <si>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</si>
  <si>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</si>
  <si>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</si>
  <si>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</si>
  <si>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</si>
  <si>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</si>
  <si>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</si>
  <si>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</si>
  <si>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</si>
  <si>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</si>
  <si>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</si>
  <si>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</si>
  <si>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</si>
  <si>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</si>
  <si>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</si>
  <si>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</si>
  <si>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</si>
  <si>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</si>
  <si>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</si>
  <si>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</si>
  <si>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</si>
  <si>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</si>
  <si>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</si>
  <si>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</si>
  <si>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</si>
  <si>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</si>
  <si>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</si>
  <si>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</si>
  <si>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</si>
  <si>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</si>
  <si>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</si>
  <si>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</si>
  <si>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</si>
  <si>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</si>
  <si>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</si>
  <si>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</si>
  <si>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</si>
  <si>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</si>
  <si>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</si>
  <si>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</si>
  <si>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</si>
  <si>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</si>
  <si>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</si>
  <si>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</si>
  <si>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</si>
  <si>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</si>
  <si>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</si>
  <si>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</si>
  <si>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</si>
  <si>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</si>
  <si>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</si>
  <si>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</si>
  <si>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</si>
  <si>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</si>
  <si>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</si>
  <si>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</si>
  <si>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</si>
  <si>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</si>
  <si>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</si>
  <si>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</si>
  <si>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</si>
  <si>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</si>
  <si>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</si>
  <si>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</si>
  <si>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</si>
  <si>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</si>
  <si>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</si>
  <si>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</si>
  <si>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</si>
  <si>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</si>
  <si>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</si>
  <si>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</si>
  <si>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</si>
  <si>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</si>
  <si>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</si>
  <si>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</si>
  <si>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</si>
  <si>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</si>
  <si>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</si>
  <si>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</si>
  <si>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</si>
  <si>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</si>
  <si>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</si>
  <si>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</si>
  <si>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</si>
  <si>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</si>
  <si>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</si>
  <si>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</si>
  <si>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</si>
  <si>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</si>
  <si>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</si>
  <si>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</si>
  <si>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</si>
  <si>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</si>
  <si>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</si>
  <si>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</si>
  <si>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</si>
  <si>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</si>
  <si>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</si>
  <si>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</si>
  <si>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</si>
  <si>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</si>
  <si>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</si>
  <si>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</si>
  <si>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</si>
  <si>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</si>
  <si>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</si>
  <si>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</si>
  <si>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</si>
  <si>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</si>
  <si>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</si>
  <si>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</si>
  <si>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</si>
  <si>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</si>
  <si>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</si>
  <si>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</si>
  <si>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</si>
  <si>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</si>
  <si>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</si>
  <si>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</si>
  <si>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</si>
  <si>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</si>
  <si>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1566</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</si>
  <si>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</si>
  <si>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</si>
  <si>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</si>
  <si>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</si>
  <si>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</si>
  <si>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</si>
  <si>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</si>
  <si>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</si>
  <si>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</si>
  <si>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</si>
  <si>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</si>
  <si>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</si>
  <si>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</si>
  <si>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</si>
  <si>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</si>
  <si>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</si>
  <si>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</si>
  <si>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</si>
  <si>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</si>
  <si>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</si>
  <si>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</si>
  <si>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</si>
  <si>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</si>
  <si>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</si>
  <si>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</si>
  <si>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</si>
  <si>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</si>
  <si>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</si>
  <si>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</si>
  <si>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</si>
  <si>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</si>
  <si>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</si>
  <si>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</si>
  <si>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</si>
  <si>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</si>
  <si>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</si>
  <si>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</si>
  <si>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</si>
  <si>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</si>
  <si>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</si>
  <si>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</si>
  <si>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</si>
  <si>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</si>
  <si>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</si>
  <si>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</si>
  <si>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</si>
  <si>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</si>
  <si>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</si>
  <si>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</si>
  <si>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</si>
  <si>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</si>
  <si>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</si>
  <si>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</si>
  <si>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</si>
  <si>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</si>
  <si>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</si>
  <si>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</si>
  <si>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</si>
  <si>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</si>
  <si>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</si>
  <si>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</si>
  <si>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</si>
  <si>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</si>
  <si>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</si>
  <si>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</si>
  <si>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</si>
  <si>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</si>
  <si>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</si>
  <si>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</si>
  <si>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</si>
  <si>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</si>
  <si>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</si>
  <si>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</si>
  <si>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</si>
  <si>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</si>
  <si>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</si>
  <si>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</si>
  <si>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</si>
  <si>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</si>
  <si>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</si>
  <si>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</si>
  <si>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</si>
  <si>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</si>
  <si>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</si>
  <si>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</si>
  <si>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</si>
  <si>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</si>
  <si>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</si>
  <si>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</si>
  <si>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</si>
  <si>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</si>
  <si>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</si>
  <si>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</si>
  <si>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</si>
  <si>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</si>
  <si>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</si>
  <si>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</si>
  <si>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</si>
  <si>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</si>
  <si>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</si>
  <si>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</si>
  <si>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</si>
  <si>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</si>
  <si>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</si>
  <si>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</si>
  <si>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</si>
  <si>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</si>
  <si>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</si>
  <si>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</si>
  <si>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</si>
  <si>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</si>
  <si>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</si>
  <si>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</si>
  <si>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</si>
  <si>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</si>
  <si>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</si>
  <si>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</si>
  <si>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</si>
  <si>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</si>
  <si>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</si>
  <si>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</si>
  <si>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</si>
  <si>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</si>
  <si>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</si>
  <si>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</si>
  <si>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</si>
  <si>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</si>
  <si>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</si>
  <si>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</si>
  <si>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</si>
  <si>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</si>
  <si>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</si>
  <si>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</si>
  <si>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</si>
  <si>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</si>
  <si>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</si>
  <si>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</si>
  <si>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</si>
  <si>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</si>
  <si>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</si>
  <si>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</si>
  <si>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</si>
  <si>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</si>
  <si>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</si>
  <si>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</si>
  <si>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</si>
  <si>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</si>
  <si>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</si>
  <si>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</si>
  <si>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</si>
  <si>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</si>
  <si>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</si>
  <si>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</si>
  <si>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</si>
  <si>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</si>
  <si>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</si>
  <si>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</si>
  <si>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</si>
  <si>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</si>
  <si>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</si>
  <si>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</si>
  <si>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</si>
  <si>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</si>
  <si>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</si>
  <si>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</si>
  <si>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</si>
  <si>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</si>
  <si>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</si>
  <si>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</si>
  <si>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</si>
  <si>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</si>
  <si>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</si>
  <si>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</si>
  <si>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</si>
  <si>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</si>
  <si>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</si>
  <si>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</si>
  <si>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</si>
  <si>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</si>
  <si>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</si>
  <si>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</si>
  <si>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</si>
  <si>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</si>
  <si>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</si>
  <si>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</si>
  <si>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</si>
  <si>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</si>
  <si>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</si>
  <si>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</si>
  <si>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</si>
  <si>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</si>
  <si>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</si>
  <si>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</si>
  <si>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</si>
  <si>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</si>
  <si>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</si>
  <si>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</si>
  <si>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</si>
  <si>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</si>
  <si>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</si>
  <si>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</si>
  <si>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</si>
  <si>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</si>
  <si>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</si>
  <si>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</si>
  <si>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</si>
  <si>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</si>
  <si>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</si>
  <si>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</si>
  <si>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</si>
  <si>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</si>
  <si>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</si>
  <si>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</si>
  <si>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</si>
  <si>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</si>
  <si>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</si>
  <si>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</si>
  <si>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</si>
  <si>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</si>
  <si>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</si>
  <si>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</si>
  <si>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</si>
  <si>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</si>
  <si>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</si>
  <si>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</si>
  <si>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</si>
  <si>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</si>
  <si>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</si>
  <si>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</si>
  <si>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</si>
  <si>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</si>
  <si>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</si>
  <si>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</si>
  <si>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</si>
  <si>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</si>
  <si>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</si>
  <si>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</si>
  <si>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</si>
  <si>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</si>
  <si>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</si>
  <si>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</si>
  <si>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</si>
  <si>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</si>
  <si>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</si>
  <si>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</si>
  <si>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</si>
  <si>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</si>
  <si>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</si>
  <si>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</si>
  <si>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</si>
  <si>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</si>
  <si>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</si>
  <si>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</si>
  <si>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</si>
  <si>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</si>
  <si>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</si>
  <si>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</si>
  <si>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</si>
  <si>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</si>
  <si>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</si>
  <si>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</si>
  <si>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</si>
  <si>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</si>
  <si>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</si>
  <si>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</si>
  <si>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</si>
  <si>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</si>
  <si>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</si>
  <si>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</si>
  <si>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</si>
  <si>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</si>
  <si>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</si>
  <si>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</si>
  <si>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</si>
  <si>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</si>
  <si>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</si>
  <si>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</si>
  <si>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</si>
  <si>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</si>
  <si>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</si>
  <si>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</si>
  <si>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</si>
  <si>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</si>
  <si>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</si>
  <si>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</si>
  <si>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</si>
  <si>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</si>
  <si>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</si>
  <si>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</si>
  <si>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</si>
  <si>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</si>
  <si>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</si>
  <si>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</si>
  <si>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</si>
  <si>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</si>
  <si>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</si>
  <si>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</si>
  <si>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</si>
  <si>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</si>
  <si>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</si>
  <si>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</si>
  <si>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</si>
  <si>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</si>
  <si>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</si>
  <si>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</si>
  <si>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</si>
  <si>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</si>
  <si>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</si>
  <si>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</si>
  <si>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</si>
  <si>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</si>
  <si>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</si>
  <si>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</si>
  <si>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</si>
  <si>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</si>
  <si>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</si>
  <si>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</si>
  <si>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</si>
  <si>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</si>
  <si>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</si>
  <si>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</si>
  <si>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</si>
  <si>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</si>
  <si>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</si>
  <si>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</si>
  <si>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</si>
  <si>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</si>
  <si>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</si>
  <si>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</si>
  <si>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</si>
  <si>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</si>
  <si>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</si>
  <si>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</si>
  <si>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</si>
  <si>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</si>
  <si>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</si>
  <si>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</si>
  <si>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</si>
  <si>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</si>
  <si>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</si>
  <si>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</si>
  <si>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</si>
  <si>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</si>
  <si>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</si>
  <si>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</si>
  <si>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</si>
  <si>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</si>
  <si>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</si>
  <si>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</si>
  <si>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</si>
  <si>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</si>
  <si>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</si>
  <si>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</si>
  <si>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</si>
  <si>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</si>
  <si>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</si>
  <si>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</si>
  <si>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</si>
  <si>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</si>
  <si>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</si>
  <si>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</si>
  <si>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</si>
  <si>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</si>
  <si>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</si>
  <si>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</si>
  <si>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</si>
  <si>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</si>
  <si>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</si>
  <si>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</si>
  <si>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</si>
  <si>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</si>
  <si>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</si>
  <si>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</si>
  <si>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</si>
  <si>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</si>
  <si>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</si>
  <si>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</si>
  <si>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</si>
  <si>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</si>
  <si>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</si>
  <si>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</si>
  <si>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</si>
  <si>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</si>
  <si>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</si>
  <si>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</si>
  <si>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</si>
  <si>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</si>
  <si>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</si>
  <si>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</si>
  <si>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</si>
  <si>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</si>
  <si>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</si>
  <si>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</si>
  <si>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</si>
  <si>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</si>
  <si>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</si>
  <si>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</si>
  <si>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</si>
  <si>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</si>
  <si>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</si>
  <si>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</si>
  <si>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</si>
  <si>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</si>
  <si>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</si>
  <si>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</si>
  <si>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</si>
  <si>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</si>
  <si>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</si>
  <si>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</si>
  <si>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</si>
  <si>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</si>
  <si>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</si>
  <si>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</si>
  <si>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</si>
  <si>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</si>
  <si>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</si>
  <si>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</si>
  <si>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</si>
  <si>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</si>
  <si>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</si>
  <si>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</si>
  <si>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</si>
  <si>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</si>
  <si>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</si>
  <si>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</si>
  <si>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</si>
  <si>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</si>
  <si>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</si>
  <si>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</si>
  <si>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</si>
  <si>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</si>
  <si>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</si>
  <si>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</si>
  <si>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</si>
  <si>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</si>
  <si>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</si>
  <si>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</si>
  <si>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</si>
  <si>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</si>
  <si>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</si>
  <si>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</si>
  <si>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</si>
  <si>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</si>
  <si>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</si>
  <si>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</si>
  <si>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</si>
  <si>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</si>
  <si>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</si>
  <si>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</si>
  <si>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</si>
  <si>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</si>
  <si>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</si>
  <si>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</si>
  <si>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</si>
  <si>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</si>
  <si>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</si>
  <si>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</si>
  <si>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</si>
  <si>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</si>
  <si>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</si>
  <si>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</si>
  <si>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</si>
  <si>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</si>
  <si>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</si>
  <si>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</si>
  <si>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</si>
  <si>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</si>
  <si>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</si>
  <si>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</si>
  <si>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</si>
  <si>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</si>
  <si>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</si>
  <si>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</si>
  <si>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</si>
  <si>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</si>
  <si>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</si>
  <si>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</si>
  <si>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</si>
  <si>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</si>
  <si>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</si>
  <si>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</si>
  <si>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</si>
  <si>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</si>
  <si>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</si>
  <si>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</si>
  <si>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</si>
  <si>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</si>
  <si>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</si>
  <si>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</si>
  <si>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</si>
  <si>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</si>
  <si>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</si>
  <si>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</si>
  <si>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</si>
  <si>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</si>
  <si>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</si>
  <si>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</si>
  <si>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</si>
  <si>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</si>
  <si>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</si>
  <si>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</si>
  <si>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</si>
  <si>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</si>
  <si>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</si>
  <si>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</si>
  <si>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</si>
  <si>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</si>
  <si>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</si>
  <si>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</si>
  <si>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</si>
  <si>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</si>
  <si>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</si>
  <si>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</si>
  <si>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</si>
  <si>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</si>
  <si>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</si>
  <si>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</si>
  <si>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</si>
  <si>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</si>
  <si>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</si>
  <si>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</si>
  <si>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</si>
  <si>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</si>
  <si>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</si>
  <si>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</si>
  <si>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</si>
  <si>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</si>
  <si>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</si>
  <si>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</si>
  <si>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</si>
  <si>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</si>
  <si>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</si>
  <si>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</si>
  <si>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</si>
  <si>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</si>
  <si>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</si>
  <si>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</si>
  <si>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</si>
  <si>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</si>
  <si>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</si>
  <si>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</si>
  <si>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</si>
  <si>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</si>
  <si>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</si>
  <si>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</si>
  <si>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</si>
  <si>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</si>
  <si>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</si>
  <si>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</si>
  <si>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</si>
  <si>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</si>
  <si>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</si>
  <si>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</si>
  <si>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</si>
  <si>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</si>
  <si>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</si>
  <si>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</si>
  <si>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</si>
  <si>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</si>
  <si>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</si>
  <si>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</si>
  <si>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</si>
  <si>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</si>
  <si>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</si>
  <si>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</si>
  <si>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</si>
  <si>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</si>
  <si>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</si>
  <si>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</si>
  <si>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</si>
  <si>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</si>
  <si>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</si>
  <si>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</si>
  <si>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</si>
  <si>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</si>
  <si>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</si>
  <si>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</si>
  <si>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</si>
  <si>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</si>
  <si>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</si>
  <si>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</si>
  <si>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</si>
  <si>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</si>
  <si>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</si>
  <si>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</si>
  <si>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</si>
  <si>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</si>
  <si>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</si>
  <si>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</si>
  <si>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</si>
  <si>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</si>
  <si>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</si>
  <si>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</si>
  <si>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</si>
  <si>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</si>
  <si>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</si>
  <si>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</si>
  <si>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</si>
  <si>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</si>
  <si>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</si>
  <si>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</si>
  <si>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</si>
  <si>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</si>
  <si>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</si>
  <si>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</si>
  <si>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</si>
  <si>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</si>
  <si>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</si>
  <si>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</si>
  <si>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</si>
  <si>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</si>
  <si>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</si>
  <si>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</si>
  <si>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</si>
  <si>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</si>
  <si>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</si>
  <si>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</si>
  <si>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</si>
  <si>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</si>
  <si>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</si>
  <si>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</si>
  <si>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</si>
  <si>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</si>
  <si>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</si>
  <si>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</si>
  <si>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</si>
  <si>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</si>
  <si>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</si>
  <si>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</si>
  <si>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</si>
  <si>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</si>
  <si>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</si>
  <si>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</si>
  <si>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</si>
  <si>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</si>
  <si>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</si>
  <si>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</si>
  <si>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</si>
  <si>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</si>
  <si>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</si>
  <si>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</si>
  <si>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</si>
  <si>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</si>
  <si>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</si>
  <si>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</si>
  <si>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</si>
  <si>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</si>
  <si>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</si>
  <si>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</si>
  <si>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</si>
  <si>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</si>
  <si>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</si>
  <si>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</si>
  <si>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</si>
  <si>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</si>
  <si>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</si>
  <si>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</si>
  <si>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</si>
  <si>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</si>
  <si>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</si>
  <si>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</si>
  <si>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</si>
  <si>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</si>
  <si>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</si>
  <si>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</si>
  <si>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</si>
  <si>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</si>
  <si>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</si>
  <si>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</si>
  <si>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</si>
  <si>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</si>
  <si>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</si>
  <si>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</si>
  <si>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</si>
  <si>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</si>
  <si>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</si>
  <si>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</si>
  <si>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</si>
  <si>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</si>
  <si>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</si>
  <si>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</si>
  <si>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</si>
  <si>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</si>
  <si>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</si>
  <si>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</si>
  <si>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</si>
  <si>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</si>
  <si>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</si>
  <si>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</si>
  <si>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</si>
  <si>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</si>
  <si>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</si>
  <si>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</si>
  <si>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</si>
  <si>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</si>
  <si>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</si>
  <si>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</si>
  <si>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</si>
  <si>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</si>
  <si>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</si>
  <si>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</si>
  <si>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</si>
  <si>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</si>
  <si>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</si>
  <si>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</si>
  <si>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</si>
  <si>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</si>
  <si>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</si>
  <si>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</si>
  <si>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</si>
  <si>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</si>
  <si>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</si>
  <si>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</si>
  <si>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</si>
  <si>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</si>
  <si>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</si>
  <si>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</si>
  <si>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</si>
  <si>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</si>
  <si>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</si>
  <si>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</si>
  <si>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</si>
  <si>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</si>
  <si>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</si>
  <si>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</si>
  <si>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</si>
  <si>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</si>
  <si>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</si>
  <si>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</si>
  <si>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</si>
  <si>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</si>
  <si>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</si>
  <si>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</si>
  <si>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</si>
  <si>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</si>
  <si>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</si>
  <si>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</si>
  <si>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</si>
  <si>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</si>
  <si>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</si>
  <si>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</si>
  <si>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</si>
  <si>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</si>
  <si>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</si>
  <si>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</si>
  <si>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</si>
  <si>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</si>
  <si>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</si>
  <si>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</si>
  <si>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</si>
  <si>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</si>
  <si>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</si>
  <si>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</si>
  <si>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</si>
  <si>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</si>
  <si>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</si>
  <si>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</si>
  <si>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</si>
  <si>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</si>
  <si>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</si>
  <si>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</si>
  <si>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</si>
  <si>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</si>
  <si>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</si>
  <si>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</si>
  <si>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</si>
  <si>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</si>
  <si>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</si>
  <si>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</si>
  <si>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</si>
  <si>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</si>
  <si>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</si>
  <si>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</si>
  <si>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</si>
  <si>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</si>
  <si>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</si>
  <si>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</si>
  <si>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</si>
  <si>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</si>
  <si>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</si>
  <si>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</si>
  <si>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</si>
  <si>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</si>
  <si>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</si>
  <si>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</si>
  <si>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</si>
  <si>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</si>
  <si>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</si>
  <si>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</si>
  <si>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</si>
  <si>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</si>
  <si>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</si>
  <si>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</si>
  <si>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</si>
  <si>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</si>
  <si>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</si>
  <si>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</si>
  <si>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</si>
  <si>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</si>
  <si>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</si>
  <si>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</si>
  <si>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</si>
  <si>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</si>
  <si>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</si>
  <si>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</si>
  <si>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</si>
  <si>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</si>
  <si>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</si>
  <si>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</si>
  <si>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</si>
  <si>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</si>
  <si>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</si>
  <si>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</si>
  <si>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</si>
  <si>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</si>
  <si>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</si>
  <si>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</si>
  <si>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</si>
  <si>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</si>
  <si>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</si>
  <si>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</si>
  <si>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</si>
  <si>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</si>
  <si>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</si>
  <si>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</si>
  <si>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</si>
  <si>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</si>
  <si>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</si>
  <si>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</si>
  <si>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</si>
  <si>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</si>
  <si>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</si>
  <si>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</si>
  <si>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</si>
  <si>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</si>
  <si>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</si>
  <si>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</si>
  <si>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</si>
  <si>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</si>
  <si>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</si>
  <si>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</si>
  <si>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</si>
  <si>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</si>
  <si>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</si>
  <si>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</si>
  <si>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</si>
  <si>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</si>
  <si>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</si>
  <si>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</si>
  <si>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</si>
  <si>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</si>
  <si>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</si>
  <si>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</si>
  <si>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</si>
  <si>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</si>
  <si>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</si>
  <si>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</si>
  <si>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</si>
  <si>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</si>
  <si>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</si>
  <si>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</si>
  <si>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</si>
  <si>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</si>
  <si>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</si>
  <si>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</si>
  <si>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</si>
  <si>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</si>
  <si>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</si>
  <si>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</si>
  <si>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</si>
  <si>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</si>
  <si>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</si>
  <si>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</si>
  <si>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</si>
  <si>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</si>
  <si>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251</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</si>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</sst>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7o-futAzycw"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m-e9xTt4F-I"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clips.twitch.tv/BoredGrossSageResidentSleeper-RoadRockbjIdqeRh"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youtu.be/hOM8hYJojH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JVJuFsqyJ7Q"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hVOf57P3-W4"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SAfccJj_cOg"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iGIoWA6iw3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BS3eh-Ra93Y"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l5SehKQJ7jA"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hUi4ZgmOuYU"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V7iDPzklHbM"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EMggK1KuBRk"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haby671rkOQ"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z8Ld8NhZm4" TargetMode="External"/><Relationship Id="rId2440" Type="http://schemas.openxmlformats.org/officeDocument/2006/relationships/hyperlink" Target="https://youtu.be/dajLg_JxREI" TargetMode="External"/><Relationship Id="rId3770" Type="http://schemas.openxmlformats.org/officeDocument/2006/relationships/hyperlink" Target="https://youtu.be/lqq2fk4dzb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3SLvhBhYGw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E5ZDamTBFgw"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youtu.be/8F95VAgZVlE"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1CEmbGtaZss"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t9drpBX9klU"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twitch.tv/videos/1479882506"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aoIG8OwyKNU"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KXI5m0Ayd5U"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a4ItpBSNA8Q" TargetMode="External"/><Relationship Id="rId3832" Type="http://schemas.openxmlformats.org/officeDocument/2006/relationships/hyperlink" Target="https://youtu.be/J8p3S2OGWbY" TargetMode="External"/><Relationship Id="rId2501" Type="http://schemas.openxmlformats.org/officeDocument/2006/relationships/hyperlink" Target="https://youtu.be/BwT0G0Js7bA" TargetMode="External"/><Relationship Id="rId3831" Type="http://schemas.openxmlformats.org/officeDocument/2006/relationships/hyperlink" Target="https://youtu.be/3Ovu89Qc6hc" TargetMode="External"/><Relationship Id="rId2502" Type="http://schemas.openxmlformats.org/officeDocument/2006/relationships/hyperlink" Target="https://youtu.be/PBkkyzXz0vA" TargetMode="External"/><Relationship Id="rId3834" Type="http://schemas.openxmlformats.org/officeDocument/2006/relationships/hyperlink" Target="https://youtu.be/YQQ0q65ToQQ" TargetMode="External"/><Relationship Id="rId2503" Type="http://schemas.openxmlformats.org/officeDocument/2006/relationships/hyperlink" Target="https://youtu.be/evt6rjp33-s" TargetMode="External"/><Relationship Id="rId3833" Type="http://schemas.openxmlformats.org/officeDocument/2006/relationships/hyperlink" Target="https://youtu.be/OSNXTmoonnM" TargetMode="External"/><Relationship Id="rId2504" Type="http://schemas.openxmlformats.org/officeDocument/2006/relationships/hyperlink" Target="https://youtu.be/iuuLyEqTcAk" TargetMode="External"/><Relationship Id="rId3836" Type="http://schemas.openxmlformats.org/officeDocument/2006/relationships/hyperlink" Target="https://youtu.be/MMo3ZBMPIrU" TargetMode="External"/><Relationship Id="rId2505" Type="http://schemas.openxmlformats.org/officeDocument/2006/relationships/hyperlink" Target="https://youtu.be/mFUfW8oMw4Q" TargetMode="External"/><Relationship Id="rId3835" Type="http://schemas.openxmlformats.org/officeDocument/2006/relationships/hyperlink" Target="https://youtu.be/mEmDaTtNmiw" TargetMode="External"/><Relationship Id="rId2506" Type="http://schemas.openxmlformats.org/officeDocument/2006/relationships/hyperlink" Target="https://youtu.be/poD_AfiGwrg" TargetMode="External"/><Relationship Id="rId3838" Type="http://schemas.openxmlformats.org/officeDocument/2006/relationships/hyperlink" Target="https://youtu.be/ewGQiYOg6F4" TargetMode="External"/><Relationship Id="rId2507" Type="http://schemas.openxmlformats.org/officeDocument/2006/relationships/hyperlink" Target="https://youtu.be/jPlakIEhZds" TargetMode="External"/><Relationship Id="rId3837" Type="http://schemas.openxmlformats.org/officeDocument/2006/relationships/hyperlink" Target="https://youtu.be/BzPxFP5PIps"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CA9si0gN3zQ" TargetMode="External"/><Relationship Id="rId3854" Type="http://schemas.openxmlformats.org/officeDocument/2006/relationships/hyperlink" Target="https://youtu.be/H3JDwX7khMg" TargetMode="External"/><Relationship Id="rId2523" Type="http://schemas.openxmlformats.org/officeDocument/2006/relationships/hyperlink" Target="https://youtu.be/qCn2ckp3j1Q" TargetMode="External"/><Relationship Id="rId3853" Type="http://schemas.openxmlformats.org/officeDocument/2006/relationships/hyperlink" Target="https://youtu.be/APN1OdPY83o"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tpGBiGHZxK0" TargetMode="External"/><Relationship Id="rId3855" Type="http://schemas.openxmlformats.org/officeDocument/2006/relationships/hyperlink" Target="https://youtu.be/AlDJUqcUgNE" TargetMode="External"/><Relationship Id="rId2526" Type="http://schemas.openxmlformats.org/officeDocument/2006/relationships/hyperlink" Target="https://youtu.be/fWi_6o_JLT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z_N0nSOqbO0" TargetMode="External"/><Relationship Id="rId3852" Type="http://schemas.openxmlformats.org/officeDocument/2006/relationships/hyperlink" Target="https://youtu.be/XFv2JXpwzPA" TargetMode="External"/><Relationship Id="rId2521" Type="http://schemas.openxmlformats.org/officeDocument/2006/relationships/hyperlink" Target="https://youtu.be/Q9zO6Ey-tuY"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mzqUfdUISr8" TargetMode="External"/><Relationship Id="rId3843" Type="http://schemas.openxmlformats.org/officeDocument/2006/relationships/hyperlink" Target="https://youtu.be/YAMDglE01Tg" TargetMode="External"/><Relationship Id="rId2512" Type="http://schemas.openxmlformats.org/officeDocument/2006/relationships/hyperlink" Target="https://youtu.be/P2Ljvh9ZW7o" TargetMode="External"/><Relationship Id="rId3842" Type="http://schemas.openxmlformats.org/officeDocument/2006/relationships/hyperlink" Target="https://youtu.be/PW3RefbTtj8"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uY90PjWR_MQ" TargetMode="External"/><Relationship Id="rId3844" Type="http://schemas.openxmlformats.org/officeDocument/2006/relationships/hyperlink" Target="https://youtu.be/djpRgtYWDDw" TargetMode="External"/><Relationship Id="rId2515" Type="http://schemas.openxmlformats.org/officeDocument/2006/relationships/hyperlink" Target="https://youtu.be/nFaEIKzyhAc" TargetMode="External"/><Relationship Id="rId3847" Type="http://schemas.openxmlformats.org/officeDocument/2006/relationships/hyperlink" Target="https://youtu.be/gsTC2weC5Ok" TargetMode="External"/><Relationship Id="rId2516" Type="http://schemas.openxmlformats.org/officeDocument/2006/relationships/hyperlink" Target="https://youtu.be/lks9ErI0TtM"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s69FG1KVogI"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6LUCAOmDMOM" TargetMode="External"/><Relationship Id="rId3841" Type="http://schemas.openxmlformats.org/officeDocument/2006/relationships/hyperlink" Target="https://youtu.be/_BiWC77BP3o" TargetMode="External"/><Relationship Id="rId2510" Type="http://schemas.openxmlformats.org/officeDocument/2006/relationships/hyperlink" Target="https://youtu.be/GdLrIFLMKmE"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62chYrizJq0" TargetMode="External"/><Relationship Id="rId3933" Type="http://schemas.openxmlformats.org/officeDocument/2006/relationships/hyperlink" Target="https://youtu.be/ulLGhaW70TY" TargetMode="External"/><Relationship Id="rId2602" Type="http://schemas.openxmlformats.org/officeDocument/2006/relationships/hyperlink" Target="https://youtu.be/dfKRUsUrT5k"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W63_N-vjsxw" TargetMode="External"/><Relationship Id="rId3935" Type="http://schemas.openxmlformats.org/officeDocument/2006/relationships/hyperlink" Target="https://youtu.be/_JChUmIMzx8" TargetMode="External"/><Relationship Id="rId2604" Type="http://schemas.openxmlformats.org/officeDocument/2006/relationships/hyperlink" Target="https://youtu.be/fEMo7Ia2srg"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CHZNyc6nkrY" TargetMode="External"/><Relationship Id="rId3937" Type="http://schemas.openxmlformats.org/officeDocument/2006/relationships/hyperlink" Target="https://youtu.be/5H6ttD7tFYo" TargetMode="External"/><Relationship Id="rId2606" Type="http://schemas.openxmlformats.org/officeDocument/2006/relationships/hyperlink" Target="https://youtu.be/E4AfOuDVA_4"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youtube.com/watch?v=ArXQFNnEijc"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www.youtube.com/watch?v=t4V8l4oNreo"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www.youtube.com/watch?v=lIK903dv8tY"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www.youtube.com/watch?v=EeDCWtEVYa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clips.twitch.tv/CarelessFilthyOctopusDxCat-khFT2LpSO1L4vmdD" TargetMode="External"/><Relationship Id="rId3957" Type="http://schemas.openxmlformats.org/officeDocument/2006/relationships/hyperlink" Target="https://youtu.be/H2EFLjh19V8" TargetMode="External"/><Relationship Id="rId2626" Type="http://schemas.openxmlformats.org/officeDocument/2006/relationships/hyperlink" Target="https://www.youtube.com/watch?v=9jNlGX_oUUw"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www.youtube.com/watch?v=tpjRic7jk0M"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www.youtube.com/watch?v=V1romHWcAkI"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nv7vfokEAt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www.youtube.com/watch?v=4PvJSbnJcKE"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youtu.be/PXw_FPukiM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ece2zm"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youtu.be/PbuzEBssXKI"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streamable.com/fsx42y"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twitch.tv/banova8_/clip/CulturedBetterSharkPastaThat-UkGJOPTVHj_k_GgV"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www.youtube.com/watch?v=92utLx6CbV4"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2126277596"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youtube.com/watch?v=jkhCLTN9YvE"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AY0L7R0zPI4?si=PQPfxgzVmn6DT1E2"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youtube.com/watch?v=QxO7HU2i6HQ"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SassyDepressedBubbleteaBudStar-0xLanv-uQFzxhaoW"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nOr9foE32UQ"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BYOcecJcsY"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3KpOjhdYNjU"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www.youtube.com/watch?v=bX74dFmmPF8"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FurryFragileButterBIRB-3eTXc5x4GKdfvTdB"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wozEi1FdQNY"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ysERuA3k8EA&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CNteerIuco&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cfXyqpCCj-Y&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4LDUhkdA9F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victlwna2Xk&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nHyAz9xaV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sddMacPxLyU&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1431</v>
      </c>
      <c r="AA38" s="116" t="s">
        <v>2243</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1596</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2046</v>
      </c>
      <c r="CI38" s="177" t="s">
        <v>2616</v>
      </c>
      <c r="CJ38" s="135" t="s">
        <v>2617</v>
      </c>
      <c r="CK38" s="136"/>
      <c r="CL38" s="135" t="s">
        <v>2618</v>
      </c>
      <c r="CM38" s="135" t="s">
        <v>2120</v>
      </c>
      <c r="CN38" s="135" t="s">
        <v>2619</v>
      </c>
      <c r="CO38" s="135" t="s">
        <v>1877</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1334</v>
      </c>
      <c r="DJ38" s="141" t="s">
        <v>2630</v>
      </c>
      <c r="DK38" s="257"/>
      <c r="DL38" s="145" t="s">
        <v>2631</v>
      </c>
      <c r="DM38" s="142" t="s">
        <v>2632</v>
      </c>
      <c r="DN38" s="204" t="s">
        <v>2633</v>
      </c>
      <c r="DO38" s="257"/>
      <c r="DP38" s="257"/>
      <c r="DQ38" s="257"/>
      <c r="DR38" s="145" t="s">
        <v>2634</v>
      </c>
      <c r="DS38" s="286" t="s">
        <v>1802</v>
      </c>
      <c r="DT38" s="383" t="str">
        <f>HYPERLINK("https://twitter.com/Qbe_Root/status/1241798344797798402","11.27")</f>
        <v>11.27</v>
      </c>
      <c r="DU38" s="204" t="s">
        <v>2635</v>
      </c>
      <c r="DV38" s="145" t="s">
        <v>2636</v>
      </c>
      <c r="DW38" s="257"/>
      <c r="DX38" s="145" t="s">
        <v>1770</v>
      </c>
      <c r="DY38" s="204" t="s">
        <v>1854</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1563</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2336</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1592</v>
      </c>
      <c r="BJ39" s="88" t="s">
        <v>151</v>
      </c>
      <c r="BK39" s="94" t="s">
        <v>2657</v>
      </c>
      <c r="BL39" s="94" t="s">
        <v>2658</v>
      </c>
      <c r="BM39" s="99"/>
      <c r="BN39" s="99"/>
      <c r="BO39" s="99"/>
      <c r="BP39" s="99"/>
      <c r="BQ39" s="236"/>
      <c r="BR39" s="88" t="s">
        <v>2659</v>
      </c>
      <c r="BS39" s="94" t="s">
        <v>2214</v>
      </c>
      <c r="BT39" s="94" t="s">
        <v>2660</v>
      </c>
      <c r="BU39" s="94" t="s">
        <v>2661</v>
      </c>
      <c r="BV39" s="94" t="s">
        <v>457</v>
      </c>
      <c r="BW39" s="88" t="s">
        <v>1165</v>
      </c>
      <c r="BX39" s="88" t="s">
        <v>2662</v>
      </c>
      <c r="BY39" s="94" t="s">
        <v>2663</v>
      </c>
      <c r="BZ39" s="99"/>
      <c r="CA39" s="94" t="s">
        <v>2664</v>
      </c>
      <c r="CB39" s="99"/>
      <c r="CC39" s="99"/>
      <c r="CD39" s="99"/>
      <c r="CE39" s="99"/>
      <c r="CF39" s="236"/>
      <c r="CG39" s="94" t="s">
        <v>2490</v>
      </c>
      <c r="CH39" s="94" t="s">
        <v>2665</v>
      </c>
      <c r="CI39" s="94" t="s">
        <v>2666</v>
      </c>
      <c r="CJ39" s="88" t="s">
        <v>2667</v>
      </c>
      <c r="CK39" s="102"/>
      <c r="CL39" s="102" t="s">
        <v>1861</v>
      </c>
      <c r="CM39" s="94" t="s">
        <v>931</v>
      </c>
      <c r="CN39" s="94" t="s">
        <v>2325</v>
      </c>
      <c r="CO39" s="94" t="s">
        <v>2004</v>
      </c>
      <c r="CP39" s="99"/>
      <c r="CQ39" s="99"/>
      <c r="CR39" s="99"/>
      <c r="CS39" s="99"/>
      <c r="CT39" s="99"/>
      <c r="CU39" s="92"/>
      <c r="CV39" s="88" t="s">
        <v>2668</v>
      </c>
      <c r="CW39" s="94" t="s">
        <v>2669</v>
      </c>
      <c r="CX39" s="94" t="s">
        <v>245</v>
      </c>
      <c r="CY39" s="94" t="s">
        <v>2670</v>
      </c>
      <c r="CZ39" s="94" t="s">
        <v>1482</v>
      </c>
      <c r="DA39" s="94" t="s">
        <v>1985</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2204</v>
      </c>
      <c r="AB40" s="197" t="s">
        <v>718</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1757</v>
      </c>
      <c r="AZ40" s="168" t="s">
        <v>2694</v>
      </c>
      <c r="BA40" s="168"/>
      <c r="BB40" s="173"/>
      <c r="BC40" s="174"/>
      <c r="BD40" s="174" t="s">
        <v>2695</v>
      </c>
      <c r="BE40" s="174" t="s">
        <v>2696</v>
      </c>
      <c r="BF40" s="174" t="s">
        <v>2697</v>
      </c>
      <c r="BG40" s="174" t="s">
        <v>2698</v>
      </c>
      <c r="BH40" s="174"/>
      <c r="BI40" s="174" t="s">
        <v>2052</v>
      </c>
      <c r="BJ40" s="173"/>
      <c r="BK40" s="126" t="s">
        <v>2699</v>
      </c>
      <c r="BL40" s="174" t="s">
        <v>800</v>
      </c>
      <c r="BM40" s="174" t="s">
        <v>2256</v>
      </c>
      <c r="BN40" s="174" t="s">
        <v>2700</v>
      </c>
      <c r="BO40" s="174" t="s">
        <v>2701</v>
      </c>
      <c r="BP40" s="174" t="s">
        <v>2702</v>
      </c>
      <c r="BQ40" s="292"/>
      <c r="BR40" s="175" t="s">
        <v>2703</v>
      </c>
      <c r="BS40" s="175" t="s">
        <v>2214</v>
      </c>
      <c r="BT40" s="175" t="s">
        <v>2704</v>
      </c>
      <c r="BU40" s="129" t="s">
        <v>728</v>
      </c>
      <c r="BV40" s="251"/>
      <c r="BW40" s="175" t="s">
        <v>2705</v>
      </c>
      <c r="BX40" s="251"/>
      <c r="BY40" s="175" t="s">
        <v>2706</v>
      </c>
      <c r="BZ40" s="175" t="s">
        <v>2707</v>
      </c>
      <c r="CA40" s="175" t="s">
        <v>2633</v>
      </c>
      <c r="CB40" s="251"/>
      <c r="CC40" s="175" t="s">
        <v>169</v>
      </c>
      <c r="CD40" s="175" t="s">
        <v>199</v>
      </c>
      <c r="CE40" s="176" t="s">
        <v>2708</v>
      </c>
      <c r="CF40" s="385"/>
      <c r="CG40" s="135" t="s">
        <v>792</v>
      </c>
      <c r="CH40" s="177" t="s">
        <v>261</v>
      </c>
      <c r="CI40" s="177" t="s">
        <v>2709</v>
      </c>
      <c r="CJ40" s="177" t="s">
        <v>2710</v>
      </c>
      <c r="CK40" s="177"/>
      <c r="CL40" s="177"/>
      <c r="CM40" s="177" t="s">
        <v>2711</v>
      </c>
      <c r="CN40" s="386" t="s">
        <v>1895</v>
      </c>
      <c r="CO40" s="132" t="str">
        <f>HYPERLINK("https://www.youtube.com/watch?v=X66lFoaVyLY","15.60")</f>
        <v>15.60</v>
      </c>
      <c r="CP40" s="254"/>
      <c r="CQ40" s="254"/>
      <c r="CR40" s="254"/>
      <c r="CS40" s="254"/>
      <c r="CT40" s="177" t="s">
        <v>2712</v>
      </c>
      <c r="CU40" s="92"/>
      <c r="CV40" s="140" t="s">
        <v>2713</v>
      </c>
      <c r="CW40" s="203" t="s">
        <v>1786</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1568</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2053</v>
      </c>
      <c r="J41" s="389" t="s">
        <v>653</v>
      </c>
      <c r="K41" s="389" t="s">
        <v>2729</v>
      </c>
      <c r="L41" s="389" t="s">
        <v>2730</v>
      </c>
      <c r="M41" s="389" t="s">
        <v>2731</v>
      </c>
      <c r="N41" s="389" t="s">
        <v>2732</v>
      </c>
      <c r="O41" s="389" t="s">
        <v>1567</v>
      </c>
      <c r="P41" s="389" t="s">
        <v>2547</v>
      </c>
      <c r="Q41" s="389" t="s">
        <v>342</v>
      </c>
      <c r="R41" s="390"/>
      <c r="S41" s="391" t="s">
        <v>2733</v>
      </c>
      <c r="T41" s="390"/>
      <c r="U41" s="390"/>
      <c r="V41" s="389" t="s">
        <v>2734</v>
      </c>
      <c r="W41" s="186"/>
      <c r="X41" s="389" t="s">
        <v>2003</v>
      </c>
      <c r="Y41" s="392" t="s">
        <v>872</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825</v>
      </c>
      <c r="AO41" s="88" t="s">
        <v>2744</v>
      </c>
      <c r="AP41" s="88" t="s">
        <v>2745</v>
      </c>
      <c r="AQ41" s="88" t="s">
        <v>2746</v>
      </c>
      <c r="AR41" s="88" t="s">
        <v>807</v>
      </c>
      <c r="AS41" s="88" t="s">
        <v>1217</v>
      </c>
      <c r="AT41" s="88" t="s">
        <v>2747</v>
      </c>
      <c r="AU41" s="389" t="s">
        <v>2748</v>
      </c>
      <c r="AV41" s="389" t="s">
        <v>1396</v>
      </c>
      <c r="AW41" s="391" t="s">
        <v>2749</v>
      </c>
      <c r="AX41" s="390"/>
      <c r="AY41" s="390"/>
      <c r="AZ41" s="88" t="s">
        <v>2750</v>
      </c>
      <c r="BA41" s="191"/>
      <c r="BB41" s="389" t="s">
        <v>2751</v>
      </c>
      <c r="BC41" s="389" t="s">
        <v>1188</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2060</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1936</v>
      </c>
      <c r="CY41" s="389" t="s">
        <v>1114</v>
      </c>
      <c r="CZ41" s="389" t="s">
        <v>1002</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1993</v>
      </c>
      <c r="DV41" s="88" t="s">
        <v>659</v>
      </c>
      <c r="DW41" s="88" t="s">
        <v>1629</v>
      </c>
      <c r="DX41" s="390"/>
      <c r="DY41" s="390"/>
      <c r="DZ41" s="390"/>
      <c r="EA41" s="389" t="s">
        <v>2788</v>
      </c>
      <c r="EB41" s="88" t="s">
        <v>2425</v>
      </c>
      <c r="EC41" s="88" t="s">
        <v>1123</v>
      </c>
      <c r="ED41" s="88" t="s">
        <v>218</v>
      </c>
    </row>
    <row r="42">
      <c r="A42" s="394" t="s">
        <v>2789</v>
      </c>
      <c r="B42" s="104" t="s">
        <v>2790</v>
      </c>
      <c r="C42" s="105" t="s">
        <v>1259</v>
      </c>
      <c r="D42" s="106" t="s">
        <v>1259</v>
      </c>
      <c r="E42" s="107" t="s">
        <v>1259</v>
      </c>
      <c r="F42" s="108" t="s">
        <v>2192</v>
      </c>
      <c r="G42" s="104" t="s">
        <v>2573</v>
      </c>
      <c r="H42" s="243"/>
      <c r="I42" s="112" t="s">
        <v>2791</v>
      </c>
      <c r="J42" s="112" t="s">
        <v>2792</v>
      </c>
      <c r="K42" s="112" t="s">
        <v>1563</v>
      </c>
      <c r="L42" s="112" t="s">
        <v>2793</v>
      </c>
      <c r="M42" s="112" t="s">
        <v>2794</v>
      </c>
      <c r="N42" s="112" t="s">
        <v>2795</v>
      </c>
      <c r="O42" s="112" t="s">
        <v>2796</v>
      </c>
      <c r="P42" s="112" t="s">
        <v>2547</v>
      </c>
      <c r="Q42" s="243"/>
      <c r="R42" s="112" t="s">
        <v>2797</v>
      </c>
      <c r="S42" s="112" t="s">
        <v>1367</v>
      </c>
      <c r="T42" s="243"/>
      <c r="U42" s="243"/>
      <c r="V42" s="112" t="s">
        <v>2798</v>
      </c>
      <c r="W42" s="92"/>
      <c r="X42" s="116" t="s">
        <v>2799</v>
      </c>
      <c r="Y42" s="269"/>
      <c r="Z42" s="116" t="s">
        <v>2800</v>
      </c>
      <c r="AA42" s="116" t="s">
        <v>2801</v>
      </c>
      <c r="AB42" s="116" t="s">
        <v>2802</v>
      </c>
      <c r="AC42" s="116" t="s">
        <v>2534</v>
      </c>
      <c r="AD42" s="116" t="s">
        <v>2036</v>
      </c>
      <c r="AE42" s="245"/>
      <c r="AF42" s="196" t="s">
        <v>1189</v>
      </c>
      <c r="AG42" s="116" t="s">
        <v>2740</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2397</v>
      </c>
      <c r="BD42" s="126" t="s">
        <v>2752</v>
      </c>
      <c r="BE42" s="126" t="s">
        <v>1163</v>
      </c>
      <c r="BF42" s="126" t="s">
        <v>2807</v>
      </c>
      <c r="BG42" s="126" t="s">
        <v>262</v>
      </c>
      <c r="BH42" s="173"/>
      <c r="BI42" s="174" t="s">
        <v>2052</v>
      </c>
      <c r="BJ42" s="174" t="s">
        <v>2808</v>
      </c>
      <c r="BK42" s="174"/>
      <c r="BL42" s="126" t="s">
        <v>2809</v>
      </c>
      <c r="BM42" s="173"/>
      <c r="BN42" s="173"/>
      <c r="BO42" s="173"/>
      <c r="BP42" s="126" t="s">
        <v>2810</v>
      </c>
      <c r="BQ42" s="248"/>
      <c r="BR42" s="129" t="s">
        <v>2811</v>
      </c>
      <c r="BS42" s="129" t="s">
        <v>776</v>
      </c>
      <c r="BT42" s="129" t="s">
        <v>2812</v>
      </c>
      <c r="BU42" s="129" t="s">
        <v>2813</v>
      </c>
      <c r="BV42" s="129" t="s">
        <v>2814</v>
      </c>
      <c r="BW42" s="129" t="s">
        <v>2815</v>
      </c>
      <c r="BX42" s="251"/>
      <c r="BY42" s="175" t="s">
        <v>2816</v>
      </c>
      <c r="BZ42" s="129" t="s">
        <v>2817</v>
      </c>
      <c r="CA42" s="129" t="s">
        <v>789</v>
      </c>
      <c r="CB42" s="129" t="s">
        <v>2818</v>
      </c>
      <c r="CC42" s="129" t="s">
        <v>2819</v>
      </c>
      <c r="CD42" s="129" t="s">
        <v>482</v>
      </c>
      <c r="CE42" s="251"/>
      <c r="CF42" s="252"/>
      <c r="CG42" s="135" t="s">
        <v>2820</v>
      </c>
      <c r="CH42" s="135" t="s">
        <v>2337</v>
      </c>
      <c r="CI42" s="135" t="s">
        <v>2656</v>
      </c>
      <c r="CJ42" s="135" t="s">
        <v>2821</v>
      </c>
      <c r="CK42" s="136"/>
      <c r="CL42" s="135" t="s">
        <v>2822</v>
      </c>
      <c r="CM42" s="135" t="s">
        <v>1687</v>
      </c>
      <c r="CN42" s="135" t="s">
        <v>2823</v>
      </c>
      <c r="CO42" s="135" t="s">
        <v>2824</v>
      </c>
      <c r="CP42" s="254"/>
      <c r="CQ42" s="135" t="s">
        <v>2456</v>
      </c>
      <c r="CR42" s="254"/>
      <c r="CS42" s="135" t="s">
        <v>2825</v>
      </c>
      <c r="CT42" s="135" t="s">
        <v>2826</v>
      </c>
      <c r="CU42" s="92"/>
      <c r="CV42" s="140" t="s">
        <v>2827</v>
      </c>
      <c r="CW42" s="140" t="s">
        <v>188</v>
      </c>
      <c r="CX42" s="282" t="s">
        <v>612</v>
      </c>
      <c r="CY42" s="140" t="s">
        <v>1323</v>
      </c>
      <c r="CZ42" s="140" t="s">
        <v>2102</v>
      </c>
      <c r="DA42" s="140" t="s">
        <v>2337</v>
      </c>
      <c r="DB42" s="140" t="s">
        <v>2828</v>
      </c>
      <c r="DC42" s="140" t="s">
        <v>1215</v>
      </c>
      <c r="DD42" s="255"/>
      <c r="DE42" s="255"/>
      <c r="DF42" s="140" t="s">
        <v>2829</v>
      </c>
      <c r="DG42" s="140" t="s">
        <v>2830</v>
      </c>
      <c r="DH42" s="256"/>
      <c r="DI42" s="145" t="s">
        <v>925</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2340</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807</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1229</v>
      </c>
      <c r="AK43" s="149" t="s">
        <v>2856</v>
      </c>
      <c r="AL43" s="159"/>
      <c r="AM43" s="94" t="s">
        <v>2857</v>
      </c>
      <c r="AN43" s="163" t="s">
        <v>2858</v>
      </c>
      <c r="AO43" s="94" t="s">
        <v>2859</v>
      </c>
      <c r="AP43" s="153" t="s">
        <v>2860</v>
      </c>
      <c r="AQ43" s="354"/>
      <c r="AR43" s="354"/>
      <c r="AS43" s="153" t="s">
        <v>1010</v>
      </c>
      <c r="AT43" s="163" t="s">
        <v>750</v>
      </c>
      <c r="AU43" s="94" t="s">
        <v>1215</v>
      </c>
      <c r="AV43" s="397" t="str">
        <f>HYPERLINK("https://www.youtube.com/watch?v=I53jRzHVHbs","25.78")</f>
        <v>25.78</v>
      </c>
      <c r="AW43" s="153" t="s">
        <v>893</v>
      </c>
      <c r="AX43" s="354"/>
      <c r="AY43" s="153" t="s">
        <v>2861</v>
      </c>
      <c r="AZ43" s="149" t="s">
        <v>142</v>
      </c>
      <c r="BA43" s="164"/>
      <c r="BB43" s="94" t="s">
        <v>2862</v>
      </c>
      <c r="BC43" s="163" t="s">
        <v>2863</v>
      </c>
      <c r="BD43" s="163" t="s">
        <v>1290</v>
      </c>
      <c r="BE43" s="153" t="s">
        <v>2532</v>
      </c>
      <c r="BF43" s="165" t="s">
        <v>2864</v>
      </c>
      <c r="BG43" s="163" t="s">
        <v>1787</v>
      </c>
      <c r="BH43" s="94" t="s">
        <v>2865</v>
      </c>
      <c r="BI43" s="163" t="s">
        <v>411</v>
      </c>
      <c r="BJ43" s="99"/>
      <c r="BK43" s="153" t="s">
        <v>2866</v>
      </c>
      <c r="BL43" s="163" t="s">
        <v>2756</v>
      </c>
      <c r="BM43" s="89" t="s">
        <v>2867</v>
      </c>
      <c r="BN43" s="396" t="str">
        <f>HYPERLINK("https://youtu.be/PNHoaVHANBk","42.06")</f>
        <v>42.06</v>
      </c>
      <c r="BO43" s="163" t="s">
        <v>887</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713</v>
      </c>
      <c r="CD43" s="398" t="s">
        <v>1092</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1952</v>
      </c>
      <c r="DU43" s="163" t="s">
        <v>2894</v>
      </c>
      <c r="DV43" s="153" t="s">
        <v>2895</v>
      </c>
      <c r="DW43" s="153" t="s">
        <v>2896</v>
      </c>
      <c r="DX43" s="354"/>
      <c r="DY43" s="163" t="s">
        <v>2897</v>
      </c>
      <c r="DZ43" s="163" t="s">
        <v>2898</v>
      </c>
      <c r="EA43" s="163" t="s">
        <v>2899</v>
      </c>
      <c r="EB43" s="163" t="s">
        <v>1870</v>
      </c>
      <c r="EC43" s="163" t="s">
        <v>1497</v>
      </c>
      <c r="ED43" s="259" t="s">
        <v>2900</v>
      </c>
    </row>
    <row r="44">
      <c r="A44" s="166" t="s">
        <v>2901</v>
      </c>
      <c r="B44" s="104" t="s">
        <v>2902</v>
      </c>
      <c r="C44" s="105" t="s">
        <v>1259</v>
      </c>
      <c r="D44" s="106" t="s">
        <v>1259</v>
      </c>
      <c r="E44" s="107" t="s">
        <v>1259</v>
      </c>
      <c r="F44" s="108" t="s">
        <v>2903</v>
      </c>
      <c r="G44" s="104" t="s">
        <v>2429</v>
      </c>
      <c r="H44" s="243"/>
      <c r="I44" s="167" t="s">
        <v>1202</v>
      </c>
      <c r="J44" s="112" t="s">
        <v>2904</v>
      </c>
      <c r="K44" s="400" t="s">
        <v>1730</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759</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26" t="s">
        <v>2913</v>
      </c>
      <c r="BC44" s="174" t="s">
        <v>1160</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29" t="s">
        <v>2482</v>
      </c>
      <c r="BU44" s="175" t="s">
        <v>2918</v>
      </c>
      <c r="BV44" s="175" t="s">
        <v>696</v>
      </c>
      <c r="BW44" s="175" t="s">
        <v>1924</v>
      </c>
      <c r="BX44" s="129" t="s">
        <v>2919</v>
      </c>
      <c r="BY44" s="129" t="s">
        <v>2920</v>
      </c>
      <c r="BZ44" s="251"/>
      <c r="CA44" s="175" t="s">
        <v>1028</v>
      </c>
      <c r="CB44" s="251"/>
      <c r="CC44" s="251"/>
      <c r="CD44" s="251"/>
      <c r="CE44" s="251"/>
      <c r="CF44" s="252"/>
      <c r="CG44" s="135" t="s">
        <v>172</v>
      </c>
      <c r="CH44" s="295" t="s">
        <v>851</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770</v>
      </c>
      <c r="CY44" s="140" t="s">
        <v>2324</v>
      </c>
      <c r="CZ44" s="140" t="s">
        <v>660</v>
      </c>
      <c r="DA44" s="203" t="s">
        <v>1380</v>
      </c>
      <c r="DB44" s="140" t="s">
        <v>2925</v>
      </c>
      <c r="DC44" s="203" t="s">
        <v>1945</v>
      </c>
      <c r="DD44" s="255"/>
      <c r="DE44" s="255"/>
      <c r="DF44" s="255"/>
      <c r="DG44" s="255"/>
      <c r="DH44" s="256"/>
      <c r="DI44" s="204" t="s">
        <v>1547</v>
      </c>
      <c r="DJ44" s="257"/>
      <c r="DK44" s="257"/>
      <c r="DL44" s="257"/>
      <c r="DM44" s="257"/>
      <c r="DN44" s="257"/>
      <c r="DO44" s="257"/>
      <c r="DP44" s="257"/>
      <c r="DQ44" s="257"/>
      <c r="DR44" s="145" t="s">
        <v>2926</v>
      </c>
      <c r="DS44" s="204" t="s">
        <v>2927</v>
      </c>
      <c r="DT44" s="257"/>
      <c r="DU44" s="257"/>
      <c r="DV44" s="257"/>
      <c r="DW44" s="257"/>
      <c r="DX44" s="257"/>
      <c r="DY44" s="257"/>
      <c r="DZ44" s="257"/>
      <c r="EA44" s="257"/>
      <c r="EB44" s="257"/>
      <c r="EC44" s="257"/>
      <c r="ED44" s="401"/>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2871</v>
      </c>
      <c r="BX45" s="94" t="s">
        <v>2844</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2879</v>
      </c>
      <c r="CX45" s="93" t="s">
        <v>1143</v>
      </c>
      <c r="CY45" s="94" t="s">
        <v>2975</v>
      </c>
      <c r="CZ45" s="94" t="s">
        <v>2976</v>
      </c>
      <c r="DA45" s="94" t="s">
        <v>737</v>
      </c>
      <c r="DB45" s="94" t="s">
        <v>2977</v>
      </c>
      <c r="DC45" s="94" t="s">
        <v>2395</v>
      </c>
      <c r="DD45" s="98" t="str">
        <f>HYPERLINK("https://youtu.be/BJNJgSLnXTM","1:18.10")</f>
        <v>1:18.10</v>
      </c>
      <c r="DE45" s="94" t="s">
        <v>2978</v>
      </c>
      <c r="DF45" s="93" t="s">
        <v>2894</v>
      </c>
      <c r="DG45" s="98" t="s">
        <v>1919</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2" t="s">
        <v>2985</v>
      </c>
      <c r="B46" s="104" t="s">
        <v>2986</v>
      </c>
      <c r="C46" s="105" t="s">
        <v>1259</v>
      </c>
      <c r="D46" s="106" t="s">
        <v>1259</v>
      </c>
      <c r="E46" s="107" t="s">
        <v>1259</v>
      </c>
      <c r="F46" s="108" t="s">
        <v>2987</v>
      </c>
      <c r="G46" s="104" t="s">
        <v>2988</v>
      </c>
      <c r="H46" s="167" t="s">
        <v>2989</v>
      </c>
      <c r="I46" s="167" t="s">
        <v>2773</v>
      </c>
      <c r="J46" s="167" t="s">
        <v>2990</v>
      </c>
      <c r="K46" s="112" t="s">
        <v>1886</v>
      </c>
      <c r="L46" s="400" t="s">
        <v>346</v>
      </c>
      <c r="M46" s="112" t="s">
        <v>947</v>
      </c>
      <c r="N46" s="112" t="s">
        <v>2991</v>
      </c>
      <c r="O46" s="112" t="s">
        <v>2648</v>
      </c>
      <c r="P46" s="112" t="s">
        <v>1568</v>
      </c>
      <c r="Q46" s="403" t="s">
        <v>2992</v>
      </c>
      <c r="R46" s="404" t="s">
        <v>1306</v>
      </c>
      <c r="S46" s="112" t="s">
        <v>112</v>
      </c>
      <c r="T46" s="400"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2847</v>
      </c>
      <c r="AK46" s="197" t="s">
        <v>2477</v>
      </c>
      <c r="AL46" s="97"/>
      <c r="AM46" s="168" t="s">
        <v>850</v>
      </c>
      <c r="AN46" s="121" t="s">
        <v>2882</v>
      </c>
      <c r="AO46" s="168" t="s">
        <v>3000</v>
      </c>
      <c r="AP46" s="168" t="s">
        <v>3001</v>
      </c>
      <c r="AQ46" s="168" t="s">
        <v>3002</v>
      </c>
      <c r="AR46" s="405" t="s">
        <v>3003</v>
      </c>
      <c r="AS46" s="168" t="s">
        <v>3004</v>
      </c>
      <c r="AT46" s="121" t="s">
        <v>1313</v>
      </c>
      <c r="AU46" s="168" t="s">
        <v>1581</v>
      </c>
      <c r="AV46" s="168" t="s">
        <v>1054</v>
      </c>
      <c r="AW46" s="168" t="s">
        <v>3005</v>
      </c>
      <c r="AX46" s="168" t="s">
        <v>1527</v>
      </c>
      <c r="AY46" s="168" t="s">
        <v>994</v>
      </c>
      <c r="AZ46" s="405" t="s">
        <v>3006</v>
      </c>
      <c r="BA46" s="405"/>
      <c r="BB46" s="126" t="s">
        <v>2799</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2635</v>
      </c>
      <c r="DV46" s="204" t="s">
        <v>3047</v>
      </c>
      <c r="DW46" s="204" t="s">
        <v>3048</v>
      </c>
      <c r="DX46" s="204" t="s">
        <v>3049</v>
      </c>
      <c r="DY46" s="204" t="s">
        <v>1082</v>
      </c>
      <c r="DZ46" s="145" t="s">
        <v>3050</v>
      </c>
      <c r="EA46" s="204" t="s">
        <v>2326</v>
      </c>
      <c r="EB46" s="204" t="s">
        <v>1520</v>
      </c>
      <c r="EC46" s="204" t="s">
        <v>934</v>
      </c>
      <c r="ED46" s="286" t="s">
        <v>3051</v>
      </c>
    </row>
    <row r="47">
      <c r="A47" s="406"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07"/>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08"/>
      <c r="BR47" s="354"/>
      <c r="BS47" s="354" t="s">
        <v>2865</v>
      </c>
      <c r="BT47" s="354" t="s">
        <v>3071</v>
      </c>
      <c r="BU47" s="354" t="s">
        <v>3072</v>
      </c>
      <c r="BV47" s="354" t="s">
        <v>1915</v>
      </c>
      <c r="BW47" s="354" t="s">
        <v>3073</v>
      </c>
      <c r="BX47" s="354" t="s">
        <v>3074</v>
      </c>
      <c r="BY47" s="354" t="s">
        <v>3075</v>
      </c>
      <c r="BZ47" s="354" t="s">
        <v>3076</v>
      </c>
      <c r="CA47" s="354" t="s">
        <v>942</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880</v>
      </c>
      <c r="CX47" s="222" t="s">
        <v>3083</v>
      </c>
      <c r="CY47" s="354" t="s">
        <v>2884</v>
      </c>
      <c r="CZ47" s="354"/>
      <c r="DA47" s="354"/>
      <c r="DB47" s="352" t="s">
        <v>3084</v>
      </c>
      <c r="DC47" s="354" t="s">
        <v>1703</v>
      </c>
      <c r="DD47" s="354"/>
      <c r="DE47" s="354"/>
      <c r="DF47" s="354"/>
      <c r="DG47" s="354"/>
      <c r="DH47" s="408"/>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09"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2666</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12" t="s">
        <v>3188</v>
      </c>
      <c r="B50" s="104" t="s">
        <v>3189</v>
      </c>
      <c r="C50" s="105" t="s">
        <v>1259</v>
      </c>
      <c r="D50" s="106" t="s">
        <v>1259</v>
      </c>
      <c r="E50" s="107" t="s">
        <v>1259</v>
      </c>
      <c r="F50" s="108" t="s">
        <v>1726</v>
      </c>
      <c r="G50" s="104" t="s">
        <v>3190</v>
      </c>
      <c r="H50" s="112" t="s">
        <v>3191</v>
      </c>
      <c r="I50" s="345" t="s">
        <v>2304</v>
      </c>
      <c r="J50" s="112" t="s">
        <v>994</v>
      </c>
      <c r="K50" s="400" t="s">
        <v>2842</v>
      </c>
      <c r="L50" s="400" t="s">
        <v>2525</v>
      </c>
      <c r="M50" s="112" t="s">
        <v>3192</v>
      </c>
      <c r="N50" s="413" t="s">
        <v>3193</v>
      </c>
      <c r="O50" s="400" t="s">
        <v>3194</v>
      </c>
      <c r="P50" s="112" t="s">
        <v>2547</v>
      </c>
      <c r="Q50" s="400" t="s">
        <v>3195</v>
      </c>
      <c r="R50" s="243"/>
      <c r="S50" s="167" t="s">
        <v>560</v>
      </c>
      <c r="T50" s="243"/>
      <c r="U50" s="400" t="s">
        <v>1220</v>
      </c>
      <c r="V50" s="400" t="s">
        <v>3196</v>
      </c>
      <c r="W50" s="92"/>
      <c r="X50" s="116" t="s">
        <v>1618</v>
      </c>
      <c r="Y50" s="269"/>
      <c r="Z50" s="116" t="s">
        <v>3197</v>
      </c>
      <c r="AA50" s="380" t="s">
        <v>406</v>
      </c>
      <c r="AB50" s="116" t="s">
        <v>3198</v>
      </c>
      <c r="AC50" s="116" t="s">
        <v>427</v>
      </c>
      <c r="AD50" s="116" t="s">
        <v>2864</v>
      </c>
      <c r="AE50" s="245"/>
      <c r="AF50" s="116" t="s">
        <v>1213</v>
      </c>
      <c r="AG50" s="116" t="s">
        <v>2473</v>
      </c>
      <c r="AH50" s="245"/>
      <c r="AI50" s="245"/>
      <c r="AJ50" s="116" t="s">
        <v>3035</v>
      </c>
      <c r="AK50" s="269" t="s">
        <v>2707</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2717</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14" t="s">
        <v>1364</v>
      </c>
      <c r="DV50" s="145" t="s">
        <v>2350</v>
      </c>
      <c r="DW50" s="204" t="s">
        <v>2896</v>
      </c>
      <c r="DX50" s="204" t="s">
        <v>2423</v>
      </c>
      <c r="DY50" s="204" t="s">
        <v>3244</v>
      </c>
      <c r="DZ50" s="204" t="s">
        <v>3245</v>
      </c>
      <c r="EA50" s="414"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2729</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2775</v>
      </c>
      <c r="BW51" s="270" t="s">
        <v>3269</v>
      </c>
      <c r="BX51" s="94" t="s">
        <v>456</v>
      </c>
      <c r="BY51" s="265" t="s">
        <v>3270</v>
      </c>
      <c r="BZ51" s="162" t="s">
        <v>3271</v>
      </c>
      <c r="CA51" s="162" t="s">
        <v>789</v>
      </c>
      <c r="CB51" s="99"/>
      <c r="CC51" s="99"/>
      <c r="CD51" s="94" t="s">
        <v>2951</v>
      </c>
      <c r="CE51" s="99"/>
      <c r="CF51" s="236"/>
      <c r="CG51" s="94" t="s">
        <v>3272</v>
      </c>
      <c r="CH51" s="88" t="s">
        <v>2691</v>
      </c>
      <c r="CI51" s="162" t="s">
        <v>3273</v>
      </c>
      <c r="CJ51" s="94" t="s">
        <v>3274</v>
      </c>
      <c r="CK51" s="94"/>
      <c r="CL51" s="415"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16"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2918</v>
      </c>
      <c r="CB53" s="99"/>
      <c r="CC53" s="99"/>
      <c r="CD53" s="99"/>
      <c r="CE53" s="99"/>
      <c r="CF53" s="236"/>
      <c r="CG53" s="88" t="s">
        <v>1002</v>
      </c>
      <c r="CH53" s="94" t="s">
        <v>1452</v>
      </c>
      <c r="CI53" s="88" t="s">
        <v>608</v>
      </c>
      <c r="CJ53" s="94" t="s">
        <v>3360</v>
      </c>
      <c r="CK53" s="94"/>
      <c r="CL53" s="94" t="s">
        <v>2249</v>
      </c>
      <c r="CM53" s="94" t="s">
        <v>3361</v>
      </c>
      <c r="CN53" s="88" t="s">
        <v>2189</v>
      </c>
      <c r="CO53" s="94" t="s">
        <v>1581</v>
      </c>
      <c r="CP53" s="99"/>
      <c r="CQ53" s="99"/>
      <c r="CR53" s="99"/>
      <c r="CS53" s="99"/>
      <c r="CT53" s="99"/>
      <c r="CU53" s="92"/>
      <c r="CV53" s="89" t="s">
        <v>2039</v>
      </c>
      <c r="CW53" s="94" t="s">
        <v>3027</v>
      </c>
      <c r="CX53" s="88" t="s">
        <v>1077</v>
      </c>
      <c r="CY53" s="88" t="s">
        <v>718</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744</v>
      </c>
      <c r="BC54" s="174" t="s">
        <v>3381</v>
      </c>
      <c r="BD54" s="174" t="s">
        <v>1290</v>
      </c>
      <c r="BE54" s="200" t="s">
        <v>861</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1882</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1014</v>
      </c>
      <c r="AW55" s="99"/>
      <c r="AX55" s="99"/>
      <c r="AY55" s="162" t="s">
        <v>3166</v>
      </c>
      <c r="AZ55" s="99"/>
      <c r="BA55" s="99"/>
      <c r="BB55" s="94" t="s">
        <v>3412</v>
      </c>
      <c r="BC55" s="94" t="s">
        <v>1160</v>
      </c>
      <c r="BD55" s="94" t="s">
        <v>2326</v>
      </c>
      <c r="BE55" s="88" t="s">
        <v>1306</v>
      </c>
      <c r="BF55" s="94" t="s">
        <v>3413</v>
      </c>
      <c r="BG55" s="99"/>
      <c r="BH55" s="99"/>
      <c r="BI55" s="94" t="s">
        <v>267</v>
      </c>
      <c r="BJ55" s="99"/>
      <c r="BK55" s="94" t="s">
        <v>3414</v>
      </c>
      <c r="BL55" s="265" t="s">
        <v>617</v>
      </c>
      <c r="BM55" s="99"/>
      <c r="BN55" s="99"/>
      <c r="BO55" s="99"/>
      <c r="BP55" s="99"/>
      <c r="BQ55" s="236"/>
      <c r="BR55" s="94" t="s">
        <v>782</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3028</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1259</v>
      </c>
      <c r="F56" s="108" t="s">
        <v>440</v>
      </c>
      <c r="G56" s="104" t="s">
        <v>3432</v>
      </c>
      <c r="H56" s="167" t="s">
        <v>2214</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2125</v>
      </c>
      <c r="Y56" s="197"/>
      <c r="Z56" s="197" t="s">
        <v>1273</v>
      </c>
      <c r="AA56" s="197" t="s">
        <v>1828</v>
      </c>
      <c r="AB56" s="197" t="s">
        <v>3059</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751</v>
      </c>
      <c r="AZ56" s="246"/>
      <c r="BA56" s="246"/>
      <c r="BB56" s="174" t="s">
        <v>3442</v>
      </c>
      <c r="BC56" s="174" t="s">
        <v>2159</v>
      </c>
      <c r="BD56" s="174" t="s">
        <v>3154</v>
      </c>
      <c r="BE56" s="174" t="s">
        <v>3443</v>
      </c>
      <c r="BF56" s="174" t="s">
        <v>3444</v>
      </c>
      <c r="BG56" s="247" t="s">
        <v>2391</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890</v>
      </c>
      <c r="BV56" s="175" t="s">
        <v>3450</v>
      </c>
      <c r="BW56" s="175" t="s">
        <v>3451</v>
      </c>
      <c r="BX56" s="251"/>
      <c r="BY56" s="251"/>
      <c r="BZ56" s="175" t="s">
        <v>3452</v>
      </c>
      <c r="CA56" s="251"/>
      <c r="CB56" s="251"/>
      <c r="CC56" s="251"/>
      <c r="CD56" s="251"/>
      <c r="CE56" s="251"/>
      <c r="CF56" s="252"/>
      <c r="CG56" s="177" t="s">
        <v>3349</v>
      </c>
      <c r="CH56" s="177" t="s">
        <v>1108</v>
      </c>
      <c r="CI56" s="177" t="s">
        <v>1933</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1259</v>
      </c>
      <c r="D57" s="84" t="s">
        <v>1259</v>
      </c>
      <c r="E57" s="85" t="s">
        <v>1259</v>
      </c>
      <c r="F57" s="86" t="s">
        <v>648</v>
      </c>
      <c r="G57" s="82" t="s">
        <v>3284</v>
      </c>
      <c r="H57" s="102" t="s">
        <v>3467</v>
      </c>
      <c r="I57" s="95" t="s">
        <v>3468</v>
      </c>
      <c r="J57" s="102" t="s">
        <v>3469</v>
      </c>
      <c r="K57" s="102" t="s">
        <v>1886</v>
      </c>
      <c r="L57" s="88" t="s">
        <v>2843</v>
      </c>
      <c r="M57" s="102" t="s">
        <v>3470</v>
      </c>
      <c r="N57" s="102" t="s">
        <v>3471</v>
      </c>
      <c r="O57" s="102" t="s">
        <v>3472</v>
      </c>
      <c r="P57" s="102" t="s">
        <v>2547</v>
      </c>
      <c r="Q57" s="94" t="s">
        <v>3473</v>
      </c>
      <c r="R57" s="99"/>
      <c r="S57" s="94" t="s">
        <v>836</v>
      </c>
      <c r="T57" s="99"/>
      <c r="U57" s="94" t="s">
        <v>1834</v>
      </c>
      <c r="V57" s="94" t="s">
        <v>3474</v>
      </c>
      <c r="W57" s="92"/>
      <c r="X57" s="102" t="s">
        <v>1223</v>
      </c>
      <c r="Y57" s="102"/>
      <c r="Z57" s="102" t="s">
        <v>3475</v>
      </c>
      <c r="AA57" s="102" t="s">
        <v>2740</v>
      </c>
      <c r="AB57" s="88" t="s">
        <v>3476</v>
      </c>
      <c r="AC57" s="102" t="s">
        <v>2413</v>
      </c>
      <c r="AD57" s="102" t="s">
        <v>3477</v>
      </c>
      <c r="AE57" s="99"/>
      <c r="AF57" s="102" t="s">
        <v>3478</v>
      </c>
      <c r="AG57" s="102" t="s">
        <v>2004</v>
      </c>
      <c r="AH57" s="94" t="s">
        <v>3479</v>
      </c>
      <c r="AI57" s="99"/>
      <c r="AJ57" s="102" t="s">
        <v>3480</v>
      </c>
      <c r="AK57" s="94" t="s">
        <v>3481</v>
      </c>
      <c r="AL57" s="97"/>
      <c r="AM57" s="102" t="s">
        <v>3143</v>
      </c>
      <c r="AN57" s="102" t="s">
        <v>1657</v>
      </c>
      <c r="AO57" s="94" t="s">
        <v>3482</v>
      </c>
      <c r="AP57" s="99"/>
      <c r="AQ57" s="94"/>
      <c r="AR57" s="94" t="s">
        <v>3483</v>
      </c>
      <c r="AS57" s="99"/>
      <c r="AT57" s="99"/>
      <c r="AU57" s="102" t="s">
        <v>3484</v>
      </c>
      <c r="AV57" s="102" t="s">
        <v>877</v>
      </c>
      <c r="AW57" s="102" t="s">
        <v>1553</v>
      </c>
      <c r="AX57" s="99"/>
      <c r="AY57" s="94" t="s">
        <v>1206</v>
      </c>
      <c r="AZ57" s="94" t="s">
        <v>3485</v>
      </c>
      <c r="BA57" s="99"/>
      <c r="BB57" s="102" t="s">
        <v>191</v>
      </c>
      <c r="BC57" s="102" t="s">
        <v>3486</v>
      </c>
      <c r="BD57" s="102" t="s">
        <v>3154</v>
      </c>
      <c r="BE57" s="102" t="s">
        <v>930</v>
      </c>
      <c r="BF57" s="102" t="s">
        <v>3264</v>
      </c>
      <c r="BG57" s="102" t="s">
        <v>3330</v>
      </c>
      <c r="BH57" s="99"/>
      <c r="BI57" s="102" t="s">
        <v>877</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892</v>
      </c>
      <c r="CY57" s="102" t="s">
        <v>3277</v>
      </c>
      <c r="CZ57" s="102" t="s">
        <v>3509</v>
      </c>
      <c r="DA57" s="102" t="s">
        <v>2056</v>
      </c>
      <c r="DB57" s="162" t="s">
        <v>2887</v>
      </c>
      <c r="DC57" s="102" t="s">
        <v>575</v>
      </c>
      <c r="DD57" s="88" t="s">
        <v>1992</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742</v>
      </c>
      <c r="H58" s="167" t="s">
        <v>2937</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685</v>
      </c>
      <c r="ED58" s="143" t="s">
        <v>3560</v>
      </c>
    </row>
    <row r="59">
      <c r="A59" s="81" t="s">
        <v>3561</v>
      </c>
      <c r="B59" s="82" t="s">
        <v>3562</v>
      </c>
      <c r="C59" s="83" t="s">
        <v>1259</v>
      </c>
      <c r="D59" s="84" t="s">
        <v>1259</v>
      </c>
      <c r="E59" s="85" t="s">
        <v>1259</v>
      </c>
      <c r="F59" s="86" t="s">
        <v>3563</v>
      </c>
      <c r="G59" s="82" t="s">
        <v>3564</v>
      </c>
      <c r="H59" s="88" t="s">
        <v>3285</v>
      </c>
      <c r="I59" s="88" t="s">
        <v>3565</v>
      </c>
      <c r="J59" s="88" t="s">
        <v>3566</v>
      </c>
      <c r="K59" s="88" t="s">
        <v>1423</v>
      </c>
      <c r="L59" s="88" t="s">
        <v>412</v>
      </c>
      <c r="M59" s="265" t="s">
        <v>1265</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3435</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3456</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26" t="s">
        <v>3607</v>
      </c>
      <c r="DC59" s="88" t="s">
        <v>1748</v>
      </c>
      <c r="DD59" s="99"/>
      <c r="DE59" s="265" t="s">
        <v>3480</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2090</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1946</v>
      </c>
      <c r="J61" s="94" t="s">
        <v>3677</v>
      </c>
      <c r="K61" s="88" t="s">
        <v>2842</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2668</v>
      </c>
      <c r="BD61" s="88" t="s">
        <v>2223</v>
      </c>
      <c r="BE61" s="94" t="s">
        <v>3700</v>
      </c>
      <c r="BF61" s="94" t="s">
        <v>3701</v>
      </c>
      <c r="BG61" s="94" t="s">
        <v>1220</v>
      </c>
      <c r="BH61" s="94" t="s">
        <v>3702</v>
      </c>
      <c r="BI61" s="88" t="s">
        <v>1755</v>
      </c>
      <c r="BJ61" s="94" t="s">
        <v>2659</v>
      </c>
      <c r="BK61" s="94" t="s">
        <v>3703</v>
      </c>
      <c r="BL61" s="94" t="s">
        <v>3704</v>
      </c>
      <c r="BM61" s="94"/>
      <c r="BN61" s="88" t="s">
        <v>1588</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3437</v>
      </c>
      <c r="DA61" s="94" t="s">
        <v>3722</v>
      </c>
      <c r="DB61" s="265" t="s">
        <v>2347</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3029</v>
      </c>
      <c r="AO62" s="198" t="s">
        <v>3756</v>
      </c>
      <c r="AP62" s="198" t="s">
        <v>3757</v>
      </c>
      <c r="AQ62" s="198" t="s">
        <v>3758</v>
      </c>
      <c r="AR62" s="198" t="s">
        <v>3759</v>
      </c>
      <c r="AS62" s="198" t="s">
        <v>3327</v>
      </c>
      <c r="AT62" s="432"/>
      <c r="AU62" s="198" t="s">
        <v>3760</v>
      </c>
      <c r="AV62" s="198" t="s">
        <v>1452</v>
      </c>
      <c r="AW62" s="198" t="s">
        <v>3761</v>
      </c>
      <c r="AX62" s="432"/>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33"/>
      <c r="BN62" s="172" t="s">
        <v>1306</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750</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2714</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2841</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929</v>
      </c>
      <c r="BD64" s="174" t="s">
        <v>2223</v>
      </c>
      <c r="BE64" s="174" t="s">
        <v>3845</v>
      </c>
      <c r="BF64" s="433" t="s">
        <v>3846</v>
      </c>
      <c r="BG64" s="173"/>
      <c r="BH64" s="173"/>
      <c r="BI64" s="174" t="s">
        <v>1985</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1199</v>
      </c>
      <c r="G65" s="82" t="s">
        <v>2988</v>
      </c>
      <c r="H65" s="88" t="s">
        <v>3467</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38">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400" t="s">
        <v>1563</v>
      </c>
      <c r="L66" s="112" t="s">
        <v>3933</v>
      </c>
      <c r="M66" s="167" t="s">
        <v>3934</v>
      </c>
      <c r="N66" s="167" t="s">
        <v>673</v>
      </c>
      <c r="O66" s="167" t="s">
        <v>3935</v>
      </c>
      <c r="P66" s="112" t="s">
        <v>109</v>
      </c>
      <c r="Q66" s="243"/>
      <c r="R66" s="243"/>
      <c r="S66" s="112" t="s">
        <v>2907</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2864</v>
      </c>
      <c r="AK66" s="245"/>
      <c r="AL66" s="97"/>
      <c r="AM66" s="168" t="s">
        <v>3939</v>
      </c>
      <c r="AN66" s="168" t="s">
        <v>3940</v>
      </c>
      <c r="AO66" s="246"/>
      <c r="AP66" s="246"/>
      <c r="AQ66" s="246"/>
      <c r="AR66" s="246"/>
      <c r="AS66" s="246"/>
      <c r="AT66" s="246"/>
      <c r="AU66" s="278" t="s">
        <v>3408</v>
      </c>
      <c r="AV66" s="168" t="s">
        <v>877</v>
      </c>
      <c r="AW66" s="168" t="s">
        <v>3941</v>
      </c>
      <c r="AX66" s="246"/>
      <c r="AY66" s="168" t="s">
        <v>3057</v>
      </c>
      <c r="AZ66" s="246"/>
      <c r="BA66" s="246"/>
      <c r="BB66" s="174" t="s">
        <v>2687</v>
      </c>
      <c r="BC66" s="174" t="s">
        <v>888</v>
      </c>
      <c r="BD66" s="174" t="s">
        <v>3640</v>
      </c>
      <c r="BE66" s="126" t="s">
        <v>3942</v>
      </c>
      <c r="BF66" s="126" t="s">
        <v>2062</v>
      </c>
      <c r="BG66" s="174" t="s">
        <v>1529</v>
      </c>
      <c r="BH66" s="173"/>
      <c r="BI66" s="174" t="s">
        <v>2754</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2923</v>
      </c>
      <c r="CP66" s="254"/>
      <c r="CQ66" s="254"/>
      <c r="CR66" s="177"/>
      <c r="CS66" s="177" t="s">
        <v>2315</v>
      </c>
      <c r="CT66" s="254"/>
      <c r="CU66" s="92"/>
      <c r="CV66" s="203" t="s">
        <v>3951</v>
      </c>
      <c r="CW66" s="203" t="s">
        <v>2576</v>
      </c>
      <c r="CX66" s="203" t="s">
        <v>3952</v>
      </c>
      <c r="CY66" s="203" t="s">
        <v>3953</v>
      </c>
      <c r="CZ66" s="203" t="s">
        <v>3954</v>
      </c>
      <c r="DA66" s="203" t="s">
        <v>3955</v>
      </c>
      <c r="DB66" s="140" t="s">
        <v>3428</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40" t="s">
        <v>3960</v>
      </c>
      <c r="B67" s="441" t="s">
        <v>3929</v>
      </c>
      <c r="C67" s="442" t="s">
        <v>1259</v>
      </c>
      <c r="D67" s="443" t="s">
        <v>1259</v>
      </c>
      <c r="E67" s="444" t="s">
        <v>1259</v>
      </c>
      <c r="F67" s="445" t="s">
        <v>3961</v>
      </c>
      <c r="G67" s="441" t="s">
        <v>443</v>
      </c>
      <c r="H67" s="353" t="s">
        <v>1803</v>
      </c>
      <c r="I67" s="353" t="s">
        <v>3962</v>
      </c>
      <c r="J67" s="352" t="s">
        <v>1509</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1318</v>
      </c>
      <c r="AB67" s="352" t="s">
        <v>2386</v>
      </c>
      <c r="AC67" s="352" t="s">
        <v>1907</v>
      </c>
      <c r="AD67" s="352" t="s">
        <v>3973</v>
      </c>
      <c r="AE67" s="353" t="s">
        <v>2360</v>
      </c>
      <c r="AF67" s="353" t="s">
        <v>1475</v>
      </c>
      <c r="AG67" s="352" t="s">
        <v>3754</v>
      </c>
      <c r="AH67" s="353" t="s">
        <v>2615</v>
      </c>
      <c r="AI67" s="352" t="s">
        <v>3974</v>
      </c>
      <c r="AJ67" s="353" t="s">
        <v>2471</v>
      </c>
      <c r="AK67" s="353" t="s">
        <v>3975</v>
      </c>
      <c r="AL67" s="159"/>
      <c r="AM67" s="352" t="s">
        <v>398</v>
      </c>
      <c r="AN67" s="351" t="s">
        <v>1491</v>
      </c>
      <c r="AO67" s="356" t="s">
        <v>3976</v>
      </c>
      <c r="AP67" s="353" t="s">
        <v>3977</v>
      </c>
      <c r="AQ67" s="353" t="s">
        <v>3978</v>
      </c>
      <c r="AR67" s="353" t="s">
        <v>2614</v>
      </c>
      <c r="AS67" s="353" t="s">
        <v>3979</v>
      </c>
      <c r="AT67" s="353" t="s">
        <v>3980</v>
      </c>
      <c r="AU67" s="356" t="s">
        <v>2626</v>
      </c>
      <c r="AV67" s="352" t="s">
        <v>368</v>
      </c>
      <c r="AW67" s="353" t="s">
        <v>3459</v>
      </c>
      <c r="AX67" s="353" t="s">
        <v>1802</v>
      </c>
      <c r="AY67" s="353" t="s">
        <v>3981</v>
      </c>
      <c r="AZ67" s="353" t="s">
        <v>3982</v>
      </c>
      <c r="BA67" s="353"/>
      <c r="BB67" s="353" t="s">
        <v>3983</v>
      </c>
      <c r="BC67" s="352" t="s">
        <v>2680</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1840</v>
      </c>
      <c r="DJ67" s="353"/>
      <c r="DK67" s="353" t="s">
        <v>4014</v>
      </c>
      <c r="DL67" s="353" t="s">
        <v>4015</v>
      </c>
      <c r="DM67" s="353" t="s">
        <v>2632</v>
      </c>
      <c r="DN67" s="353" t="s">
        <v>695</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1259</v>
      </c>
      <c r="D68" s="106" t="s">
        <v>1259</v>
      </c>
      <c r="E68" s="107" t="s">
        <v>1259</v>
      </c>
      <c r="F68" s="108" t="s">
        <v>3092</v>
      </c>
      <c r="G68" s="104" t="s">
        <v>4025</v>
      </c>
      <c r="H68" s="243"/>
      <c r="I68" s="400" t="s">
        <v>4026</v>
      </c>
      <c r="J68" s="112" t="s">
        <v>4027</v>
      </c>
      <c r="K68" s="112" t="s">
        <v>2679</v>
      </c>
      <c r="L68" s="400" t="s">
        <v>2730</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3750</v>
      </c>
      <c r="AC69" s="88" t="s">
        <v>4053</v>
      </c>
      <c r="AD69" s="94" t="s">
        <v>4054</v>
      </c>
      <c r="AE69" s="94"/>
      <c r="AF69" s="94" t="s">
        <v>4055</v>
      </c>
      <c r="AG69" s="94" t="s">
        <v>2283</v>
      </c>
      <c r="AH69" s="94" t="s">
        <v>4056</v>
      </c>
      <c r="AI69" s="94"/>
      <c r="AJ69" s="94" t="s">
        <v>4057</v>
      </c>
      <c r="AK69" s="88" t="s">
        <v>700</v>
      </c>
      <c r="AL69" s="97"/>
      <c r="AM69" s="94" t="s">
        <v>3533</v>
      </c>
      <c r="AN69" s="88" t="s">
        <v>3940</v>
      </c>
      <c r="AO69" s="94" t="s">
        <v>4058</v>
      </c>
      <c r="AP69" s="94" t="s">
        <v>4059</v>
      </c>
      <c r="AQ69" s="94" t="s">
        <v>4060</v>
      </c>
      <c r="AR69" s="94" t="s">
        <v>2660</v>
      </c>
      <c r="AS69" s="99"/>
      <c r="AT69" s="99"/>
      <c r="AU69" s="94" t="s">
        <v>1877</v>
      </c>
      <c r="AV69" s="94" t="s">
        <v>1054</v>
      </c>
      <c r="AW69" s="94" t="s">
        <v>1751</v>
      </c>
      <c r="AX69" s="99"/>
      <c r="AY69" s="88" t="s">
        <v>4061</v>
      </c>
      <c r="AZ69" s="94" t="s">
        <v>4062</v>
      </c>
      <c r="BA69" s="94"/>
      <c r="BB69" s="88" t="s">
        <v>2095</v>
      </c>
      <c r="BC69" s="94" t="s">
        <v>1480</v>
      </c>
      <c r="BD69" s="88" t="s">
        <v>1396</v>
      </c>
      <c r="BE69" s="88" t="s">
        <v>3435</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3945</v>
      </c>
      <c r="BX69" s="99"/>
      <c r="BY69" s="94" t="s">
        <v>4072</v>
      </c>
      <c r="BZ69" s="94" t="s">
        <v>4073</v>
      </c>
      <c r="CA69" s="94" t="s">
        <v>1807</v>
      </c>
      <c r="CB69" s="88" t="s">
        <v>4074</v>
      </c>
      <c r="CC69" s="88" t="s">
        <v>4075</v>
      </c>
      <c r="CD69" s="162" t="s">
        <v>848</v>
      </c>
      <c r="CE69" s="162" t="s">
        <v>4076</v>
      </c>
      <c r="CF69" s="94"/>
      <c r="CG69" s="88" t="s">
        <v>3957</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3367</v>
      </c>
      <c r="DQ69" s="99"/>
      <c r="DR69" s="94" t="s">
        <v>4097</v>
      </c>
      <c r="DS69" s="94" t="s">
        <v>3167</v>
      </c>
      <c r="DT69" s="99"/>
      <c r="DU69" s="94" t="s">
        <v>4098</v>
      </c>
      <c r="DV69" s="94" t="s">
        <v>4099</v>
      </c>
      <c r="DW69" s="94" t="s">
        <v>890</v>
      </c>
      <c r="DX69" s="94" t="s">
        <v>2575</v>
      </c>
      <c r="DY69" s="94" t="s">
        <v>1054</v>
      </c>
      <c r="DZ69" s="94" t="s">
        <v>2598</v>
      </c>
      <c r="EA69" s="94" t="s">
        <v>1498</v>
      </c>
      <c r="EB69" s="94" t="s">
        <v>4100</v>
      </c>
      <c r="EC69" s="88" t="s">
        <v>3244</v>
      </c>
      <c r="ED69" s="259" t="s">
        <v>4101</v>
      </c>
    </row>
    <row r="70">
      <c r="A70" s="103" t="s">
        <v>4102</v>
      </c>
      <c r="B70" s="447" t="s">
        <v>4103</v>
      </c>
      <c r="C70" s="448" t="s">
        <v>1259</v>
      </c>
      <c r="D70" s="449" t="s">
        <v>548</v>
      </c>
      <c r="E70" s="450" t="s">
        <v>548</v>
      </c>
      <c r="F70" s="451" t="s">
        <v>4104</v>
      </c>
      <c r="G70" s="447" t="s">
        <v>1503</v>
      </c>
      <c r="H70" s="452" t="s">
        <v>4105</v>
      </c>
      <c r="I70" s="452" t="s">
        <v>3054</v>
      </c>
      <c r="J70" s="452" t="s">
        <v>4106</v>
      </c>
      <c r="K70" s="452" t="s">
        <v>1730</v>
      </c>
      <c r="L70" s="452" t="s">
        <v>1023</v>
      </c>
      <c r="M70" s="452" t="s">
        <v>4107</v>
      </c>
      <c r="N70" s="453" t="s">
        <v>4108</v>
      </c>
      <c r="O70" s="453" t="s">
        <v>4109</v>
      </c>
      <c r="P70" s="452" t="s">
        <v>654</v>
      </c>
      <c r="Q70" s="453"/>
      <c r="R70" s="453"/>
      <c r="S70" s="453"/>
      <c r="T70" s="453"/>
      <c r="U70" s="453"/>
      <c r="V70" s="453"/>
      <c r="W70" s="454"/>
      <c r="X70" s="455" t="s">
        <v>1430</v>
      </c>
      <c r="Y70" s="456"/>
      <c r="Z70" s="455" t="s">
        <v>4110</v>
      </c>
      <c r="AA70" s="118" t="s">
        <v>999</v>
      </c>
      <c r="AB70" s="455" t="s">
        <v>4111</v>
      </c>
      <c r="AC70" s="455" t="s">
        <v>756</v>
      </c>
      <c r="AD70" s="457" t="s">
        <v>4054</v>
      </c>
      <c r="AE70" s="455" t="s">
        <v>1075</v>
      </c>
      <c r="AF70" s="457" t="s">
        <v>4112</v>
      </c>
      <c r="AG70" s="455" t="s">
        <v>1435</v>
      </c>
      <c r="AH70" s="457"/>
      <c r="AI70" s="457"/>
      <c r="AJ70" s="457"/>
      <c r="AK70" s="457"/>
      <c r="AL70" s="454"/>
      <c r="AM70" s="458" t="s">
        <v>4113</v>
      </c>
      <c r="AN70" s="459" t="s">
        <v>1877</v>
      </c>
      <c r="AO70" s="460"/>
      <c r="AP70" s="460"/>
      <c r="AQ70" s="460"/>
      <c r="AR70" s="460"/>
      <c r="AS70" s="460" t="s">
        <v>4114</v>
      </c>
      <c r="AT70" s="460"/>
      <c r="AU70" s="459" t="s">
        <v>3199</v>
      </c>
      <c r="AV70" s="459" t="s">
        <v>4115</v>
      </c>
      <c r="AW70" s="460"/>
      <c r="AX70" s="460"/>
      <c r="AY70" s="460"/>
      <c r="AZ70" s="460"/>
      <c r="BA70" s="460"/>
      <c r="BB70" s="461" t="s">
        <v>4116</v>
      </c>
      <c r="BC70" s="461" t="s">
        <v>1294</v>
      </c>
      <c r="BD70" s="462" t="s">
        <v>2326</v>
      </c>
      <c r="BE70" s="462" t="s">
        <v>586</v>
      </c>
      <c r="BF70" s="461" t="s">
        <v>2560</v>
      </c>
      <c r="BG70" s="462"/>
      <c r="BH70" s="462"/>
      <c r="BI70" s="462" t="s">
        <v>2337</v>
      </c>
      <c r="BJ70" s="462"/>
      <c r="BK70" s="462" t="s">
        <v>4117</v>
      </c>
      <c r="BL70" s="462" t="s">
        <v>1432</v>
      </c>
      <c r="BM70" s="462"/>
      <c r="BN70" s="462"/>
      <c r="BO70" s="462"/>
      <c r="BP70" s="462"/>
      <c r="BQ70" s="462"/>
      <c r="BR70" s="463"/>
      <c r="BS70" s="463" t="s">
        <v>4118</v>
      </c>
      <c r="BT70" s="464" t="s">
        <v>2660</v>
      </c>
      <c r="BU70" s="463"/>
      <c r="BV70" s="463"/>
      <c r="BW70" s="463" t="s">
        <v>2020</v>
      </c>
      <c r="BX70" s="463"/>
      <c r="BY70" s="463"/>
      <c r="BZ70" s="463"/>
      <c r="CA70" s="463"/>
      <c r="CB70" s="463"/>
      <c r="CC70" s="463"/>
      <c r="CD70" s="463"/>
      <c r="CE70" s="463"/>
      <c r="CF70" s="251"/>
      <c r="CG70" s="465" t="s">
        <v>4119</v>
      </c>
      <c r="CH70" s="132" t="s">
        <v>1523</v>
      </c>
      <c r="CI70" s="466"/>
      <c r="CJ70" s="466"/>
      <c r="CK70" s="466"/>
      <c r="CL70" s="466"/>
      <c r="CM70" s="254"/>
      <c r="CN70" s="465" t="s">
        <v>1077</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715</v>
      </c>
      <c r="DJ70" s="257"/>
      <c r="DK70" s="470"/>
      <c r="DL70" s="471"/>
      <c r="DM70" s="470" t="s">
        <v>531</v>
      </c>
      <c r="DN70" s="472" t="s">
        <v>1030</v>
      </c>
      <c r="DO70" s="470"/>
      <c r="DP70" s="205"/>
      <c r="DQ70" s="257"/>
      <c r="DR70" s="472" t="s">
        <v>206</v>
      </c>
      <c r="DS70" s="470"/>
      <c r="DT70" s="470"/>
      <c r="DU70" s="470"/>
      <c r="DV70" s="470"/>
      <c r="DW70" s="472" t="s">
        <v>976</v>
      </c>
      <c r="DX70" s="470"/>
      <c r="DY70" s="470"/>
      <c r="DZ70" s="470"/>
      <c r="EA70" s="257"/>
      <c r="EB70" s="257"/>
      <c r="EC70" s="257"/>
      <c r="ED70" s="470"/>
    </row>
    <row r="71">
      <c r="A71" s="81" t="s">
        <v>4121</v>
      </c>
      <c r="B71" s="82" t="s">
        <v>4122</v>
      </c>
      <c r="C71" s="83" t="s">
        <v>1259</v>
      </c>
      <c r="D71" s="84" t="s">
        <v>1259</v>
      </c>
      <c r="E71" s="85" t="s">
        <v>1259</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1125</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1957</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3672</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929</v>
      </c>
      <c r="BD73" s="98" t="str">
        <f>HYPERLINK("https://youtu.be/TzgOslc32vU","28.68")</f>
        <v>28.68</v>
      </c>
      <c r="BE73" s="94" t="s">
        <v>4228</v>
      </c>
      <c r="BF73" s="94" t="s">
        <v>3590</v>
      </c>
      <c r="BG73" s="99"/>
      <c r="BH73" s="99"/>
      <c r="BI73" s="94"/>
      <c r="BJ73" s="99"/>
      <c r="BK73" s="94" t="s">
        <v>1187</v>
      </c>
      <c r="BL73" s="94" t="s">
        <v>3889</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2064</v>
      </c>
      <c r="AS74" s="246"/>
      <c r="AT74" s="168" t="s">
        <v>3752</v>
      </c>
      <c r="AU74" s="168" t="s">
        <v>4248</v>
      </c>
      <c r="AV74" s="121" t="s">
        <v>139</v>
      </c>
      <c r="AW74" s="121" t="s">
        <v>1783</v>
      </c>
      <c r="AX74" s="246"/>
      <c r="AY74" s="246"/>
      <c r="AZ74" s="171" t="s">
        <v>4249</v>
      </c>
      <c r="BA74" s="246"/>
      <c r="BB74" s="173"/>
      <c r="BC74" s="173"/>
      <c r="BD74" s="174"/>
      <c r="BE74" s="126" t="s">
        <v>3734</v>
      </c>
      <c r="BF74" s="173"/>
      <c r="BG74" s="126" t="s">
        <v>2006</v>
      </c>
      <c r="BH74" s="173"/>
      <c r="BI74" s="126" t="s">
        <v>2535</v>
      </c>
      <c r="BJ74" s="173"/>
      <c r="BK74" s="173"/>
      <c r="BL74" s="174" t="s">
        <v>2756</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1156</v>
      </c>
      <c r="CN74" s="177" t="s">
        <v>2570</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1028</v>
      </c>
      <c r="DP74" s="204" t="s">
        <v>4257</v>
      </c>
      <c r="DQ74" s="257"/>
      <c r="DR74" s="257"/>
      <c r="DS74" s="145" t="s">
        <v>2245</v>
      </c>
      <c r="DT74" s="257"/>
      <c r="DU74" s="257"/>
      <c r="DV74" s="204" t="s">
        <v>2862</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3464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3957</v>
      </c>
      <c r="BG75" s="94" t="s">
        <v>1220</v>
      </c>
      <c r="BH75" s="94" t="s">
        <v>2941</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474" t="s">
        <v>4307</v>
      </c>
      <c r="CN75" s="94" t="s">
        <v>3279</v>
      </c>
      <c r="CO75" s="94" t="s">
        <v>3716</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475"/>
      <c r="N76" s="476" t="s">
        <v>4327</v>
      </c>
      <c r="O76" s="112" t="s">
        <v>807</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732</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1259</v>
      </c>
      <c r="E77" s="85" t="s">
        <v>1259</v>
      </c>
      <c r="F77" s="86" t="s">
        <v>334</v>
      </c>
      <c r="G77" s="82" t="s">
        <v>3432</v>
      </c>
      <c r="H77" s="94" t="s">
        <v>682</v>
      </c>
      <c r="I77" s="93" t="s">
        <v>4339</v>
      </c>
      <c r="J77" s="93" t="s">
        <v>3899</v>
      </c>
      <c r="K77" s="94" t="s">
        <v>2842</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2869</v>
      </c>
      <c r="CN77" s="94" t="s">
        <v>1553</v>
      </c>
      <c r="CO77" s="94" t="s">
        <v>2547</v>
      </c>
      <c r="CP77" s="99"/>
      <c r="CQ77" s="99"/>
      <c r="CR77" s="99"/>
      <c r="CS77" s="99"/>
      <c r="CT77" s="99"/>
      <c r="CU77" s="92"/>
      <c r="CV77" s="94" t="s">
        <v>4359</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3709</v>
      </c>
      <c r="CB78" s="251"/>
      <c r="CC78" s="251"/>
      <c r="CD78" s="251"/>
      <c r="CE78" s="251"/>
      <c r="CF78" s="252"/>
      <c r="CG78" s="177" t="s">
        <v>2206</v>
      </c>
      <c r="CH78" s="177" t="s">
        <v>2805</v>
      </c>
      <c r="CI78" s="177" t="s">
        <v>3942</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1259</v>
      </c>
      <c r="D79" s="84" t="s">
        <v>1259</v>
      </c>
      <c r="E79" s="85" t="s">
        <v>1259</v>
      </c>
      <c r="F79" s="86" t="s">
        <v>548</v>
      </c>
      <c r="G79" s="82" t="s">
        <v>4394</v>
      </c>
      <c r="H79" s="94" t="s">
        <v>2126</v>
      </c>
      <c r="I79" s="94" t="s">
        <v>4395</v>
      </c>
      <c r="J79" s="94" t="s">
        <v>3624</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1081</v>
      </c>
      <c r="ED79" s="353" t="s">
        <v>4427</v>
      </c>
    </row>
    <row r="80">
      <c r="A80" s="384" t="s">
        <v>4428</v>
      </c>
      <c r="B80" s="104" t="s">
        <v>4429</v>
      </c>
      <c r="C80" s="105" t="s">
        <v>1259</v>
      </c>
      <c r="D80" s="106" t="s">
        <v>1259</v>
      </c>
      <c r="E80" s="107" t="s">
        <v>1259</v>
      </c>
      <c r="F80" s="108" t="s">
        <v>2675</v>
      </c>
      <c r="G80" s="104" t="s">
        <v>1883</v>
      </c>
      <c r="H80" s="112" t="s">
        <v>2814</v>
      </c>
      <c r="I80" s="400"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3750</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2721</v>
      </c>
      <c r="AV80" s="168" t="s">
        <v>1627</v>
      </c>
      <c r="AW80" s="168" t="s">
        <v>4445</v>
      </c>
      <c r="AX80" s="246"/>
      <c r="AY80" s="168" t="s">
        <v>1070</v>
      </c>
      <c r="AZ80" s="278" t="s">
        <v>4446</v>
      </c>
      <c r="BA80" s="168"/>
      <c r="BB80" s="174" t="s">
        <v>4447</v>
      </c>
      <c r="BC80" s="174" t="s">
        <v>4448</v>
      </c>
      <c r="BD80" s="126" t="s">
        <v>1396</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3839</v>
      </c>
      <c r="DU80" s="204" t="s">
        <v>1805</v>
      </c>
      <c r="DV80" s="204" t="s">
        <v>2686</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1259</v>
      </c>
      <c r="D82" s="488" t="s">
        <v>1259</v>
      </c>
      <c r="E82" s="489" t="s">
        <v>1259</v>
      </c>
      <c r="F82" s="490" t="s">
        <v>439</v>
      </c>
      <c r="G82" s="486" t="s">
        <v>2541</v>
      </c>
      <c r="H82" s="400"/>
      <c r="I82" s="345" t="s">
        <v>4505</v>
      </c>
      <c r="J82" s="400" t="s">
        <v>762</v>
      </c>
      <c r="K82" s="400" t="s">
        <v>4506</v>
      </c>
      <c r="L82" s="400" t="s">
        <v>2939</v>
      </c>
      <c r="M82" s="112" t="s">
        <v>4507</v>
      </c>
      <c r="N82" s="400" t="s">
        <v>4508</v>
      </c>
      <c r="O82" s="400" t="s">
        <v>3935</v>
      </c>
      <c r="P82" s="400" t="s">
        <v>3098</v>
      </c>
      <c r="Q82" s="491"/>
      <c r="R82" s="491"/>
      <c r="S82" s="491"/>
      <c r="T82" s="491"/>
      <c r="U82" s="491"/>
      <c r="V82" s="491"/>
      <c r="W82" s="492"/>
      <c r="X82" s="380" t="s">
        <v>2055</v>
      </c>
      <c r="Y82" s="380"/>
      <c r="Z82" s="380" t="s">
        <v>3064</v>
      </c>
      <c r="AA82" s="380" t="s">
        <v>2204</v>
      </c>
      <c r="AB82" s="380" t="s">
        <v>3953</v>
      </c>
      <c r="AC82" s="380" t="s">
        <v>1783</v>
      </c>
      <c r="AD82" s="380" t="s">
        <v>3061</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2751</v>
      </c>
      <c r="BC82" s="302" t="s">
        <v>809</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822</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1118</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2889</v>
      </c>
      <c r="AE83" s="88" t="s">
        <v>4544</v>
      </c>
      <c r="AF83" s="88" t="s">
        <v>4545</v>
      </c>
      <c r="AG83" s="88" t="s">
        <v>1568</v>
      </c>
      <c r="AH83" s="94" t="s">
        <v>4546</v>
      </c>
      <c r="AI83" s="94" t="s">
        <v>4547</v>
      </c>
      <c r="AJ83" s="94" t="s">
        <v>3631</v>
      </c>
      <c r="AK83" s="94" t="s">
        <v>4548</v>
      </c>
      <c r="AL83" s="97"/>
      <c r="AM83" s="94" t="s">
        <v>715</v>
      </c>
      <c r="AN83" s="94" t="s">
        <v>4549</v>
      </c>
      <c r="AO83" s="94" t="s">
        <v>4550</v>
      </c>
      <c r="AP83" s="94" t="s">
        <v>4551</v>
      </c>
      <c r="AQ83" s="94" t="s">
        <v>4552</v>
      </c>
      <c r="AR83" s="94"/>
      <c r="AS83" s="94" t="s">
        <v>3636</v>
      </c>
      <c r="AT83" s="94" t="s">
        <v>3015</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3932</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15"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3495</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1907</v>
      </c>
      <c r="DZ83" s="94" t="s">
        <v>2487</v>
      </c>
      <c r="EA83" s="94" t="s">
        <v>1458</v>
      </c>
      <c r="EB83" s="94" t="s">
        <v>2045</v>
      </c>
      <c r="EC83" s="94" t="s">
        <v>2786</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3746</v>
      </c>
      <c r="S84" s="167" t="s">
        <v>1509</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2733</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2841</v>
      </c>
      <c r="K85" s="94" t="s">
        <v>3863</v>
      </c>
      <c r="L85" s="94" t="s">
        <v>4623</v>
      </c>
      <c r="M85" s="99"/>
      <c r="N85" s="94" t="s">
        <v>1226</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3669</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1485</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1259</v>
      </c>
      <c r="D88" s="106" t="s">
        <v>439</v>
      </c>
      <c r="E88" s="107" t="s">
        <v>1259</v>
      </c>
      <c r="F88" s="108" t="s">
        <v>4668</v>
      </c>
      <c r="G88" s="104" t="s">
        <v>2089</v>
      </c>
      <c r="H88" s="112" t="s">
        <v>3676</v>
      </c>
      <c r="I88" s="514"/>
      <c r="J88" s="413" t="s">
        <v>4669</v>
      </c>
      <c r="K88" s="112" t="s">
        <v>991</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3935</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2005</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1259</v>
      </c>
      <c r="D89" s="519" t="s">
        <v>1259</v>
      </c>
      <c r="E89" s="520" t="s">
        <v>1259</v>
      </c>
      <c r="F89" s="521" t="s">
        <v>2987</v>
      </c>
      <c r="G89" s="517" t="s">
        <v>1351</v>
      </c>
      <c r="H89" s="522" t="s">
        <v>4693</v>
      </c>
      <c r="I89" s="523" t="s">
        <v>4694</v>
      </c>
      <c r="J89" s="522" t="s">
        <v>4695</v>
      </c>
      <c r="K89" s="522" t="s">
        <v>2163</v>
      </c>
      <c r="L89" s="522" t="s">
        <v>2935</v>
      </c>
      <c r="M89" s="522" t="s">
        <v>4696</v>
      </c>
      <c r="N89" s="523" t="s">
        <v>4697</v>
      </c>
      <c r="O89" s="522" t="s">
        <v>373</v>
      </c>
      <c r="P89" s="524" t="s">
        <v>4698</v>
      </c>
      <c r="Q89" s="524" t="s">
        <v>4699</v>
      </c>
      <c r="R89" s="524" t="s">
        <v>2519</v>
      </c>
      <c r="S89" s="524" t="s">
        <v>3603</v>
      </c>
      <c r="T89" s="524" t="s">
        <v>1268</v>
      </c>
      <c r="U89" s="524" t="s">
        <v>4700</v>
      </c>
      <c r="V89" s="522" t="s">
        <v>4701</v>
      </c>
      <c r="W89" s="525"/>
      <c r="X89" s="522" t="s">
        <v>2960</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1307</v>
      </c>
      <c r="AO89" s="522" t="s">
        <v>4707</v>
      </c>
      <c r="AP89" s="524" t="s">
        <v>2991</v>
      </c>
      <c r="AQ89" s="524" t="s">
        <v>134</v>
      </c>
      <c r="AR89" s="524" t="s">
        <v>2072</v>
      </c>
      <c r="AS89" s="522" t="s">
        <v>4708</v>
      </c>
      <c r="AT89" s="524" t="s">
        <v>4709</v>
      </c>
      <c r="AU89" s="524" t="s">
        <v>3148</v>
      </c>
      <c r="AV89" s="298" t="s">
        <v>2532</v>
      </c>
      <c r="AW89" s="522" t="s">
        <v>3261</v>
      </c>
      <c r="AX89" s="524" t="s">
        <v>263</v>
      </c>
      <c r="AY89" s="524" t="s">
        <v>751</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819</v>
      </c>
      <c r="CI89" s="524" t="s">
        <v>4676</v>
      </c>
      <c r="CJ89" s="522" t="s">
        <v>4722</v>
      </c>
      <c r="CK89" s="522"/>
      <c r="CL89" s="522" t="s">
        <v>2178</v>
      </c>
      <c r="CM89" s="522" t="s">
        <v>4723</v>
      </c>
      <c r="CN89" s="522" t="s">
        <v>1065</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1058</v>
      </c>
      <c r="DD89" s="528"/>
      <c r="DE89" s="528"/>
      <c r="DF89" s="528"/>
      <c r="DG89" s="528"/>
      <c r="DH89" s="529"/>
      <c r="DI89" s="522" t="s">
        <v>3864</v>
      </c>
      <c r="DJ89" s="528"/>
      <c r="DK89" s="522" t="s">
        <v>4729</v>
      </c>
      <c r="DL89" s="522"/>
      <c r="DM89" s="523" t="s">
        <v>4730</v>
      </c>
      <c r="DN89" s="522" t="s">
        <v>4731</v>
      </c>
      <c r="DO89" s="522" t="s">
        <v>4732</v>
      </c>
      <c r="DP89" s="522" t="s">
        <v>1950</v>
      </c>
      <c r="DQ89" s="522" t="s">
        <v>4733</v>
      </c>
      <c r="DR89" s="522" t="s">
        <v>4734</v>
      </c>
      <c r="DS89" s="524" t="s">
        <v>4735</v>
      </c>
      <c r="DT89" s="522" t="s">
        <v>3341</v>
      </c>
      <c r="DU89" s="522" t="s">
        <v>4736</v>
      </c>
      <c r="DV89" s="527"/>
      <c r="DW89" s="523" t="s">
        <v>1629</v>
      </c>
      <c r="DX89" s="528"/>
      <c r="DY89" s="523" t="s">
        <v>3120</v>
      </c>
      <c r="DZ89" s="522" t="s">
        <v>2792</v>
      </c>
      <c r="EA89" s="527"/>
      <c r="EB89" s="522" t="s">
        <v>1030</v>
      </c>
      <c r="EC89" s="527"/>
      <c r="ED89" s="98" t="s">
        <v>4737</v>
      </c>
    </row>
    <row r="90">
      <c r="A90" s="166" t="s">
        <v>4738</v>
      </c>
      <c r="B90" s="104" t="s">
        <v>4739</v>
      </c>
      <c r="C90" s="105" t="s">
        <v>1259</v>
      </c>
      <c r="D90" s="106" t="s">
        <v>1259</v>
      </c>
      <c r="E90" s="107" t="s">
        <v>1259</v>
      </c>
      <c r="F90" s="108" t="s">
        <v>334</v>
      </c>
      <c r="G90" s="104" t="s">
        <v>3930</v>
      </c>
      <c r="H90" s="167" t="s">
        <v>4740</v>
      </c>
      <c r="I90" s="167" t="s">
        <v>4123</v>
      </c>
      <c r="J90" s="167" t="s">
        <v>4305</v>
      </c>
      <c r="K90" s="167" t="s">
        <v>2842</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1435</v>
      </c>
      <c r="AH90" s="245"/>
      <c r="AI90" s="245"/>
      <c r="AJ90" s="197" t="s">
        <v>1821</v>
      </c>
      <c r="AK90" s="245"/>
      <c r="AL90" s="97"/>
      <c r="AM90" s="168" t="s">
        <v>3440</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3399</v>
      </c>
      <c r="BY90" s="175" t="s">
        <v>4754</v>
      </c>
      <c r="BZ90" s="251"/>
      <c r="CA90" s="129" t="s">
        <v>1239</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3419</v>
      </c>
      <c r="DX90" s="257"/>
      <c r="DY90" s="257"/>
      <c r="DZ90" s="204" t="s">
        <v>809</v>
      </c>
      <c r="EA90" s="204" t="s">
        <v>1320</v>
      </c>
      <c r="EB90" s="257"/>
      <c r="EC90" s="257"/>
      <c r="ED90" s="286"/>
    </row>
    <row r="91">
      <c r="A91" s="532"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1809</v>
      </c>
    </row>
    <row r="92">
      <c r="A92" s="166" t="s">
        <v>4789</v>
      </c>
      <c r="B92" s="104" t="s">
        <v>4790</v>
      </c>
      <c r="C92" s="105" t="s">
        <v>1259</v>
      </c>
      <c r="D92" s="106" t="s">
        <v>1259</v>
      </c>
      <c r="E92" s="107" t="s">
        <v>1259</v>
      </c>
      <c r="F92" s="108" t="s">
        <v>1200</v>
      </c>
      <c r="G92" s="104" t="s">
        <v>1813</v>
      </c>
      <c r="H92" s="167" t="s">
        <v>3492</v>
      </c>
      <c r="I92" s="167" t="s">
        <v>4791</v>
      </c>
      <c r="J92" s="167" t="s">
        <v>1367</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2768</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3919</v>
      </c>
      <c r="DP92" s="204" t="s">
        <v>3180</v>
      </c>
      <c r="DQ92" s="204" t="s">
        <v>2294</v>
      </c>
      <c r="DR92" s="204" t="s">
        <v>1037</v>
      </c>
      <c r="DS92" s="257"/>
      <c r="DT92" s="204" t="s">
        <v>4825</v>
      </c>
      <c r="DU92" s="204" t="s">
        <v>4826</v>
      </c>
      <c r="DV92" s="204" t="s">
        <v>4827</v>
      </c>
      <c r="DW92" s="204" t="s">
        <v>4828</v>
      </c>
      <c r="DX92" s="204" t="s">
        <v>1848</v>
      </c>
      <c r="DY92" s="204" t="s">
        <v>1314</v>
      </c>
      <c r="DZ92" s="204" t="s">
        <v>3566</v>
      </c>
      <c r="EA92" s="204" t="s">
        <v>3698</v>
      </c>
      <c r="EB92" s="204" t="s">
        <v>4829</v>
      </c>
      <c r="EC92" s="204" t="s">
        <v>1592</v>
      </c>
      <c r="ED92" s="286" t="s">
        <v>4830</v>
      </c>
    </row>
    <row r="93">
      <c r="A93" s="533" t="s">
        <v>4831</v>
      </c>
      <c r="B93" s="82" t="s">
        <v>4832</v>
      </c>
      <c r="C93" s="83" t="s">
        <v>1259</v>
      </c>
      <c r="D93" s="84" t="s">
        <v>1259</v>
      </c>
      <c r="E93" s="85" t="s">
        <v>1259</v>
      </c>
      <c r="F93" s="86" t="s">
        <v>2675</v>
      </c>
      <c r="G93" s="82" t="s">
        <v>2344</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3438</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2655</v>
      </c>
      <c r="BJ93" s="99"/>
      <c r="BK93" s="94" t="s">
        <v>4843</v>
      </c>
      <c r="BL93" s="99"/>
      <c r="BM93" s="94"/>
      <c r="BN93" s="94" t="s">
        <v>3268</v>
      </c>
      <c r="BO93" s="94" t="s">
        <v>4479</v>
      </c>
      <c r="BP93" s="99"/>
      <c r="BQ93" s="236"/>
      <c r="BR93" s="99"/>
      <c r="BS93" s="94" t="s">
        <v>2238</v>
      </c>
      <c r="BT93" s="98" t="s">
        <v>3681</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1259</v>
      </c>
      <c r="D94" s="106" t="s">
        <v>548</v>
      </c>
      <c r="E94" s="107" t="s">
        <v>1259</v>
      </c>
      <c r="F94" s="108" t="s">
        <v>4861</v>
      </c>
      <c r="G94" s="104" t="s">
        <v>2090</v>
      </c>
      <c r="H94" s="167" t="s">
        <v>792</v>
      </c>
      <c r="I94" s="112" t="s">
        <v>4862</v>
      </c>
      <c r="J94" s="112" t="s">
        <v>4863</v>
      </c>
      <c r="K94" s="112" t="s">
        <v>3863</v>
      </c>
      <c r="L94" s="112" t="s">
        <v>2943</v>
      </c>
      <c r="M94" s="112" t="s">
        <v>3470</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2847</v>
      </c>
      <c r="AE94" s="245"/>
      <c r="AF94" s="116" t="s">
        <v>3438</v>
      </c>
      <c r="AG94" s="116" t="s">
        <v>118</v>
      </c>
      <c r="AH94" s="245"/>
      <c r="AI94" s="197" t="s">
        <v>2895</v>
      </c>
      <c r="AJ94" s="197" t="s">
        <v>757</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2046</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2842</v>
      </c>
      <c r="L95" s="94" t="s">
        <v>4632</v>
      </c>
      <c r="M95" s="88" t="s">
        <v>4896</v>
      </c>
      <c r="N95" s="99"/>
      <c r="O95" s="94" t="s">
        <v>929</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3701</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1259</v>
      </c>
      <c r="D96" s="106" t="s">
        <v>1259</v>
      </c>
      <c r="E96" s="107" t="s">
        <v>1259</v>
      </c>
      <c r="F96" s="108" t="s">
        <v>985</v>
      </c>
      <c r="G96" s="104" t="s">
        <v>4668</v>
      </c>
      <c r="H96" s="413" t="s">
        <v>4119</v>
      </c>
      <c r="I96" s="514" t="s">
        <v>4910</v>
      </c>
      <c r="J96" s="112" t="s">
        <v>4911</v>
      </c>
      <c r="K96" s="112" t="s">
        <v>2842</v>
      </c>
      <c r="L96" s="413" t="s">
        <v>282</v>
      </c>
      <c r="M96" s="413"/>
      <c r="N96" s="413"/>
      <c r="O96" s="413" t="s">
        <v>3217</v>
      </c>
      <c r="P96" s="413" t="s">
        <v>1072</v>
      </c>
      <c r="Q96" s="243"/>
      <c r="R96" s="243"/>
      <c r="S96" s="243"/>
      <c r="T96" s="243"/>
      <c r="U96" s="243"/>
      <c r="V96" s="243"/>
      <c r="W96" s="92"/>
      <c r="X96" s="380" t="s">
        <v>830</v>
      </c>
      <c r="Y96" s="117"/>
      <c r="Z96" s="117" t="s">
        <v>3839</v>
      </c>
      <c r="AA96" s="117" t="s">
        <v>3625</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696</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4921</v>
      </c>
      <c r="B97" s="82" t="s">
        <v>4922</v>
      </c>
      <c r="C97" s="83" t="s">
        <v>1259</v>
      </c>
      <c r="D97" s="84" t="s">
        <v>548</v>
      </c>
      <c r="E97" s="85" t="s">
        <v>548</v>
      </c>
      <c r="F97" s="86" t="s">
        <v>2987</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1259</v>
      </c>
      <c r="D98" s="106" t="s">
        <v>548</v>
      </c>
      <c r="E98" s="107" t="s">
        <v>1259</v>
      </c>
      <c r="F98" s="108" t="s">
        <v>1726</v>
      </c>
      <c r="G98" s="104" t="s">
        <v>902</v>
      </c>
      <c r="H98" s="112" t="s">
        <v>3707</v>
      </c>
      <c r="I98" s="400" t="s">
        <v>3644</v>
      </c>
      <c r="J98" s="400" t="s">
        <v>2115</v>
      </c>
      <c r="K98" s="112" t="s">
        <v>1886</v>
      </c>
      <c r="L98" s="400" t="s">
        <v>1094</v>
      </c>
      <c r="M98" s="112" t="s">
        <v>4944</v>
      </c>
      <c r="N98" s="400" t="s">
        <v>4945</v>
      </c>
      <c r="O98" s="400" t="s">
        <v>4874</v>
      </c>
      <c r="P98" s="400" t="s">
        <v>3098</v>
      </c>
      <c r="Q98" s="400"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2858</v>
      </c>
      <c r="DD98" s="255"/>
      <c r="DE98" s="255"/>
      <c r="DF98" s="255"/>
      <c r="DG98" s="140" t="s">
        <v>480</v>
      </c>
      <c r="DH98" s="140"/>
      <c r="DI98" s="204" t="s">
        <v>2035</v>
      </c>
      <c r="DJ98" s="257"/>
      <c r="DK98" s="257"/>
      <c r="DL98" s="257"/>
      <c r="DM98" s="141" t="s">
        <v>180</v>
      </c>
      <c r="DN98" s="145" t="s">
        <v>4209</v>
      </c>
      <c r="DO98" s="257"/>
      <c r="DP98" s="257"/>
      <c r="DQ98" s="257"/>
      <c r="DR98" s="204" t="s">
        <v>2821</v>
      </c>
      <c r="DS98" s="204" t="s">
        <v>2898</v>
      </c>
      <c r="DT98" s="257"/>
      <c r="DU98" s="145" t="s">
        <v>2158</v>
      </c>
      <c r="DV98" s="257"/>
      <c r="DW98" s="204" t="s">
        <v>898</v>
      </c>
      <c r="DX98" s="257"/>
      <c r="DY98" s="145" t="s">
        <v>3024</v>
      </c>
      <c r="DZ98" s="204" t="s">
        <v>1967</v>
      </c>
      <c r="EA98" s="257"/>
      <c r="EB98" s="257"/>
      <c r="EC98" s="257"/>
      <c r="ED98" s="142" t="s">
        <v>2538</v>
      </c>
    </row>
    <row r="99">
      <c r="A99" s="540" t="s">
        <v>4983</v>
      </c>
      <c r="B99" s="441" t="s">
        <v>4984</v>
      </c>
      <c r="C99" s="442" t="s">
        <v>1259</v>
      </c>
      <c r="D99" s="443" t="s">
        <v>1259</v>
      </c>
      <c r="E99" s="444" t="s">
        <v>1259</v>
      </c>
      <c r="F99" s="445" t="s">
        <v>1200</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759</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1071</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847</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997</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1259</v>
      </c>
      <c r="D101" s="84" t="s">
        <v>1259</v>
      </c>
      <c r="E101" s="85" t="s">
        <v>1259</v>
      </c>
      <c r="F101" s="86" t="s">
        <v>335</v>
      </c>
      <c r="G101" s="82" t="s">
        <v>1061</v>
      </c>
      <c r="H101" s="99"/>
      <c r="I101" s="94" t="s">
        <v>2931</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2593</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2886</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3957</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3464</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3933</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3439</v>
      </c>
      <c r="CN108" s="177" t="s">
        <v>3941</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400" t="s">
        <v>567</v>
      </c>
      <c r="M110" s="243"/>
      <c r="N110" s="167" t="s">
        <v>5200</v>
      </c>
      <c r="O110" s="167" t="s">
        <v>1023</v>
      </c>
      <c r="P110" s="167" t="s">
        <v>3625</v>
      </c>
      <c r="Q110" s="243"/>
      <c r="R110" s="243"/>
      <c r="S110" s="243"/>
      <c r="T110" s="243"/>
      <c r="U110" s="243"/>
      <c r="V110" s="243"/>
      <c r="W110" s="92"/>
      <c r="X110" s="197" t="s">
        <v>2631</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3456</v>
      </c>
      <c r="L111" s="94" t="s">
        <v>5214</v>
      </c>
      <c r="M111" s="98" t="str">
        <f>HYPERLINK("https://www.twitch.tv/videos/204820156","2:20.22")</f>
        <v>2:20.22</v>
      </c>
      <c r="N111" s="94" t="s">
        <v>5215</v>
      </c>
      <c r="O111" s="94" t="s">
        <v>1157</v>
      </c>
      <c r="P111" s="522" t="s">
        <v>2909</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3563</v>
      </c>
      <c r="H112" s="167" t="s">
        <v>778</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386" t="s">
        <v>1086</v>
      </c>
      <c r="CO112" s="177"/>
      <c r="CP112" s="254"/>
      <c r="CQ112" s="254"/>
      <c r="CR112" s="254"/>
      <c r="CS112" s="254"/>
      <c r="CT112" s="254"/>
      <c r="CU112" s="92"/>
      <c r="CV112" s="203" t="s">
        <v>3846</v>
      </c>
      <c r="CW112" s="203" t="s">
        <v>4383</v>
      </c>
      <c r="CX112" s="232" t="s">
        <v>3515</v>
      </c>
      <c r="CY112" s="203" t="s">
        <v>1084</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1259</v>
      </c>
      <c r="D113" s="568" t="s">
        <v>1259</v>
      </c>
      <c r="E113" s="569" t="s">
        <v>1259</v>
      </c>
      <c r="F113" s="86" t="s">
        <v>985</v>
      </c>
      <c r="G113" s="570" t="s">
        <v>5240</v>
      </c>
      <c r="H113" s="99"/>
      <c r="I113" s="571" t="s">
        <v>5241</v>
      </c>
      <c r="J113" s="94" t="s">
        <v>5242</v>
      </c>
      <c r="K113" s="572" t="s">
        <v>5243</v>
      </c>
      <c r="L113" s="571" t="s">
        <v>5244</v>
      </c>
      <c r="M113" s="94" t="s">
        <v>2063</v>
      </c>
      <c r="N113" s="94" t="s">
        <v>4680</v>
      </c>
      <c r="O113" s="100" t="s">
        <v>3108</v>
      </c>
      <c r="P113" s="100" t="s">
        <v>4891</v>
      </c>
      <c r="Q113" s="99"/>
      <c r="R113" s="99"/>
      <c r="S113" s="100" t="s">
        <v>4752</v>
      </c>
      <c r="T113" s="99"/>
      <c r="U113" s="99"/>
      <c r="V113" s="99"/>
      <c r="W113" s="92"/>
      <c r="X113" s="573" t="s">
        <v>1913</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3268</v>
      </c>
      <c r="BO113" s="99"/>
      <c r="BP113" s="99"/>
      <c r="BQ113" s="236"/>
      <c r="BR113" s="100" t="s">
        <v>5255</v>
      </c>
      <c r="BS113" s="94" t="s">
        <v>5256</v>
      </c>
      <c r="BT113" s="100" t="s">
        <v>994</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1259</v>
      </c>
      <c r="D114" s="106" t="s">
        <v>1259</v>
      </c>
      <c r="E114" s="107" t="s">
        <v>1259</v>
      </c>
      <c r="F114" s="108" t="s">
        <v>2675</v>
      </c>
      <c r="G114" s="104" t="s">
        <v>5270</v>
      </c>
      <c r="H114" s="112" t="s">
        <v>5271</v>
      </c>
      <c r="I114" s="112" t="s">
        <v>5272</v>
      </c>
      <c r="J114" s="112" t="s">
        <v>4924</v>
      </c>
      <c r="K114" s="112" t="s">
        <v>4045</v>
      </c>
      <c r="L114" s="112" t="s">
        <v>4105</v>
      </c>
      <c r="M114" s="167" t="s">
        <v>866</v>
      </c>
      <c r="N114" s="167" t="s">
        <v>5273</v>
      </c>
      <c r="O114" s="400" t="s">
        <v>155</v>
      </c>
      <c r="P114" s="112" t="s">
        <v>2683</v>
      </c>
      <c r="Q114" s="243"/>
      <c r="R114" s="243"/>
      <c r="S114" s="167" t="s">
        <v>3279</v>
      </c>
      <c r="T114" s="243"/>
      <c r="U114" s="167" t="s">
        <v>1458</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24" t="s">
        <v>3697</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2660</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3436</v>
      </c>
      <c r="BE115" s="94" t="s">
        <v>838</v>
      </c>
      <c r="BF115" s="94" t="s">
        <v>2600</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1080</v>
      </c>
      <c r="DW115" s="94" t="s">
        <v>1344</v>
      </c>
      <c r="DX115" s="94" t="s">
        <v>4156</v>
      </c>
      <c r="DY115" s="94" t="s">
        <v>1017</v>
      </c>
      <c r="DZ115" s="94" t="s">
        <v>2827</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2610</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579" t="s">
        <v>5448</v>
      </c>
    </row>
    <row r="119">
      <c r="A119" s="81" t="s">
        <v>5449</v>
      </c>
      <c r="B119" s="82" t="s">
        <v>5450</v>
      </c>
      <c r="C119" s="83" t="s">
        <v>1259</v>
      </c>
      <c r="D119" s="84" t="s">
        <v>1259</v>
      </c>
      <c r="E119" s="85" t="s">
        <v>1259</v>
      </c>
      <c r="F119" s="86" t="s">
        <v>334</v>
      </c>
      <c r="G119" s="82" t="s">
        <v>3395</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4434</v>
      </c>
      <c r="BP119" s="94" t="s">
        <v>5470</v>
      </c>
      <c r="BQ119" s="94"/>
      <c r="BR119" s="94"/>
      <c r="BS119" s="94" t="s">
        <v>3957</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580"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924</v>
      </c>
      <c r="EB123" s="99"/>
      <c r="EC123" s="99"/>
      <c r="ED123" s="259" t="s">
        <v>5573</v>
      </c>
    </row>
    <row r="124">
      <c r="A124" s="535" t="s">
        <v>5574</v>
      </c>
      <c r="B124" s="104" t="s">
        <v>5575</v>
      </c>
      <c r="C124" s="105" t="s">
        <v>1259</v>
      </c>
      <c r="D124" s="106" t="s">
        <v>1259</v>
      </c>
      <c r="E124" s="107" t="s">
        <v>1259</v>
      </c>
      <c r="F124" s="108" t="s">
        <v>2541</v>
      </c>
      <c r="G124" s="104" t="s">
        <v>2155</v>
      </c>
      <c r="H124" s="413"/>
      <c r="I124" s="110" t="s">
        <v>5576</v>
      </c>
      <c r="J124" s="112" t="s">
        <v>2581</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2996</v>
      </c>
      <c r="BC124" s="126" t="s">
        <v>2035</v>
      </c>
      <c r="BD124" s="126" t="s">
        <v>756</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515"/>
      <c r="CQ124" s="254"/>
      <c r="CR124" s="254"/>
      <c r="CS124" s="254"/>
      <c r="CT124" s="254"/>
      <c r="CU124" s="92"/>
      <c r="CV124" s="140" t="s">
        <v>760</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1259</v>
      </c>
      <c r="D125" s="84" t="s">
        <v>1259</v>
      </c>
      <c r="E125" s="85" t="s">
        <v>1259</v>
      </c>
      <c r="F125" s="86" t="s">
        <v>1259</v>
      </c>
      <c r="G125" s="82" t="s">
        <v>4771</v>
      </c>
      <c r="H125" s="94" t="s">
        <v>5605</v>
      </c>
      <c r="I125" s="94" t="s">
        <v>5606</v>
      </c>
      <c r="J125" s="94" t="s">
        <v>5607</v>
      </c>
      <c r="K125" s="94" t="s">
        <v>5407</v>
      </c>
      <c r="L125" s="94" t="s">
        <v>2548</v>
      </c>
      <c r="M125" s="99"/>
      <c r="N125" s="94" t="s">
        <v>5608</v>
      </c>
      <c r="O125" s="94" t="s">
        <v>689</v>
      </c>
      <c r="P125" s="94" t="s">
        <v>1273</v>
      </c>
      <c r="Q125" s="99"/>
      <c r="R125" s="99"/>
      <c r="S125" s="99"/>
      <c r="T125" s="99"/>
      <c r="U125" s="99"/>
      <c r="V125" s="99"/>
      <c r="W125" s="92"/>
      <c r="X125" s="94" t="s">
        <v>2481</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756</v>
      </c>
      <c r="BJ125" s="94" t="s">
        <v>5614</v>
      </c>
      <c r="BK125" s="99"/>
      <c r="BL125" s="94" t="s">
        <v>4523</v>
      </c>
      <c r="BM125" s="99"/>
      <c r="BN125" s="99"/>
      <c r="BO125" s="99"/>
      <c r="BP125" s="99"/>
      <c r="BQ125" s="236"/>
      <c r="BR125" s="94" t="s">
        <v>5420</v>
      </c>
      <c r="BS125" s="94" t="s">
        <v>4435</v>
      </c>
      <c r="BT125" s="94" t="s">
        <v>4863</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2801</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5383</v>
      </c>
      <c r="Q126" s="243"/>
      <c r="R126" s="243"/>
      <c r="S126" s="243"/>
      <c r="T126" s="243"/>
      <c r="U126" s="243"/>
      <c r="V126" s="243"/>
      <c r="W126" s="92"/>
      <c r="X126" s="116" t="s">
        <v>3183</v>
      </c>
      <c r="Y126" s="117"/>
      <c r="Z126" s="116" t="s">
        <v>2479</v>
      </c>
      <c r="AA126" s="380" t="s">
        <v>5627</v>
      </c>
      <c r="AB126" s="197" t="s">
        <v>5628</v>
      </c>
      <c r="AC126" s="116" t="s">
        <v>3893</v>
      </c>
      <c r="AD126" s="380" t="s">
        <v>3509</v>
      </c>
      <c r="AE126" s="245"/>
      <c r="AF126" s="380" t="s">
        <v>5629</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4331</v>
      </c>
      <c r="BD126" s="302" t="s">
        <v>5510</v>
      </c>
      <c r="BE126" s="126" t="s">
        <v>3346</v>
      </c>
      <c r="BF126" s="126" t="s">
        <v>5631</v>
      </c>
      <c r="BG126" s="173"/>
      <c r="BH126" s="173"/>
      <c r="BI126" s="126" t="s">
        <v>4006</v>
      </c>
      <c r="BJ126" s="173"/>
      <c r="BK126" s="174" t="s">
        <v>5632</v>
      </c>
      <c r="BL126" s="302" t="s">
        <v>5633</v>
      </c>
      <c r="BM126" s="173"/>
      <c r="BN126" s="173"/>
      <c r="BO126" s="173"/>
      <c r="BP126" s="173"/>
      <c r="BQ126" s="248"/>
      <c r="BR126" s="129" t="s">
        <v>5634</v>
      </c>
      <c r="BS126" s="175" t="s">
        <v>5635</v>
      </c>
      <c r="BT126" s="175" t="s">
        <v>5636</v>
      </c>
      <c r="BU126" s="175" t="s">
        <v>1804</v>
      </c>
      <c r="BV126" s="175" t="s">
        <v>4816</v>
      </c>
      <c r="BW126" s="175" t="s">
        <v>192</v>
      </c>
      <c r="BX126" s="175" t="s">
        <v>5637</v>
      </c>
      <c r="BY126" s="251"/>
      <c r="BZ126" s="129" t="s">
        <v>5638</v>
      </c>
      <c r="CA126" s="175" t="s">
        <v>5639</v>
      </c>
      <c r="CB126" s="251"/>
      <c r="CC126" s="251"/>
      <c r="CD126" s="251"/>
      <c r="CE126" s="251"/>
      <c r="CF126" s="252"/>
      <c r="CG126" s="177" t="s">
        <v>5640</v>
      </c>
      <c r="CH126" s="135" t="s">
        <v>3423</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5028</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401"/>
    </row>
    <row r="127">
      <c r="A127" s="421" t="s">
        <v>5654</v>
      </c>
      <c r="B127" s="82" t="s">
        <v>5655</v>
      </c>
      <c r="C127" s="83" t="s">
        <v>1259</v>
      </c>
      <c r="D127" s="84" t="s">
        <v>1259</v>
      </c>
      <c r="E127" s="85" t="s">
        <v>1259</v>
      </c>
      <c r="F127" s="86" t="s">
        <v>2675</v>
      </c>
      <c r="G127" s="82" t="s">
        <v>2154</v>
      </c>
      <c r="H127" s="102"/>
      <c r="I127" s="98" t="s">
        <v>5656</v>
      </c>
      <c r="J127" s="93" t="s">
        <v>4695</v>
      </c>
      <c r="K127" s="88" t="s">
        <v>2279</v>
      </c>
      <c r="L127" s="93" t="s">
        <v>928</v>
      </c>
      <c r="M127" s="88" t="s">
        <v>5657</v>
      </c>
      <c r="N127" s="88" t="s">
        <v>4360</v>
      </c>
      <c r="O127" s="88" t="s">
        <v>5658</v>
      </c>
      <c r="P127" s="88" t="s">
        <v>4401</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4303</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4349</v>
      </c>
      <c r="CI127" s="102" t="s">
        <v>5675</v>
      </c>
      <c r="CJ127" s="102" t="s">
        <v>5676</v>
      </c>
      <c r="CK127" s="102" t="s">
        <v>2719</v>
      </c>
      <c r="CL127" s="102" t="s">
        <v>5677</v>
      </c>
      <c r="CM127" s="102" t="s">
        <v>3304</v>
      </c>
      <c r="CN127" s="102" t="s">
        <v>1588</v>
      </c>
      <c r="CO127" s="102" t="s">
        <v>3351</v>
      </c>
      <c r="CP127" s="221"/>
      <c r="CQ127" s="99"/>
      <c r="CR127" s="99"/>
      <c r="CS127" s="99"/>
      <c r="CT127" s="99"/>
      <c r="CU127" s="92"/>
      <c r="CV127" s="102" t="s">
        <v>4278</v>
      </c>
      <c r="CW127" s="102" t="s">
        <v>5678</v>
      </c>
      <c r="CX127" s="102" t="s">
        <v>2628</v>
      </c>
      <c r="CY127" s="102" t="s">
        <v>5679</v>
      </c>
      <c r="CZ127" s="102" t="s">
        <v>1090</v>
      </c>
      <c r="DA127" s="102" t="s">
        <v>3774</v>
      </c>
      <c r="DB127" s="102" t="s">
        <v>5680</v>
      </c>
      <c r="DC127" s="102" t="s">
        <v>5028</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586" t="s">
        <v>5683</v>
      </c>
      <c r="B128" s="104" t="s">
        <v>5684</v>
      </c>
      <c r="C128" s="105" t="s">
        <v>1259</v>
      </c>
      <c r="D128" s="106" t="s">
        <v>1259</v>
      </c>
      <c r="E128" s="107" t="s">
        <v>1259</v>
      </c>
      <c r="F128" s="108" t="s">
        <v>548</v>
      </c>
      <c r="G128" s="104" t="s">
        <v>1882</v>
      </c>
      <c r="H128" s="243"/>
      <c r="I128" s="243"/>
      <c r="J128" s="167" t="s">
        <v>5685</v>
      </c>
      <c r="K128" s="167" t="s">
        <v>4592</v>
      </c>
      <c r="L128" s="167" t="s">
        <v>838</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5686</v>
      </c>
      <c r="BG128" s="173"/>
      <c r="BH128" s="173"/>
      <c r="BI128" s="174" t="s">
        <v>3377</v>
      </c>
      <c r="BJ128" s="173"/>
      <c r="BK128" s="174" t="s">
        <v>5687</v>
      </c>
      <c r="BL128" s="173"/>
      <c r="BM128" s="173"/>
      <c r="BN128" s="173"/>
      <c r="BO128" s="173"/>
      <c r="BP128" s="173"/>
      <c r="BQ128" s="248"/>
      <c r="BR128" s="175" t="s">
        <v>5688</v>
      </c>
      <c r="BS128" s="251"/>
      <c r="BT128" s="251"/>
      <c r="BU128" s="175" t="s">
        <v>4781</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5691</v>
      </c>
      <c r="B129" s="82" t="s">
        <v>5692</v>
      </c>
      <c r="C129" s="83" t="s">
        <v>1259</v>
      </c>
      <c r="D129" s="84" t="s">
        <v>548</v>
      </c>
      <c r="E129" s="85" t="s">
        <v>1259</v>
      </c>
      <c r="F129" s="86" t="s">
        <v>548</v>
      </c>
      <c r="G129" s="82" t="s">
        <v>5622</v>
      </c>
      <c r="H129" s="102"/>
      <c r="I129" s="95" t="s">
        <v>5693</v>
      </c>
      <c r="J129" s="102" t="s">
        <v>2075</v>
      </c>
      <c r="K129" s="102" t="s">
        <v>4045</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5094</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5700</v>
      </c>
      <c r="BM129" s="99"/>
      <c r="BN129" s="99"/>
      <c r="BO129" s="102"/>
      <c r="BP129" s="99"/>
      <c r="BQ129" s="236"/>
      <c r="BR129" s="102"/>
      <c r="BS129" s="102" t="s">
        <v>5016</v>
      </c>
      <c r="BT129" s="102" t="s">
        <v>3764</v>
      </c>
      <c r="BU129" s="102"/>
      <c r="BV129" s="102"/>
      <c r="BW129" s="102" t="s">
        <v>5701</v>
      </c>
      <c r="BX129" s="99"/>
      <c r="BY129" s="102" t="s">
        <v>5702</v>
      </c>
      <c r="BZ129" s="102"/>
      <c r="CA129" s="102"/>
      <c r="CB129" s="99"/>
      <c r="CC129" s="99"/>
      <c r="CD129" s="94" t="s">
        <v>5194</v>
      </c>
      <c r="CE129" s="99"/>
      <c r="CF129" s="236"/>
      <c r="CG129" s="102"/>
      <c r="CH129" s="102" t="s">
        <v>5703</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587" t="s">
        <v>5707</v>
      </c>
      <c r="B130" s="104" t="s">
        <v>5708</v>
      </c>
      <c r="C130" s="105" t="s">
        <v>1259</v>
      </c>
      <c r="D130" s="106" t="s">
        <v>1259</v>
      </c>
      <c r="E130" s="107" t="s">
        <v>1259</v>
      </c>
      <c r="F130" s="108" t="s">
        <v>3283</v>
      </c>
      <c r="G130" s="104" t="s">
        <v>2837</v>
      </c>
      <c r="H130" s="413"/>
      <c r="I130" s="514"/>
      <c r="J130" s="413"/>
      <c r="K130" s="112" t="s">
        <v>2163</v>
      </c>
      <c r="L130" s="413" t="s">
        <v>563</v>
      </c>
      <c r="M130" s="413"/>
      <c r="N130" s="413"/>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515"/>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4042</v>
      </c>
      <c r="H131" s="99"/>
      <c r="I131" s="94" t="s">
        <v>5716</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5718</v>
      </c>
      <c r="BG131" s="99"/>
      <c r="BH131" s="99"/>
      <c r="BI131" s="94" t="s">
        <v>5417</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4786</v>
      </c>
      <c r="CW131" s="99"/>
      <c r="CX131" s="94" t="s">
        <v>2552</v>
      </c>
      <c r="CY131" s="99"/>
      <c r="CZ131" s="99"/>
      <c r="DA131" s="99"/>
      <c r="DB131" s="94" t="s">
        <v>5722</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5723</v>
      </c>
      <c r="B132" s="589" t="s">
        <v>5724</v>
      </c>
      <c r="C132" s="590" t="s">
        <v>1259</v>
      </c>
      <c r="D132" s="591" t="s">
        <v>1259</v>
      </c>
      <c r="E132" s="592" t="s">
        <v>1259</v>
      </c>
      <c r="F132" s="593" t="s">
        <v>1259</v>
      </c>
      <c r="G132" s="589" t="s">
        <v>5725</v>
      </c>
      <c r="H132" s="345" t="s">
        <v>952</v>
      </c>
      <c r="I132" s="345" t="s">
        <v>5726</v>
      </c>
      <c r="J132" s="345" t="s">
        <v>5127</v>
      </c>
      <c r="K132" s="345" t="s">
        <v>4937</v>
      </c>
      <c r="L132" s="345" t="s">
        <v>241</v>
      </c>
      <c r="M132" s="345" t="s">
        <v>5727</v>
      </c>
      <c r="N132" s="345" t="s">
        <v>5728</v>
      </c>
      <c r="O132" s="345" t="s">
        <v>966</v>
      </c>
      <c r="P132" s="345"/>
      <c r="Q132" s="544"/>
      <c r="R132" s="544"/>
      <c r="S132" s="274" t="s">
        <v>4803</v>
      </c>
      <c r="T132" s="544"/>
      <c r="U132" s="274" t="s">
        <v>678</v>
      </c>
      <c r="V132" s="544"/>
      <c r="W132" s="558"/>
      <c r="X132" s="300" t="s">
        <v>5729</v>
      </c>
      <c r="Y132" s="300"/>
      <c r="Z132" s="300"/>
      <c r="AA132" s="300" t="s">
        <v>5117</v>
      </c>
      <c r="AB132" s="300"/>
      <c r="AC132" s="300" t="s">
        <v>4214</v>
      </c>
      <c r="AD132" s="300" t="s">
        <v>5730</v>
      </c>
      <c r="AE132" s="545"/>
      <c r="AF132" s="300"/>
      <c r="AG132" s="300"/>
      <c r="AH132" s="545"/>
      <c r="AI132" s="545"/>
      <c r="AJ132" s="300"/>
      <c r="AK132" s="545"/>
      <c r="AL132" s="546"/>
      <c r="AM132" s="424"/>
      <c r="AN132" s="424"/>
      <c r="AO132" s="547"/>
      <c r="AP132" s="547"/>
      <c r="AQ132" s="548"/>
      <c r="AR132" s="548"/>
      <c r="AS132" s="547"/>
      <c r="AT132" s="547"/>
      <c r="AU132" s="424"/>
      <c r="AV132" s="424" t="s">
        <v>5731</v>
      </c>
      <c r="AW132" s="424"/>
      <c r="AX132" s="547"/>
      <c r="AY132" s="548" t="s">
        <v>450</v>
      </c>
      <c r="AZ132" s="547"/>
      <c r="BA132" s="547"/>
      <c r="BB132" s="200"/>
      <c r="BC132" s="200" t="s">
        <v>3859</v>
      </c>
      <c r="BD132" s="200"/>
      <c r="BE132" s="200"/>
      <c r="BF132" s="200"/>
      <c r="BG132" s="200"/>
      <c r="BH132" s="549"/>
      <c r="BI132" s="200" t="s">
        <v>3060</v>
      </c>
      <c r="BJ132" s="549"/>
      <c r="BK132" s="200" t="s">
        <v>5732</v>
      </c>
      <c r="BL132" s="200"/>
      <c r="BM132" s="549"/>
      <c r="BN132" s="549"/>
      <c r="BO132" s="200" t="s">
        <v>5733</v>
      </c>
      <c r="BP132" s="549"/>
      <c r="BQ132" s="552"/>
      <c r="BR132" s="370"/>
      <c r="BS132" s="370" t="s">
        <v>5734</v>
      </c>
      <c r="BT132" s="370" t="s">
        <v>304</v>
      </c>
      <c r="BU132" s="370" t="s">
        <v>1499</v>
      </c>
      <c r="BV132" s="370" t="s">
        <v>5500</v>
      </c>
      <c r="BW132" s="370" t="s">
        <v>1723</v>
      </c>
      <c r="BX132" s="553"/>
      <c r="BY132" s="370"/>
      <c r="BZ132" s="370"/>
      <c r="CA132" s="370"/>
      <c r="CB132" s="594" t="s">
        <v>5735</v>
      </c>
      <c r="CC132" s="553"/>
      <c r="CD132" s="594"/>
      <c r="CE132" s="553"/>
      <c r="CF132" s="554"/>
      <c r="CG132" s="363" t="s">
        <v>3473</v>
      </c>
      <c r="CH132" s="363" t="s">
        <v>5736</v>
      </c>
      <c r="CI132" s="363" t="s">
        <v>5737</v>
      </c>
      <c r="CJ132" s="363"/>
      <c r="CK132" s="363"/>
      <c r="CL132" s="363"/>
      <c r="CM132" s="363"/>
      <c r="CN132" s="363" t="s">
        <v>5032</v>
      </c>
      <c r="CO132" s="595">
        <v>19.7</v>
      </c>
      <c r="CP132" s="556"/>
      <c r="CQ132" s="557"/>
      <c r="CR132" s="557"/>
      <c r="CS132" s="557"/>
      <c r="CT132" s="557"/>
      <c r="CU132" s="558"/>
      <c r="CV132" s="283" t="s">
        <v>4118</v>
      </c>
      <c r="CW132" s="283" t="s">
        <v>4536</v>
      </c>
      <c r="CX132" s="283" t="s">
        <v>5738</v>
      </c>
      <c r="CY132" s="283" t="s">
        <v>5739</v>
      </c>
      <c r="CZ132" s="283"/>
      <c r="DA132" s="283"/>
      <c r="DB132" s="283"/>
      <c r="DC132" s="283"/>
      <c r="DD132" s="559"/>
      <c r="DE132" s="596" t="s">
        <v>3425</v>
      </c>
      <c r="DF132" s="596" t="s">
        <v>1133</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5750</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4658</v>
      </c>
      <c r="CW133" s="94" t="s">
        <v>5752</v>
      </c>
      <c r="CX133" s="94" t="s">
        <v>2637</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598" t="s">
        <v>5755</v>
      </c>
      <c r="B134" s="104" t="s">
        <v>5756</v>
      </c>
      <c r="C134" s="105" t="s">
        <v>1259</v>
      </c>
      <c r="D134" s="106" t="s">
        <v>1259</v>
      </c>
      <c r="E134" s="107" t="s">
        <v>1259</v>
      </c>
      <c r="F134" s="108" t="s">
        <v>3961</v>
      </c>
      <c r="G134" s="104" t="s">
        <v>3961</v>
      </c>
      <c r="H134" s="112" t="s">
        <v>5757</v>
      </c>
      <c r="I134" s="112" t="s">
        <v>5758</v>
      </c>
      <c r="J134" s="112" t="s">
        <v>4651</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4657</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5767</v>
      </c>
      <c r="B135" s="82" t="s">
        <v>5768</v>
      </c>
      <c r="C135" s="83" t="s">
        <v>1259</v>
      </c>
      <c r="D135" s="84" t="s">
        <v>1259</v>
      </c>
      <c r="E135" s="85" t="s">
        <v>1259</v>
      </c>
      <c r="F135" s="86" t="s">
        <v>548</v>
      </c>
      <c r="G135" s="82" t="s">
        <v>3092</v>
      </c>
      <c r="H135" s="94" t="s">
        <v>4194</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4256</v>
      </c>
      <c r="CI135" s="94" t="s">
        <v>2599</v>
      </c>
      <c r="CJ135" s="99"/>
      <c r="CK135" s="99"/>
      <c r="CL135" s="99"/>
      <c r="CM135" s="99"/>
      <c r="CN135" s="99"/>
      <c r="CO135" s="94" t="s">
        <v>5780</v>
      </c>
      <c r="CP135" s="99"/>
      <c r="CQ135" s="99"/>
      <c r="CR135" s="99"/>
      <c r="CS135" s="99"/>
      <c r="CT135" s="99"/>
      <c r="CU135" s="92"/>
      <c r="CV135" s="94" t="s">
        <v>5781</v>
      </c>
      <c r="CW135" s="94" t="s">
        <v>5782</v>
      </c>
      <c r="CX135" s="94" t="s">
        <v>1840</v>
      </c>
      <c r="CY135" s="94" t="s">
        <v>5045</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5784</v>
      </c>
    </row>
    <row r="136">
      <c r="A136" s="599" t="s">
        <v>5785</v>
      </c>
      <c r="B136" s="447" t="s">
        <v>5786</v>
      </c>
      <c r="C136" s="448" t="s">
        <v>1259</v>
      </c>
      <c r="D136" s="449" t="s">
        <v>1259</v>
      </c>
      <c r="E136" s="450" t="s">
        <v>1259</v>
      </c>
      <c r="F136" s="451" t="s">
        <v>985</v>
      </c>
      <c r="G136" s="447" t="s">
        <v>2903</v>
      </c>
      <c r="H136" s="453"/>
      <c r="I136" s="453" t="s">
        <v>5787</v>
      </c>
      <c r="J136" s="453"/>
      <c r="K136" s="453" t="s">
        <v>3101</v>
      </c>
      <c r="L136" s="452" t="s">
        <v>5187</v>
      </c>
      <c r="M136" s="453"/>
      <c r="N136" s="404" t="s">
        <v>5788</v>
      </c>
      <c r="O136" s="404" t="s">
        <v>5709</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1307</v>
      </c>
      <c r="AO136" s="460"/>
      <c r="AP136" s="460" t="s">
        <v>1050</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768</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1259</v>
      </c>
      <c r="D137" s="84" t="s">
        <v>1259</v>
      </c>
      <c r="E137" s="85" t="s">
        <v>1259</v>
      </c>
      <c r="F137" s="86" t="s">
        <v>1259</v>
      </c>
      <c r="G137" s="82" t="s">
        <v>1504</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1267</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1259</v>
      </c>
      <c r="D138" s="106" t="s">
        <v>1259</v>
      </c>
      <c r="E138" s="107" t="s">
        <v>1259</v>
      </c>
      <c r="F138" s="108" t="s">
        <v>439</v>
      </c>
      <c r="G138" s="104" t="s">
        <v>3371</v>
      </c>
      <c r="H138" s="167" t="s">
        <v>3825</v>
      </c>
      <c r="I138" s="167" t="s">
        <v>2129</v>
      </c>
      <c r="J138" s="167" t="s">
        <v>5737</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1259</v>
      </c>
      <c r="D139" s="84" t="s">
        <v>1259</v>
      </c>
      <c r="E139" s="85" t="s">
        <v>1259</v>
      </c>
      <c r="F139" s="86" t="s">
        <v>334</v>
      </c>
      <c r="G139" s="82" t="s">
        <v>5859</v>
      </c>
      <c r="H139" s="259" t="s">
        <v>3774</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3941</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1998</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978</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1259</v>
      </c>
      <c r="D141" s="84" t="s">
        <v>1259</v>
      </c>
      <c r="E141" s="85" t="s">
        <v>1259</v>
      </c>
      <c r="F141" s="86" t="s">
        <v>439</v>
      </c>
      <c r="G141" s="82" t="s">
        <v>2642</v>
      </c>
      <c r="H141" s="94" t="s">
        <v>5894</v>
      </c>
      <c r="I141" s="265" t="s">
        <v>1596</v>
      </c>
      <c r="J141" s="94" t="s">
        <v>5895</v>
      </c>
      <c r="K141" s="94" t="s">
        <v>5896</v>
      </c>
      <c r="L141" s="94" t="s">
        <v>5897</v>
      </c>
      <c r="M141" s="99"/>
      <c r="N141" s="94" t="s">
        <v>5898</v>
      </c>
      <c r="O141" s="94" t="s">
        <v>3580</v>
      </c>
      <c r="P141" s="94" t="s">
        <v>1079</v>
      </c>
      <c r="Q141" s="99"/>
      <c r="R141" s="94" t="s">
        <v>326</v>
      </c>
      <c r="S141" s="94" t="s">
        <v>2218</v>
      </c>
      <c r="T141" s="99"/>
      <c r="U141" s="94" t="s">
        <v>3217</v>
      </c>
      <c r="V141" s="99"/>
      <c r="W141" s="92"/>
      <c r="X141" s="94" t="s">
        <v>5899</v>
      </c>
      <c r="Y141" s="102"/>
      <c r="Z141" s="88" t="s">
        <v>2392</v>
      </c>
      <c r="AA141" s="94" t="s">
        <v>4509</v>
      </c>
      <c r="AB141" s="94" t="s">
        <v>1768</v>
      </c>
      <c r="AC141" s="94" t="s">
        <v>3942</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1894</v>
      </c>
      <c r="BD141" s="94" t="s">
        <v>5902</v>
      </c>
      <c r="BE141" s="94" t="s">
        <v>3570</v>
      </c>
      <c r="BF141" s="94" t="s">
        <v>5719</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1259</v>
      </c>
      <c r="D142" s="106" t="s">
        <v>1259</v>
      </c>
      <c r="E142" s="107" t="s">
        <v>1259</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5749</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2885</v>
      </c>
      <c r="BH142" s="173"/>
      <c r="BI142" s="174" t="s">
        <v>903</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2927</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5725</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3029</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5749</v>
      </c>
      <c r="AV144" s="424" t="s">
        <v>5943</v>
      </c>
      <c r="AW144" s="424" t="s">
        <v>484</v>
      </c>
      <c r="AX144" s="623"/>
      <c r="AY144" s="623"/>
      <c r="AZ144" s="623"/>
      <c r="BA144" s="623"/>
      <c r="BB144" s="625"/>
      <c r="BC144" s="625"/>
      <c r="BD144" s="381" t="s">
        <v>1740</v>
      </c>
      <c r="BE144" s="200" t="s">
        <v>373</v>
      </c>
      <c r="BF144" s="625"/>
      <c r="BG144" s="625"/>
      <c r="BH144" s="626"/>
      <c r="BI144" s="200" t="s">
        <v>3060</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915</v>
      </c>
      <c r="CO144" s="633"/>
      <c r="CP144" s="634"/>
      <c r="CQ144" s="635"/>
      <c r="CR144" s="635"/>
      <c r="CS144" s="636">
        <v>52.7</v>
      </c>
      <c r="CT144" s="635"/>
      <c r="CU144" s="617"/>
      <c r="CV144" s="637"/>
      <c r="CW144" s="283" t="s">
        <v>3298</v>
      </c>
      <c r="CX144" s="284" t="s">
        <v>2982</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2903</v>
      </c>
      <c r="H145" s="94" t="s">
        <v>2062</v>
      </c>
      <c r="I145" s="94" t="s">
        <v>3706</v>
      </c>
      <c r="J145" s="94" t="s">
        <v>574</v>
      </c>
      <c r="K145" s="94" t="s">
        <v>2910</v>
      </c>
      <c r="L145" s="94" t="s">
        <v>4105</v>
      </c>
      <c r="M145" s="94" t="s">
        <v>5971</v>
      </c>
      <c r="N145" s="94" t="s">
        <v>5733</v>
      </c>
      <c r="O145" s="94" t="s">
        <v>447</v>
      </c>
      <c r="P145" s="94" t="s">
        <v>3913</v>
      </c>
      <c r="Q145" s="99"/>
      <c r="R145" s="99"/>
      <c r="S145" s="99"/>
      <c r="T145" s="99"/>
      <c r="U145" s="99"/>
      <c r="V145" s="99"/>
      <c r="W145" s="92"/>
      <c r="X145" s="94" t="s">
        <v>5019</v>
      </c>
      <c r="Y145" s="94"/>
      <c r="Z145" s="94" t="s">
        <v>4226</v>
      </c>
      <c r="AA145" s="94" t="s">
        <v>5600</v>
      </c>
      <c r="AB145" s="94" t="s">
        <v>785</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3941</v>
      </c>
      <c r="EB145" s="99"/>
      <c r="EC145" s="99"/>
      <c r="ED145" s="259"/>
    </row>
    <row r="146">
      <c r="A146" s="166" t="s">
        <v>5977</v>
      </c>
      <c r="B146" s="104" t="s">
        <v>5978</v>
      </c>
      <c r="C146" s="105" t="s">
        <v>1259</v>
      </c>
      <c r="D146" s="106" t="s">
        <v>1259</v>
      </c>
      <c r="E146" s="107" t="s">
        <v>1259</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5656</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1259</v>
      </c>
      <c r="D149" s="84" t="s">
        <v>1259</v>
      </c>
      <c r="E149" s="85" t="s">
        <v>1259</v>
      </c>
      <c r="F149" s="86" t="s">
        <v>1259</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976</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1992</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1159</v>
      </c>
      <c r="BT149" s="94" t="s">
        <v>952</v>
      </c>
      <c r="BU149" s="94" t="s">
        <v>2355</v>
      </c>
      <c r="BV149" s="94" t="s">
        <v>6037</v>
      </c>
      <c r="BW149" s="94" t="s">
        <v>6038</v>
      </c>
      <c r="BX149" s="94" t="s">
        <v>1589</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1123</v>
      </c>
      <c r="DX149" s="94" t="s">
        <v>3942</v>
      </c>
      <c r="DY149" s="94" t="s">
        <v>6058</v>
      </c>
      <c r="DZ149" s="94" t="s">
        <v>4448</v>
      </c>
      <c r="EA149" s="94" t="s">
        <v>2574</v>
      </c>
      <c r="EB149" s="94" t="s">
        <v>4996</v>
      </c>
      <c r="EC149" s="94" t="s">
        <v>2319</v>
      </c>
      <c r="ED149" s="307" t="s">
        <v>4427</v>
      </c>
    </row>
    <row r="150">
      <c r="A150" s="647" t="s">
        <v>6059</v>
      </c>
      <c r="B150" s="104" t="s">
        <v>6060</v>
      </c>
      <c r="C150" s="105" t="s">
        <v>1259</v>
      </c>
      <c r="D150" s="106" t="s">
        <v>548</v>
      </c>
      <c r="E150" s="107" t="s">
        <v>1259</v>
      </c>
      <c r="F150" s="108" t="s">
        <v>986</v>
      </c>
      <c r="G150" s="104" t="s">
        <v>1061</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6063</v>
      </c>
      <c r="CI150" s="254"/>
      <c r="CJ150" s="262" t="s">
        <v>3950</v>
      </c>
      <c r="CK150" s="262"/>
      <c r="CL150" s="262"/>
      <c r="CM150" s="254"/>
      <c r="CN150" s="254"/>
      <c r="CO150" s="177" t="s">
        <v>846</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2903</v>
      </c>
      <c r="H151" s="93"/>
      <c r="I151" s="98" t="s">
        <v>6070</v>
      </c>
      <c r="J151" s="88" t="s">
        <v>4695</v>
      </c>
      <c r="K151" s="88" t="s">
        <v>6071</v>
      </c>
      <c r="L151" s="88" t="s">
        <v>2100</v>
      </c>
      <c r="M151" s="102"/>
      <c r="N151" s="88" t="s">
        <v>712</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1191</v>
      </c>
      <c r="AV151" s="88" t="s">
        <v>6077</v>
      </c>
      <c r="AW151" s="102"/>
      <c r="AX151" s="99"/>
      <c r="AY151" s="99"/>
      <c r="AZ151" s="99"/>
      <c r="BA151" s="99"/>
      <c r="BB151" s="88" t="s">
        <v>6078</v>
      </c>
      <c r="BC151" s="265" t="s">
        <v>6079</v>
      </c>
      <c r="BD151" s="102"/>
      <c r="BE151" s="88" t="s">
        <v>1543</v>
      </c>
      <c r="BF151" s="88" t="s">
        <v>4556</v>
      </c>
      <c r="BG151" s="102"/>
      <c r="BH151" s="99"/>
      <c r="BI151" s="88" t="s">
        <v>3049</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2930</v>
      </c>
      <c r="H152" s="345"/>
      <c r="I152" s="345" t="s">
        <v>2719</v>
      </c>
      <c r="J152" s="110" t="s">
        <v>6092</v>
      </c>
      <c r="K152" s="345" t="s">
        <v>6093</v>
      </c>
      <c r="L152" s="413" t="s">
        <v>4135</v>
      </c>
      <c r="M152" s="413" t="s">
        <v>6094</v>
      </c>
      <c r="N152" s="413" t="s">
        <v>5762</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1199</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5725</v>
      </c>
      <c r="H154" s="653"/>
      <c r="I154" s="345"/>
      <c r="J154" s="345" t="s">
        <v>1181</v>
      </c>
      <c r="K154" s="345" t="s">
        <v>353</v>
      </c>
      <c r="L154" s="345" t="s">
        <v>2814</v>
      </c>
      <c r="M154" s="345"/>
      <c r="N154" s="345"/>
      <c r="O154" s="345" t="s">
        <v>6111</v>
      </c>
      <c r="P154" s="345" t="s">
        <v>6112</v>
      </c>
      <c r="Q154" s="544"/>
      <c r="R154" s="544"/>
      <c r="S154" s="274" t="s">
        <v>3007</v>
      </c>
      <c r="T154" s="544"/>
      <c r="U154" s="544"/>
      <c r="V154" s="544"/>
      <c r="W154" s="558"/>
      <c r="X154" s="300" t="s">
        <v>6113</v>
      </c>
      <c r="Y154" s="300"/>
      <c r="Z154" s="300" t="s">
        <v>2804</v>
      </c>
      <c r="AA154" s="300" t="s">
        <v>131</v>
      </c>
      <c r="AB154" s="300" t="s">
        <v>6114</v>
      </c>
      <c r="AC154" s="300" t="s">
        <v>3941</v>
      </c>
      <c r="AD154" s="300" t="s">
        <v>6115</v>
      </c>
      <c r="AE154" s="545"/>
      <c r="AF154" s="300" t="s">
        <v>6116</v>
      </c>
      <c r="AG154" s="300" t="s">
        <v>4705</v>
      </c>
      <c r="AH154" s="545"/>
      <c r="AI154" s="545"/>
      <c r="AJ154" s="300"/>
      <c r="AK154" s="654"/>
      <c r="AL154" s="546"/>
      <c r="AM154" s="424"/>
      <c r="AN154" s="424" t="s">
        <v>1619</v>
      </c>
      <c r="AO154" s="547"/>
      <c r="AP154" s="547"/>
      <c r="AQ154" s="548"/>
      <c r="AR154" s="548"/>
      <c r="AS154" s="547"/>
      <c r="AT154" s="547"/>
      <c r="AU154" s="424" t="s">
        <v>3633</v>
      </c>
      <c r="AV154" s="424" t="s">
        <v>771</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2012</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5151</v>
      </c>
      <c r="J155" s="102" t="s">
        <v>6131</v>
      </c>
      <c r="K155" s="102" t="s">
        <v>6132</v>
      </c>
      <c r="L155" s="102" t="s">
        <v>5956</v>
      </c>
      <c r="M155" s="102" t="s">
        <v>6133</v>
      </c>
      <c r="N155" s="102" t="s">
        <v>1024</v>
      </c>
      <c r="O155" s="102" t="s">
        <v>483</v>
      </c>
      <c r="P155" s="102" t="s">
        <v>763</v>
      </c>
      <c r="Q155" s="99"/>
      <c r="R155" s="99"/>
      <c r="S155" s="94"/>
      <c r="T155" s="99"/>
      <c r="U155" s="99"/>
      <c r="V155" s="99"/>
      <c r="W155" s="92"/>
      <c r="X155" s="102" t="s">
        <v>4348</v>
      </c>
      <c r="Y155" s="102"/>
      <c r="Z155" s="102" t="s">
        <v>2022</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1077</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5730</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2903</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5729</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5783</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5752</v>
      </c>
      <c r="CM156" s="254"/>
      <c r="CN156" s="254"/>
      <c r="CO156" s="254"/>
      <c r="CP156" s="254"/>
      <c r="CQ156" s="254"/>
      <c r="CR156" s="254"/>
      <c r="CS156" s="254"/>
      <c r="CT156" s="254"/>
      <c r="CU156" s="92"/>
      <c r="CV156" s="255"/>
      <c r="CW156" s="203" t="s">
        <v>5645</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5622</v>
      </c>
      <c r="H158" s="243"/>
      <c r="I158" s="167" t="s">
        <v>1916</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1211</v>
      </c>
      <c r="BD158" s="173"/>
      <c r="BE158" s="174" t="s">
        <v>1691</v>
      </c>
      <c r="BF158" s="173"/>
      <c r="BG158" s="174" t="s">
        <v>6181</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2930</v>
      </c>
      <c r="H159" s="94" t="s">
        <v>2697</v>
      </c>
      <c r="I159" s="94" t="s">
        <v>6188</v>
      </c>
      <c r="J159" s="94" t="s">
        <v>4833</v>
      </c>
      <c r="K159" s="94" t="s">
        <v>553</v>
      </c>
      <c r="L159" s="94" t="s">
        <v>6189</v>
      </c>
      <c r="M159" s="99"/>
      <c r="N159" s="99"/>
      <c r="O159" s="94" t="s">
        <v>1838</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1259</v>
      </c>
      <c r="D160" s="106" t="s">
        <v>1259</v>
      </c>
      <c r="E160" s="107" t="s">
        <v>1259</v>
      </c>
      <c r="F160" s="108" t="s">
        <v>1200</v>
      </c>
      <c r="G160" s="104" t="s">
        <v>4219</v>
      </c>
      <c r="H160" s="243"/>
      <c r="I160" s="243"/>
      <c r="J160" s="167" t="s">
        <v>6200</v>
      </c>
      <c r="K160" s="112" t="s">
        <v>5625</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1259</v>
      </c>
      <c r="D161" s="84" t="s">
        <v>1259</v>
      </c>
      <c r="E161" s="85" t="s">
        <v>1259</v>
      </c>
      <c r="F161" s="86" t="s">
        <v>335</v>
      </c>
      <c r="G161" s="82" t="s">
        <v>3961</v>
      </c>
      <c r="H161" s="94" t="s">
        <v>6206</v>
      </c>
      <c r="I161" s="94" t="s">
        <v>4931</v>
      </c>
      <c r="J161" s="94" t="s">
        <v>2391</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1000</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1259</v>
      </c>
      <c r="D165" s="84" t="s">
        <v>1259</v>
      </c>
      <c r="E165" s="85" t="s">
        <v>1259</v>
      </c>
      <c r="F165" s="86" t="s">
        <v>1259</v>
      </c>
      <c r="G165" s="82" t="s">
        <v>648</v>
      </c>
      <c r="H165" s="93" t="s">
        <v>3530</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3371</v>
      </c>
      <c r="H166" s="167" t="s">
        <v>1913</v>
      </c>
      <c r="I166" s="167" t="s">
        <v>2177</v>
      </c>
      <c r="J166" s="243"/>
      <c r="K166" s="167" t="s">
        <v>2910</v>
      </c>
      <c r="L166" s="243"/>
      <c r="M166" s="243"/>
      <c r="N166" s="243"/>
      <c r="O166" s="167" t="s">
        <v>6236</v>
      </c>
      <c r="P166" s="167" t="s">
        <v>2040</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5725</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959</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907</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3101</v>
      </c>
      <c r="L170" s="167" t="s">
        <v>5679</v>
      </c>
      <c r="M170" s="243"/>
      <c r="N170" s="243"/>
      <c r="O170" s="243"/>
      <c r="P170" s="167" t="s">
        <v>2735</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4668</v>
      </c>
      <c r="H174" s="167"/>
      <c r="I174" s="167" t="s">
        <v>6297</v>
      </c>
      <c r="J174" s="167" t="s">
        <v>3013</v>
      </c>
      <c r="K174" s="167" t="s">
        <v>754</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6304</v>
      </c>
      <c r="BC174" s="174" t="s">
        <v>790</v>
      </c>
      <c r="BD174" s="174" t="s">
        <v>914</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4042</v>
      </c>
      <c r="H175" s="669" t="s">
        <v>2999</v>
      </c>
      <c r="I175" s="669" t="s">
        <v>6315</v>
      </c>
      <c r="J175" s="669" t="s">
        <v>6316</v>
      </c>
      <c r="K175" s="669" t="s">
        <v>754</v>
      </c>
      <c r="L175" s="669" t="s">
        <v>909</v>
      </c>
      <c r="M175" s="670"/>
      <c r="N175" s="669" t="s">
        <v>6317</v>
      </c>
      <c r="O175" s="669" t="s">
        <v>6318</v>
      </c>
      <c r="P175" s="669" t="s">
        <v>5413</v>
      </c>
      <c r="Q175" s="670"/>
      <c r="R175" s="670"/>
      <c r="S175" s="670"/>
      <c r="T175" s="670"/>
      <c r="U175" s="670"/>
      <c r="V175" s="670"/>
      <c r="W175" s="671"/>
      <c r="X175" s="669" t="s">
        <v>6319</v>
      </c>
      <c r="Y175" s="669"/>
      <c r="Z175" s="672" t="s">
        <v>381</v>
      </c>
      <c r="AA175" s="672" t="s">
        <v>868</v>
      </c>
      <c r="AB175" s="672" t="s">
        <v>3955</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5107</v>
      </c>
      <c r="K180" s="167" t="s">
        <v>2385</v>
      </c>
      <c r="L180" s="167" t="s">
        <v>4093</v>
      </c>
      <c r="M180" s="167" t="s">
        <v>6342</v>
      </c>
      <c r="N180" s="243"/>
      <c r="O180" s="167" t="s">
        <v>1862</v>
      </c>
      <c r="P180" s="167" t="s">
        <v>6343</v>
      </c>
      <c r="Q180" s="243"/>
      <c r="R180" s="243"/>
      <c r="S180" s="243"/>
      <c r="T180" s="243"/>
      <c r="U180" s="243"/>
      <c r="V180" s="243"/>
      <c r="W180" s="92"/>
      <c r="X180" s="197" t="s">
        <v>4435</v>
      </c>
      <c r="Y180" s="197"/>
      <c r="Z180" s="197" t="s">
        <v>5673</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2019</v>
      </c>
      <c r="CB180" s="251"/>
      <c r="CC180" s="251"/>
      <c r="CD180" s="251"/>
      <c r="CE180" s="251"/>
      <c r="CF180" s="252"/>
      <c r="CG180" s="177" t="s">
        <v>4946</v>
      </c>
      <c r="CH180" s="177" t="s">
        <v>2520</v>
      </c>
      <c r="CI180" s="177" t="s">
        <v>2616</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4986</v>
      </c>
      <c r="L182" s="273" t="s">
        <v>3479</v>
      </c>
      <c r="M182" s="243"/>
      <c r="N182" s="243"/>
      <c r="O182" s="243"/>
      <c r="P182" s="167" t="s">
        <v>6360</v>
      </c>
      <c r="Q182" s="243"/>
      <c r="R182" s="243"/>
      <c r="S182" s="243"/>
      <c r="T182" s="243"/>
      <c r="U182" s="243"/>
      <c r="V182" s="243"/>
      <c r="W182" s="92"/>
      <c r="X182" s="116" t="s">
        <v>6361</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5122</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2910</v>
      </c>
      <c r="L184" s="167" t="s">
        <v>2941</v>
      </c>
      <c r="M184" s="167" t="s">
        <v>6379</v>
      </c>
      <c r="N184" s="167" t="s">
        <v>6380</v>
      </c>
      <c r="O184" s="167" t="s">
        <v>849</v>
      </c>
      <c r="P184" s="167" t="s">
        <v>497</v>
      </c>
      <c r="Q184" s="167"/>
      <c r="R184" s="167"/>
      <c r="S184" s="167"/>
      <c r="T184" s="167"/>
      <c r="U184" s="167"/>
      <c r="V184" s="167"/>
      <c r="W184" s="92"/>
      <c r="X184" s="197" t="s">
        <v>6381</v>
      </c>
      <c r="Y184" s="197"/>
      <c r="Z184" s="197" t="s">
        <v>5207</v>
      </c>
      <c r="AA184" s="197" t="s">
        <v>138</v>
      </c>
      <c r="AB184" s="197" t="s">
        <v>2652</v>
      </c>
      <c r="AC184" s="197" t="s">
        <v>5958</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4237</v>
      </c>
      <c r="BD184" s="174" t="s">
        <v>3761</v>
      </c>
      <c r="BE184" s="174" t="s">
        <v>6386</v>
      </c>
      <c r="BF184" s="174" t="s">
        <v>6387</v>
      </c>
      <c r="BG184" s="174" t="s">
        <v>6388</v>
      </c>
      <c r="BH184" s="174" t="s">
        <v>5163</v>
      </c>
      <c r="BI184" s="174" t="s">
        <v>6389</v>
      </c>
      <c r="BJ184" s="173"/>
      <c r="BK184" s="173"/>
      <c r="BL184" s="173"/>
      <c r="BM184" s="174"/>
      <c r="BN184" s="174"/>
      <c r="BO184" s="174"/>
      <c r="BP184" s="174"/>
      <c r="BQ184" s="292"/>
      <c r="BR184" s="175"/>
      <c r="BS184" s="251"/>
      <c r="BT184" s="679" t="s">
        <v>6390</v>
      </c>
      <c r="BU184" s="175" t="s">
        <v>6391</v>
      </c>
      <c r="BV184" s="679"/>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6178</v>
      </c>
      <c r="CY184" s="255"/>
      <c r="CZ184" s="203" t="s">
        <v>6393</v>
      </c>
      <c r="DA184" s="255"/>
      <c r="DB184" s="255"/>
      <c r="DC184" s="255"/>
      <c r="DD184" s="255"/>
      <c r="DE184" s="255"/>
      <c r="DF184" s="255"/>
      <c r="DG184" s="255"/>
      <c r="DH184" s="256"/>
      <c r="DI184" s="204" t="s">
        <v>3277</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5725</v>
      </c>
      <c r="H185" s="99"/>
      <c r="I185" s="94" t="s">
        <v>6397</v>
      </c>
      <c r="J185" s="94" t="s">
        <v>304</v>
      </c>
      <c r="K185" s="94" t="s">
        <v>125</v>
      </c>
      <c r="L185" s="94" t="s">
        <v>4015</v>
      </c>
      <c r="M185" s="94" t="s">
        <v>6398</v>
      </c>
      <c r="N185" s="99"/>
      <c r="O185" s="94" t="s">
        <v>3590</v>
      </c>
      <c r="P185" s="94" t="s">
        <v>1620</v>
      </c>
      <c r="Q185" s="99"/>
      <c r="R185" s="99"/>
      <c r="S185" s="99"/>
      <c r="T185" s="99"/>
      <c r="U185" s="99"/>
      <c r="V185" s="99"/>
      <c r="W185" s="92"/>
      <c r="X185" s="94" t="s">
        <v>6399</v>
      </c>
      <c r="Y185" s="94"/>
      <c r="Z185" s="94" t="s">
        <v>3614</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3819</v>
      </c>
      <c r="BC185" s="94" t="s">
        <v>5036</v>
      </c>
      <c r="BD185" s="99"/>
      <c r="BE185" s="94" t="s">
        <v>5648</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755</v>
      </c>
      <c r="CJ185" s="94" t="s">
        <v>6405</v>
      </c>
      <c r="CK185" s="94"/>
      <c r="CL185" s="94"/>
      <c r="CM185" s="99"/>
      <c r="CN185" s="94" t="s">
        <v>3810</v>
      </c>
      <c r="CO185" s="94" t="s">
        <v>6283</v>
      </c>
      <c r="CP185" s="99"/>
      <c r="CQ185" s="99"/>
      <c r="CR185" s="99"/>
      <c r="CS185" s="99"/>
      <c r="CT185" s="99"/>
      <c r="CU185" s="92"/>
      <c r="CV185" s="94" t="s">
        <v>5109</v>
      </c>
      <c r="CW185" s="94" t="s">
        <v>1866</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80" t="s">
        <v>6411</v>
      </c>
      <c r="B186" s="104" t="s">
        <v>6412</v>
      </c>
      <c r="C186" s="105" t="s">
        <v>1259</v>
      </c>
      <c r="D186" s="106" t="s">
        <v>1259</v>
      </c>
      <c r="E186" s="107" t="s">
        <v>1259</v>
      </c>
      <c r="F186" s="108" t="s">
        <v>1259</v>
      </c>
      <c r="G186" s="104" t="s">
        <v>2675</v>
      </c>
      <c r="H186" s="167" t="s">
        <v>6413</v>
      </c>
      <c r="I186" s="167" t="s">
        <v>6414</v>
      </c>
      <c r="J186" s="167" t="s">
        <v>2028</v>
      </c>
      <c r="K186" s="167" t="s">
        <v>6071</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6430</v>
      </c>
      <c r="B192" s="104" t="s">
        <v>6431</v>
      </c>
      <c r="C192" s="105" t="s">
        <v>1259</v>
      </c>
      <c r="D192" s="106" t="s">
        <v>1259</v>
      </c>
      <c r="E192" s="107" t="s">
        <v>1259</v>
      </c>
      <c r="F192" s="108" t="s">
        <v>1259</v>
      </c>
      <c r="G192" s="104" t="s">
        <v>6214</v>
      </c>
      <c r="H192" s="243"/>
      <c r="I192" s="167" t="s">
        <v>6432</v>
      </c>
      <c r="J192" s="167" t="s">
        <v>4225</v>
      </c>
      <c r="K192" s="167" t="s">
        <v>4369</v>
      </c>
      <c r="L192" s="167" t="s">
        <v>6433</v>
      </c>
      <c r="M192" s="243"/>
      <c r="N192" s="243"/>
      <c r="O192" s="167" t="s">
        <v>1223</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6434</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6435</v>
      </c>
      <c r="BX192" s="251"/>
      <c r="BY192" s="251"/>
      <c r="BZ192" s="251"/>
      <c r="CA192" s="251"/>
      <c r="CB192" s="251"/>
      <c r="CC192" s="251"/>
      <c r="CD192" s="175" t="s">
        <v>2049</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6436</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6437</v>
      </c>
      <c r="DT192" s="204" t="s">
        <v>4664</v>
      </c>
      <c r="DU192" s="257"/>
      <c r="DV192" s="257"/>
      <c r="DW192" s="257"/>
      <c r="DX192" s="257"/>
      <c r="DY192" s="257"/>
      <c r="DZ192" s="257"/>
      <c r="EA192" s="257"/>
      <c r="EB192" s="257"/>
      <c r="EC192" s="257"/>
      <c r="ED192" s="286" t="s">
        <v>6438</v>
      </c>
    </row>
    <row r="193">
      <c r="A193" s="81" t="s">
        <v>6439</v>
      </c>
      <c r="B193" s="82" t="s">
        <v>6440</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3955</v>
      </c>
      <c r="Y193" s="99"/>
      <c r="Z193" s="99"/>
      <c r="AA193" s="94" t="s">
        <v>1790</v>
      </c>
      <c r="AB193" s="99"/>
      <c r="AC193" s="88" t="s">
        <v>4763</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6441</v>
      </c>
      <c r="CH193" s="94" t="s">
        <v>155</v>
      </c>
      <c r="CI193" s="94" t="s">
        <v>6442</v>
      </c>
      <c r="CJ193" s="99"/>
      <c r="CK193" s="99"/>
      <c r="CL193" s="99" t="s">
        <v>3475</v>
      </c>
      <c r="CM193" s="99"/>
      <c r="CN193" s="94" t="s">
        <v>4805</v>
      </c>
      <c r="CO193" s="99"/>
      <c r="CP193" s="99"/>
      <c r="CQ193" s="99"/>
      <c r="CR193" s="99"/>
      <c r="CS193" s="99"/>
      <c r="CT193" s="99"/>
      <c r="CU193" s="92"/>
      <c r="CV193" s="94" t="s">
        <v>6443</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6444</v>
      </c>
      <c r="B194" s="104" t="s">
        <v>6445</v>
      </c>
      <c r="C194" s="105" t="s">
        <v>1259</v>
      </c>
      <c r="D194" s="106" t="s">
        <v>548</v>
      </c>
      <c r="E194" s="107" t="s">
        <v>1259</v>
      </c>
      <c r="F194" s="108" t="s">
        <v>334</v>
      </c>
      <c r="G194" s="104" t="s">
        <v>222</v>
      </c>
      <c r="H194" s="413"/>
      <c r="I194" s="514"/>
      <c r="J194" s="413"/>
      <c r="K194" s="413" t="s">
        <v>1893</v>
      </c>
      <c r="L194" s="413" t="s">
        <v>5689</v>
      </c>
      <c r="M194" s="413"/>
      <c r="N194" s="413"/>
      <c r="O194" s="413" t="s">
        <v>2941</v>
      </c>
      <c r="P194" s="413"/>
      <c r="Q194" s="243"/>
      <c r="R194" s="243"/>
      <c r="S194" s="243"/>
      <c r="T194" s="243"/>
      <c r="U194" s="243"/>
      <c r="V194" s="243"/>
      <c r="W194" s="92"/>
      <c r="X194" s="116" t="s">
        <v>3631</v>
      </c>
      <c r="Y194" s="117"/>
      <c r="Z194" s="117" t="s">
        <v>6446</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6447</v>
      </c>
      <c r="AT194" s="246"/>
      <c r="AU194" s="124"/>
      <c r="AV194" s="124" t="s">
        <v>236</v>
      </c>
      <c r="AW194" s="124"/>
      <c r="AX194" s="246"/>
      <c r="AY194" s="246"/>
      <c r="AZ194" s="246"/>
      <c r="BA194" s="246"/>
      <c r="BB194" s="381"/>
      <c r="BC194" s="381"/>
      <c r="BD194" s="381" t="s">
        <v>6448</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6450</v>
      </c>
      <c r="B195" s="82" t="s">
        <v>6451</v>
      </c>
      <c r="C195" s="83" t="s">
        <v>1259</v>
      </c>
      <c r="D195" s="84" t="s">
        <v>1259</v>
      </c>
      <c r="E195" s="85" t="s">
        <v>1259</v>
      </c>
      <c r="F195" s="86" t="s">
        <v>548</v>
      </c>
      <c r="G195" s="82" t="s">
        <v>223</v>
      </c>
      <c r="H195" s="102"/>
      <c r="I195" s="95" t="s">
        <v>6452</v>
      </c>
      <c r="J195" s="102" t="s">
        <v>237</v>
      </c>
      <c r="K195" s="88" t="s">
        <v>5896</v>
      </c>
      <c r="L195" s="102" t="s">
        <v>4130</v>
      </c>
      <c r="M195" s="102"/>
      <c r="N195" s="102"/>
      <c r="O195" s="102" t="s">
        <v>3152</v>
      </c>
      <c r="P195" s="102" t="s">
        <v>1445</v>
      </c>
      <c r="Q195" s="99"/>
      <c r="R195" s="99"/>
      <c r="S195" s="99"/>
      <c r="T195" s="99"/>
      <c r="U195" s="99"/>
      <c r="V195" s="99"/>
      <c r="W195" s="92"/>
      <c r="X195" s="102" t="s">
        <v>4558</v>
      </c>
      <c r="Y195" s="102"/>
      <c r="Z195" s="102"/>
      <c r="AA195" s="102"/>
      <c r="AB195" s="265" t="s">
        <v>6453</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t="s">
        <v>995</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6454</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6457</v>
      </c>
      <c r="B197" s="82" t="s">
        <v>6458</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4589</v>
      </c>
      <c r="H199" s="94" t="s">
        <v>6465</v>
      </c>
      <c r="I199" s="94" t="s">
        <v>2477</v>
      </c>
      <c r="J199" s="94" t="s">
        <v>1208</v>
      </c>
      <c r="K199" s="94" t="s">
        <v>6466</v>
      </c>
      <c r="L199" s="94" t="s">
        <v>6467</v>
      </c>
      <c r="M199" s="94" t="s">
        <v>6468</v>
      </c>
      <c r="N199" s="94" t="s">
        <v>6469</v>
      </c>
      <c r="O199" s="94" t="s">
        <v>6470</v>
      </c>
      <c r="P199" s="94" t="s">
        <v>4134</v>
      </c>
      <c r="Q199" s="99"/>
      <c r="R199" s="99"/>
      <c r="S199" s="99"/>
      <c r="T199" s="99"/>
      <c r="U199" s="99"/>
      <c r="V199" s="99"/>
      <c r="W199" s="92"/>
      <c r="X199" s="94" t="s">
        <v>6471</v>
      </c>
      <c r="Y199" s="94"/>
      <c r="Z199" s="94" t="s">
        <v>6472</v>
      </c>
      <c r="AA199" s="94" t="s">
        <v>6473</v>
      </c>
      <c r="AB199" s="99" t="s">
        <v>6474</v>
      </c>
      <c r="AC199" s="94" t="s">
        <v>5958</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4447</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6163</v>
      </c>
      <c r="BV199" s="99" t="s">
        <v>6486</v>
      </c>
      <c r="BW199" s="99" t="s">
        <v>6487</v>
      </c>
      <c r="BX199" s="94" t="s">
        <v>6488</v>
      </c>
      <c r="BY199" s="94" t="s">
        <v>6489</v>
      </c>
      <c r="BZ199" s="99"/>
      <c r="CA199" s="94" t="s">
        <v>4753</v>
      </c>
      <c r="CB199" s="99"/>
      <c r="CC199" s="99"/>
      <c r="CD199" s="99"/>
      <c r="CE199" s="99"/>
      <c r="CF199" s="236"/>
      <c r="CG199" s="94" t="s">
        <v>5634</v>
      </c>
      <c r="CH199" s="94" t="s">
        <v>1566</v>
      </c>
      <c r="CI199" s="94" t="s">
        <v>2476</v>
      </c>
      <c r="CJ199" s="94" t="s">
        <v>3628</v>
      </c>
      <c r="CK199" s="94"/>
      <c r="CL199" s="94" t="s">
        <v>372</v>
      </c>
      <c r="CM199" s="94" t="s">
        <v>6490</v>
      </c>
      <c r="CN199" s="94" t="s">
        <v>6491</v>
      </c>
      <c r="CO199" s="94" t="s">
        <v>3945</v>
      </c>
      <c r="CP199" s="99"/>
      <c r="CQ199" s="99"/>
      <c r="CR199" s="99"/>
      <c r="CS199" s="99"/>
      <c r="CT199" s="99"/>
      <c r="CU199" s="92"/>
      <c r="CV199" s="99" t="s">
        <v>6492</v>
      </c>
      <c r="CW199" s="99" t="s">
        <v>2186</v>
      </c>
      <c r="CX199" s="99" t="s">
        <v>1102</v>
      </c>
      <c r="CY199" s="99" t="s">
        <v>6493</v>
      </c>
      <c r="CZ199" s="99" t="s">
        <v>6494</v>
      </c>
      <c r="DA199" s="99" t="s">
        <v>4508</v>
      </c>
      <c r="DB199" s="99" t="s">
        <v>6495</v>
      </c>
      <c r="DC199" s="94" t="s">
        <v>3329</v>
      </c>
      <c r="DD199" s="99"/>
      <c r="DE199" s="99"/>
      <c r="DF199" s="99"/>
      <c r="DG199" s="99"/>
      <c r="DH199" s="236"/>
      <c r="DI199" s="99"/>
      <c r="DJ199" s="99"/>
      <c r="DK199" s="99"/>
      <c r="DL199" s="99"/>
      <c r="DM199" s="99" t="s">
        <v>5495</v>
      </c>
      <c r="DN199" s="94"/>
      <c r="DO199" s="94" t="s">
        <v>6496</v>
      </c>
      <c r="DP199" s="94" t="s">
        <v>3938</v>
      </c>
      <c r="DQ199" s="94" t="s">
        <v>3004</v>
      </c>
      <c r="DR199" s="99"/>
      <c r="DS199" s="99"/>
      <c r="DT199" s="99"/>
      <c r="DU199" s="99"/>
      <c r="DV199" s="99"/>
      <c r="DW199" s="99"/>
      <c r="DX199" s="99"/>
      <c r="DY199" s="99"/>
      <c r="DZ199" s="99"/>
      <c r="EA199" s="99"/>
      <c r="EB199" s="99"/>
      <c r="EC199" s="99"/>
      <c r="ED199" s="259"/>
    </row>
    <row r="200">
      <c r="A200" s="685" t="s">
        <v>6497</v>
      </c>
      <c r="B200" s="104" t="s">
        <v>6498</v>
      </c>
      <c r="C200" s="105" t="s">
        <v>1259</v>
      </c>
      <c r="D200" s="106" t="s">
        <v>1259</v>
      </c>
      <c r="E200" s="107" t="s">
        <v>1259</v>
      </c>
      <c r="F200" s="108" t="s">
        <v>1259</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2029</v>
      </c>
      <c r="AD200" s="117"/>
      <c r="AE200" s="245"/>
      <c r="AF200" s="117"/>
      <c r="AG200" s="300" t="s">
        <v>6216</v>
      </c>
      <c r="AH200" s="245"/>
      <c r="AI200" s="245"/>
      <c r="AJ200" s="117"/>
      <c r="AK200" s="197" t="s">
        <v>6499</v>
      </c>
      <c r="AL200" s="97"/>
      <c r="AM200" s="124"/>
      <c r="AN200" s="124" t="s">
        <v>6500</v>
      </c>
      <c r="AO200" s="246"/>
      <c r="AP200" s="246"/>
      <c r="AQ200" s="168"/>
      <c r="AR200" s="168"/>
      <c r="AS200" s="246"/>
      <c r="AT200" s="246"/>
      <c r="AU200" s="424" t="s">
        <v>6501</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6502</v>
      </c>
      <c r="BS200" s="370" t="s">
        <v>6503</v>
      </c>
      <c r="BT200" s="131"/>
      <c r="BU200" s="370" t="s">
        <v>2575</v>
      </c>
      <c r="BV200" s="370" t="s">
        <v>6504</v>
      </c>
      <c r="BW200" s="370" t="s">
        <v>1095</v>
      </c>
      <c r="BX200" s="251"/>
      <c r="BY200" s="131"/>
      <c r="BZ200" s="370" t="s">
        <v>6505</v>
      </c>
      <c r="CA200" s="370" t="s">
        <v>1854</v>
      </c>
      <c r="CB200" s="175" t="s">
        <v>6506</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6507</v>
      </c>
      <c r="DD200" s="255"/>
      <c r="DE200" s="255"/>
      <c r="DF200" s="255"/>
      <c r="DG200" s="255"/>
      <c r="DH200" s="256"/>
      <c r="DI200" s="205"/>
      <c r="DJ200" s="257"/>
      <c r="DK200" s="257"/>
      <c r="DL200" s="205"/>
      <c r="DM200" s="286" t="s">
        <v>6508</v>
      </c>
      <c r="DN200" s="205"/>
      <c r="DO200" s="257"/>
      <c r="DP200" s="257"/>
      <c r="DQ200" s="257"/>
      <c r="DR200" s="205"/>
      <c r="DS200" s="205"/>
      <c r="DT200" s="204" t="s">
        <v>2022</v>
      </c>
      <c r="DU200" s="205"/>
      <c r="DV200" s="257"/>
      <c r="DW200" s="204" t="s">
        <v>280</v>
      </c>
      <c r="DX200" s="257"/>
      <c r="DY200" s="257"/>
      <c r="DZ200" s="257"/>
      <c r="EA200" s="205" t="s">
        <v>5837</v>
      </c>
      <c r="EB200" s="257"/>
      <c r="EC200" s="257"/>
      <c r="ED200" s="286"/>
    </row>
    <row r="201">
      <c r="A201" s="540" t="s">
        <v>6509</v>
      </c>
      <c r="B201" s="82" t="s">
        <v>6510</v>
      </c>
      <c r="C201" s="83" t="s">
        <v>1259</v>
      </c>
      <c r="D201" s="84" t="s">
        <v>1259</v>
      </c>
      <c r="E201" s="85" t="s">
        <v>1259</v>
      </c>
      <c r="F201" s="86" t="s">
        <v>1259</v>
      </c>
      <c r="G201" s="82" t="s">
        <v>1199</v>
      </c>
      <c r="H201" s="99"/>
      <c r="I201" s="94" t="s">
        <v>6511</v>
      </c>
      <c r="J201" s="94" t="s">
        <v>6512</v>
      </c>
      <c r="K201" s="94" t="s">
        <v>1975</v>
      </c>
      <c r="L201" s="94" t="s">
        <v>6513</v>
      </c>
      <c r="M201" s="94" t="s">
        <v>6514</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6517</v>
      </c>
      <c r="B202" s="104" t="s">
        <v>6518</v>
      </c>
      <c r="C202" s="105" t="s">
        <v>1259</v>
      </c>
      <c r="D202" s="106" t="s">
        <v>1259</v>
      </c>
      <c r="E202" s="107" t="s">
        <v>1259</v>
      </c>
      <c r="F202" s="108" t="s">
        <v>1259</v>
      </c>
      <c r="G202" s="104" t="s">
        <v>3432</v>
      </c>
      <c r="H202" s="243"/>
      <c r="I202" s="167" t="s">
        <v>6519</v>
      </c>
      <c r="J202" s="167" t="s">
        <v>1298</v>
      </c>
      <c r="K202" s="167" t="s">
        <v>1058</v>
      </c>
      <c r="L202" s="167" t="s">
        <v>6520</v>
      </c>
      <c r="M202" s="167" t="s">
        <v>6521</v>
      </c>
      <c r="N202" s="167" t="s">
        <v>6522</v>
      </c>
      <c r="O202" s="167" t="s">
        <v>6523</v>
      </c>
      <c r="P202" s="167" t="s">
        <v>4603</v>
      </c>
      <c r="Q202" s="243"/>
      <c r="R202" s="243"/>
      <c r="S202" s="243"/>
      <c r="T202" s="243"/>
      <c r="U202" s="243"/>
      <c r="V202" s="243"/>
      <c r="W202" s="92"/>
      <c r="X202" s="197" t="s">
        <v>337</v>
      </c>
      <c r="Y202" s="197"/>
      <c r="Z202" s="197" t="s">
        <v>2212</v>
      </c>
      <c r="AA202" s="197" t="s">
        <v>3239</v>
      </c>
      <c r="AB202" s="197" t="s">
        <v>6524</v>
      </c>
      <c r="AC202" s="197" t="s">
        <v>6525</v>
      </c>
      <c r="AD202" s="197" t="s">
        <v>3201</v>
      </c>
      <c r="AE202" s="245"/>
      <c r="AF202" s="197" t="s">
        <v>6526</v>
      </c>
      <c r="AG202" s="197" t="s">
        <v>1357</v>
      </c>
      <c r="AH202" s="245"/>
      <c r="AI202" s="245"/>
      <c r="AJ202" s="245"/>
      <c r="AK202" s="245"/>
      <c r="AL202" s="97"/>
      <c r="AM202" s="168" t="s">
        <v>5115</v>
      </c>
      <c r="AN202" s="168" t="s">
        <v>1373</v>
      </c>
      <c r="AO202" s="168" t="s">
        <v>6527</v>
      </c>
      <c r="AP202" s="168" t="s">
        <v>6528</v>
      </c>
      <c r="AQ202" s="168" t="s">
        <v>6529</v>
      </c>
      <c r="AR202" s="168"/>
      <c r="AS202" s="168" t="s">
        <v>2178</v>
      </c>
      <c r="AT202" s="168" t="s">
        <v>6530</v>
      </c>
      <c r="AU202" s="168" t="s">
        <v>3845</v>
      </c>
      <c r="AV202" s="168" t="s">
        <v>693</v>
      </c>
      <c r="AW202" s="246"/>
      <c r="AX202" s="246"/>
      <c r="AY202" s="246"/>
      <c r="AZ202" s="246"/>
      <c r="BA202" s="246"/>
      <c r="BB202" s="174" t="s">
        <v>630</v>
      </c>
      <c r="BC202" s="174" t="s">
        <v>6531</v>
      </c>
      <c r="BD202" s="174" t="s">
        <v>6532</v>
      </c>
      <c r="BE202" s="174" t="s">
        <v>6533</v>
      </c>
      <c r="BF202" s="174" t="s">
        <v>6534</v>
      </c>
      <c r="BG202" s="174" t="s">
        <v>6482</v>
      </c>
      <c r="BH202" s="174" t="s">
        <v>6535</v>
      </c>
      <c r="BI202" s="174" t="s">
        <v>6230</v>
      </c>
      <c r="BJ202" s="174"/>
      <c r="BK202" s="174"/>
      <c r="BL202" s="174" t="s">
        <v>924</v>
      </c>
      <c r="BM202" s="173"/>
      <c r="BN202" s="173"/>
      <c r="BO202" s="173"/>
      <c r="BP202" s="173"/>
      <c r="BQ202" s="248"/>
      <c r="BR202" s="175"/>
      <c r="BS202" s="175" t="s">
        <v>6536</v>
      </c>
      <c r="BT202" s="175" t="s">
        <v>6537</v>
      </c>
      <c r="BU202" s="175" t="s">
        <v>112</v>
      </c>
      <c r="BV202" s="175" t="s">
        <v>6538</v>
      </c>
      <c r="BW202" s="175" t="s">
        <v>6539</v>
      </c>
      <c r="BX202" s="175" t="s">
        <v>6540</v>
      </c>
      <c r="BY202" s="175" t="s">
        <v>6541</v>
      </c>
      <c r="BZ202" s="251"/>
      <c r="CA202" s="175" t="s">
        <v>3577</v>
      </c>
      <c r="CB202" s="251"/>
      <c r="CC202" s="251"/>
      <c r="CD202" s="251"/>
      <c r="CE202" s="251"/>
      <c r="CF202" s="252"/>
      <c r="CG202" s="177" t="s">
        <v>6542</v>
      </c>
      <c r="CH202" s="177" t="s">
        <v>6543</v>
      </c>
      <c r="CI202" s="177" t="s">
        <v>2931</v>
      </c>
      <c r="CJ202" s="177" t="s">
        <v>6544</v>
      </c>
      <c r="CK202" s="177"/>
      <c r="CL202" s="177" t="s">
        <v>4224</v>
      </c>
      <c r="CM202" s="177" t="s">
        <v>6545</v>
      </c>
      <c r="CN202" s="177" t="s">
        <v>968</v>
      </c>
      <c r="CO202" s="177" t="s">
        <v>1433</v>
      </c>
      <c r="CP202" s="254"/>
      <c r="CQ202" s="254"/>
      <c r="CR202" s="254"/>
      <c r="CS202" s="254"/>
      <c r="CT202" s="254"/>
      <c r="CU202" s="92"/>
      <c r="CV202" s="203" t="s">
        <v>6546</v>
      </c>
      <c r="CW202" s="203" t="s">
        <v>2033</v>
      </c>
      <c r="CX202" s="203" t="s">
        <v>1739</v>
      </c>
      <c r="CY202" s="203" t="s">
        <v>6547</v>
      </c>
      <c r="CZ202" s="203" t="s">
        <v>6548</v>
      </c>
      <c r="DA202" s="203" t="s">
        <v>6549</v>
      </c>
      <c r="DB202" s="203" t="s">
        <v>1514</v>
      </c>
      <c r="DC202" s="203" t="s">
        <v>6550</v>
      </c>
      <c r="DD202" s="255"/>
      <c r="DE202" s="255"/>
      <c r="DF202" s="255"/>
      <c r="DG202" s="255"/>
      <c r="DH202" s="256"/>
      <c r="DI202" s="257"/>
      <c r="DJ202" s="257"/>
      <c r="DK202" s="257"/>
      <c r="DL202" s="257"/>
      <c r="DM202" s="257"/>
      <c r="DN202" s="257"/>
      <c r="DO202" s="257"/>
      <c r="DP202" s="257"/>
      <c r="DQ202" s="257"/>
      <c r="DR202" s="204" t="s">
        <v>6551</v>
      </c>
      <c r="DS202" s="204"/>
      <c r="DT202" s="257"/>
      <c r="DU202" s="257"/>
      <c r="DV202" s="257"/>
      <c r="DW202" s="257"/>
      <c r="DX202" s="257"/>
      <c r="DY202" s="257"/>
      <c r="DZ202" s="257"/>
      <c r="EA202" s="257"/>
      <c r="EB202" s="257"/>
      <c r="EC202" s="257"/>
      <c r="ED202" s="286"/>
    </row>
    <row r="203">
      <c r="A203" s="686" t="s">
        <v>6552</v>
      </c>
      <c r="B203" s="82" t="s">
        <v>6553</v>
      </c>
      <c r="C203" s="83" t="s">
        <v>1259</v>
      </c>
      <c r="D203" s="84" t="s">
        <v>1259</v>
      </c>
      <c r="E203" s="85" t="s">
        <v>1259</v>
      </c>
      <c r="F203" s="86" t="s">
        <v>1259</v>
      </c>
      <c r="G203" s="82" t="s">
        <v>4042</v>
      </c>
      <c r="H203" s="94" t="s">
        <v>6554</v>
      </c>
      <c r="I203" s="94" t="s">
        <v>6555</v>
      </c>
      <c r="J203" s="94" t="s">
        <v>6556</v>
      </c>
      <c r="K203" s="94" t="s">
        <v>1620</v>
      </c>
      <c r="L203" s="94" t="s">
        <v>4060</v>
      </c>
      <c r="M203" s="94" t="s">
        <v>6557</v>
      </c>
      <c r="N203" s="94" t="s">
        <v>6558</v>
      </c>
      <c r="O203" s="94" t="s">
        <v>4421</v>
      </c>
      <c r="P203" s="94" t="s">
        <v>4662</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5682</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6561</v>
      </c>
      <c r="CH203" s="94" t="s">
        <v>5729</v>
      </c>
      <c r="CI203" s="94" t="s">
        <v>785</v>
      </c>
      <c r="CJ203" s="94" t="s">
        <v>6562</v>
      </c>
      <c r="CK203" s="94"/>
      <c r="CL203" s="94" t="s">
        <v>789</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6564</v>
      </c>
      <c r="B204" s="104" t="s">
        <v>6510</v>
      </c>
      <c r="C204" s="105" t="s">
        <v>1259</v>
      </c>
      <c r="D204" s="106" t="s">
        <v>1259</v>
      </c>
      <c r="E204" s="107" t="s">
        <v>1259</v>
      </c>
      <c r="F204" s="108" t="s">
        <v>1259</v>
      </c>
      <c r="G204" s="104" t="s">
        <v>4219</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1144</v>
      </c>
      <c r="AC204" s="117" t="s">
        <v>2240</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t="s">
        <v>2637</v>
      </c>
      <c r="DT204" s="257"/>
      <c r="DU204" s="205"/>
      <c r="DV204" s="257"/>
      <c r="DW204" s="257"/>
      <c r="DX204" s="257"/>
      <c r="DY204" s="257"/>
      <c r="DZ204" s="257"/>
      <c r="EA204" s="205"/>
      <c r="EB204" s="257"/>
      <c r="EC204" s="257"/>
      <c r="ED204" s="286"/>
    </row>
    <row r="205">
      <c r="A205" s="81" t="s">
        <v>6569</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6570</v>
      </c>
      <c r="B206" s="104" t="s">
        <v>224</v>
      </c>
      <c r="C206" s="105" t="s">
        <v>1259</v>
      </c>
      <c r="D206" s="106" t="s">
        <v>1259</v>
      </c>
      <c r="E206" s="107" t="s">
        <v>1259</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5053</v>
      </c>
      <c r="C208" s="105" t="s">
        <v>1259</v>
      </c>
      <c r="D208" s="106" t="s">
        <v>1259</v>
      </c>
      <c r="E208" s="107" t="s">
        <v>1259</v>
      </c>
      <c r="F208" s="108" t="s">
        <v>1259</v>
      </c>
      <c r="G208" s="104" t="s">
        <v>2837</v>
      </c>
      <c r="H208" s="167"/>
      <c r="I208" s="167" t="s">
        <v>6573</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4432</v>
      </c>
      <c r="BJ208" s="173"/>
      <c r="BK208" s="173"/>
      <c r="BL208" s="173"/>
      <c r="BM208" s="173"/>
      <c r="BN208" s="173"/>
      <c r="BO208" s="173"/>
      <c r="BP208" s="173"/>
      <c r="BQ208" s="248"/>
      <c r="BR208" s="251"/>
      <c r="BS208" s="175" t="s">
        <v>4883</v>
      </c>
      <c r="BT208" s="175" t="s">
        <v>6575</v>
      </c>
      <c r="BU208" s="175" t="s">
        <v>5251</v>
      </c>
      <c r="BV208" s="251"/>
      <c r="BW208" s="251"/>
      <c r="BX208" s="251"/>
      <c r="BY208" s="251"/>
      <c r="BZ208" s="251"/>
      <c r="CA208" s="251"/>
      <c r="CB208" s="251"/>
      <c r="CC208" s="251"/>
      <c r="CD208" s="251"/>
      <c r="CE208" s="251"/>
      <c r="CF208" s="252"/>
      <c r="CG208" s="177" t="s">
        <v>6576</v>
      </c>
      <c r="CH208" s="177" t="s">
        <v>1727</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1"/>
    </row>
    <row r="209">
      <c r="A209" s="366" t="s">
        <v>6579</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6584</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6585</v>
      </c>
      <c r="B213" s="82" t="s">
        <v>2155</v>
      </c>
      <c r="C213" s="83" t="s">
        <v>1259</v>
      </c>
      <c r="D213" s="84" t="s">
        <v>1259</v>
      </c>
      <c r="E213" s="85" t="s">
        <v>1259</v>
      </c>
      <c r="F213" s="86" t="s">
        <v>2675</v>
      </c>
      <c r="G213" s="82" t="s">
        <v>2675</v>
      </c>
      <c r="H213" s="419" t="s">
        <v>6586</v>
      </c>
      <c r="I213" s="94"/>
      <c r="J213" s="99"/>
      <c r="K213" s="415" t="s">
        <v>4273</v>
      </c>
      <c r="L213" s="94"/>
      <c r="M213" s="99"/>
      <c r="N213" s="99"/>
      <c r="O213" s="94"/>
      <c r="P213" s="99"/>
      <c r="Q213" s="99"/>
      <c r="R213" s="99"/>
      <c r="S213" s="99"/>
      <c r="T213" s="99"/>
      <c r="U213" s="99"/>
      <c r="V213" s="99"/>
      <c r="W213" s="92"/>
      <c r="X213" s="99"/>
      <c r="Y213" s="99"/>
      <c r="Z213" s="419" t="s">
        <v>5673</v>
      </c>
      <c r="AA213" s="99"/>
      <c r="AB213" s="99"/>
      <c r="AC213" s="99"/>
      <c r="AD213" s="99"/>
      <c r="AE213" s="99"/>
      <c r="AF213" s="99"/>
      <c r="AG213" s="99"/>
      <c r="AH213" s="99"/>
      <c r="AI213" s="99"/>
      <c r="AJ213" s="99"/>
      <c r="AK213" s="99"/>
      <c r="AL213" s="97"/>
      <c r="AM213" s="99"/>
      <c r="AN213" s="419" t="s">
        <v>3149</v>
      </c>
      <c r="AO213" s="99"/>
      <c r="AP213" s="419" t="s">
        <v>6587</v>
      </c>
      <c r="AQ213" s="99"/>
      <c r="AR213" s="99"/>
      <c r="AS213" s="99"/>
      <c r="AT213" s="99"/>
      <c r="AU213" s="99"/>
      <c r="AV213" s="99"/>
      <c r="AW213" s="99"/>
      <c r="AX213" s="99"/>
      <c r="AY213" s="419" t="s">
        <v>523</v>
      </c>
      <c r="AZ213" s="99"/>
      <c r="BA213" s="99"/>
      <c r="BB213" s="419" t="s">
        <v>6588</v>
      </c>
      <c r="BC213" s="99"/>
      <c r="BD213" s="419" t="s">
        <v>4735</v>
      </c>
      <c r="BE213" s="99"/>
      <c r="BF213" s="99"/>
      <c r="BG213" s="99"/>
      <c r="BH213" s="99"/>
      <c r="BI213" s="99"/>
      <c r="BJ213" s="99"/>
      <c r="BK213" s="99"/>
      <c r="BL213" s="99"/>
      <c r="BM213" s="99"/>
      <c r="BN213" s="419" t="s">
        <v>6589</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6590</v>
      </c>
      <c r="DR213" s="99"/>
      <c r="DS213" s="99"/>
      <c r="DT213" s="99"/>
      <c r="DU213" s="99"/>
      <c r="DV213" s="99"/>
      <c r="DW213" s="99"/>
      <c r="DX213" s="99"/>
      <c r="DY213" s="99"/>
      <c r="DZ213" s="99"/>
      <c r="EA213" s="99"/>
      <c r="EB213" s="99"/>
      <c r="EC213" s="99"/>
      <c r="ED213" s="666" t="s">
        <v>1843</v>
      </c>
    </row>
    <row r="214">
      <c r="A214" s="103" t="s">
        <v>6591</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4770</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5725</v>
      </c>
      <c r="C217" s="83" t="s">
        <v>1259</v>
      </c>
      <c r="D217" s="84" t="s">
        <v>1259</v>
      </c>
      <c r="E217" s="85" t="s">
        <v>1259</v>
      </c>
      <c r="F217" s="86" t="s">
        <v>1259</v>
      </c>
      <c r="G217" s="82" t="s">
        <v>334</v>
      </c>
      <c r="H217" s="99"/>
      <c r="I217" s="94"/>
      <c r="J217" s="99"/>
      <c r="K217" s="94" t="s">
        <v>4986</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6597</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4674</v>
      </c>
      <c r="CI218" s="177" t="s">
        <v>1683</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1"/>
    </row>
    <row r="219">
      <c r="A219" s="81" t="s">
        <v>6601</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6607</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B44"/>
    <hyperlink r:id="rId2620" ref="BD44"/>
    <hyperlink r:id="rId2621" ref="BE44"/>
    <hyperlink r:id="rId2622" ref="BF44"/>
    <hyperlink r:id="rId2623" ref="BI44"/>
    <hyperlink r:id="rId2624" ref="BJ44"/>
    <hyperlink r:id="rId2625" ref="BL44"/>
    <hyperlink r:id="rId2626" ref="BS44"/>
    <hyperlink r:id="rId2627" ref="BT44"/>
    <hyperlink r:id="rId2628" ref="BX44"/>
    <hyperlink r:id="rId2629" ref="BY44"/>
    <hyperlink r:id="rId2630" ref="CG44"/>
    <hyperlink r:id="rId2631" ref="CI44"/>
    <hyperlink r:id="rId2632" ref="CJ44"/>
    <hyperlink r:id="rId2633" ref="CM44"/>
    <hyperlink r:id="rId2634" ref="CN44"/>
    <hyperlink r:id="rId2635" ref="CV44"/>
    <hyperlink r:id="rId2636" ref="CX44"/>
    <hyperlink r:id="rId2637" ref="CY44"/>
    <hyperlink r:id="rId2638" ref="CZ44"/>
    <hyperlink r:id="rId2639" ref="DB44"/>
    <hyperlink r:id="rId2640" ref="DR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K56"/>
    <hyperlink r:id="rId2869" ref="O56"/>
    <hyperlink r:id="rId2870" ref="X56"/>
    <hyperlink r:id="rId2871" ref="BG56"/>
    <hyperlink r:id="rId2872" ref="BU56"/>
    <hyperlink r:id="rId2873" ref="DM56"/>
    <hyperlink r:id="rId2874" ref="L57"/>
    <hyperlink r:id="rId2875" ref="AB57"/>
    <hyperlink r:id="rId2876" ref="BS57"/>
    <hyperlink r:id="rId2877" ref="BV57"/>
    <hyperlink r:id="rId2878" ref="CJ57"/>
    <hyperlink r:id="rId2879" ref="CX57"/>
    <hyperlink r:id="rId2880" ref="DD57"/>
    <hyperlink r:id="rId2881" ref="DG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DB191"/>
    <hyperlink r:id="rId4038" ref="AC193"/>
    <hyperlink r:id="rId4039" ref="X194"/>
    <hyperlink r:id="rId4040" ref="AE194"/>
    <hyperlink r:id="rId4041" ref="DM194"/>
    <hyperlink r:id="rId4042" ref="K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6612</v>
      </c>
      <c r="D1" s="703" t="s">
        <v>1556</v>
      </c>
      <c r="E1" s="704" t="s">
        <v>6613</v>
      </c>
      <c r="F1" s="705" t="s">
        <v>2539</v>
      </c>
      <c r="G1" s="703" t="s">
        <v>6614</v>
      </c>
      <c r="H1" s="703" t="s">
        <v>1059</v>
      </c>
      <c r="I1" s="704" t="s">
        <v>6615</v>
      </c>
      <c r="J1" s="703" t="s">
        <v>6616</v>
      </c>
      <c r="K1" s="703" t="s">
        <v>6617</v>
      </c>
      <c r="L1" s="704" t="s">
        <v>6618</v>
      </c>
      <c r="M1" s="703" t="s">
        <v>740</v>
      </c>
      <c r="N1" s="703" t="s">
        <v>6619</v>
      </c>
      <c r="O1" s="703" t="s">
        <v>983</v>
      </c>
      <c r="P1" s="706" t="s">
        <v>6620</v>
      </c>
      <c r="Q1" s="703" t="s">
        <v>1810</v>
      </c>
      <c r="R1" s="703" t="s">
        <v>6621</v>
      </c>
      <c r="S1" s="703" t="s">
        <v>6622</v>
      </c>
      <c r="T1" s="704" t="s">
        <v>6623</v>
      </c>
      <c r="U1" s="703" t="s">
        <v>2726</v>
      </c>
      <c r="V1" s="703" t="s">
        <v>6624</v>
      </c>
      <c r="W1" s="703" t="s">
        <v>6625</v>
      </c>
      <c r="X1" s="703" t="s">
        <v>4040</v>
      </c>
      <c r="Y1" s="703" t="s">
        <v>6626</v>
      </c>
      <c r="Z1" s="703" t="s">
        <v>6627</v>
      </c>
      <c r="AA1" s="703" t="s">
        <v>3561</v>
      </c>
      <c r="AB1" s="703" t="s">
        <v>6628</v>
      </c>
      <c r="AC1" s="703" t="s">
        <v>6629</v>
      </c>
      <c r="AD1" s="703" t="s">
        <v>6630</v>
      </c>
      <c r="AE1" s="703" t="s">
        <v>1197</v>
      </c>
      <c r="AF1" s="703" t="s">
        <v>219</v>
      </c>
      <c r="AG1" s="703" t="s">
        <v>1724</v>
      </c>
      <c r="AH1" s="703" t="s">
        <v>2087</v>
      </c>
      <c r="AI1" s="703" t="s">
        <v>6631</v>
      </c>
      <c r="AJ1" s="703" t="s">
        <v>6632</v>
      </c>
      <c r="AK1" s="703" t="s">
        <v>6633</v>
      </c>
      <c r="AL1" s="703" t="s">
        <v>1961</v>
      </c>
      <c r="AM1" s="703" t="s">
        <v>6634</v>
      </c>
      <c r="AN1" s="703" t="s">
        <v>6635</v>
      </c>
      <c r="AO1" s="703" t="s">
        <v>5986</v>
      </c>
      <c r="AP1" s="703" t="s">
        <v>6636</v>
      </c>
      <c r="AQ1" s="703" t="s">
        <v>6637</v>
      </c>
      <c r="AR1" s="703" t="s">
        <v>6638</v>
      </c>
      <c r="AS1" s="703" t="s">
        <v>6639</v>
      </c>
      <c r="AT1" s="707" t="s">
        <v>6640</v>
      </c>
      <c r="AU1" s="703" t="s">
        <v>3188</v>
      </c>
      <c r="AV1" s="703" t="s">
        <v>3860</v>
      </c>
      <c r="AW1" s="703" t="s">
        <v>5857</v>
      </c>
      <c r="AX1" s="703" t="s">
        <v>6641</v>
      </c>
      <c r="AY1" s="703" t="s">
        <v>5238</v>
      </c>
      <c r="AZ1" s="707" t="s">
        <v>4666</v>
      </c>
      <c r="BA1" s="703" t="s">
        <v>827</v>
      </c>
      <c r="BB1" s="707" t="s">
        <v>6642</v>
      </c>
      <c r="BC1" s="703" t="s">
        <v>646</v>
      </c>
      <c r="BD1" s="703" t="s">
        <v>6643</v>
      </c>
      <c r="BE1" s="704" t="s">
        <v>6644</v>
      </c>
      <c r="BF1" s="703" t="s">
        <v>6645</v>
      </c>
      <c r="BG1" s="703" t="s">
        <v>6646</v>
      </c>
      <c r="BH1" s="703" t="s">
        <v>1635</v>
      </c>
      <c r="BI1" s="707" t="s">
        <v>6609</v>
      </c>
      <c r="BJ1" s="707" t="s">
        <v>6571</v>
      </c>
      <c r="BK1" s="707" t="s">
        <v>2023</v>
      </c>
      <c r="BL1" s="708"/>
      <c r="BM1" s="708"/>
      <c r="BN1" s="708"/>
      <c r="BO1" s="708"/>
    </row>
    <row r="2" ht="15.75" customHeight="1">
      <c r="A2" s="709" t="s">
        <v>6647</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6648</v>
      </c>
      <c r="B4" s="719" t="s">
        <v>6649</v>
      </c>
      <c r="C4" s="720" t="s">
        <v>336</v>
      </c>
      <c r="D4" s="721" t="s">
        <v>911</v>
      </c>
      <c r="E4" s="722" t="s">
        <v>336</v>
      </c>
      <c r="F4" s="723"/>
      <c r="G4" s="724" t="s">
        <v>1260</v>
      </c>
      <c r="H4" s="725" t="s">
        <v>5739</v>
      </c>
      <c r="I4" s="725" t="str">
        <f>HYPERLINK("https://youtu.be/BAG8a3WI9KM","52.27")</f>
        <v>52.27</v>
      </c>
      <c r="J4" s="725" t="s">
        <v>2610</v>
      </c>
      <c r="K4" s="726" t="s">
        <v>2000</v>
      </c>
      <c r="L4" s="725" t="s">
        <v>444</v>
      </c>
      <c r="M4" s="726" t="s">
        <v>744</v>
      </c>
      <c r="N4" s="725" t="str">
        <f>HYPERLINK("https://youtu.be/qv_H1NgDIQ8","53.73")</f>
        <v>53.73</v>
      </c>
      <c r="O4" s="725" t="s">
        <v>2980</v>
      </c>
      <c r="P4" s="727" t="s">
        <v>1305</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6650</v>
      </c>
      <c r="B5" s="719" t="s">
        <v>6651</v>
      </c>
      <c r="C5" s="720" t="s">
        <v>6652</v>
      </c>
      <c r="D5" s="729" t="s">
        <v>6653</v>
      </c>
      <c r="E5" s="729" t="s">
        <v>6654</v>
      </c>
      <c r="F5" s="730"/>
      <c r="G5" s="724" t="s">
        <v>6655</v>
      </c>
      <c r="H5" s="729"/>
      <c r="I5" s="729" t="s">
        <v>6656</v>
      </c>
      <c r="J5" s="729"/>
      <c r="K5" s="729" t="s">
        <v>3644</v>
      </c>
      <c r="L5" s="729"/>
      <c r="M5" s="729"/>
      <c r="N5" s="729" t="s">
        <v>6657</v>
      </c>
      <c r="O5" s="729" t="str">
        <f>HYPERLINK("https://youtu.be/y9FQ4EcrohI", "1:21.52")</f>
        <v>1:21.52</v>
      </c>
      <c r="P5" s="727" t="s">
        <v>6658</v>
      </c>
      <c r="Q5" s="729"/>
      <c r="R5" s="729" t="s">
        <v>6652</v>
      </c>
      <c r="S5" s="729" t="s">
        <v>2574</v>
      </c>
      <c r="T5" s="729"/>
      <c r="U5" s="729"/>
      <c r="V5" s="729"/>
      <c r="W5" s="729"/>
      <c r="X5" s="729"/>
      <c r="Y5" s="729"/>
      <c r="Z5" s="729"/>
      <c r="AA5" s="729" t="s">
        <v>6659</v>
      </c>
      <c r="AB5" s="729"/>
      <c r="AC5" s="729"/>
      <c r="AD5" s="729" t="s">
        <v>6660</v>
      </c>
      <c r="AE5" s="729"/>
      <c r="AF5" s="729"/>
      <c r="AG5" s="729"/>
      <c r="AH5" s="729"/>
      <c r="AI5" s="729"/>
      <c r="AJ5" s="725" t="s">
        <v>4408</v>
      </c>
      <c r="AK5" s="729"/>
      <c r="AL5" s="729"/>
      <c r="AM5" s="729"/>
      <c r="AN5" s="729"/>
      <c r="AO5" s="729" t="s">
        <v>5656</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6661</v>
      </c>
      <c r="C6" s="720" t="s">
        <v>337</v>
      </c>
      <c r="D6" s="734" t="s">
        <v>1561</v>
      </c>
      <c r="E6" s="725" t="s">
        <v>337</v>
      </c>
      <c r="F6" s="735" t="s">
        <v>2542</v>
      </c>
      <c r="G6" s="724" t="s">
        <v>1261</v>
      </c>
      <c r="H6" s="725" t="s">
        <v>2915</v>
      </c>
      <c r="I6" s="725" t="str">
        <f>HYPERLINK("https://youtu.be/ZP_d48CVxG0","1:19.30")</f>
        <v>1:19.30</v>
      </c>
      <c r="J6" s="726"/>
      <c r="K6" s="726"/>
      <c r="L6" s="726" t="s">
        <v>102</v>
      </c>
      <c r="M6" s="726" t="s">
        <v>745</v>
      </c>
      <c r="N6" s="726" t="s">
        <v>4590</v>
      </c>
      <c r="O6" s="725" t="s">
        <v>989</v>
      </c>
      <c r="P6" s="727" t="s">
        <v>6662</v>
      </c>
      <c r="Q6" s="726" t="s">
        <v>102</v>
      </c>
      <c r="R6" s="726"/>
      <c r="S6" s="726"/>
      <c r="T6" s="726"/>
      <c r="U6" s="725" t="s">
        <v>6663</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6664</v>
      </c>
      <c r="B7" s="737" t="s">
        <v>6665</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6666</v>
      </c>
      <c r="C8" s="720" t="s">
        <v>143</v>
      </c>
      <c r="D8" s="729" t="s">
        <v>6667</v>
      </c>
      <c r="E8" s="729" t="s">
        <v>4914</v>
      </c>
      <c r="F8" s="743" t="s">
        <v>1154</v>
      </c>
      <c r="G8" s="740"/>
      <c r="H8" s="725" t="s">
        <v>143</v>
      </c>
      <c r="I8" s="729" t="s">
        <v>1375</v>
      </c>
      <c r="J8" s="729"/>
      <c r="K8" s="729"/>
      <c r="L8" s="729" t="s">
        <v>1139</v>
      </c>
      <c r="M8" s="729" t="s">
        <v>1139</v>
      </c>
      <c r="N8" s="729" t="s">
        <v>6668</v>
      </c>
      <c r="O8" s="729"/>
      <c r="P8" s="727"/>
      <c r="Q8" s="729" t="s">
        <v>5772</v>
      </c>
      <c r="R8" s="729" t="s">
        <v>3844</v>
      </c>
      <c r="S8" s="729" t="s">
        <v>6669</v>
      </c>
      <c r="T8" s="729" t="s">
        <v>6670</v>
      </c>
      <c r="U8" s="729"/>
      <c r="V8" s="729"/>
      <c r="W8" s="729" t="s">
        <v>5772</v>
      </c>
      <c r="X8" s="729"/>
      <c r="Y8" s="729" t="s">
        <v>3643</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6661</v>
      </c>
      <c r="C11" s="720" t="s">
        <v>6675</v>
      </c>
      <c r="D11" s="726"/>
      <c r="E11" s="725" t="s">
        <v>1242</v>
      </c>
      <c r="F11" s="747" t="s">
        <v>2355</v>
      </c>
      <c r="G11" s="724" t="s">
        <v>2165</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2346</v>
      </c>
      <c r="D12" s="729" t="s">
        <v>1706</v>
      </c>
      <c r="E12" s="729" t="s">
        <v>2792</v>
      </c>
      <c r="F12" s="749" t="s">
        <v>2346</v>
      </c>
      <c r="G12" s="724" t="s">
        <v>6679</v>
      </c>
      <c r="H12" s="729"/>
      <c r="I12" s="729" t="s">
        <v>6680</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6681</v>
      </c>
      <c r="AB12" s="729"/>
      <c r="AC12" s="729"/>
      <c r="AD12" s="729"/>
      <c r="AE12" s="729"/>
      <c r="AF12" s="729"/>
      <c r="AG12" s="729"/>
      <c r="AH12" s="729"/>
      <c r="AI12" s="729"/>
      <c r="AJ12" s="726"/>
      <c r="AK12" s="729"/>
      <c r="AL12" s="729"/>
      <c r="AM12" s="729" t="s">
        <v>1969</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4251</v>
      </c>
      <c r="D13" s="734" t="s">
        <v>1562</v>
      </c>
      <c r="E13" s="725" t="s">
        <v>338</v>
      </c>
      <c r="F13" s="735" t="s">
        <v>2543</v>
      </c>
      <c r="G13" s="724" t="s">
        <v>1262</v>
      </c>
      <c r="H13" s="725" t="s">
        <v>4251</v>
      </c>
      <c r="I13" s="726" t="s">
        <v>6683</v>
      </c>
      <c r="J13" s="725" t="s">
        <v>724</v>
      </c>
      <c r="K13" s="726"/>
      <c r="L13" s="726" t="s">
        <v>2346</v>
      </c>
      <c r="M13" s="725" t="s">
        <v>2110</v>
      </c>
      <c r="N13" s="726" t="s">
        <v>6684</v>
      </c>
      <c r="O13" s="725" t="s">
        <v>6685</v>
      </c>
      <c r="P13" s="727" t="s">
        <v>2792</v>
      </c>
      <c r="Q13" s="726" t="s">
        <v>3932</v>
      </c>
      <c r="R13" s="726"/>
      <c r="S13" s="725" t="s">
        <v>6686</v>
      </c>
      <c r="T13" s="726" t="s">
        <v>1506</v>
      </c>
      <c r="U13" s="726"/>
      <c r="V13" s="726"/>
      <c r="W13" s="726"/>
      <c r="X13" s="726"/>
      <c r="Y13" s="726"/>
      <c r="Z13" s="726"/>
      <c r="AA13" s="726"/>
      <c r="AB13" s="726"/>
      <c r="AC13" s="726"/>
      <c r="AD13" s="725" t="s">
        <v>1070</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6664</v>
      </c>
      <c r="B14" s="751" t="s">
        <v>6678</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6687</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6682</v>
      </c>
      <c r="C15" s="720" t="s">
        <v>991</v>
      </c>
      <c r="D15" s="734" t="s">
        <v>1563</v>
      </c>
      <c r="E15" s="729" t="s">
        <v>446</v>
      </c>
      <c r="F15" s="754" t="s">
        <v>104</v>
      </c>
      <c r="G15" s="724" t="s">
        <v>1263</v>
      </c>
      <c r="H15" s="726" t="s">
        <v>991</v>
      </c>
      <c r="I15" s="729" t="str">
        <f>HYPERLINK("https://clips.twitch.tv/BusyTriangularAlmondRuleFive","13.97")</f>
        <v>13.97</v>
      </c>
      <c r="J15" s="729" t="s">
        <v>1263</v>
      </c>
      <c r="K15" s="729" t="s">
        <v>1886</v>
      </c>
      <c r="L15" s="729" t="s">
        <v>446</v>
      </c>
      <c r="M15" s="729" t="str">
        <f>HYPERLINK("https://youtu.be/v-0tSrJ8Kf0","13.80")</f>
        <v>13.80</v>
      </c>
      <c r="N15" s="729" t="str">
        <f>HYPERLINK("https://youtu.be/Kv9otnDdZKc","13.93")</f>
        <v>13.93</v>
      </c>
      <c r="O15" s="729" t="s">
        <v>991</v>
      </c>
      <c r="P15" s="727" t="s">
        <v>2378</v>
      </c>
      <c r="Q15" s="729" t="s">
        <v>1886</v>
      </c>
      <c r="R15" s="729"/>
      <c r="S15" s="725" t="s">
        <v>2576</v>
      </c>
      <c r="T15" s="729"/>
      <c r="U15" s="729"/>
      <c r="V15" s="729" t="s">
        <v>2618</v>
      </c>
      <c r="W15" s="729"/>
      <c r="X15" s="729"/>
      <c r="Y15" s="729"/>
      <c r="Z15" s="729"/>
      <c r="AA15" s="729" t="s">
        <v>1423</v>
      </c>
      <c r="AB15" s="729"/>
      <c r="AC15" s="729"/>
      <c r="AD15" s="729" t="s">
        <v>1730</v>
      </c>
      <c r="AE15" s="729"/>
      <c r="AF15" s="729"/>
      <c r="AG15" s="729" t="s">
        <v>1730</v>
      </c>
      <c r="AH15" s="729" t="s">
        <v>991</v>
      </c>
      <c r="AI15" s="729"/>
      <c r="AJ15" s="725" t="s">
        <v>1886</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5462</v>
      </c>
      <c r="E16" s="729"/>
      <c r="F16" s="749" t="s">
        <v>2148</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1096</v>
      </c>
      <c r="F17" s="747" t="s">
        <v>948</v>
      </c>
      <c r="G17" s="724" t="s">
        <v>2258</v>
      </c>
      <c r="H17" s="726" t="s">
        <v>6694</v>
      </c>
      <c r="I17" s="726"/>
      <c r="J17" s="725" t="s">
        <v>6695</v>
      </c>
      <c r="K17" s="726"/>
      <c r="L17" s="726" t="s">
        <v>6695</v>
      </c>
      <c r="M17" s="726"/>
      <c r="N17" s="726"/>
      <c r="O17" s="725" t="s">
        <v>1924</v>
      </c>
      <c r="P17" s="727" t="s">
        <v>6696</v>
      </c>
      <c r="Q17" s="726" t="s">
        <v>6697</v>
      </c>
      <c r="R17" s="726"/>
      <c r="S17" s="726"/>
      <c r="T17" s="726" t="s">
        <v>6689</v>
      </c>
      <c r="U17" s="726"/>
      <c r="V17" s="726"/>
      <c r="W17" s="726" t="s">
        <v>6695</v>
      </c>
      <c r="X17" s="726"/>
      <c r="Y17" s="725" t="s">
        <v>1924</v>
      </c>
      <c r="Z17" s="726"/>
      <c r="AA17" s="726"/>
      <c r="AB17" s="726"/>
      <c r="AC17" s="726"/>
      <c r="AD17" s="726"/>
      <c r="AE17" s="726"/>
      <c r="AF17" s="725" t="s">
        <v>6692</v>
      </c>
      <c r="AG17" s="726" t="s">
        <v>3945</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1787</v>
      </c>
      <c r="D18" s="729" t="s">
        <v>3605</v>
      </c>
      <c r="E18" s="729" t="s">
        <v>1172</v>
      </c>
      <c r="F18" s="730"/>
      <c r="G18" s="724" t="s">
        <v>4432</v>
      </c>
      <c r="H18" s="729"/>
      <c r="I18" s="729" t="s">
        <v>4200</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2827</v>
      </c>
      <c r="D19" s="729"/>
      <c r="E19" s="729" t="s">
        <v>882</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1564</v>
      </c>
      <c r="E20" s="729" t="s">
        <v>6708</v>
      </c>
      <c r="F20" s="754" t="s">
        <v>2544</v>
      </c>
      <c r="G20" s="724" t="s">
        <v>1264</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1564</v>
      </c>
      <c r="R20" s="729"/>
      <c r="S20" s="729" t="s">
        <v>2577</v>
      </c>
      <c r="T20" s="729"/>
      <c r="U20" s="725" t="s">
        <v>5651</v>
      </c>
      <c r="V20" s="729" t="s">
        <v>6709</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6689</v>
      </c>
      <c r="D23" s="759"/>
      <c r="E23" s="759" t="s">
        <v>728</v>
      </c>
      <c r="F23" s="723"/>
      <c r="G23" s="740" t="s">
        <v>4152</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3945</v>
      </c>
      <c r="F24" s="747" t="s">
        <v>4232</v>
      </c>
      <c r="G24" s="740"/>
      <c r="H24" s="729" t="s">
        <v>6718</v>
      </c>
      <c r="I24" s="729"/>
      <c r="J24" s="729"/>
      <c r="K24" s="729"/>
      <c r="L24" s="729" t="s">
        <v>784</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1101</v>
      </c>
      <c r="F26" s="747" t="s">
        <v>3471</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2795</v>
      </c>
      <c r="D27" s="725" t="s">
        <v>1566</v>
      </c>
      <c r="E27" s="729" t="s">
        <v>6728</v>
      </c>
      <c r="F27" s="766" t="s">
        <v>6729</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2545</v>
      </c>
      <c r="G28" s="724" t="s">
        <v>1266</v>
      </c>
      <c r="H28" s="729"/>
      <c r="I28" s="729"/>
      <c r="J28" s="729" t="s">
        <v>6733</v>
      </c>
      <c r="K28" s="729" t="s">
        <v>6734</v>
      </c>
      <c r="L28" s="729"/>
      <c r="M28" s="729"/>
      <c r="N28" s="729"/>
      <c r="O28" s="729" t="s">
        <v>6735</v>
      </c>
      <c r="P28" s="727" t="s">
        <v>6736</v>
      </c>
      <c r="Q28" s="729" t="s">
        <v>6737</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6664</v>
      </c>
      <c r="B29" s="737" t="s">
        <v>6738</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2951</v>
      </c>
      <c r="D30" s="729"/>
      <c r="E30" s="729" t="s">
        <v>2951</v>
      </c>
      <c r="F30" s="730"/>
      <c r="G30" s="740"/>
      <c r="H30" s="729"/>
      <c r="I30" s="729"/>
      <c r="J30" s="729"/>
      <c r="K30" s="729" t="s">
        <v>5668</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6741</v>
      </c>
      <c r="C31" s="720" t="s">
        <v>4242</v>
      </c>
      <c r="D31" s="729"/>
      <c r="E31" s="729" t="s">
        <v>1901</v>
      </c>
      <c r="F31" s="766" t="s">
        <v>5668</v>
      </c>
      <c r="G31" s="740"/>
      <c r="H31" s="729"/>
      <c r="I31" s="729" t="s">
        <v>4892</v>
      </c>
      <c r="J31" s="729" t="s">
        <v>771</v>
      </c>
      <c r="K31" s="729" t="s">
        <v>3472</v>
      </c>
      <c r="L31" s="729"/>
      <c r="M31" s="729" t="s">
        <v>1449</v>
      </c>
      <c r="N31" s="729" t="s">
        <v>5668</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6743</v>
      </c>
      <c r="C32" s="720" t="s">
        <v>1979</v>
      </c>
      <c r="D32" s="729"/>
      <c r="E32" s="729" t="s">
        <v>1427</v>
      </c>
      <c r="F32" s="730"/>
      <c r="G32" s="724" t="s">
        <v>4926</v>
      </c>
      <c r="H32" s="729"/>
      <c r="I32" s="729" t="s">
        <v>1901</v>
      </c>
      <c r="J32" s="729" t="s">
        <v>1979</v>
      </c>
      <c r="K32" s="729" t="s">
        <v>879</v>
      </c>
      <c r="L32" s="729"/>
      <c r="M32" s="729" t="s">
        <v>2846</v>
      </c>
      <c r="N32" s="729" t="s">
        <v>853</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6744</v>
      </c>
      <c r="C33" s="720" t="s">
        <v>3935</v>
      </c>
      <c r="D33" s="729"/>
      <c r="E33" s="729" t="s">
        <v>3935</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6745</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3737</v>
      </c>
      <c r="D35" s="729"/>
      <c r="E35" s="729" t="s">
        <v>3472</v>
      </c>
      <c r="F35" s="723"/>
      <c r="G35" s="740"/>
      <c r="H35" s="729"/>
      <c r="I35" s="729"/>
      <c r="J35" s="729" t="s">
        <v>3737</v>
      </c>
      <c r="K35" s="729" t="s">
        <v>3935</v>
      </c>
      <c r="L35" s="729"/>
      <c r="M35" s="729" t="s">
        <v>5364</v>
      </c>
      <c r="N35" s="729"/>
      <c r="O35" s="729"/>
      <c r="P35" s="727"/>
      <c r="Q35" s="729" t="s">
        <v>6747</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2768</v>
      </c>
      <c r="D36" s="729"/>
      <c r="E36" s="729" t="s">
        <v>3838</v>
      </c>
      <c r="F36" s="730"/>
      <c r="G36" s="740"/>
      <c r="H36" s="729"/>
      <c r="I36" s="729"/>
      <c r="J36" s="729" t="s">
        <v>2768</v>
      </c>
      <c r="K36" s="729" t="s">
        <v>6749</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6750</v>
      </c>
      <c r="C37" s="720" t="s">
        <v>2316</v>
      </c>
      <c r="D37" s="729" t="s">
        <v>1567</v>
      </c>
      <c r="E37" s="729" t="s">
        <v>3737</v>
      </c>
      <c r="F37" s="749" t="s">
        <v>3151</v>
      </c>
      <c r="G37" s="740"/>
      <c r="H37" s="729"/>
      <c r="I37" s="729" t="s">
        <v>6751</v>
      </c>
      <c r="J37" s="729" t="s">
        <v>2316</v>
      </c>
      <c r="K37" s="729" t="s">
        <v>2272</v>
      </c>
      <c r="L37" s="729"/>
      <c r="M37" s="729" t="s">
        <v>6749</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762</v>
      </c>
      <c r="D38" s="729"/>
      <c r="E38" s="729" t="s">
        <v>3998</v>
      </c>
      <c r="F38" s="735" t="s">
        <v>2546</v>
      </c>
      <c r="G38" s="724" t="s">
        <v>3814</v>
      </c>
      <c r="H38" s="729" t="s">
        <v>762</v>
      </c>
      <c r="I38" s="729" t="s">
        <v>1969</v>
      </c>
      <c r="J38" s="729" t="s">
        <v>1136</v>
      </c>
      <c r="K38" s="729" t="s">
        <v>4863</v>
      </c>
      <c r="L38" s="729"/>
      <c r="M38" s="729"/>
      <c r="N38" s="729"/>
      <c r="O38" s="729" t="s">
        <v>1969</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6753</v>
      </c>
      <c r="C39" s="720" t="s">
        <v>4357</v>
      </c>
      <c r="D39" s="729" t="s">
        <v>6754</v>
      </c>
      <c r="E39" s="729" t="s">
        <v>4357</v>
      </c>
      <c r="F39" s="749" t="s">
        <v>6755</v>
      </c>
      <c r="G39" s="724" t="s">
        <v>3120</v>
      </c>
      <c r="H39" s="729"/>
      <c r="I39" s="729"/>
      <c r="J39" s="729"/>
      <c r="K39" s="729" t="s">
        <v>355</v>
      </c>
      <c r="L39" s="729"/>
      <c r="M39" s="729"/>
      <c r="N39" s="729"/>
      <c r="O39" s="729"/>
      <c r="P39" s="727"/>
      <c r="Q39" s="729" t="s">
        <v>3174</v>
      </c>
      <c r="R39" s="729"/>
      <c r="S39" s="729"/>
      <c r="T39" s="729"/>
      <c r="U39" s="729"/>
      <c r="V39" s="729"/>
      <c r="W39" s="729"/>
      <c r="X39" s="729" t="s">
        <v>6756</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6757</v>
      </c>
      <c r="C40" s="720" t="s">
        <v>2535</v>
      </c>
      <c r="D40" s="729" t="s">
        <v>2771</v>
      </c>
      <c r="E40" s="729" t="s">
        <v>3657</v>
      </c>
      <c r="F40" s="747" t="s">
        <v>5037</v>
      </c>
      <c r="G40" s="724" t="s">
        <v>711</v>
      </c>
      <c r="H40" s="729" t="s">
        <v>6758</v>
      </c>
      <c r="I40" s="729"/>
      <c r="J40" s="729" t="s">
        <v>851</v>
      </c>
      <c r="K40" s="729" t="s">
        <v>1179</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998</v>
      </c>
      <c r="D41" s="729" t="s">
        <v>5233</v>
      </c>
      <c r="E41" s="729" t="s">
        <v>6761</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998</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1568</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6763</v>
      </c>
      <c r="B43" s="719" t="s">
        <v>6764</v>
      </c>
      <c r="C43" s="720" t="s">
        <v>4951</v>
      </c>
      <c r="D43" s="734" t="s">
        <v>1569</v>
      </c>
      <c r="E43" s="771"/>
      <c r="F43" s="723"/>
      <c r="G43" s="740"/>
      <c r="H43" s="771"/>
      <c r="I43" s="771"/>
      <c r="J43" s="771"/>
      <c r="K43" s="771"/>
      <c r="L43" s="771" t="s">
        <v>909</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2402</v>
      </c>
      <c r="D44" s="773" t="s">
        <v>1357</v>
      </c>
      <c r="E44" s="729" t="s">
        <v>2402</v>
      </c>
      <c r="F44" s="723"/>
      <c r="G44" s="740"/>
      <c r="H44" s="729"/>
      <c r="I44" s="729" t="str">
        <f>HYPERLINK("https://youtu.be/t-1yqXLdZMA","38.05")</f>
        <v>38.05</v>
      </c>
      <c r="J44" s="729" t="s">
        <v>6767</v>
      </c>
      <c r="K44" s="729" t="s">
        <v>2274</v>
      </c>
      <c r="L44" s="729" t="s">
        <v>836</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5706</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6771</v>
      </c>
      <c r="D46" s="734" t="s">
        <v>649</v>
      </c>
      <c r="E46" s="729" t="s">
        <v>2806</v>
      </c>
      <c r="F46" s="723"/>
      <c r="G46" s="740"/>
      <c r="H46" s="729"/>
      <c r="I46" s="729" t="s">
        <v>1727</v>
      </c>
      <c r="J46" s="729"/>
      <c r="K46" s="729" t="s">
        <v>2174</v>
      </c>
      <c r="L46" s="729" t="s">
        <v>279</v>
      </c>
      <c r="M46" s="729" t="s">
        <v>783</v>
      </c>
      <c r="N46" s="729" t="str">
        <f>HYPERLINK("https://youtu.be/Z3lDpXDeu-A","48.50")</f>
        <v>48.50</v>
      </c>
      <c r="O46" s="729"/>
      <c r="P46" s="727"/>
      <c r="Q46" s="729"/>
      <c r="R46" s="729"/>
      <c r="S46" s="729" t="s">
        <v>6771</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6772</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6773</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6774</v>
      </c>
      <c r="C49" s="720" t="s">
        <v>5394</v>
      </c>
      <c r="D49" s="775" t="s">
        <v>6115</v>
      </c>
      <c r="E49" s="727"/>
      <c r="F49" s="730"/>
      <c r="G49" s="740"/>
      <c r="H49" s="727" t="s">
        <v>1947</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6775</v>
      </c>
      <c r="C50" s="720" t="s">
        <v>6776</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6776</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6777</v>
      </c>
      <c r="D51" s="779"/>
      <c r="E51" s="729"/>
      <c r="F51" s="723"/>
      <c r="G51" s="740"/>
      <c r="H51" s="729"/>
      <c r="I51" s="729"/>
      <c r="J51" s="729"/>
      <c r="K51" s="729"/>
      <c r="L51" s="729"/>
      <c r="M51" s="729"/>
      <c r="N51" s="729"/>
      <c r="O51" s="729"/>
      <c r="P51" s="727"/>
      <c r="Q51" s="729"/>
      <c r="R51" s="729"/>
      <c r="S51" s="763" t="s">
        <v>6777</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6778</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6779</v>
      </c>
      <c r="C52" s="738" t="s">
        <v>6780</v>
      </c>
      <c r="D52" s="775" t="s">
        <v>6781</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6780</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6649</v>
      </c>
      <c r="C53" s="720" t="s">
        <v>350</v>
      </c>
      <c r="D53" s="734" t="s">
        <v>6782</v>
      </c>
      <c r="E53" s="725" t="s">
        <v>350</v>
      </c>
      <c r="F53" s="730"/>
      <c r="G53" s="724" t="s">
        <v>1271</v>
      </c>
      <c r="H53" s="726"/>
      <c r="I53" s="726"/>
      <c r="J53" s="726"/>
      <c r="K53" s="726"/>
      <c r="L53" s="725" t="s">
        <v>910</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6783</v>
      </c>
      <c r="B55" s="788" t="s">
        <v>6784</v>
      </c>
      <c r="C55" s="774" t="s">
        <v>1847</v>
      </c>
      <c r="D55" s="729"/>
      <c r="E55" s="729" t="s">
        <v>1482</v>
      </c>
      <c r="F55" s="723"/>
      <c r="G55" s="724" t="s">
        <v>1954</v>
      </c>
      <c r="H55" s="729"/>
      <c r="I55" s="729" t="s">
        <v>5679</v>
      </c>
      <c r="J55" s="729" t="s">
        <v>1847</v>
      </c>
      <c r="K55" s="729" t="s">
        <v>6785</v>
      </c>
      <c r="L55" s="729" t="s">
        <v>911</v>
      </c>
      <c r="M55" s="729" t="s">
        <v>753</v>
      </c>
      <c r="N55" s="729" t="s">
        <v>2989</v>
      </c>
      <c r="O55" s="729"/>
      <c r="P55" s="727" t="s">
        <v>3417</v>
      </c>
      <c r="Q55" s="729" t="s">
        <v>122</v>
      </c>
      <c r="R55" s="729" t="s">
        <v>6786</v>
      </c>
      <c r="S55" s="729"/>
      <c r="T55" s="729"/>
      <c r="U55" s="729" t="s">
        <v>3539</v>
      </c>
      <c r="V55" s="729" t="s">
        <v>2686</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6787</v>
      </c>
      <c r="C56" s="774" t="s">
        <v>3191</v>
      </c>
      <c r="D56" s="729"/>
      <c r="E56" s="729" t="s">
        <v>3191</v>
      </c>
      <c r="F56" s="793"/>
      <c r="G56" s="740"/>
      <c r="H56" s="729"/>
      <c r="I56" s="729"/>
      <c r="J56" s="729"/>
      <c r="K56" s="729"/>
      <c r="L56" s="729"/>
      <c r="M56" s="729"/>
      <c r="N56" s="729"/>
      <c r="O56" s="729" t="s">
        <v>404</v>
      </c>
      <c r="P56" s="727" t="s">
        <v>1305</v>
      </c>
      <c r="Q56" s="729" t="s">
        <v>802</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6788</v>
      </c>
      <c r="C57" s="774">
        <v>52.89</v>
      </c>
      <c r="D57" s="767" t="s">
        <v>3579</v>
      </c>
      <c r="E57" s="796"/>
      <c r="F57" s="723"/>
      <c r="G57" s="740"/>
      <c r="H57" s="796"/>
      <c r="I57" s="796"/>
      <c r="J57" s="796"/>
      <c r="K57" s="796"/>
      <c r="L57" s="796"/>
      <c r="M57" s="796"/>
      <c r="N57" s="797" t="s">
        <v>6789</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6790</v>
      </c>
      <c r="C58" s="774" t="s">
        <v>241</v>
      </c>
      <c r="D58" s="729" t="s">
        <v>495</v>
      </c>
      <c r="E58" s="767" t="s">
        <v>351</v>
      </c>
      <c r="F58" s="749" t="s">
        <v>5704</v>
      </c>
      <c r="G58" s="724" t="s">
        <v>1272</v>
      </c>
      <c r="H58" s="724" t="s">
        <v>367</v>
      </c>
      <c r="I58" s="767"/>
      <c r="J58" s="767"/>
      <c r="K58" s="767"/>
      <c r="L58" s="767"/>
      <c r="M58" s="767"/>
      <c r="N58" s="767"/>
      <c r="O58" s="767" t="s">
        <v>5704</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6791</v>
      </c>
      <c r="C59" s="748" t="s">
        <v>413</v>
      </c>
      <c r="D59" s="767"/>
      <c r="E59" s="767"/>
      <c r="F59" s="749" t="s">
        <v>1029</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6671</v>
      </c>
      <c r="B60" s="800" t="s">
        <v>6784</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6787</v>
      </c>
      <c r="C61" s="774" t="s">
        <v>470</v>
      </c>
      <c r="D61" s="767"/>
      <c r="E61" s="767" t="s">
        <v>6792</v>
      </c>
      <c r="F61" s="801"/>
      <c r="G61" s="740"/>
      <c r="H61" s="767" t="s">
        <v>470</v>
      </c>
      <c r="I61" s="767"/>
      <c r="J61" s="767"/>
      <c r="K61" s="767"/>
      <c r="L61" s="767"/>
      <c r="M61" s="767"/>
      <c r="N61" s="767"/>
      <c r="O61" s="767"/>
      <c r="P61" s="727" t="s">
        <v>6793</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6788</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6790</v>
      </c>
      <c r="C63" s="774" t="s">
        <v>416</v>
      </c>
      <c r="D63" s="767"/>
      <c r="E63" s="767" t="s">
        <v>2912</v>
      </c>
      <c r="F63" s="802" t="s">
        <v>194</v>
      </c>
      <c r="G63" s="724" t="s">
        <v>6794</v>
      </c>
      <c r="H63" s="724" t="s">
        <v>623</v>
      </c>
      <c r="I63" s="767"/>
      <c r="J63" s="767"/>
      <c r="K63" s="767"/>
      <c r="L63" s="767"/>
      <c r="M63" s="767"/>
      <c r="N63" s="767"/>
      <c r="O63" s="724" t="s">
        <v>3972</v>
      </c>
      <c r="P63" s="727" t="s">
        <v>6795</v>
      </c>
      <c r="Q63" s="767" t="s">
        <v>6705</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6664</v>
      </c>
      <c r="B64" s="804" t="s">
        <v>6796</v>
      </c>
      <c r="C64" s="774" t="s">
        <v>4129</v>
      </c>
      <c r="D64" s="731"/>
      <c r="E64" s="731"/>
      <c r="F64" s="749" t="s">
        <v>6797</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6798</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6650</v>
      </c>
      <c r="B66" s="788" t="s">
        <v>6649</v>
      </c>
      <c r="C66" s="806" t="s">
        <v>2548</v>
      </c>
      <c r="D66" s="771" t="s">
        <v>6799</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6664</v>
      </c>
      <c r="B67" s="800" t="s">
        <v>6800</v>
      </c>
      <c r="C67" s="774" t="s">
        <v>3734</v>
      </c>
      <c r="D67" s="771"/>
      <c r="E67" s="771"/>
      <c r="F67" s="723"/>
      <c r="G67" s="740"/>
      <c r="H67" s="724">
        <v>35.06</v>
      </c>
      <c r="I67" s="771"/>
      <c r="J67" s="771"/>
      <c r="K67" s="771"/>
      <c r="L67" s="771"/>
      <c r="M67" s="771"/>
      <c r="N67" s="771"/>
      <c r="O67" s="771"/>
      <c r="P67" s="772"/>
      <c r="Q67" s="771"/>
      <c r="R67" s="771"/>
      <c r="S67" s="771"/>
      <c r="T67" s="771"/>
      <c r="U67" s="771" t="s">
        <v>6801</v>
      </c>
      <c r="V67" s="771"/>
      <c r="W67" s="771"/>
      <c r="X67" s="771"/>
      <c r="Y67" s="771"/>
      <c r="Z67" s="771"/>
      <c r="AA67" s="771"/>
      <c r="AB67" s="771"/>
      <c r="AC67" s="771"/>
      <c r="AD67" s="771"/>
      <c r="AE67" s="771"/>
      <c r="AF67" s="771"/>
      <c r="AG67" s="771"/>
      <c r="AH67" s="771"/>
      <c r="AI67" s="771"/>
      <c r="AJ67" s="789"/>
      <c r="AK67" s="771"/>
      <c r="AL67" s="771"/>
      <c r="AM67" s="771"/>
      <c r="AN67" s="771"/>
      <c r="AO67" s="771"/>
      <c r="AP67" s="722" t="s">
        <v>6802</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6803</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6804</v>
      </c>
      <c r="C69" s="748" t="s">
        <v>2749</v>
      </c>
      <c r="D69" s="727" t="s">
        <v>6705</v>
      </c>
      <c r="E69" s="727"/>
      <c r="F69" s="749" t="s">
        <v>2749</v>
      </c>
      <c r="G69" s="740"/>
      <c r="H69" s="777" t="s">
        <v>1254</v>
      </c>
      <c r="I69" s="727"/>
      <c r="J69" s="727"/>
      <c r="K69" s="727"/>
      <c r="L69" s="727"/>
      <c r="M69" s="727"/>
      <c r="N69" s="727"/>
      <c r="O69" s="727"/>
      <c r="P69" s="727"/>
      <c r="Q69" s="727"/>
      <c r="R69" s="725" t="s">
        <v>6797</v>
      </c>
      <c r="S69" s="727"/>
      <c r="T69" s="727"/>
      <c r="U69" s="725" t="s">
        <v>6805</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6800</v>
      </c>
      <c r="C70" s="738" t="s">
        <v>1030</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6806</v>
      </c>
      <c r="C71" s="738" t="s">
        <v>470</v>
      </c>
      <c r="D71" s="729" t="s">
        <v>2353</v>
      </c>
      <c r="E71" s="729" t="s">
        <v>3506</v>
      </c>
      <c r="F71" s="802" t="s">
        <v>6807</v>
      </c>
      <c r="G71" s="740"/>
      <c r="H71" s="729" t="s">
        <v>575</v>
      </c>
      <c r="I71" s="729"/>
      <c r="J71" s="729" t="s">
        <v>6807</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6808</v>
      </c>
      <c r="B72" s="788" t="s">
        <v>6809</v>
      </c>
      <c r="C72" s="774" t="str">
        <f>HYPERLINK("https://youtu.be/4OqNmNgyDyw","16.24")</f>
        <v>16.24</v>
      </c>
      <c r="D72" s="812"/>
      <c r="E72" s="812" t="s">
        <v>1209</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6810</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6811</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6812</v>
      </c>
      <c r="C74" s="774" t="s">
        <v>662</v>
      </c>
      <c r="D74" s="729" t="s">
        <v>1274</v>
      </c>
      <c r="E74" s="771" t="s">
        <v>912</v>
      </c>
      <c r="F74" s="802" t="s">
        <v>2034</v>
      </c>
      <c r="G74" s="724" t="s">
        <v>1274</v>
      </c>
      <c r="H74" s="771" t="s">
        <v>1210</v>
      </c>
      <c r="I74" s="771" t="s">
        <v>1432</v>
      </c>
      <c r="J74" s="771" t="s">
        <v>4369</v>
      </c>
      <c r="K74" s="771" t="s">
        <v>3100</v>
      </c>
      <c r="L74" s="771" t="s">
        <v>6813</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6814</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6815</v>
      </c>
      <c r="B75" s="788" t="s">
        <v>6816</v>
      </c>
      <c r="C75" s="774" t="s">
        <v>2201</v>
      </c>
      <c r="D75" s="729"/>
      <c r="E75" s="729" t="s">
        <v>2201</v>
      </c>
      <c r="F75" s="793"/>
      <c r="G75" s="724" t="s">
        <v>6577</v>
      </c>
      <c r="H75" s="729"/>
      <c r="I75" s="729" t="s">
        <v>6817</v>
      </c>
      <c r="J75" s="729"/>
      <c r="K75" s="729" t="s">
        <v>4328</v>
      </c>
      <c r="L75" s="729"/>
      <c r="M75" s="729"/>
      <c r="N75" s="729" t="s">
        <v>6818</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6819</v>
      </c>
      <c r="C76" s="774" t="s">
        <v>354</v>
      </c>
      <c r="D76" s="729" t="s">
        <v>1481</v>
      </c>
      <c r="E76" s="729" t="s">
        <v>354</v>
      </c>
      <c r="F76" s="735" t="s">
        <v>360</v>
      </c>
      <c r="G76" s="724" t="s">
        <v>1275</v>
      </c>
      <c r="H76" s="729" t="s">
        <v>1542</v>
      </c>
      <c r="I76" s="729" t="s">
        <v>1433</v>
      </c>
      <c r="J76" s="729" t="s">
        <v>4987</v>
      </c>
      <c r="K76" s="729" t="s">
        <v>6820</v>
      </c>
      <c r="L76" s="729" t="s">
        <v>913</v>
      </c>
      <c r="M76" s="729" t="s">
        <v>755</v>
      </c>
      <c r="N76" s="729" t="s">
        <v>1361</v>
      </c>
      <c r="O76" s="729" t="s">
        <v>2324</v>
      </c>
      <c r="P76" s="727" t="s">
        <v>3939</v>
      </c>
      <c r="Q76" s="729" t="s">
        <v>6821</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6664</v>
      </c>
      <c r="B77" s="800" t="s">
        <v>6822</v>
      </c>
      <c r="C77" s="738" t="s">
        <v>6823</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6823</v>
      </c>
      <c r="AQ77" s="789"/>
      <c r="AR77" s="729"/>
      <c r="AS77" s="729"/>
      <c r="AT77" s="731"/>
      <c r="AU77" s="729"/>
      <c r="AV77" s="729"/>
      <c r="AW77" s="729"/>
      <c r="AX77" s="729"/>
      <c r="AY77" s="729"/>
      <c r="AZ77" s="814"/>
      <c r="BA77" s="729"/>
      <c r="BB77" s="756" t="s">
        <v>6824</v>
      </c>
      <c r="BC77" s="729"/>
      <c r="BD77" s="729"/>
      <c r="BE77" s="729"/>
      <c r="BF77" s="729"/>
      <c r="BG77" s="729"/>
      <c r="BH77" s="729"/>
      <c r="BI77" s="731"/>
      <c r="BJ77" s="731"/>
      <c r="BK77" s="731"/>
      <c r="BL77" s="731"/>
      <c r="BM77" s="731"/>
      <c r="BN77" s="731"/>
      <c r="BO77" s="731"/>
    </row>
    <row r="78" ht="15.75" customHeight="1">
      <c r="A78" s="815"/>
      <c r="B78" s="815" t="s">
        <v>6825</v>
      </c>
      <c r="C78" s="744" t="s">
        <v>4053</v>
      </c>
      <c r="D78" s="729"/>
      <c r="E78" s="729"/>
      <c r="F78" s="793"/>
      <c r="G78" s="740"/>
      <c r="H78" s="729"/>
      <c r="I78" s="729"/>
      <c r="J78" s="729"/>
      <c r="K78" s="729"/>
      <c r="L78" s="729"/>
      <c r="M78" s="729"/>
      <c r="N78" s="729"/>
      <c r="O78" s="729"/>
      <c r="P78" s="727"/>
      <c r="Q78" s="729"/>
      <c r="R78" s="729"/>
      <c r="S78" s="729"/>
      <c r="T78" s="729"/>
      <c r="U78" s="725" t="s">
        <v>734</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6826</v>
      </c>
      <c r="C79" s="774" t="s">
        <v>6195</v>
      </c>
      <c r="D79" s="729" t="s">
        <v>1573</v>
      </c>
      <c r="E79" s="729" t="s">
        <v>756</v>
      </c>
      <c r="F79" s="754" t="s">
        <v>1054</v>
      </c>
      <c r="G79" s="724" t="s">
        <v>1276</v>
      </c>
      <c r="H79" s="729" t="s">
        <v>6195</v>
      </c>
      <c r="I79" s="729" t="str">
        <f>HYPERLINK("https://www.youtube.com/watch?v=Imyo7x5mfG4&amp;feature=youtu.be","30.15")</f>
        <v>30.15</v>
      </c>
      <c r="J79" s="729" t="s">
        <v>1650</v>
      </c>
      <c r="K79" s="729" t="s">
        <v>1898</v>
      </c>
      <c r="L79" s="729" t="s">
        <v>121</v>
      </c>
      <c r="M79" s="729" t="s">
        <v>756</v>
      </c>
      <c r="N79" s="729" t="s">
        <v>121</v>
      </c>
      <c r="O79" s="729" t="s">
        <v>1001</v>
      </c>
      <c r="P79" s="727" t="s">
        <v>3329</v>
      </c>
      <c r="Q79" s="729" t="s">
        <v>5004</v>
      </c>
      <c r="R79" s="729"/>
      <c r="S79" s="729"/>
      <c r="T79" s="729"/>
      <c r="U79" s="725" t="s">
        <v>1610</v>
      </c>
      <c r="V79" s="729" t="s">
        <v>972</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6827</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6671</v>
      </c>
      <c r="B80" s="800" t="s">
        <v>6816</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6828</v>
      </c>
      <c r="C81" s="774" t="s">
        <v>2756</v>
      </c>
      <c r="D81" s="729" t="s">
        <v>2531</v>
      </c>
      <c r="E81" s="729" t="s">
        <v>2400</v>
      </c>
      <c r="F81" s="749" t="s">
        <v>6829</v>
      </c>
      <c r="G81" s="724" t="s">
        <v>6830</v>
      </c>
      <c r="H81" s="729"/>
      <c r="I81" s="729"/>
      <c r="J81" s="729"/>
      <c r="K81" s="729"/>
      <c r="L81" s="729"/>
      <c r="M81" s="729" t="s">
        <v>6831</v>
      </c>
      <c r="N81" s="729"/>
      <c r="O81" s="729"/>
      <c r="P81" s="727" t="s">
        <v>6832</v>
      </c>
      <c r="Q81" s="729"/>
      <c r="R81" s="729"/>
      <c r="S81" s="729" t="s">
        <v>4035</v>
      </c>
      <c r="T81" s="729"/>
      <c r="U81" s="729"/>
      <c r="V81" s="729"/>
      <c r="W81" s="729" t="s">
        <v>6832</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6833</v>
      </c>
      <c r="C82" s="774" t="s">
        <v>3011</v>
      </c>
      <c r="D82" s="767"/>
      <c r="E82" s="767"/>
      <c r="F82" s="802" t="s">
        <v>1843</v>
      </c>
      <c r="G82" s="740"/>
      <c r="H82" s="812" t="s">
        <v>3011</v>
      </c>
      <c r="I82" s="767"/>
      <c r="J82" s="767"/>
      <c r="K82" s="767"/>
      <c r="L82" s="767"/>
      <c r="M82" s="767"/>
      <c r="N82" s="767"/>
      <c r="O82" s="767" t="s">
        <v>3011</v>
      </c>
      <c r="P82" s="727" t="s">
        <v>4964</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6710</v>
      </c>
      <c r="B83" s="788" t="s">
        <v>6834</v>
      </c>
      <c r="C83" s="774" t="s">
        <v>2257</v>
      </c>
      <c r="D83" s="729"/>
      <c r="E83" s="729" t="s">
        <v>2257</v>
      </c>
      <c r="F83" s="793"/>
      <c r="G83" s="724" t="s">
        <v>6835</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6836</v>
      </c>
      <c r="C84" s="774" t="s">
        <v>2649</v>
      </c>
      <c r="D84" s="729" t="s">
        <v>3642</v>
      </c>
      <c r="E84" s="729" t="s">
        <v>2649</v>
      </c>
      <c r="F84" s="723"/>
      <c r="G84" s="740"/>
      <c r="H84" s="729"/>
      <c r="I84" s="729"/>
      <c r="J84" s="729"/>
      <c r="K84" s="729" t="s">
        <v>6837</v>
      </c>
      <c r="L84" s="729" t="s">
        <v>5181</v>
      </c>
      <c r="M84" s="729"/>
      <c r="N84" s="729" t="str">
        <f>HYPERLINK("https://youtu.be/HUwmtKe7cOY","56.54")</f>
        <v>56.54</v>
      </c>
      <c r="O84" s="729"/>
      <c r="P84" s="727" t="s">
        <v>3813</v>
      </c>
      <c r="Q84" s="729"/>
      <c r="R84" s="729"/>
      <c r="S84" s="729"/>
      <c r="T84" s="729"/>
      <c r="U84" s="729" t="s">
        <v>6838</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6839</v>
      </c>
      <c r="C85" s="774" t="s">
        <v>952</v>
      </c>
      <c r="D85" s="729" t="s">
        <v>1574</v>
      </c>
      <c r="E85" s="729" t="s">
        <v>5500</v>
      </c>
      <c r="F85" s="754" t="s">
        <v>757</v>
      </c>
      <c r="G85" s="724" t="s">
        <v>1277</v>
      </c>
      <c r="H85" s="729" t="s">
        <v>952</v>
      </c>
      <c r="I85" s="729" t="s">
        <v>2941</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6840</v>
      </c>
      <c r="B86" s="788" t="s">
        <v>6841</v>
      </c>
      <c r="C86" s="774" t="s">
        <v>3535</v>
      </c>
      <c r="D86" s="729"/>
      <c r="E86" s="729" t="s">
        <v>6842</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6843</v>
      </c>
      <c r="C87" s="774" t="s">
        <v>1575</v>
      </c>
      <c r="D87" s="729" t="s">
        <v>1575</v>
      </c>
      <c r="E87" s="796"/>
      <c r="F87" s="754" t="s">
        <v>2549</v>
      </c>
      <c r="G87" s="740"/>
      <c r="H87" s="796"/>
      <c r="I87" s="796"/>
      <c r="J87" s="796"/>
      <c r="K87" s="796"/>
      <c r="L87" s="796"/>
      <c r="M87" s="796"/>
      <c r="N87" s="796"/>
      <c r="O87" s="796"/>
      <c r="P87" s="727"/>
      <c r="Q87" s="796"/>
      <c r="R87" s="796" t="s">
        <v>967</v>
      </c>
      <c r="S87" s="796"/>
      <c r="T87" s="796"/>
      <c r="U87" s="796"/>
      <c r="V87" s="796"/>
      <c r="W87" s="796" t="s">
        <v>2855</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6844</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6845</v>
      </c>
      <c r="C88" s="818" t="s">
        <v>6549</v>
      </c>
      <c r="D88" s="819" t="s">
        <v>6846</v>
      </c>
      <c r="E88" s="820" t="s">
        <v>2388</v>
      </c>
      <c r="F88" s="820" t="s">
        <v>759</v>
      </c>
      <c r="G88" s="820" t="s">
        <v>666</v>
      </c>
      <c r="H88" s="819" t="s">
        <v>759</v>
      </c>
      <c r="I88" s="820" t="s">
        <v>2438</v>
      </c>
      <c r="J88" s="820" t="s">
        <v>1279</v>
      </c>
      <c r="K88" s="819" t="s">
        <v>3104</v>
      </c>
      <c r="L88" s="819" t="s">
        <v>6847</v>
      </c>
      <c r="M88" s="821"/>
      <c r="N88" s="821"/>
      <c r="O88" s="820" t="s">
        <v>6549</v>
      </c>
      <c r="P88" s="820" t="s">
        <v>6848</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6849</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6850</v>
      </c>
      <c r="B89" s="804" t="s">
        <v>6649</v>
      </c>
      <c r="C89" s="806" t="s">
        <v>6851</v>
      </c>
      <c r="D89" s="725" t="s">
        <v>6852</v>
      </c>
      <c r="E89" s="767"/>
      <c r="F89" s="802" t="s">
        <v>6853</v>
      </c>
      <c r="G89" s="740"/>
      <c r="H89" s="725" t="s">
        <v>6851</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6854</v>
      </c>
      <c r="B90" s="804" t="s">
        <v>6649</v>
      </c>
      <c r="C90" s="748" t="s">
        <v>6855</v>
      </c>
      <c r="D90" s="725" t="s">
        <v>6856</v>
      </c>
      <c r="E90" s="767"/>
      <c r="F90" s="766" t="s">
        <v>6857</v>
      </c>
      <c r="G90" s="740"/>
      <c r="H90" s="725" t="s">
        <v>6855</v>
      </c>
      <c r="I90" s="767"/>
      <c r="J90" s="767"/>
      <c r="K90" s="767"/>
      <c r="L90" s="767"/>
      <c r="M90" s="767"/>
      <c r="N90" s="767"/>
      <c r="O90" s="767"/>
      <c r="P90" s="727"/>
      <c r="Q90" s="767"/>
      <c r="R90" s="767"/>
      <c r="S90" s="767"/>
      <c r="T90" s="767"/>
      <c r="U90" s="725" t="s">
        <v>6858</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6759</v>
      </c>
      <c r="B91" s="788" t="s">
        <v>6760</v>
      </c>
      <c r="C91" s="774" t="s">
        <v>5346</v>
      </c>
      <c r="D91" s="729" t="s">
        <v>6859</v>
      </c>
      <c r="E91" s="729" t="s">
        <v>5346</v>
      </c>
      <c r="F91" s="793"/>
      <c r="G91" s="740"/>
      <c r="H91" s="729" t="s">
        <v>5346</v>
      </c>
      <c r="I91" s="729" t="s">
        <v>5164</v>
      </c>
      <c r="J91" s="729"/>
      <c r="K91" s="729" t="s">
        <v>4705</v>
      </c>
      <c r="L91" s="729"/>
      <c r="M91" s="729" t="s">
        <v>3243</v>
      </c>
      <c r="N91" s="729" t="str">
        <f>HYPERLINK("https://youtu.be/HjDDp_Mj_yI","16.74")</f>
        <v>16.74</v>
      </c>
      <c r="O91" s="729"/>
      <c r="P91" s="727" t="s">
        <v>6417</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6860</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6861</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6862</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6863</v>
      </c>
      <c r="C94" s="774" t="s">
        <v>1076</v>
      </c>
      <c r="D94" s="729" t="s">
        <v>1576</v>
      </c>
      <c r="E94" s="725" t="s">
        <v>359</v>
      </c>
      <c r="F94" s="723"/>
      <c r="G94" s="724" t="s">
        <v>1280</v>
      </c>
      <c r="H94" s="725" t="s">
        <v>1076</v>
      </c>
      <c r="I94" s="726"/>
      <c r="J94" s="725" t="s">
        <v>6864</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6865</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6866</v>
      </c>
      <c r="C96" s="774" t="s">
        <v>360</v>
      </c>
      <c r="D96" s="734" t="s">
        <v>1577</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6867</v>
      </c>
      <c r="B97" s="788" t="s">
        <v>6766</v>
      </c>
      <c r="C97" s="774" t="s">
        <v>6868</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6869</v>
      </c>
      <c r="B98" s="804" t="s">
        <v>6766</v>
      </c>
      <c r="C98" s="774" t="s">
        <v>6870</v>
      </c>
      <c r="D98" s="775" t="s">
        <v>6870</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6649</v>
      </c>
      <c r="C99" s="774" t="s">
        <v>362</v>
      </c>
      <c r="D99" s="734" t="s">
        <v>1579</v>
      </c>
      <c r="E99" s="725" t="s">
        <v>362</v>
      </c>
      <c r="F99" s="793"/>
      <c r="G99" s="724" t="s">
        <v>1282</v>
      </c>
      <c r="H99" s="726"/>
      <c r="I99" s="726"/>
      <c r="J99" s="726"/>
      <c r="K99" s="726"/>
      <c r="L99" s="725" t="s">
        <v>918</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6871</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6648</v>
      </c>
      <c r="B101" s="830"/>
      <c r="C101" s="831" t="s">
        <v>4196</v>
      </c>
      <c r="D101" s="734" t="s">
        <v>1580</v>
      </c>
      <c r="E101" s="832" t="s">
        <v>2439</v>
      </c>
      <c r="F101" s="723"/>
      <c r="G101" s="724" t="s">
        <v>6025</v>
      </c>
      <c r="H101" s="832"/>
      <c r="I101" s="832" t="str">
        <f>HYPERLINK("https://youtu.be/ycBfir2aflI","41.70")</f>
        <v>41.70</v>
      </c>
      <c r="J101" s="832" t="s">
        <v>6683</v>
      </c>
      <c r="K101" s="832"/>
      <c r="L101" s="832" t="s">
        <v>919</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6664</v>
      </c>
      <c r="B102" s="837"/>
      <c r="C102" s="831" t="s">
        <v>1620</v>
      </c>
      <c r="D102" s="734" t="s">
        <v>1581</v>
      </c>
      <c r="E102" s="838"/>
      <c r="F102" s="839"/>
      <c r="G102" s="724" t="s">
        <v>6792</v>
      </c>
      <c r="H102" s="838"/>
      <c r="I102" s="832" t="s">
        <v>3334</v>
      </c>
      <c r="J102" s="832" t="s">
        <v>4146</v>
      </c>
      <c r="K102" s="838" t="s">
        <v>1235</v>
      </c>
      <c r="L102" s="838" t="s">
        <v>920</v>
      </c>
      <c r="M102" s="832" t="s">
        <v>763</v>
      </c>
      <c r="N102" s="838" t="s">
        <v>3716</v>
      </c>
      <c r="O102" s="832" t="s">
        <v>1620</v>
      </c>
      <c r="P102" s="840" t="s">
        <v>2882</v>
      </c>
      <c r="Q102" s="838"/>
      <c r="R102" s="838" t="s">
        <v>5780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6671</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6872</v>
      </c>
      <c r="B104" s="843" t="s">
        <v>6873</v>
      </c>
      <c r="C104" s="831" t="s">
        <v>1518</v>
      </c>
      <c r="D104" s="773" t="s">
        <v>6874</v>
      </c>
      <c r="E104" s="838"/>
      <c r="F104" s="723"/>
      <c r="G104" s="724" t="s">
        <v>1285</v>
      </c>
      <c r="H104" s="838"/>
      <c r="I104" s="838" t="s">
        <v>6875</v>
      </c>
      <c r="J104" s="832" t="s">
        <v>6876</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6877</v>
      </c>
      <c r="C105" s="831" t="s">
        <v>6878</v>
      </c>
      <c r="D105" s="734" t="s">
        <v>1582</v>
      </c>
      <c r="E105" s="838"/>
      <c r="F105" s="839"/>
      <c r="G105" s="740"/>
      <c r="H105" s="838"/>
      <c r="I105" s="838"/>
      <c r="J105" s="832" t="s">
        <v>6878</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6808</v>
      </c>
      <c r="B106" s="843" t="s">
        <v>6879</v>
      </c>
      <c r="C106" s="831" t="s">
        <v>5648</v>
      </c>
      <c r="D106" s="773" t="s">
        <v>6880</v>
      </c>
      <c r="E106" s="838"/>
      <c r="F106" s="723"/>
      <c r="G106" s="724" t="s">
        <v>613</v>
      </c>
      <c r="H106" s="838"/>
      <c r="I106" s="838"/>
      <c r="J106" s="832" t="s">
        <v>6881</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6882</v>
      </c>
      <c r="BG106" s="838"/>
      <c r="BH106" s="838"/>
      <c r="BI106" s="835"/>
      <c r="BJ106" s="835"/>
      <c r="BK106" s="835"/>
      <c r="BL106" s="835"/>
      <c r="BM106" s="835"/>
      <c r="BN106" s="835"/>
      <c r="BO106" s="835"/>
    </row>
    <row r="107" ht="15.75" customHeight="1">
      <c r="A107" s="829" t="s">
        <v>6815</v>
      </c>
      <c r="B107" s="843" t="s">
        <v>6883</v>
      </c>
      <c r="C107" s="831" t="s">
        <v>6884</v>
      </c>
      <c r="D107" s="773" t="s">
        <v>3713</v>
      </c>
      <c r="E107" s="838"/>
      <c r="F107" s="839"/>
      <c r="G107" s="724" t="s">
        <v>134</v>
      </c>
      <c r="H107" s="838"/>
      <c r="I107" s="838" t="s">
        <v>6885</v>
      </c>
      <c r="J107" s="832" t="s">
        <v>6886</v>
      </c>
      <c r="K107" s="838" t="s">
        <v>3635</v>
      </c>
      <c r="L107" s="838" t="s">
        <v>922</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6664</v>
      </c>
      <c r="B108" s="837" t="s">
        <v>6883</v>
      </c>
      <c r="C108" s="720" t="s">
        <v>6887</v>
      </c>
      <c r="D108" s="775" t="s">
        <v>6797</v>
      </c>
      <c r="E108" s="832" t="s">
        <v>368</v>
      </c>
      <c r="F108" s="723"/>
      <c r="G108" s="724" t="s">
        <v>6888</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6887</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6671</v>
      </c>
      <c r="B109" s="846" t="s">
        <v>6873</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6889</v>
      </c>
      <c r="B110" s="847" t="s">
        <v>6649</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6840</v>
      </c>
      <c r="B111" s="843" t="s">
        <v>6766</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6890</v>
      </c>
      <c r="C112" s="831" t="s">
        <v>1260</v>
      </c>
      <c r="D112" s="734" t="s">
        <v>1585</v>
      </c>
      <c r="E112" s="838"/>
      <c r="F112" s="723"/>
      <c r="G112" s="724" t="s">
        <v>1288</v>
      </c>
      <c r="H112" s="838"/>
      <c r="I112" s="838" t="s">
        <v>6891</v>
      </c>
      <c r="J112" s="832" t="s">
        <v>1260</v>
      </c>
      <c r="K112" s="838" t="s">
        <v>3637</v>
      </c>
      <c r="L112" s="832" t="s">
        <v>923</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6759</v>
      </c>
      <c r="B113" s="843" t="s">
        <v>6892</v>
      </c>
      <c r="C113" s="831" t="s">
        <v>1058</v>
      </c>
      <c r="D113" s="838" t="s">
        <v>1554</v>
      </c>
      <c r="F113" s="849" t="s">
        <v>5456</v>
      </c>
      <c r="G113" s="740"/>
      <c r="I113" s="832" t="str">
        <f>HYPERLINK("https://youtu.be/NIfI1hsvvFQ","19.73")</f>
        <v>19.73</v>
      </c>
      <c r="J113" s="832" t="s">
        <v>1058</v>
      </c>
      <c r="K113" s="832" t="s">
        <v>2593</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6893</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6762</v>
      </c>
      <c r="C115" s="831" t="s">
        <v>475</v>
      </c>
      <c r="D115" s="729" t="s">
        <v>845</v>
      </c>
      <c r="E115" s="832" t="s">
        <v>675</v>
      </c>
      <c r="F115" s="754" t="s">
        <v>138</v>
      </c>
      <c r="G115" s="724" t="s">
        <v>1754</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6763</v>
      </c>
      <c r="B116" s="843" t="s">
        <v>6894</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6389</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6895</v>
      </c>
      <c r="C117" s="831" t="s">
        <v>877</v>
      </c>
      <c r="D117" s="838" t="s">
        <v>3981</v>
      </c>
      <c r="E117" s="838"/>
      <c r="F117" s="723"/>
      <c r="G117" s="724" t="s">
        <v>823</v>
      </c>
      <c r="H117" s="838"/>
      <c r="I117" s="838"/>
      <c r="J117" s="832" t="s">
        <v>182</v>
      </c>
      <c r="K117" s="838" t="s">
        <v>121</v>
      </c>
      <c r="L117" s="838" t="s">
        <v>298</v>
      </c>
      <c r="M117" s="838"/>
      <c r="N117" s="838"/>
      <c r="O117" s="838"/>
      <c r="P117" s="840" t="s">
        <v>2522</v>
      </c>
      <c r="Q117" s="838" t="s">
        <v>2886</v>
      </c>
      <c r="R117" s="838" t="s">
        <v>847</v>
      </c>
      <c r="S117" s="838"/>
      <c r="T117" s="838"/>
      <c r="U117" s="838" t="s">
        <v>4687</v>
      </c>
      <c r="V117" s="838" t="s">
        <v>6896</v>
      </c>
      <c r="W117" s="838"/>
      <c r="X117" s="838"/>
      <c r="Y117" s="838"/>
      <c r="Z117" s="838"/>
      <c r="AA117" s="842" t="s">
        <v>732</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6897</v>
      </c>
      <c r="C118" s="831" t="s">
        <v>6898</v>
      </c>
      <c r="D118" s="729" t="s">
        <v>1586</v>
      </c>
      <c r="E118" s="832" t="s">
        <v>6898</v>
      </c>
      <c r="F118" s="749" t="s">
        <v>1989</v>
      </c>
      <c r="G118" s="740"/>
      <c r="H118" s="832"/>
      <c r="I118" s="832" t="s">
        <v>261</v>
      </c>
      <c r="J118" s="832" t="s">
        <v>4788</v>
      </c>
      <c r="K118" s="832" t="s">
        <v>847</v>
      </c>
      <c r="L118" s="832"/>
      <c r="M118" s="832" t="s">
        <v>769</v>
      </c>
      <c r="N118" s="832"/>
      <c r="O118" s="832" t="s">
        <v>4334</v>
      </c>
      <c r="P118" s="833" t="s">
        <v>6165</v>
      </c>
      <c r="Q118" s="832" t="s">
        <v>2561</v>
      </c>
      <c r="R118" s="832" t="s">
        <v>3362</v>
      </c>
      <c r="S118" s="832"/>
      <c r="T118" s="832" t="s">
        <v>6899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6900</v>
      </c>
      <c r="C119" s="831" t="s">
        <v>6901</v>
      </c>
      <c r="D119" s="838"/>
      <c r="E119" s="838"/>
      <c r="F119" s="735" t="s">
        <v>2550</v>
      </c>
      <c r="G119" s="740"/>
      <c r="H119" s="838"/>
      <c r="I119" s="838"/>
      <c r="J119" s="838"/>
      <c r="K119" s="838"/>
      <c r="L119" s="838"/>
      <c r="M119" s="838"/>
      <c r="N119" s="838"/>
      <c r="O119" s="838"/>
      <c r="P119" s="840"/>
      <c r="Q119" s="838"/>
      <c r="R119" s="838"/>
      <c r="S119" s="838" t="s">
        <v>6902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6903</v>
      </c>
      <c r="B120" s="847" t="s">
        <v>6766</v>
      </c>
      <c r="C120" s="831" t="s">
        <v>926</v>
      </c>
      <c r="D120" s="734" t="s">
        <v>1588</v>
      </c>
      <c r="E120" s="838"/>
      <c r="F120" s="839"/>
      <c r="G120" s="740"/>
      <c r="H120" s="838" t="s">
        <v>5143</v>
      </c>
      <c r="I120" s="838" t="s">
        <v>3655</v>
      </c>
      <c r="J120" s="838"/>
      <c r="K120" s="838" t="s">
        <v>3067</v>
      </c>
      <c r="L120" s="832" t="s">
        <v>926</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848</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6869</v>
      </c>
      <c r="B121" s="837" t="s">
        <v>6766</v>
      </c>
      <c r="C121" s="774" t="s">
        <v>6904</v>
      </c>
      <c r="D121" s="775" t="s">
        <v>6904</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6905</v>
      </c>
      <c r="B122" s="847" t="s">
        <v>6649</v>
      </c>
      <c r="C122" s="831" t="s">
        <v>851</v>
      </c>
      <c r="D122" s="734" t="s">
        <v>1587</v>
      </c>
      <c r="E122" s="838"/>
      <c r="F122" s="839"/>
      <c r="G122" s="724" t="s">
        <v>1290</v>
      </c>
      <c r="H122" s="838"/>
      <c r="I122" s="832" t="str">
        <f>HYPERLINK("https://youtu.be/JiJPMQx9xwU","31.85")</f>
        <v>31.85</v>
      </c>
      <c r="J122" s="838"/>
      <c r="K122" s="838"/>
      <c r="L122" s="838" t="s">
        <v>1486</v>
      </c>
      <c r="M122" s="838" t="s">
        <v>770</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6873</v>
      </c>
      <c r="C123" s="831" t="s">
        <v>2952</v>
      </c>
      <c r="D123" s="734" t="s">
        <v>6906</v>
      </c>
      <c r="E123" s="838"/>
      <c r="F123" s="723"/>
      <c r="G123" s="740"/>
      <c r="H123" s="838"/>
      <c r="I123" s="832" t="s">
        <v>6907</v>
      </c>
      <c r="J123" s="838"/>
      <c r="K123" s="838"/>
      <c r="L123" s="838" t="s">
        <v>927</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6908</v>
      </c>
      <c r="B125" s="860"/>
      <c r="C125" s="831" t="s">
        <v>4101</v>
      </c>
      <c r="D125" s="832" t="s">
        <v>6909</v>
      </c>
      <c r="E125" s="832" t="s">
        <v>6910</v>
      </c>
      <c r="F125" s="749" t="s">
        <v>6911</v>
      </c>
      <c r="G125" s="740"/>
      <c r="H125" s="832" t="s">
        <v>4101</v>
      </c>
      <c r="I125" s="832"/>
      <c r="J125" s="832"/>
      <c r="K125" s="832"/>
      <c r="L125" s="832" t="s">
        <v>6910</v>
      </c>
      <c r="M125" s="832"/>
      <c r="N125" s="832"/>
      <c r="O125" s="832"/>
      <c r="P125" s="833" t="s">
        <v>6912</v>
      </c>
      <c r="Q125" s="832"/>
      <c r="R125" s="832"/>
      <c r="S125" s="832" t="s">
        <v>6913</v>
      </c>
      <c r="T125" s="832"/>
      <c r="U125" s="832"/>
      <c r="V125" s="832"/>
      <c r="W125" s="832" t="s">
        <v>6912</v>
      </c>
      <c r="X125" s="832"/>
      <c r="Y125" s="832"/>
      <c r="Z125" s="832" t="s">
        <v>6911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6648</v>
      </c>
      <c r="B126" s="862" t="s">
        <v>6914</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6915</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6916</v>
      </c>
      <c r="C128" s="748" t="s">
        <v>1182</v>
      </c>
      <c r="D128" s="729" t="s">
        <v>660</v>
      </c>
      <c r="E128" s="838"/>
      <c r="F128" s="749" t="s">
        <v>1182</v>
      </c>
      <c r="G128" s="724" t="s">
        <v>1352</v>
      </c>
      <c r="H128" s="838"/>
      <c r="I128" s="838"/>
      <c r="J128" s="838" t="s">
        <v>2687</v>
      </c>
      <c r="K128" s="838" t="s">
        <v>6917</v>
      </c>
      <c r="L128" s="838"/>
      <c r="M128" s="838"/>
      <c r="N128" s="838"/>
      <c r="O128" s="838"/>
      <c r="P128" s="840" t="s">
        <v>6918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6919</v>
      </c>
      <c r="C129" s="720" t="s">
        <v>1084</v>
      </c>
      <c r="D129" s="838"/>
      <c r="E129" s="838"/>
      <c r="F129" s="754" t="s">
        <v>2551</v>
      </c>
      <c r="G129" s="724" t="s">
        <v>1293</v>
      </c>
      <c r="H129" s="763" t="s">
        <v>1084</v>
      </c>
      <c r="I129" s="838"/>
      <c r="J129" s="838"/>
      <c r="K129" s="838"/>
      <c r="L129" s="838"/>
      <c r="M129" s="838"/>
      <c r="N129" s="838"/>
      <c r="O129" s="763" t="s">
        <v>1016</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6664</v>
      </c>
      <c r="B130" s="869" t="s">
        <v>6649</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6671</v>
      </c>
      <c r="B131" s="873" t="s">
        <v>6649</v>
      </c>
      <c r="C131" s="831" t="s">
        <v>6920</v>
      </c>
      <c r="D131" s="838"/>
      <c r="E131" s="838"/>
      <c r="F131" s="749" t="s">
        <v>2086</v>
      </c>
      <c r="G131" s="724" t="s">
        <v>6921</v>
      </c>
      <c r="H131" s="724" t="s">
        <v>6920</v>
      </c>
      <c r="I131" s="838"/>
      <c r="J131" s="838"/>
      <c r="K131" s="838"/>
      <c r="L131" s="838"/>
      <c r="M131" s="838"/>
      <c r="N131" s="838"/>
      <c r="O131" s="838"/>
      <c r="P131" s="840"/>
      <c r="Q131" s="838"/>
      <c r="R131" s="838"/>
      <c r="S131" s="838" t="s">
        <v>6920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6650</v>
      </c>
      <c r="B132" s="860"/>
      <c r="C132" s="831" t="s">
        <v>774</v>
      </c>
      <c r="D132" s="729" t="s">
        <v>936</v>
      </c>
      <c r="E132" s="838"/>
      <c r="F132" s="735" t="s">
        <v>1911</v>
      </c>
      <c r="G132" s="724" t="s">
        <v>1294</v>
      </c>
      <c r="H132" s="838"/>
      <c r="I132" s="763" t="str">
        <f>HYPERLINK("https://youtu.be/6f5dBhAmU1g","42.10")</f>
        <v>42.10</v>
      </c>
      <c r="J132" s="838" t="s">
        <v>6922</v>
      </c>
      <c r="K132" s="838" t="s">
        <v>2145</v>
      </c>
      <c r="L132" s="763" t="s">
        <v>929</v>
      </c>
      <c r="M132" s="763" t="s">
        <v>774</v>
      </c>
      <c r="N132" s="838" t="s">
        <v>4676</v>
      </c>
      <c r="O132" s="838"/>
      <c r="P132" s="840" t="s">
        <v>1219</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6664</v>
      </c>
      <c r="B133" s="873" t="s">
        <v>6649</v>
      </c>
      <c r="C133" s="831" t="str">
        <f>HYPERLINK("https://youtu.be/sDPkawvhuRo","28.54")</f>
        <v>28.54</v>
      </c>
      <c r="D133" s="729" t="s">
        <v>1590</v>
      </c>
      <c r="E133" s="838"/>
      <c r="F133" s="749" t="s">
        <v>2326</v>
      </c>
      <c r="G133" s="724" t="s">
        <v>377</v>
      </c>
      <c r="H133" s="763" t="s">
        <v>1112</v>
      </c>
      <c r="I133" s="838" t="s">
        <v>1452</v>
      </c>
      <c r="J133" s="838" t="s">
        <v>2326</v>
      </c>
      <c r="K133" s="838" t="s">
        <v>408</v>
      </c>
      <c r="L133" s="763" t="s">
        <v>145</v>
      </c>
      <c r="M133" s="763" t="s">
        <v>377</v>
      </c>
      <c r="N133" s="838" t="s">
        <v>3640</v>
      </c>
      <c r="O133" s="763" t="s">
        <v>261</v>
      </c>
      <c r="P133" s="840" t="s">
        <v>303</v>
      </c>
      <c r="Q133" s="838"/>
      <c r="R133" s="838"/>
      <c r="S133" s="838" t="s">
        <v>1082</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6671</v>
      </c>
      <c r="B134" s="873" t="s">
        <v>6649</v>
      </c>
      <c r="C134" s="831" t="s">
        <v>6923</v>
      </c>
      <c r="D134" s="832"/>
      <c r="E134" s="832" t="s">
        <v>6923</v>
      </c>
      <c r="F134" s="870" t="s">
        <v>1551</v>
      </c>
      <c r="G134" s="724" t="s">
        <v>6924</v>
      </c>
      <c r="H134" s="832"/>
      <c r="I134" s="832"/>
      <c r="J134" s="832"/>
      <c r="K134" s="832"/>
      <c r="L134" s="832" t="s">
        <v>3011</v>
      </c>
      <c r="M134" s="832" t="s">
        <v>6924</v>
      </c>
      <c r="N134" s="832"/>
      <c r="O134" s="832"/>
      <c r="P134" s="833" t="s">
        <v>6923</v>
      </c>
      <c r="Q134" s="832" t="s">
        <v>489</v>
      </c>
      <c r="R134" s="832"/>
      <c r="S134" s="832"/>
      <c r="T134" s="832"/>
      <c r="U134" s="832"/>
      <c r="V134" s="832"/>
      <c r="W134" s="832"/>
      <c r="X134" s="832"/>
      <c r="Y134" s="832" t="s">
        <v>6925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6808</v>
      </c>
      <c r="B135" s="862" t="s">
        <v>6926</v>
      </c>
      <c r="C135" s="831" t="s">
        <v>6927</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6928</v>
      </c>
      <c r="C136" s="831" t="s">
        <v>1816</v>
      </c>
      <c r="D136" s="838" t="s">
        <v>2595</v>
      </c>
      <c r="E136" s="838"/>
      <c r="F136" s="863"/>
      <c r="G136" s="740"/>
      <c r="H136" s="838"/>
      <c r="I136" s="838"/>
      <c r="J136" s="838"/>
      <c r="K136" s="838" t="s">
        <v>3641</v>
      </c>
      <c r="L136" s="838"/>
      <c r="M136" s="838"/>
      <c r="N136" s="838"/>
      <c r="O136" s="838"/>
      <c r="P136" s="840"/>
      <c r="Q136" s="838"/>
      <c r="R136" s="838" t="s">
        <v>3057</v>
      </c>
      <c r="S136" s="838"/>
      <c r="T136" s="838"/>
      <c r="U136" s="838"/>
      <c r="V136" s="838"/>
      <c r="W136" s="838"/>
      <c r="X136" s="838" t="s">
        <v>1644</v>
      </c>
      <c r="Y136" s="838"/>
      <c r="Z136" s="838" t="s">
        <v>6365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6929</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6436</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6930</v>
      </c>
      <c r="C138" s="831" t="s">
        <v>378</v>
      </c>
      <c r="D138" s="729" t="s">
        <v>775</v>
      </c>
      <c r="E138" s="724" t="s">
        <v>378</v>
      </c>
      <c r="F138" s="754" t="s">
        <v>3968</v>
      </c>
      <c r="G138" s="724" t="s">
        <v>1295</v>
      </c>
      <c r="H138" s="874" t="s">
        <v>5698</v>
      </c>
      <c r="I138" s="724" t="s">
        <v>5436</v>
      </c>
      <c r="J138" s="740"/>
      <c r="K138" s="740"/>
      <c r="L138" s="724" t="s">
        <v>930</v>
      </c>
      <c r="M138" s="724" t="s">
        <v>6435</v>
      </c>
      <c r="N138" s="740"/>
      <c r="O138" s="724" t="s">
        <v>6931</v>
      </c>
      <c r="P138" s="833" t="s">
        <v>5100</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6932</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6933</v>
      </c>
      <c r="C139" s="831" t="s">
        <v>568</v>
      </c>
      <c r="D139" s="838" t="s">
        <v>4272</v>
      </c>
      <c r="E139" s="838"/>
      <c r="F139" s="723"/>
      <c r="G139" s="740"/>
      <c r="H139" s="838"/>
      <c r="I139" s="838"/>
      <c r="J139" s="724" t="s">
        <v>5631</v>
      </c>
      <c r="K139" s="838" t="s">
        <v>1744</v>
      </c>
      <c r="L139" s="838"/>
      <c r="M139" s="838"/>
      <c r="N139" s="838" t="str">
        <f>HYPERLINK("https://youtu.be/wzsts4r5VHY","56.24")</f>
        <v>56.24</v>
      </c>
      <c r="O139" s="724" t="s">
        <v>6934</v>
      </c>
      <c r="P139" s="840"/>
      <c r="Q139" s="838"/>
      <c r="R139" s="838"/>
      <c r="S139" s="838" t="s">
        <v>568</v>
      </c>
      <c r="T139" s="838"/>
      <c r="U139" s="838"/>
      <c r="V139" s="838"/>
      <c r="W139" s="838"/>
      <c r="X139" s="838"/>
      <c r="Y139" s="838"/>
      <c r="Z139" s="838"/>
      <c r="AA139" s="838"/>
      <c r="AB139" s="838"/>
      <c r="AC139" s="838"/>
      <c r="AD139" s="838" t="s">
        <v>6935</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6936</v>
      </c>
      <c r="C140" s="831" t="s">
        <v>4547</v>
      </c>
      <c r="D140" s="875"/>
      <c r="E140" s="875"/>
      <c r="F140" s="863"/>
      <c r="G140" s="740"/>
      <c r="H140" s="875"/>
      <c r="I140" s="875"/>
      <c r="J140" s="724" t="s">
        <v>6937</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6938</v>
      </c>
      <c r="C141" s="831" t="s">
        <v>6939</v>
      </c>
      <c r="D141" s="729" t="s">
        <v>792</v>
      </c>
      <c r="E141" s="876" t="s">
        <v>776</v>
      </c>
      <c r="F141" s="766" t="s">
        <v>147</v>
      </c>
      <c r="G141" s="724" t="s">
        <v>922</v>
      </c>
      <c r="H141" s="832" t="s">
        <v>776</v>
      </c>
      <c r="I141" s="832" t="s">
        <v>506</v>
      </c>
      <c r="J141" s="832"/>
      <c r="K141" s="832"/>
      <c r="L141" s="832" t="s">
        <v>931</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6710</v>
      </c>
      <c r="B142" s="862" t="s">
        <v>6940</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6941</v>
      </c>
      <c r="C143" s="831" t="s">
        <v>6942</v>
      </c>
      <c r="E143" s="838"/>
      <c r="F143" s="723"/>
      <c r="G143" s="724" t="s">
        <v>1297</v>
      </c>
      <c r="H143" s="838"/>
      <c r="I143" s="838"/>
      <c r="J143" s="724" t="s">
        <v>1436</v>
      </c>
      <c r="K143" s="838"/>
      <c r="L143" s="838" t="s">
        <v>932</v>
      </c>
      <c r="M143" s="838"/>
      <c r="N143" s="838"/>
      <c r="O143" s="724" t="s">
        <v>5651</v>
      </c>
      <c r="P143" s="840" t="s">
        <v>839</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6943</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6944</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6945</v>
      </c>
      <c r="C145" s="720" t="s">
        <v>6946</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6946</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6721</v>
      </c>
      <c r="B146" s="862" t="s">
        <v>6947</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6948</v>
      </c>
      <c r="C147" s="831" t="s">
        <v>1591</v>
      </c>
      <c r="D147" s="729" t="s">
        <v>1591</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6664</v>
      </c>
      <c r="B148" s="869" t="s">
        <v>6947</v>
      </c>
      <c r="C148" s="831" t="s">
        <v>3581</v>
      </c>
      <c r="D148" s="832" t="s">
        <v>5386</v>
      </c>
      <c r="E148" s="832" t="s">
        <v>3581</v>
      </c>
      <c r="F148" s="863"/>
      <c r="G148" s="724" t="s">
        <v>2940</v>
      </c>
      <c r="H148" s="832"/>
      <c r="I148" s="832"/>
      <c r="J148" s="832"/>
      <c r="K148" s="832" t="s">
        <v>477</v>
      </c>
      <c r="L148" s="832"/>
      <c r="M148" s="832" t="s">
        <v>2318</v>
      </c>
      <c r="N148" s="832" t="s">
        <v>1320</v>
      </c>
      <c r="O148" s="832"/>
      <c r="P148" s="833"/>
      <c r="Q148" s="832"/>
      <c r="R148" s="832"/>
      <c r="S148" s="832"/>
      <c r="T148" s="832"/>
      <c r="U148" s="832"/>
      <c r="V148" s="832"/>
      <c r="W148" s="832"/>
      <c r="X148" s="832" t="s">
        <v>6949</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6948</v>
      </c>
      <c r="C149" s="831" t="s">
        <v>1446</v>
      </c>
      <c r="D149" s="734" t="s">
        <v>1592</v>
      </c>
      <c r="E149" s="832" t="s">
        <v>5440</v>
      </c>
      <c r="F149" s="754" t="s">
        <v>1619</v>
      </c>
      <c r="G149" s="724" t="s">
        <v>3362</v>
      </c>
      <c r="H149" s="842" t="s">
        <v>1372</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6950</v>
      </c>
      <c r="W149" s="832"/>
      <c r="X149" s="832" t="s">
        <v>1082</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6671</v>
      </c>
      <c r="B150" s="869" t="s">
        <v>6649</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6950</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6951</v>
      </c>
      <c r="B151" s="873" t="s">
        <v>6952</v>
      </c>
      <c r="C151" s="831" t="s">
        <v>6953</v>
      </c>
      <c r="D151" s="832" t="s">
        <v>6954</v>
      </c>
      <c r="E151" s="832" t="s">
        <v>6953</v>
      </c>
      <c r="F151" s="723"/>
      <c r="G151" s="740"/>
      <c r="H151" s="832"/>
      <c r="I151" s="832" t="s">
        <v>6955</v>
      </c>
      <c r="J151" s="832" t="s">
        <v>6956</v>
      </c>
      <c r="K151" s="832"/>
      <c r="L151" s="832" t="s">
        <v>935</v>
      </c>
      <c r="M151" s="832"/>
      <c r="N151" s="832" t="s">
        <v>6957</v>
      </c>
      <c r="O151" s="832"/>
      <c r="P151" s="833"/>
      <c r="Q151" s="832"/>
      <c r="R151" s="832"/>
      <c r="S151" s="832"/>
      <c r="T151" s="832" t="s">
        <v>6958</v>
      </c>
      <c r="U151" s="832"/>
      <c r="V151" s="832" t="s">
        <v>5111</v>
      </c>
      <c r="W151" s="832"/>
      <c r="X151" s="832"/>
      <c r="Y151" s="832"/>
      <c r="Z151" s="832"/>
      <c r="AA151" s="832"/>
      <c r="AB151" s="832"/>
      <c r="AC151" s="832"/>
      <c r="AD151" s="832"/>
      <c r="AE151" s="832"/>
      <c r="AF151" s="832"/>
      <c r="AG151" s="832"/>
      <c r="AH151" s="832"/>
      <c r="AI151" s="832" t="s">
        <v>6959</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6960</v>
      </c>
      <c r="BF151" s="832"/>
      <c r="BG151" s="832"/>
      <c r="BH151" s="832"/>
      <c r="BI151" s="861"/>
      <c r="BJ151" s="861"/>
      <c r="BK151" s="861"/>
      <c r="BL151" s="861"/>
      <c r="BM151" s="861"/>
      <c r="BN151" s="861"/>
      <c r="BO151" s="861"/>
    </row>
    <row r="152" ht="15.75" customHeight="1">
      <c r="A152" s="864"/>
      <c r="B152" s="865" t="s">
        <v>6961</v>
      </c>
      <c r="C152" s="831" t="s">
        <v>6962</v>
      </c>
      <c r="D152" s="838"/>
      <c r="E152" s="838"/>
      <c r="F152" s="863"/>
      <c r="G152" s="740"/>
      <c r="H152" s="838"/>
      <c r="I152" s="838"/>
      <c r="J152" s="838"/>
      <c r="K152" s="838" t="s">
        <v>6963</v>
      </c>
      <c r="L152" s="838"/>
      <c r="M152" s="838"/>
      <c r="N152" s="838"/>
      <c r="O152" s="838" t="s">
        <v>6962</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6964</v>
      </c>
      <c r="C153" s="877" t="s">
        <v>2553</v>
      </c>
      <c r="D153" s="767" t="s">
        <v>1594</v>
      </c>
      <c r="E153" s="724" t="s">
        <v>383</v>
      </c>
      <c r="F153" s="754" t="s">
        <v>2553</v>
      </c>
      <c r="G153" s="740"/>
      <c r="H153" s="724" t="s">
        <v>6965</v>
      </c>
      <c r="I153" s="724" t="s">
        <v>589</v>
      </c>
      <c r="J153" s="724" t="s">
        <v>3250</v>
      </c>
      <c r="K153" s="740" t="s">
        <v>3645</v>
      </c>
      <c r="L153" s="740"/>
      <c r="M153" s="740"/>
      <c r="N153" s="740"/>
      <c r="O153" s="740"/>
      <c r="P153" s="833"/>
      <c r="Q153" s="740"/>
      <c r="R153" s="740"/>
      <c r="S153" s="740"/>
      <c r="T153" s="740"/>
      <c r="U153" s="724" t="s">
        <v>6966</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6967</v>
      </c>
      <c r="BB153" s="861"/>
      <c r="BC153" s="740"/>
      <c r="BD153" s="740"/>
      <c r="BE153" s="740"/>
      <c r="BF153" s="740"/>
      <c r="BG153" s="740"/>
      <c r="BH153" s="740"/>
      <c r="BI153" s="861"/>
      <c r="BJ153" s="861"/>
      <c r="BK153" s="861"/>
      <c r="BL153" s="861"/>
      <c r="BM153" s="861"/>
      <c r="BN153" s="861"/>
      <c r="BO153" s="861"/>
    </row>
    <row r="154" ht="15.75" customHeight="1">
      <c r="A154" s="864"/>
      <c r="B154" s="865" t="s">
        <v>6968</v>
      </c>
      <c r="C154" s="720" t="s">
        <v>3434</v>
      </c>
      <c r="D154" s="734" t="s">
        <v>1593</v>
      </c>
      <c r="E154" s="838"/>
      <c r="F154" s="863"/>
      <c r="G154" s="724" t="s">
        <v>1299</v>
      </c>
      <c r="H154" s="838"/>
      <c r="I154" s="838"/>
      <c r="J154" s="838"/>
      <c r="K154" s="842" t="s">
        <v>3644</v>
      </c>
      <c r="L154" s="838"/>
      <c r="M154" s="838" t="s">
        <v>6969</v>
      </c>
      <c r="N154" s="838"/>
      <c r="O154" s="838" t="s">
        <v>1021</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6970</v>
      </c>
      <c r="B155" s="873" t="s">
        <v>6952</v>
      </c>
      <c r="C155" s="831" t="s">
        <v>776</v>
      </c>
      <c r="D155" s="879" t="s">
        <v>5108</v>
      </c>
      <c r="E155" s="879" t="s">
        <v>3650</v>
      </c>
      <c r="F155" s="723"/>
      <c r="G155" s="740"/>
      <c r="H155" s="879"/>
      <c r="I155" s="879" t="s">
        <v>776</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6971</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6972</v>
      </c>
      <c r="C157" s="720" t="s">
        <v>2623</v>
      </c>
      <c r="D157" s="879" t="s">
        <v>6973</v>
      </c>
      <c r="E157" s="879"/>
      <c r="F157" s="766" t="s">
        <v>3844</v>
      </c>
      <c r="G157" s="740"/>
      <c r="H157" s="724" t="s">
        <v>2623</v>
      </c>
      <c r="I157" s="879"/>
      <c r="J157" s="879"/>
      <c r="K157" s="879"/>
      <c r="L157" s="879"/>
      <c r="M157" s="879"/>
      <c r="N157" s="879"/>
      <c r="O157" s="879"/>
      <c r="P157" s="833"/>
      <c r="Q157" s="879"/>
      <c r="R157" s="879"/>
      <c r="S157" s="879"/>
      <c r="T157" s="879"/>
      <c r="V157" s="879"/>
      <c r="W157" s="879" t="s">
        <v>959</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6974</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6975</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6968</v>
      </c>
      <c r="C160" s="720" t="s">
        <v>1433</v>
      </c>
      <c r="D160" s="879"/>
      <c r="E160" s="879"/>
      <c r="F160" s="863"/>
      <c r="G160" s="724" t="s">
        <v>6976</v>
      </c>
      <c r="H160" s="879" t="s">
        <v>6977</v>
      </c>
      <c r="I160" s="879" t="s">
        <v>288</v>
      </c>
      <c r="J160" s="879"/>
      <c r="K160" s="879"/>
      <c r="L160" s="879"/>
      <c r="M160" s="832" t="s">
        <v>4786</v>
      </c>
      <c r="N160" s="879"/>
      <c r="O160" s="879"/>
      <c r="P160" s="833"/>
      <c r="Q160" s="879"/>
      <c r="R160" s="879"/>
      <c r="S160" s="724" t="s">
        <v>6512</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6978</v>
      </c>
      <c r="B161" s="873" t="s">
        <v>6979</v>
      </c>
      <c r="C161" s="831" t="s">
        <v>6980</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6981</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6982</v>
      </c>
      <c r="B163" s="873" t="s">
        <v>6983</v>
      </c>
      <c r="C163" s="720" t="s">
        <v>6984</v>
      </c>
      <c r="D163" s="879"/>
      <c r="E163" s="879"/>
      <c r="F163" s="749" t="s">
        <v>6985</v>
      </c>
      <c r="G163" s="724" t="s">
        <v>6986</v>
      </c>
      <c r="H163" s="832" t="s">
        <v>6987</v>
      </c>
      <c r="I163" s="879" t="s">
        <v>6988</v>
      </c>
      <c r="J163" s="879"/>
      <c r="K163" s="879"/>
      <c r="L163" s="879"/>
      <c r="M163" s="832" t="s">
        <v>1324</v>
      </c>
      <c r="N163" s="879"/>
      <c r="O163" s="879"/>
      <c r="P163" s="833"/>
      <c r="Q163" s="879"/>
      <c r="R163" s="879"/>
      <c r="S163" s="724" t="s">
        <v>6984</v>
      </c>
      <c r="T163" s="879"/>
      <c r="U163" s="724" t="s">
        <v>6989</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6990</v>
      </c>
      <c r="C164" s="831" t="s">
        <v>6991</v>
      </c>
      <c r="D164" s="879"/>
      <c r="E164" s="879"/>
      <c r="F164" s="870" t="s">
        <v>6992</v>
      </c>
      <c r="G164" s="740"/>
      <c r="H164" s="832" t="s">
        <v>6993</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6994</v>
      </c>
      <c r="C165" s="831" t="s">
        <v>6995</v>
      </c>
      <c r="D165" s="879"/>
      <c r="E165" s="879"/>
      <c r="F165" s="749" t="s">
        <v>6996</v>
      </c>
      <c r="G165" s="740"/>
      <c r="H165" s="832" t="s">
        <v>6995</v>
      </c>
      <c r="I165" s="879" t="s">
        <v>6997</v>
      </c>
      <c r="J165" s="879"/>
      <c r="K165" s="879"/>
      <c r="L165" s="879"/>
      <c r="M165" s="879"/>
      <c r="N165" s="879"/>
      <c r="O165" s="879"/>
      <c r="P165" s="833"/>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6998</v>
      </c>
      <c r="C166" s="831" t="s">
        <v>746</v>
      </c>
      <c r="D166" s="879"/>
      <c r="E166" s="879"/>
      <c r="F166" s="870" t="s">
        <v>3101</v>
      </c>
      <c r="G166" s="740"/>
      <c r="H166" s="832" t="s">
        <v>746</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6999</v>
      </c>
      <c r="C167" s="831" t="s">
        <v>2602</v>
      </c>
      <c r="D167" s="838" t="s">
        <v>2602</v>
      </c>
      <c r="E167" s="838"/>
      <c r="F167" s="870" t="s">
        <v>2970</v>
      </c>
      <c r="G167" s="724" t="s">
        <v>2822</v>
      </c>
      <c r="H167" s="832" t="s">
        <v>2602</v>
      </c>
      <c r="I167" s="838"/>
      <c r="J167" s="838"/>
      <c r="K167" s="838" t="s">
        <v>3770</v>
      </c>
      <c r="L167" s="838"/>
      <c r="M167" s="838"/>
      <c r="N167" s="838"/>
      <c r="O167" s="838" t="s">
        <v>2602</v>
      </c>
      <c r="P167" s="840" t="s">
        <v>2970</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7000</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7001</v>
      </c>
      <c r="C168" s="831" t="s">
        <v>2442</v>
      </c>
      <c r="D168" s="729" t="s">
        <v>1595</v>
      </c>
      <c r="E168" s="832" t="s">
        <v>7002</v>
      </c>
      <c r="F168" s="749" t="s">
        <v>7003</v>
      </c>
      <c r="G168" s="740"/>
      <c r="H168" s="832" t="s">
        <v>7004</v>
      </c>
      <c r="I168" s="832"/>
      <c r="J168" s="832" t="s">
        <v>519</v>
      </c>
      <c r="K168" s="832" t="s">
        <v>3646</v>
      </c>
      <c r="L168" s="832"/>
      <c r="M168" s="832"/>
      <c r="N168" s="832"/>
      <c r="O168" s="832" t="s">
        <v>880</v>
      </c>
      <c r="P168" s="833" t="s">
        <v>800</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6763</v>
      </c>
      <c r="B169" s="881" t="s">
        <v>7005</v>
      </c>
      <c r="C169" s="831" t="s">
        <v>658</v>
      </c>
      <c r="D169" s="734" t="s">
        <v>1137</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6671</v>
      </c>
      <c r="B170" s="873" t="s">
        <v>6649</v>
      </c>
      <c r="C170" s="831" t="s">
        <v>7006</v>
      </c>
      <c r="D170" s="838"/>
      <c r="E170" s="838"/>
      <c r="F170" s="723"/>
      <c r="G170" s="724" t="s">
        <v>687</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7007</v>
      </c>
      <c r="B171" s="881" t="s">
        <v>7008</v>
      </c>
      <c r="C171" s="831" t="s">
        <v>7009</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7010</v>
      </c>
      <c r="C172" s="831" t="s">
        <v>936</v>
      </c>
      <c r="D172" s="734" t="s">
        <v>936</v>
      </c>
      <c r="E172" s="838"/>
      <c r="F172" s="863"/>
      <c r="G172" s="740"/>
      <c r="H172" s="838"/>
      <c r="I172" s="838"/>
      <c r="J172" s="838"/>
      <c r="K172" s="838"/>
      <c r="L172" s="724" t="s">
        <v>936</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6768</v>
      </c>
      <c r="B173" s="873" t="s">
        <v>7008</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7010</v>
      </c>
      <c r="C174" s="883" t="s">
        <v>7011</v>
      </c>
      <c r="D174" s="884" t="s">
        <v>7011</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6770</v>
      </c>
      <c r="B175" s="881" t="s">
        <v>6649</v>
      </c>
      <c r="C175" s="831" t="s">
        <v>1526</v>
      </c>
      <c r="D175" s="773" t="s">
        <v>1596</v>
      </c>
      <c r="E175" s="832" t="s">
        <v>7012</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6768</v>
      </c>
      <c r="B176" s="869" t="s">
        <v>6649</v>
      </c>
      <c r="C176" s="774" t="s">
        <v>7013</v>
      </c>
      <c r="D176" s="775" t="s">
        <v>7013</v>
      </c>
      <c r="E176" s="832"/>
      <c r="F176" s="723"/>
      <c r="G176" s="740"/>
      <c r="H176" s="832"/>
      <c r="I176" s="832"/>
      <c r="J176" s="832"/>
      <c r="K176" s="832"/>
      <c r="L176" s="832"/>
      <c r="M176" s="832"/>
      <c r="N176" s="832"/>
      <c r="O176" s="832"/>
      <c r="P176" s="833"/>
      <c r="Q176" s="832"/>
      <c r="R176" s="832"/>
      <c r="S176" s="832"/>
      <c r="T176" s="832"/>
      <c r="U176" s="724" t="s">
        <v>7014</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6649</v>
      </c>
      <c r="C177" s="831" t="s">
        <v>1460</v>
      </c>
      <c r="D177" s="734" t="s">
        <v>781</v>
      </c>
      <c r="E177" s="838"/>
      <c r="F177" s="863"/>
      <c r="G177" s="724" t="s">
        <v>1303</v>
      </c>
      <c r="H177" s="838"/>
      <c r="I177" s="838" t="s">
        <v>1460</v>
      </c>
      <c r="J177" s="838"/>
      <c r="K177" s="838"/>
      <c r="L177" s="838" t="s">
        <v>938</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7015</v>
      </c>
      <c r="B179" s="892" t="s">
        <v>7016</v>
      </c>
      <c r="C179" s="831" t="s">
        <v>7017</v>
      </c>
      <c r="D179" s="726" t="s">
        <v>7018</v>
      </c>
      <c r="E179" s="729" t="s">
        <v>7019</v>
      </c>
      <c r="F179" s="749" t="s">
        <v>7020</v>
      </c>
      <c r="G179" s="724" t="s">
        <v>7021</v>
      </c>
      <c r="H179" s="726" t="s">
        <v>7019</v>
      </c>
      <c r="I179" s="729"/>
      <c r="J179" s="729" t="s">
        <v>7022</v>
      </c>
      <c r="K179" s="729" t="s">
        <v>7023</v>
      </c>
      <c r="L179" s="729" t="s">
        <v>7020</v>
      </c>
      <c r="M179" s="729" t="s">
        <v>7020</v>
      </c>
      <c r="N179" s="729"/>
      <c r="O179" s="729"/>
      <c r="P179" s="727" t="s">
        <v>7019</v>
      </c>
      <c r="Q179" s="729"/>
      <c r="R179" s="729" t="s">
        <v>2170</v>
      </c>
      <c r="S179" s="729" t="s">
        <v>7024</v>
      </c>
      <c r="T179" s="729"/>
      <c r="U179" s="729"/>
      <c r="V179" s="729"/>
      <c r="W179" s="729"/>
      <c r="X179" s="729"/>
      <c r="Y179" s="729"/>
      <c r="Z179" s="729"/>
      <c r="AA179" s="729"/>
      <c r="AB179" s="729" t="s">
        <v>6987</v>
      </c>
      <c r="AC179" s="729" t="s">
        <v>7021</v>
      </c>
      <c r="AD179" s="729"/>
      <c r="AE179" s="729"/>
      <c r="AF179" s="729" t="s">
        <v>7017</v>
      </c>
      <c r="AG179" s="729"/>
      <c r="AH179" s="729"/>
      <c r="AI179" s="729"/>
      <c r="AJ179" s="789"/>
      <c r="AK179" s="729"/>
      <c r="AL179" s="729" t="s">
        <v>7023</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7025</v>
      </c>
      <c r="C180" s="831" t="s">
        <v>7026</v>
      </c>
      <c r="D180" s="729"/>
      <c r="E180" s="729" t="s">
        <v>7022</v>
      </c>
      <c r="F180" s="896"/>
      <c r="G180" s="740"/>
      <c r="H180" s="729" t="s">
        <v>7026</v>
      </c>
      <c r="I180" s="729"/>
      <c r="J180" s="729"/>
      <c r="K180" s="729"/>
      <c r="L180" s="729"/>
      <c r="M180" s="729"/>
      <c r="N180" s="729"/>
      <c r="O180" s="729"/>
      <c r="P180" s="727" t="s">
        <v>7027</v>
      </c>
      <c r="Q180" s="729"/>
      <c r="R180" s="729"/>
      <c r="S180" s="729"/>
      <c r="T180" s="729" t="s">
        <v>7022</v>
      </c>
      <c r="U180" s="729"/>
      <c r="V180" s="729"/>
      <c r="W180" s="729"/>
      <c r="X180" s="729"/>
      <c r="Y180" s="729"/>
      <c r="Z180" s="729" t="s">
        <v>7019</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7028</v>
      </c>
      <c r="B181" s="892" t="s">
        <v>6649</v>
      </c>
      <c r="C181" s="831" t="s">
        <v>1858</v>
      </c>
      <c r="D181" s="726" t="s">
        <v>5413</v>
      </c>
      <c r="E181" s="729" t="s">
        <v>6220</v>
      </c>
      <c r="F181" s="749" t="s">
        <v>2994</v>
      </c>
      <c r="G181" s="724" t="s">
        <v>7029</v>
      </c>
      <c r="H181" s="729" t="s">
        <v>2994</v>
      </c>
      <c r="I181" s="729"/>
      <c r="J181" s="729"/>
      <c r="K181" s="729"/>
      <c r="L181" s="729" t="s">
        <v>4481</v>
      </c>
      <c r="M181" s="729"/>
      <c r="N181" s="729"/>
      <c r="O181" s="729"/>
      <c r="P181" s="727"/>
      <c r="Q181" s="729"/>
      <c r="R181" s="729"/>
      <c r="S181" s="729" t="s">
        <v>4172</v>
      </c>
      <c r="T181" s="729" t="s">
        <v>2934</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6664</v>
      </c>
      <c r="B182" s="898" t="s">
        <v>6649</v>
      </c>
      <c r="C182" s="831" t="s">
        <v>7030</v>
      </c>
      <c r="D182" s="812"/>
      <c r="E182" s="812" t="s">
        <v>7031</v>
      </c>
      <c r="F182" s="899" t="s">
        <v>7032</v>
      </c>
      <c r="G182" s="740"/>
      <c r="H182" s="729" t="s">
        <v>7030</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6650</v>
      </c>
      <c r="B183" s="900" t="s">
        <v>7033</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7034</v>
      </c>
      <c r="C184" s="831" t="s">
        <v>7035</v>
      </c>
      <c r="D184" s="729" t="s">
        <v>7036</v>
      </c>
      <c r="E184" s="729" t="s">
        <v>7035</v>
      </c>
      <c r="F184" s="754" t="s">
        <v>1260</v>
      </c>
      <c r="G184" s="724" t="s">
        <v>1305</v>
      </c>
      <c r="H184" s="729" t="s">
        <v>5679</v>
      </c>
      <c r="I184" s="729"/>
      <c r="J184" s="729" t="s">
        <v>611</v>
      </c>
      <c r="K184" s="729" t="s">
        <v>356</v>
      </c>
      <c r="L184" s="729"/>
      <c r="M184" s="729"/>
      <c r="N184" s="729" t="s">
        <v>2500</v>
      </c>
      <c r="O184" s="729" t="s">
        <v>7037</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6664</v>
      </c>
      <c r="B185" s="902" t="s">
        <v>7038</v>
      </c>
      <c r="C185" s="831" t="s">
        <v>7039</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7040</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7041</v>
      </c>
      <c r="C186" s="831" t="s">
        <v>7042</v>
      </c>
      <c r="D186" s="729" t="s">
        <v>160</v>
      </c>
      <c r="E186" s="729" t="s">
        <v>7042</v>
      </c>
      <c r="F186" s="754" t="s">
        <v>2482</v>
      </c>
      <c r="G186" s="724" t="s">
        <v>1306</v>
      </c>
      <c r="H186" s="729" t="s">
        <v>3078</v>
      </c>
      <c r="I186" s="729" t="s">
        <v>1463</v>
      </c>
      <c r="J186" s="729" t="s">
        <v>3990</v>
      </c>
      <c r="K186" s="729" t="s">
        <v>5390</v>
      </c>
      <c r="L186" s="729" t="s">
        <v>941</v>
      </c>
      <c r="M186" s="729" t="s">
        <v>2982</v>
      </c>
      <c r="N186" s="729" t="s">
        <v>1922</v>
      </c>
      <c r="O186" s="729" t="s">
        <v>4819</v>
      </c>
      <c r="P186" s="727" t="s">
        <v>1922</v>
      </c>
      <c r="Q186" s="729"/>
      <c r="R186" s="729"/>
      <c r="S186" s="729"/>
      <c r="T186" s="729"/>
      <c r="U186" s="729"/>
      <c r="V186" s="729" t="s">
        <v>7043</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7044</v>
      </c>
      <c r="C187" s="831" t="s">
        <v>3423</v>
      </c>
      <c r="D187" s="729"/>
      <c r="E187" s="729" t="s">
        <v>3423</v>
      </c>
      <c r="F187" s="723"/>
      <c r="G187" s="740"/>
      <c r="H187" s="729"/>
      <c r="I187" s="729" t="s">
        <v>5328</v>
      </c>
      <c r="J187" s="729"/>
      <c r="K187" s="729"/>
      <c r="L187" s="729"/>
      <c r="M187" s="729" t="s">
        <v>1027</v>
      </c>
      <c r="N187" s="729" t="s">
        <v>4470</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7045</v>
      </c>
      <c r="B188" s="902" t="s">
        <v>6809</v>
      </c>
      <c r="C188" s="831" t="s">
        <v>3871</v>
      </c>
      <c r="D188" s="901"/>
      <c r="E188" s="901"/>
      <c r="F188" s="905" t="s">
        <v>3040</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7046</v>
      </c>
      <c r="C189" s="906" t="s">
        <v>1576</v>
      </c>
      <c r="D189" s="907" t="s">
        <v>180</v>
      </c>
      <c r="E189" s="729" t="s">
        <v>4775</v>
      </c>
      <c r="F189" s="723"/>
      <c r="G189" s="724" t="s">
        <v>180</v>
      </c>
      <c r="H189" s="729"/>
      <c r="I189" s="729"/>
      <c r="J189" s="729"/>
      <c r="K189" s="725" t="s">
        <v>3290</v>
      </c>
      <c r="L189" s="729"/>
      <c r="M189" s="729"/>
      <c r="N189" s="729"/>
      <c r="O189" s="729"/>
      <c r="P189" s="727"/>
      <c r="Q189" s="729"/>
      <c r="R189" s="729"/>
      <c r="S189" s="729" t="s">
        <v>2004</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7047</v>
      </c>
      <c r="B190" s="902" t="s">
        <v>6809</v>
      </c>
      <c r="C190" s="831" t="s">
        <v>7048</v>
      </c>
      <c r="D190" s="901"/>
      <c r="E190" s="901"/>
      <c r="F190" s="899" t="s">
        <v>7049</v>
      </c>
      <c r="G190" s="740"/>
      <c r="H190" s="901" t="s">
        <v>7048</v>
      </c>
      <c r="I190" s="901"/>
      <c r="J190" s="901" t="s">
        <v>7050</v>
      </c>
      <c r="K190" s="901"/>
      <c r="L190" s="901"/>
      <c r="M190" s="901"/>
      <c r="N190" s="901"/>
      <c r="O190" s="901"/>
      <c r="P190" s="752"/>
      <c r="Q190" s="901"/>
      <c r="R190" s="901"/>
      <c r="S190" s="901"/>
      <c r="T190" s="901"/>
      <c r="U190" s="901"/>
      <c r="V190" s="901"/>
      <c r="W190" s="901"/>
      <c r="X190" s="901" t="s">
        <v>7032</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7046</v>
      </c>
      <c r="C191" s="831" t="s">
        <v>7051</v>
      </c>
      <c r="D191" s="726" t="s">
        <v>7052</v>
      </c>
      <c r="E191" s="725" t="s">
        <v>7051</v>
      </c>
      <c r="F191" s="723"/>
      <c r="G191" s="740"/>
      <c r="H191" s="726" t="s">
        <v>7051</v>
      </c>
      <c r="I191" s="726"/>
      <c r="J191" s="726"/>
      <c r="K191" s="726"/>
      <c r="L191" s="726"/>
      <c r="M191" s="726"/>
      <c r="N191" s="726"/>
      <c r="O191" s="726"/>
      <c r="P191" s="727"/>
      <c r="Q191" s="726"/>
      <c r="R191" s="726"/>
      <c r="S191" s="726"/>
      <c r="T191" s="726"/>
      <c r="U191" s="726"/>
      <c r="V191" s="726"/>
      <c r="W191" s="726"/>
      <c r="X191" s="726"/>
      <c r="Y191" s="725" t="s">
        <v>7051</v>
      </c>
      <c r="Z191" s="726"/>
      <c r="AA191" s="726"/>
      <c r="AB191" s="726"/>
      <c r="AC191" s="726"/>
      <c r="AD191" s="726"/>
      <c r="AE191" s="726"/>
      <c r="AF191" s="726"/>
      <c r="AG191" s="726" t="s">
        <v>7053</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7054</v>
      </c>
      <c r="C192" s="831" t="s">
        <v>2609</v>
      </c>
      <c r="D192" s="901"/>
      <c r="E192" s="901"/>
      <c r="F192" s="896"/>
      <c r="G192" s="724" t="s">
        <v>7055</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7056</v>
      </c>
      <c r="C193" s="831" t="s">
        <v>821</v>
      </c>
      <c r="D193" s="901" t="s">
        <v>3494</v>
      </c>
      <c r="E193" s="901"/>
      <c r="F193" s="749" t="s">
        <v>2231</v>
      </c>
      <c r="G193" s="740"/>
      <c r="H193" s="901"/>
      <c r="I193" s="901" t="s">
        <v>3589</v>
      </c>
      <c r="J193" s="901"/>
      <c r="K193" s="901" t="s">
        <v>3356</v>
      </c>
      <c r="L193" s="901"/>
      <c r="M193" s="901"/>
      <c r="N193" s="901" t="s">
        <v>7057</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7058</v>
      </c>
      <c r="C194" s="831" t="s">
        <v>497</v>
      </c>
      <c r="D194" s="729" t="s">
        <v>2893</v>
      </c>
      <c r="E194" s="901"/>
      <c r="F194" s="754" t="s">
        <v>2555</v>
      </c>
      <c r="G194" s="724" t="s">
        <v>632</v>
      </c>
      <c r="H194" s="901" t="s">
        <v>784</v>
      </c>
      <c r="I194" s="901"/>
      <c r="J194" s="901" t="s">
        <v>5560</v>
      </c>
      <c r="K194" s="901"/>
      <c r="L194" s="901" t="s">
        <v>942</v>
      </c>
      <c r="M194" s="901"/>
      <c r="N194" s="901"/>
      <c r="O194" s="901" t="s">
        <v>1028</v>
      </c>
      <c r="P194" s="752"/>
      <c r="Q194" s="901" t="s">
        <v>6416</v>
      </c>
      <c r="R194" s="901"/>
      <c r="S194" s="901"/>
      <c r="T194" s="901" t="s">
        <v>497</v>
      </c>
      <c r="U194" s="725" t="s">
        <v>2762</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6664</v>
      </c>
      <c r="B195" s="902" t="s">
        <v>7059</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7060</v>
      </c>
      <c r="C196" s="831" t="s">
        <v>6996</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7061</v>
      </c>
      <c r="C197" s="831" t="s">
        <v>7062</v>
      </c>
      <c r="D197" s="901" t="s">
        <v>1551</v>
      </c>
      <c r="E197" s="901"/>
      <c r="F197" s="766" t="s">
        <v>7063</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7064</v>
      </c>
      <c r="C198" s="831" t="s">
        <v>2170</v>
      </c>
      <c r="D198" s="771" t="s">
        <v>7065</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687</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6815</v>
      </c>
      <c r="B199" s="912" t="s">
        <v>7066</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7067</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7068</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7069</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7070</v>
      </c>
      <c r="C202" s="831" t="s">
        <v>367</v>
      </c>
      <c r="D202" s="726" t="s">
        <v>5789</v>
      </c>
      <c r="E202" s="725" t="s">
        <v>367</v>
      </c>
      <c r="F202" s="905" t="s">
        <v>7071</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7072</v>
      </c>
      <c r="C203" s="831" t="s">
        <v>943</v>
      </c>
      <c r="D203" s="729" t="s">
        <v>162</v>
      </c>
      <c r="E203" s="771"/>
      <c r="F203" s="754" t="s">
        <v>598</v>
      </c>
      <c r="G203" s="724" t="s">
        <v>116</v>
      </c>
      <c r="H203" s="832" t="s">
        <v>7073</v>
      </c>
      <c r="I203" s="771"/>
      <c r="J203" s="771"/>
      <c r="K203" s="771"/>
      <c r="L203" s="832" t="s">
        <v>943</v>
      </c>
      <c r="M203" s="771" t="s">
        <v>785</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6664</v>
      </c>
      <c r="B204" s="902" t="s">
        <v>7066</v>
      </c>
      <c r="C204" s="831" t="s">
        <v>1496</v>
      </c>
      <c r="D204" s="771"/>
      <c r="E204" s="771"/>
      <c r="F204" s="896"/>
      <c r="G204" s="740"/>
      <c r="H204" s="771"/>
      <c r="I204" s="771"/>
      <c r="J204" s="771" t="s">
        <v>7074</v>
      </c>
      <c r="K204" s="771"/>
      <c r="L204" s="771"/>
      <c r="M204" s="771"/>
      <c r="N204" s="771"/>
      <c r="O204" s="771"/>
      <c r="P204" s="772"/>
      <c r="Q204" s="771"/>
      <c r="R204" s="771"/>
      <c r="S204" s="771"/>
      <c r="T204" s="771"/>
      <c r="U204" s="771"/>
      <c r="V204" s="771"/>
      <c r="W204" s="771"/>
      <c r="X204" s="832" t="s">
        <v>846</v>
      </c>
      <c r="Y204" s="771"/>
      <c r="Z204" s="771"/>
      <c r="AA204" s="771"/>
      <c r="AB204" s="771"/>
      <c r="AC204" s="832" t="s">
        <v>7075</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7076</v>
      </c>
      <c r="BH204" s="771"/>
      <c r="BI204" s="893"/>
      <c r="BJ204" s="893"/>
      <c r="BK204" s="893"/>
      <c r="BL204" s="893"/>
      <c r="BM204" s="893"/>
      <c r="BN204" s="893"/>
      <c r="BO204" s="893"/>
    </row>
    <row r="205" ht="15.75" customHeight="1">
      <c r="A205" s="894"/>
      <c r="B205" s="895" t="s">
        <v>7067</v>
      </c>
      <c r="C205" s="831" t="s">
        <v>7077</v>
      </c>
      <c r="D205" s="771" t="s">
        <v>330</v>
      </c>
      <c r="E205" s="771" t="s">
        <v>3821</v>
      </c>
      <c r="F205" s="899" t="s">
        <v>4971</v>
      </c>
      <c r="G205" s="724" t="s">
        <v>6507</v>
      </c>
      <c r="H205" s="771"/>
      <c r="I205" s="771" t="s">
        <v>7078</v>
      </c>
      <c r="J205" s="771"/>
      <c r="K205" s="771"/>
      <c r="L205" s="771" t="s">
        <v>3821</v>
      </c>
      <c r="M205" s="771"/>
      <c r="N205" s="771" t="s">
        <v>7079</v>
      </c>
      <c r="O205" s="771"/>
      <c r="P205" s="772" t="s">
        <v>3848</v>
      </c>
      <c r="Q205" s="771"/>
      <c r="R205" s="767" t="s">
        <v>7080</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7081</v>
      </c>
      <c r="BC205" s="771"/>
      <c r="BD205" s="771"/>
      <c r="BE205" s="771"/>
      <c r="BF205" s="771"/>
      <c r="BG205" s="771"/>
      <c r="BH205" s="771"/>
      <c r="BI205" s="731"/>
      <c r="BJ205" s="731"/>
      <c r="BK205" s="731"/>
      <c r="BL205" s="731"/>
      <c r="BM205" s="731"/>
      <c r="BN205" s="731"/>
      <c r="BO205" s="731"/>
    </row>
    <row r="206" ht="15.75" customHeight="1">
      <c r="A206" s="903"/>
      <c r="B206" s="904" t="s">
        <v>7069</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7070</v>
      </c>
      <c r="C207" s="831" t="s">
        <v>2896</v>
      </c>
      <c r="D207" s="729" t="s">
        <v>545</v>
      </c>
      <c r="E207" s="729" t="s">
        <v>2896</v>
      </c>
      <c r="F207" s="749" t="s">
        <v>7082</v>
      </c>
      <c r="G207" s="740"/>
      <c r="H207" s="729"/>
      <c r="I207" s="729" t="s">
        <v>1464</v>
      </c>
      <c r="J207" s="729" t="s">
        <v>7083</v>
      </c>
      <c r="K207" s="729" t="s">
        <v>4231</v>
      </c>
      <c r="L207" s="729"/>
      <c r="M207" s="729" t="s">
        <v>7084</v>
      </c>
      <c r="N207" s="729" t="s">
        <v>4488</v>
      </c>
      <c r="O207" s="729" t="s">
        <v>4828</v>
      </c>
      <c r="P207" s="725" t="s">
        <v>7085</v>
      </c>
      <c r="Q207" s="729"/>
      <c r="R207" s="725" t="s">
        <v>5867</v>
      </c>
      <c r="S207" s="729"/>
      <c r="T207" s="729"/>
      <c r="U207" s="729"/>
      <c r="V207" s="729"/>
      <c r="W207" s="729" t="s">
        <v>2528</v>
      </c>
      <c r="X207" s="729" t="s">
        <v>7086</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7072</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6649</v>
      </c>
      <c r="C209" s="831" t="s">
        <v>895</v>
      </c>
      <c r="D209" s="726" t="s">
        <v>6001</v>
      </c>
      <c r="E209" s="725" t="s">
        <v>381</v>
      </c>
      <c r="F209" s="749" t="s">
        <v>1013</v>
      </c>
      <c r="G209" s="724" t="s">
        <v>7087</v>
      </c>
      <c r="H209" s="726" t="s">
        <v>2168</v>
      </c>
      <c r="I209" s="726"/>
      <c r="J209" s="726"/>
      <c r="K209" s="726"/>
      <c r="L209" s="726" t="s">
        <v>7088</v>
      </c>
      <c r="M209" s="726"/>
      <c r="N209" s="726"/>
      <c r="O209" s="726"/>
      <c r="P209" s="727"/>
      <c r="Q209" s="726"/>
      <c r="R209" s="726"/>
      <c r="S209" s="726"/>
      <c r="T209" s="726"/>
      <c r="U209" s="726"/>
      <c r="V209" s="726"/>
      <c r="W209" s="726" t="s">
        <v>4423</v>
      </c>
      <c r="X209" s="726"/>
      <c r="Y209" s="726"/>
      <c r="Z209" s="725" t="s">
        <v>4423</v>
      </c>
      <c r="AA209" s="726"/>
      <c r="AB209" s="725" t="s">
        <v>895</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7089</v>
      </c>
      <c r="B210" s="902" t="s">
        <v>6649</v>
      </c>
      <c r="C210" s="831" t="s">
        <v>7090</v>
      </c>
      <c r="D210" s="726"/>
      <c r="E210" s="725" t="s">
        <v>7090</v>
      </c>
      <c r="F210" s="905" t="s">
        <v>7091</v>
      </c>
      <c r="G210" s="740"/>
      <c r="H210" s="726" t="s">
        <v>7092</v>
      </c>
      <c r="I210" s="726"/>
      <c r="J210" s="726" t="s">
        <v>7093</v>
      </c>
      <c r="K210" s="726"/>
      <c r="L210" s="726"/>
      <c r="M210" s="726"/>
      <c r="N210" s="726"/>
      <c r="O210" s="725" t="s">
        <v>7090</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6889</v>
      </c>
      <c r="B211" s="900" t="s">
        <v>7094</v>
      </c>
      <c r="C211" s="831" t="s">
        <v>7095</v>
      </c>
      <c r="D211" s="729" t="s">
        <v>1599</v>
      </c>
      <c r="E211" s="729" t="s">
        <v>7095</v>
      </c>
      <c r="F211" s="749" t="s">
        <v>2557</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6649</v>
      </c>
      <c r="C212" s="748" t="s">
        <v>7096</v>
      </c>
      <c r="D212" s="729" t="s">
        <v>3387</v>
      </c>
      <c r="E212" s="729" t="s">
        <v>4441</v>
      </c>
      <c r="F212" s="749" t="s">
        <v>7096</v>
      </c>
      <c r="G212" s="724" t="s">
        <v>969</v>
      </c>
      <c r="H212" s="729" t="s">
        <v>1052</v>
      </c>
      <c r="I212" s="729"/>
      <c r="J212" s="729"/>
      <c r="K212" s="729"/>
      <c r="L212" s="729" t="s">
        <v>315</v>
      </c>
      <c r="M212" s="729"/>
      <c r="N212" s="729"/>
      <c r="O212" s="729"/>
      <c r="P212" s="727"/>
      <c r="Q212" s="729"/>
      <c r="R212" s="729"/>
      <c r="S212" s="729" t="s">
        <v>7097</v>
      </c>
      <c r="T212" s="729"/>
      <c r="U212" s="729"/>
      <c r="V212" s="729"/>
      <c r="W212" s="729" t="s">
        <v>7098</v>
      </c>
      <c r="X212" s="729"/>
      <c r="Y212" s="729"/>
      <c r="Z212" s="729"/>
      <c r="AA212" s="729"/>
      <c r="AB212" s="729"/>
      <c r="AC212" s="729"/>
      <c r="AD212" s="729"/>
      <c r="AE212" s="729" t="s">
        <v>889</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7099</v>
      </c>
      <c r="C213" s="917" t="s">
        <v>5853</v>
      </c>
      <c r="D213" s="901"/>
      <c r="E213" s="901"/>
      <c r="F213" s="905" t="s">
        <v>6442</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7100</v>
      </c>
      <c r="C214" s="831" t="s">
        <v>6922</v>
      </c>
      <c r="D214" s="901"/>
      <c r="E214" s="901"/>
      <c r="F214" s="723"/>
      <c r="G214" s="740"/>
      <c r="H214" s="901" t="s">
        <v>6922</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7101</v>
      </c>
      <c r="C215" s="831" t="s">
        <v>1874</v>
      </c>
      <c r="D215" s="901" t="s">
        <v>4152</v>
      </c>
      <c r="E215" s="901"/>
      <c r="F215" s="905" t="s">
        <v>890</v>
      </c>
      <c r="G215" s="724" t="s">
        <v>3117</v>
      </c>
      <c r="H215" s="901"/>
      <c r="I215" s="901"/>
      <c r="J215" s="901"/>
      <c r="K215" s="901" t="s">
        <v>1125</v>
      </c>
      <c r="L215" s="901"/>
      <c r="M215" s="901"/>
      <c r="N215" s="901" t="s">
        <v>7102</v>
      </c>
      <c r="O215" s="832" t="s">
        <v>7103</v>
      </c>
      <c r="P215" s="752" t="s">
        <v>7104</v>
      </c>
      <c r="Q215" s="901"/>
      <c r="R215" s="901" t="s">
        <v>890</v>
      </c>
      <c r="S215" s="901" t="s">
        <v>7104</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7105</v>
      </c>
      <c r="C216" s="831" t="s">
        <v>395</v>
      </c>
      <c r="D216" s="729" t="s">
        <v>1528</v>
      </c>
      <c r="E216" s="901"/>
      <c r="F216" s="735" t="s">
        <v>2559</v>
      </c>
      <c r="G216" s="724" t="s">
        <v>167</v>
      </c>
      <c r="H216" s="901"/>
      <c r="I216" s="901"/>
      <c r="J216" s="901"/>
      <c r="K216" s="901"/>
      <c r="L216" s="832" t="s">
        <v>948</v>
      </c>
      <c r="M216" s="832" t="s">
        <v>789</v>
      </c>
      <c r="N216" s="901"/>
      <c r="O216" s="832" t="s">
        <v>1928</v>
      </c>
      <c r="P216" s="752" t="s">
        <v>1468</v>
      </c>
      <c r="Q216" s="901"/>
      <c r="R216" s="901" t="s">
        <v>2784</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7106</v>
      </c>
      <c r="C217" s="831" t="s">
        <v>1469</v>
      </c>
      <c r="D217" s="775" t="s">
        <v>1601</v>
      </c>
      <c r="E217" s="901"/>
      <c r="F217" s="896"/>
      <c r="G217" s="740"/>
      <c r="H217" s="901"/>
      <c r="I217" s="901" t="s">
        <v>1469</v>
      </c>
      <c r="J217" s="901" t="s">
        <v>7107</v>
      </c>
      <c r="K217" s="901" t="s">
        <v>7108</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7109</v>
      </c>
      <c r="BI217" s="893"/>
      <c r="BJ217" s="893"/>
      <c r="BK217" s="893"/>
      <c r="BL217" s="893"/>
      <c r="BM217" s="893"/>
      <c r="BN217" s="893"/>
      <c r="BO217" s="893"/>
    </row>
    <row r="218" ht="15.75" customHeight="1">
      <c r="A218" s="891" t="s">
        <v>7007</v>
      </c>
      <c r="B218" s="900" t="s">
        <v>6649</v>
      </c>
      <c r="C218" s="831" t="str">
        <f>HYPERLINK("https://www.youtube.com/watch?v=_HQgQjbTLjM","1:11.32")</f>
        <v>1:11.32</v>
      </c>
      <c r="D218" s="734" t="s">
        <v>1602</v>
      </c>
      <c r="E218" s="901"/>
      <c r="F218" s="896"/>
      <c r="G218" s="724" t="s">
        <v>1311</v>
      </c>
      <c r="H218" s="901"/>
      <c r="I218" s="901" t="s">
        <v>1479</v>
      </c>
      <c r="J218" s="901" t="s">
        <v>7110</v>
      </c>
      <c r="K218" s="901" t="s">
        <v>3654</v>
      </c>
      <c r="L218" s="901" t="s">
        <v>950</v>
      </c>
      <c r="M218" s="901" t="s">
        <v>869</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6649</v>
      </c>
      <c r="C219" s="738" t="s">
        <v>7111</v>
      </c>
      <c r="D219" s="725" t="s">
        <v>7111</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7112</v>
      </c>
      <c r="B220" s="902" t="s">
        <v>7113</v>
      </c>
      <c r="C220" s="831" t="s">
        <v>7114</v>
      </c>
      <c r="D220" s="901"/>
      <c r="E220" s="901"/>
      <c r="F220" s="896"/>
      <c r="G220" s="740"/>
      <c r="H220" s="901"/>
      <c r="I220" s="901"/>
      <c r="J220" s="901" t="s">
        <v>7114</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7115</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6867</v>
      </c>
      <c r="B222" s="900" t="s">
        <v>6649</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6649</v>
      </c>
      <c r="C223" s="738" t="s">
        <v>7116</v>
      </c>
      <c r="D223" s="725" t="s">
        <v>7116</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7117</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7118</v>
      </c>
      <c r="C224" s="831" t="s">
        <v>1471</v>
      </c>
      <c r="D224" s="734" t="s">
        <v>7119</v>
      </c>
      <c r="E224" s="901"/>
      <c r="F224" s="723"/>
      <c r="G224" s="724" t="s">
        <v>1312</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7120</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6648</v>
      </c>
      <c r="B226" s="927" t="s">
        <v>6649</v>
      </c>
      <c r="C226" s="831" t="s">
        <v>872</v>
      </c>
      <c r="D226" s="729" t="s">
        <v>1604</v>
      </c>
      <c r="E226" s="838"/>
      <c r="F226" s="754" t="s">
        <v>2560</v>
      </c>
      <c r="G226" s="724" t="s">
        <v>1313</v>
      </c>
      <c r="H226" s="832" t="s">
        <v>1102</v>
      </c>
      <c r="I226" s="838" t="s">
        <v>7121</v>
      </c>
      <c r="J226" s="832" t="s">
        <v>4563</v>
      </c>
      <c r="K226" s="832" t="s">
        <v>1734</v>
      </c>
      <c r="L226" s="832" t="s">
        <v>952</v>
      </c>
      <c r="M226" s="832" t="s">
        <v>259</v>
      </c>
      <c r="N226" s="838" t="s">
        <v>4416</v>
      </c>
      <c r="O226" s="832" t="s">
        <v>1174</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6872</v>
      </c>
      <c r="B227" s="927" t="s">
        <v>7122</v>
      </c>
      <c r="C227" s="831" t="s">
        <v>1619</v>
      </c>
      <c r="D227" s="729" t="s">
        <v>1605</v>
      </c>
      <c r="E227" s="832" t="s">
        <v>1619</v>
      </c>
      <c r="F227" s="735" t="s">
        <v>2561</v>
      </c>
      <c r="G227" s="724" t="s">
        <v>2788</v>
      </c>
      <c r="H227" s="832" t="s">
        <v>2217</v>
      </c>
      <c r="I227" s="832" t="s">
        <v>1605</v>
      </c>
      <c r="J227" s="832" t="s">
        <v>6950</v>
      </c>
      <c r="K227" s="832" t="s">
        <v>2217</v>
      </c>
      <c r="L227" s="832" t="s">
        <v>953</v>
      </c>
      <c r="M227" s="832" t="s">
        <v>1242</v>
      </c>
      <c r="N227" s="832" t="s">
        <v>377</v>
      </c>
      <c r="O227" s="832" t="s">
        <v>2897</v>
      </c>
      <c r="P227" s="833" t="s">
        <v>2355</v>
      </c>
      <c r="Q227" s="832" t="s">
        <v>847</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6677</v>
      </c>
      <c r="B228" s="927" t="s">
        <v>6649</v>
      </c>
      <c r="C228" s="831" t="str">
        <f>HYPERLINK("https://www.youtube.com/watch?v=aWzlUqH0LaM","41.87")</f>
        <v>41.87</v>
      </c>
      <c r="D228" s="842"/>
      <c r="E228" s="838"/>
      <c r="F228" s="723"/>
      <c r="G228" s="724" t="s">
        <v>7123</v>
      </c>
      <c r="H228" s="832" t="s">
        <v>312</v>
      </c>
      <c r="I228" s="832" t="s">
        <v>1641</v>
      </c>
      <c r="J228" s="838"/>
      <c r="K228" s="832" t="s">
        <v>6560</v>
      </c>
      <c r="L228" s="832" t="s">
        <v>105</v>
      </c>
      <c r="M228" s="832" t="str">
        <f>HYPERLINK("https://www.youtube.com/watch?v=aWzlUqH0LaM","41.87")</f>
        <v>41.87</v>
      </c>
      <c r="N228" s="838" t="s">
        <v>2198</v>
      </c>
      <c r="O228" s="832" t="s">
        <v>1539</v>
      </c>
      <c r="P228" s="840" t="s">
        <v>3287</v>
      </c>
      <c r="Q228" s="838"/>
      <c r="R228" s="838"/>
      <c r="S228" s="838"/>
      <c r="T228" s="838"/>
      <c r="U228" s="838"/>
      <c r="V228" s="838" t="s">
        <v>7124</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6815</v>
      </c>
      <c r="B229" s="927" t="s">
        <v>7125</v>
      </c>
      <c r="C229" s="720" t="s">
        <v>7126</v>
      </c>
      <c r="D229" s="838" t="s">
        <v>7127</v>
      </c>
      <c r="E229" s="838"/>
      <c r="F229" s="929"/>
      <c r="G229" s="724" t="s">
        <v>7128</v>
      </c>
      <c r="H229" s="838"/>
      <c r="I229" s="838"/>
      <c r="J229" s="838"/>
      <c r="K229" s="838"/>
      <c r="L229" s="838"/>
      <c r="M229" s="838"/>
      <c r="N229" s="838"/>
      <c r="O229" s="838"/>
      <c r="P229" s="840"/>
      <c r="Q229" s="838"/>
      <c r="R229" s="838"/>
      <c r="S229" s="838"/>
      <c r="T229" s="838"/>
      <c r="U229" s="763" t="s">
        <v>7126</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7129</v>
      </c>
      <c r="C230" s="831" t="s">
        <v>509</v>
      </c>
      <c r="D230" s="729" t="s">
        <v>7130</v>
      </c>
      <c r="E230" s="838"/>
      <c r="F230" s="766" t="s">
        <v>7131</v>
      </c>
      <c r="G230" s="724" t="s">
        <v>1316</v>
      </c>
      <c r="H230" s="838" t="s">
        <v>7132</v>
      </c>
      <c r="I230" s="838"/>
      <c r="J230" s="832" t="s">
        <v>7133</v>
      </c>
      <c r="K230" s="838"/>
      <c r="L230" s="838" t="s">
        <v>954</v>
      </c>
      <c r="M230" s="832" t="s">
        <v>793</v>
      </c>
      <c r="N230" s="838"/>
      <c r="O230" s="838"/>
      <c r="P230" s="840" t="s">
        <v>4186</v>
      </c>
      <c r="Q230" s="838"/>
      <c r="R230" s="838"/>
      <c r="S230" s="838"/>
      <c r="T230" s="832" t="s">
        <v>509</v>
      </c>
      <c r="U230" s="838"/>
      <c r="V230" s="838" t="s">
        <v>6310</v>
      </c>
      <c r="W230" s="838"/>
      <c r="X230" s="838"/>
      <c r="Y230" s="838"/>
      <c r="Z230" s="838"/>
      <c r="AA230" s="838"/>
      <c r="AB230" s="838" t="s">
        <v>7134</v>
      </c>
      <c r="AC230" s="838" t="s">
        <v>2738</v>
      </c>
      <c r="AD230" s="838"/>
      <c r="AE230" s="838"/>
      <c r="AF230" s="838"/>
      <c r="AG230" s="838"/>
      <c r="AH230" s="838"/>
      <c r="AI230" s="838"/>
      <c r="AJ230" s="834"/>
      <c r="AK230" s="838"/>
      <c r="AL230" s="838"/>
      <c r="AM230" s="838"/>
      <c r="AN230" s="838"/>
      <c r="AO230" s="838"/>
      <c r="AP230" s="834"/>
      <c r="AQ230" s="882" t="s">
        <v>7135</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7136</v>
      </c>
      <c r="C231" s="831" t="s">
        <v>7137</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7137</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7138</v>
      </c>
      <c r="C232" s="831" t="s">
        <v>3119</v>
      </c>
      <c r="D232" s="838"/>
      <c r="E232" s="838"/>
      <c r="F232" s="754" t="s">
        <v>2563</v>
      </c>
      <c r="G232" s="740"/>
      <c r="H232" s="832" t="s">
        <v>7139</v>
      </c>
      <c r="I232" s="838"/>
      <c r="J232" s="838"/>
      <c r="K232" s="838"/>
      <c r="L232" s="838"/>
      <c r="M232" s="838"/>
      <c r="N232" s="838"/>
      <c r="O232" s="838"/>
      <c r="P232" s="840"/>
      <c r="Q232" s="838"/>
      <c r="R232" s="838"/>
      <c r="S232" s="838"/>
      <c r="T232" s="838"/>
      <c r="U232" s="838"/>
      <c r="V232" s="838"/>
      <c r="W232" s="838"/>
      <c r="X232" s="838"/>
      <c r="Y232" s="838"/>
      <c r="Z232" s="838"/>
      <c r="AA232" s="838"/>
      <c r="AB232" s="832" t="s">
        <v>7140</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6664</v>
      </c>
      <c r="B233" s="936" t="s">
        <v>7125</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7129</v>
      </c>
      <c r="C234" s="939" t="s">
        <v>7141</v>
      </c>
      <c r="D234" s="940" t="s">
        <v>7141</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7136</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7138</v>
      </c>
      <c r="C236" s="720" t="s">
        <v>765</v>
      </c>
      <c r="D236" s="937"/>
      <c r="E236" s="937"/>
      <c r="F236" s="749" t="s">
        <v>2564</v>
      </c>
      <c r="G236" s="740"/>
      <c r="H236" s="720" t="s">
        <v>765</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7142</v>
      </c>
      <c r="C237" s="831" t="s">
        <v>7143</v>
      </c>
      <c r="D237" s="941">
        <v>13.23</v>
      </c>
      <c r="E237" s="937"/>
      <c r="F237" s="942" t="s">
        <v>7144</v>
      </c>
      <c r="G237" s="724" t="s">
        <v>7145</v>
      </c>
      <c r="H237" s="937"/>
      <c r="I237" s="937"/>
      <c r="J237" s="943" t="s">
        <v>3583</v>
      </c>
      <c r="K237" s="937"/>
      <c r="L237" s="937"/>
      <c r="M237" s="937"/>
      <c r="N237" s="937"/>
      <c r="O237" s="937"/>
      <c r="P237" s="938"/>
      <c r="Q237" s="937"/>
      <c r="R237" s="943" t="s">
        <v>6986</v>
      </c>
      <c r="S237" s="937"/>
      <c r="T237" s="937"/>
      <c r="U237" s="937"/>
      <c r="V237" s="937"/>
      <c r="W237" s="943" t="s">
        <v>2602</v>
      </c>
      <c r="X237" s="937"/>
      <c r="Y237" s="937"/>
      <c r="Z237" s="937"/>
      <c r="AA237" s="937"/>
      <c r="AB237" s="943" t="s">
        <v>7143</v>
      </c>
      <c r="AC237" s="937"/>
      <c r="AD237" s="937"/>
      <c r="AE237" s="937"/>
      <c r="AF237" s="937"/>
      <c r="AG237" s="937"/>
      <c r="AH237" s="937"/>
      <c r="AI237" s="937"/>
      <c r="AJ237" s="834"/>
      <c r="AK237" s="937"/>
      <c r="AL237" s="937" t="s">
        <v>7000</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7146</v>
      </c>
      <c r="C238" s="831" t="s">
        <v>489</v>
      </c>
      <c r="D238" s="832"/>
      <c r="E238" s="832" t="s">
        <v>800</v>
      </c>
      <c r="F238" s="749" t="s">
        <v>1476</v>
      </c>
      <c r="G238" s="724" t="s">
        <v>7147</v>
      </c>
      <c r="H238" s="832" t="s">
        <v>489</v>
      </c>
      <c r="I238" s="832"/>
      <c r="J238" s="832"/>
      <c r="K238" s="832"/>
      <c r="L238" s="832" t="s">
        <v>7143</v>
      </c>
      <c r="M238" s="832"/>
      <c r="N238" s="832"/>
      <c r="O238" s="832"/>
      <c r="P238" s="833"/>
      <c r="Q238" s="832"/>
      <c r="R238" s="832"/>
      <c r="S238" s="832" t="s">
        <v>7148</v>
      </c>
      <c r="T238" s="832"/>
      <c r="U238" s="832"/>
      <c r="V238" s="832"/>
      <c r="W238" s="832"/>
      <c r="X238" s="832"/>
      <c r="Y238" s="832" t="s">
        <v>6986</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6889</v>
      </c>
      <c r="B239" s="927" t="s">
        <v>6649</v>
      </c>
      <c r="C239" s="944" t="s">
        <v>964</v>
      </c>
      <c r="D239" s="838"/>
      <c r="E239" s="838"/>
      <c r="F239" s="942" t="s">
        <v>964</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7149</v>
      </c>
      <c r="B240" s="947" t="s">
        <v>6649</v>
      </c>
      <c r="C240" s="748" t="s">
        <v>7150</v>
      </c>
      <c r="D240" s="724" t="s">
        <v>7151</v>
      </c>
      <c r="E240" s="838"/>
      <c r="F240" s="749" t="s">
        <v>7152</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6721</v>
      </c>
      <c r="B241" s="927" t="s">
        <v>7153</v>
      </c>
      <c r="C241" s="831" t="s">
        <v>7154</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7155</v>
      </c>
      <c r="C242" s="877" t="s">
        <v>2214</v>
      </c>
      <c r="D242" s="729" t="s">
        <v>1935</v>
      </c>
      <c r="E242" s="838"/>
      <c r="F242" s="754" t="s">
        <v>2214</v>
      </c>
      <c r="G242" s="724" t="s">
        <v>1317</v>
      </c>
      <c r="H242" s="838"/>
      <c r="I242" s="838" t="s">
        <v>4373</v>
      </c>
      <c r="J242" s="832" t="s">
        <v>6152</v>
      </c>
      <c r="K242" s="832" t="s">
        <v>3539</v>
      </c>
      <c r="L242" s="838"/>
      <c r="M242" s="838"/>
      <c r="N242" s="838" t="s">
        <v>4356</v>
      </c>
      <c r="O242" s="832" t="s">
        <v>1317</v>
      </c>
      <c r="P242" s="840" t="s">
        <v>2146</v>
      </c>
      <c r="Q242" s="838" t="s">
        <v>1935</v>
      </c>
      <c r="R242" s="724" t="s">
        <v>1677</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7156</v>
      </c>
      <c r="C243" s="748" t="s">
        <v>2565</v>
      </c>
      <c r="D243" s="832"/>
      <c r="E243" s="832" t="s">
        <v>404</v>
      </c>
      <c r="F243" s="735" t="s">
        <v>2565</v>
      </c>
      <c r="G243" s="740"/>
      <c r="H243" s="838" t="s">
        <v>6786</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7157</v>
      </c>
      <c r="BB243" s="731"/>
      <c r="BC243" s="832"/>
      <c r="BD243" s="832"/>
      <c r="BE243" s="832"/>
      <c r="BF243" s="832"/>
      <c r="BG243" s="832"/>
      <c r="BH243" s="832"/>
      <c r="BI243" s="731"/>
      <c r="BJ243" s="731"/>
      <c r="BK243" s="731"/>
      <c r="BL243" s="731"/>
      <c r="BM243" s="731"/>
      <c r="BN243" s="731"/>
      <c r="BO243" s="731"/>
    </row>
    <row r="244" ht="15.75" customHeight="1">
      <c r="A244" s="935" t="s">
        <v>6664</v>
      </c>
      <c r="B244" s="949" t="s">
        <v>7158</v>
      </c>
      <c r="C244" s="831" t="s">
        <v>2950</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7159</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7160</v>
      </c>
      <c r="C246" s="831" t="s">
        <v>5357</v>
      </c>
      <c r="D246" s="838" t="s">
        <v>1627</v>
      </c>
      <c r="E246" s="838"/>
      <c r="H246" s="838"/>
      <c r="I246" s="838" t="s">
        <v>2413</v>
      </c>
      <c r="J246" s="838"/>
      <c r="L246" s="838"/>
      <c r="M246" s="838"/>
      <c r="N246" s="838" t="s">
        <v>3224</v>
      </c>
      <c r="O246" s="838"/>
      <c r="P246" s="840" t="s">
        <v>7161</v>
      </c>
      <c r="Q246" s="838"/>
      <c r="R246" s="838" t="s">
        <v>5357</v>
      </c>
      <c r="S246" s="838"/>
      <c r="T246" s="838"/>
      <c r="U246" s="724" t="s">
        <v>3031</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7162</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7163</v>
      </c>
      <c r="C248" s="831" t="s">
        <v>7164</v>
      </c>
      <c r="D248" s="729" t="s">
        <v>1610</v>
      </c>
      <c r="E248" s="838"/>
      <c r="F248" s="735" t="s">
        <v>1077</v>
      </c>
      <c r="G248" s="740"/>
      <c r="H248" s="832" t="s">
        <v>2519</v>
      </c>
      <c r="I248" s="838"/>
      <c r="J248" s="832" t="s">
        <v>1077</v>
      </c>
      <c r="K248" s="838"/>
      <c r="L248" s="832" t="s">
        <v>955</v>
      </c>
      <c r="M248" s="832" t="s">
        <v>245</v>
      </c>
      <c r="N248" s="838"/>
      <c r="O248" s="832" t="s">
        <v>3120</v>
      </c>
      <c r="P248" s="840"/>
      <c r="Q248" s="838" t="s">
        <v>7165</v>
      </c>
      <c r="R248" s="724" t="s">
        <v>2147</v>
      </c>
      <c r="S248" s="838"/>
      <c r="T248" s="838"/>
      <c r="U248" s="838"/>
      <c r="V248" s="838"/>
      <c r="W248" s="838"/>
      <c r="X248" s="838"/>
      <c r="Y248" s="838"/>
      <c r="Z248" s="838"/>
      <c r="AA248" s="838"/>
      <c r="AB248" s="838"/>
      <c r="AC248" s="838"/>
      <c r="AD248" s="838"/>
      <c r="AE248" s="838"/>
      <c r="AF248" s="838"/>
      <c r="AG248" s="838"/>
      <c r="AH248" s="724" t="s">
        <v>7164</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6671</v>
      </c>
      <c r="B249" s="949" t="s">
        <v>7166</v>
      </c>
      <c r="C249" s="831" t="s">
        <v>5000</v>
      </c>
      <c r="D249" s="952"/>
      <c r="E249" s="832" t="s">
        <v>5774</v>
      </c>
      <c r="F249" s="723"/>
      <c r="G249" s="740"/>
      <c r="H249" s="952"/>
      <c r="I249" s="952"/>
      <c r="J249" s="952"/>
      <c r="K249" s="952"/>
      <c r="L249" s="952"/>
      <c r="M249" s="952"/>
      <c r="N249" s="952"/>
      <c r="O249" s="952"/>
      <c r="P249" s="833"/>
      <c r="Q249" s="952"/>
      <c r="R249" s="952"/>
      <c r="S249" s="952"/>
      <c r="T249" s="952"/>
      <c r="U249" s="952"/>
      <c r="V249" s="952"/>
      <c r="W249" s="952"/>
      <c r="X249" s="832" t="s">
        <v>826</v>
      </c>
      <c r="Y249" s="952"/>
      <c r="Z249" s="952"/>
      <c r="AA249" s="952"/>
      <c r="AB249" s="952"/>
      <c r="AC249" s="952" t="s">
        <v>7167</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7168</v>
      </c>
      <c r="C250" s="831" t="s">
        <v>1345</v>
      </c>
      <c r="D250" s="832" t="s">
        <v>1307</v>
      </c>
      <c r="E250" s="832" t="s">
        <v>1345</v>
      </c>
      <c r="F250" s="929"/>
      <c r="G250" s="724" t="s">
        <v>3239</v>
      </c>
      <c r="H250" s="724" t="s">
        <v>5464</v>
      </c>
      <c r="I250" s="832"/>
      <c r="J250" s="832" t="s">
        <v>1796</v>
      </c>
      <c r="K250" s="832" t="s">
        <v>736</v>
      </c>
      <c r="L250" s="832" t="s">
        <v>532</v>
      </c>
      <c r="M250" s="832"/>
      <c r="N250" s="832"/>
      <c r="O250" s="832"/>
      <c r="P250" s="833"/>
      <c r="Q250" s="832"/>
      <c r="R250" s="724" t="s">
        <v>812</v>
      </c>
      <c r="S250" s="832" t="s">
        <v>1343</v>
      </c>
      <c r="T250" s="832"/>
      <c r="U250" s="832"/>
      <c r="V250" s="832"/>
      <c r="W250" s="832" t="s">
        <v>4441</v>
      </c>
      <c r="X250" s="832"/>
      <c r="Y250" s="832"/>
      <c r="Z250" s="832"/>
      <c r="AA250" s="832"/>
      <c r="AB250" s="832"/>
      <c r="AC250" s="832"/>
      <c r="AD250" s="832"/>
      <c r="AE250" s="832"/>
      <c r="AF250" s="832" t="s">
        <v>7169</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7170</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7171</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6759</v>
      </c>
      <c r="B252" s="927" t="s">
        <v>7101</v>
      </c>
      <c r="C252" s="831" t="s">
        <v>5456</v>
      </c>
      <c r="D252" s="832" t="s">
        <v>1415</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6860</v>
      </c>
      <c r="C253" s="831" t="s">
        <v>3064</v>
      </c>
      <c r="D253" s="832"/>
      <c r="E253" s="832" t="s">
        <v>4248</v>
      </c>
      <c r="F253" s="942" t="s">
        <v>7172</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3029</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7173</v>
      </c>
      <c r="C254" s="831" t="s">
        <v>4091</v>
      </c>
      <c r="D254" s="832"/>
      <c r="E254" s="832" t="s">
        <v>920</v>
      </c>
      <c r="F254" s="723"/>
      <c r="G254" s="740"/>
      <c r="H254" s="832" t="s">
        <v>4091</v>
      </c>
      <c r="I254" s="832"/>
      <c r="J254" s="832"/>
      <c r="K254" s="832"/>
      <c r="L254" s="832"/>
      <c r="M254" s="832"/>
      <c r="N254" s="832"/>
      <c r="O254" s="832"/>
      <c r="P254" s="833"/>
      <c r="Q254" s="832"/>
      <c r="R254" s="832"/>
      <c r="S254" s="832"/>
      <c r="T254" s="832" t="s">
        <v>920</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7174</v>
      </c>
      <c r="C255" s="831" t="s">
        <v>1041</v>
      </c>
      <c r="D255" s="729" t="s">
        <v>1611</v>
      </c>
      <c r="E255" s="724" t="s">
        <v>406</v>
      </c>
      <c r="F255" s="754" t="s">
        <v>1781</v>
      </c>
      <c r="G255" s="724" t="s">
        <v>1247</v>
      </c>
      <c r="H255" s="724" t="s">
        <v>1041</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7175</v>
      </c>
      <c r="C256" s="720" t="s">
        <v>5029</v>
      </c>
      <c r="D256" s="838"/>
      <c r="E256" s="838"/>
      <c r="F256" s="749" t="s">
        <v>2004</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7176</v>
      </c>
      <c r="B257" s="927" t="s">
        <v>6649</v>
      </c>
      <c r="C257" s="831" t="s">
        <v>956</v>
      </c>
      <c r="D257" s="734" t="s">
        <v>1612</v>
      </c>
      <c r="E257" s="838"/>
      <c r="F257" s="929"/>
      <c r="G257" s="724" t="s">
        <v>1319</v>
      </c>
      <c r="H257" s="838"/>
      <c r="I257" s="838"/>
      <c r="J257" s="838"/>
      <c r="K257" s="838"/>
      <c r="L257" s="832" t="s">
        <v>956</v>
      </c>
      <c r="M257" s="832" t="s">
        <v>797</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7177</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6770</v>
      </c>
      <c r="B258" s="927" t="s">
        <v>6766</v>
      </c>
      <c r="C258" s="831" t="s">
        <v>7178</v>
      </c>
      <c r="D258" s="734" t="s">
        <v>1614</v>
      </c>
      <c r="E258" s="838"/>
      <c r="F258" s="929"/>
      <c r="G258" s="740"/>
      <c r="H258" s="838"/>
      <c r="I258" s="838" t="s">
        <v>1859</v>
      </c>
      <c r="J258" s="832" t="s">
        <v>1470</v>
      </c>
      <c r="K258" s="838" t="s">
        <v>5660</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6768</v>
      </c>
      <c r="B259" s="954" t="s">
        <v>6766</v>
      </c>
      <c r="C259" s="774" t="s">
        <v>7179</v>
      </c>
      <c r="D259" s="775" t="s">
        <v>7179</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7180</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7181</v>
      </c>
      <c r="C261" s="831" t="s">
        <v>298</v>
      </c>
      <c r="D261" s="734" t="s">
        <v>1613</v>
      </c>
      <c r="E261" s="724" t="s">
        <v>408</v>
      </c>
      <c r="F261" s="929"/>
      <c r="G261" s="724" t="s">
        <v>1320</v>
      </c>
      <c r="H261" s="724" t="s">
        <v>798</v>
      </c>
      <c r="I261" s="740"/>
      <c r="J261" s="724" t="s">
        <v>355</v>
      </c>
      <c r="K261" s="740"/>
      <c r="L261" s="740" t="s">
        <v>3426</v>
      </c>
      <c r="M261" s="724" t="s">
        <v>798</v>
      </c>
      <c r="N261" s="740"/>
      <c r="O261" s="724" t="s">
        <v>1042</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6649</v>
      </c>
      <c r="C262" s="831" t="s">
        <v>517</v>
      </c>
      <c r="D262" s="734" t="s">
        <v>1615</v>
      </c>
      <c r="E262" s="838"/>
      <c r="F262" s="723"/>
      <c r="G262" s="724" t="s">
        <v>1322</v>
      </c>
      <c r="H262" s="838"/>
      <c r="I262" s="838"/>
      <c r="J262" s="838"/>
      <c r="K262" s="838"/>
      <c r="L262" s="832" t="s">
        <v>958</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7182</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6648</v>
      </c>
      <c r="B264" s="962" t="s">
        <v>7183</v>
      </c>
      <c r="C264" s="831" t="s">
        <v>1759</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7184</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7185</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7186</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7187</v>
      </c>
      <c r="C266" s="831" t="s">
        <v>430</v>
      </c>
      <c r="D266" s="838" t="s">
        <v>4543</v>
      </c>
      <c r="E266" s="838"/>
      <c r="F266" s="723"/>
      <c r="G266" s="740"/>
      <c r="H266" s="838"/>
      <c r="I266" s="838" t="s">
        <v>7188</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7189</v>
      </c>
      <c r="C267" s="831" t="s">
        <v>3939</v>
      </c>
      <c r="D267" s="838"/>
      <c r="E267" s="838"/>
      <c r="F267" s="969"/>
      <c r="G267" s="724" t="s">
        <v>6437</v>
      </c>
      <c r="H267" s="838"/>
      <c r="I267" s="832" t="s">
        <v>7190</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7191</v>
      </c>
      <c r="C268" s="748" t="s">
        <v>2890</v>
      </c>
      <c r="D268" s="832"/>
      <c r="E268" s="832" t="s">
        <v>1539</v>
      </c>
      <c r="F268" s="749" t="s">
        <v>2890</v>
      </c>
      <c r="G268" s="740"/>
      <c r="H268" s="832" t="s">
        <v>2006</v>
      </c>
      <c r="I268" s="832"/>
      <c r="J268" s="832" t="s">
        <v>2205</v>
      </c>
      <c r="K268" s="832"/>
      <c r="L268" s="833" t="s">
        <v>7192</v>
      </c>
      <c r="M268" s="832"/>
      <c r="N268" s="832"/>
      <c r="O268" s="832" t="s">
        <v>1399</v>
      </c>
      <c r="P268" s="833" t="s">
        <v>7193</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7194</v>
      </c>
      <c r="C269" s="831" t="s">
        <v>2205</v>
      </c>
      <c r="D269" s="832"/>
      <c r="E269" s="832" t="s">
        <v>2205</v>
      </c>
      <c r="F269" s="966" t="s">
        <v>7195</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7196</v>
      </c>
      <c r="C270" s="970" t="s">
        <v>5651</v>
      </c>
      <c r="D270" s="832"/>
      <c r="E270" s="832" t="s">
        <v>801</v>
      </c>
      <c r="F270" s="749" t="s">
        <v>1399</v>
      </c>
      <c r="G270" s="740"/>
      <c r="H270" s="833" t="s">
        <v>5514</v>
      </c>
      <c r="I270" s="832"/>
      <c r="J270" s="832"/>
      <c r="K270" s="832"/>
      <c r="L270" s="832"/>
      <c r="M270" s="832"/>
      <c r="N270" s="832"/>
      <c r="O270" s="832" t="s">
        <v>5817</v>
      </c>
      <c r="P270" s="833"/>
      <c r="Q270" s="832"/>
      <c r="R270" s="832"/>
      <c r="S270" s="832"/>
      <c r="T270" s="832"/>
      <c r="U270" s="832"/>
      <c r="V270" s="832"/>
      <c r="W270" s="833" t="s">
        <v>7197</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5651</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7198</v>
      </c>
      <c r="C271" s="748" t="s">
        <v>2566</v>
      </c>
      <c r="D271" s="832" t="s">
        <v>848</v>
      </c>
      <c r="E271" s="832" t="s">
        <v>7199</v>
      </c>
      <c r="F271" s="749" t="s">
        <v>2566</v>
      </c>
      <c r="G271" s="724" t="s">
        <v>2736</v>
      </c>
      <c r="H271" s="832"/>
      <c r="I271" s="832"/>
      <c r="J271" s="832"/>
      <c r="K271" s="832"/>
      <c r="L271" s="832"/>
      <c r="M271" s="832"/>
      <c r="N271" s="832"/>
      <c r="O271" s="832" t="s">
        <v>7200</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6650</v>
      </c>
      <c r="B272" s="962" t="s">
        <v>6649</v>
      </c>
      <c r="C272" s="748" t="s">
        <v>7201</v>
      </c>
      <c r="D272" s="838"/>
      <c r="E272" s="838"/>
      <c r="F272" s="749" t="s">
        <v>7201</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6808</v>
      </c>
      <c r="B273" s="962" t="s">
        <v>7202</v>
      </c>
      <c r="C273" s="831" t="s">
        <v>1627</v>
      </c>
      <c r="D273" s="838" t="s">
        <v>1760</v>
      </c>
      <c r="E273" s="838"/>
      <c r="F273" s="969"/>
      <c r="G273" s="724" t="s">
        <v>4333</v>
      </c>
      <c r="H273" s="838"/>
      <c r="I273" s="832" t="str">
        <f>HYPERLINK("https://youtu.be/_GZXmZdCc5s","31.80")</f>
        <v>31.80</v>
      </c>
      <c r="J273" s="838"/>
      <c r="K273" s="832" t="s">
        <v>7203</v>
      </c>
      <c r="L273" s="838"/>
      <c r="M273" s="832" t="s">
        <v>1627</v>
      </c>
      <c r="N273" s="832" t="str">
        <f>HYPERLINK("https://youtu.be/kUsh0nBBuMY","32.45")</f>
        <v>32.45</v>
      </c>
      <c r="O273" s="838"/>
      <c r="P273" s="840" t="s">
        <v>2259</v>
      </c>
      <c r="Q273" s="838"/>
      <c r="R273" s="838" t="s">
        <v>1086</v>
      </c>
      <c r="S273" s="838"/>
      <c r="T273" s="838"/>
      <c r="U273" s="879" t="s">
        <v>3911</v>
      </c>
      <c r="V273" s="838" t="s">
        <v>819</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1118</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7204</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7205</v>
      </c>
      <c r="C275" s="831" t="s">
        <v>5004</v>
      </c>
      <c r="D275" s="838" t="s">
        <v>3426</v>
      </c>
      <c r="E275" s="838"/>
      <c r="F275" s="969"/>
      <c r="G275" s="740"/>
      <c r="H275" s="838"/>
      <c r="I275" s="838"/>
      <c r="J275" s="838"/>
      <c r="K275" s="724" t="s">
        <v>972</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7206</v>
      </c>
      <c r="C276" s="831" t="s">
        <v>3640</v>
      </c>
      <c r="D276" s="832" t="s">
        <v>245</v>
      </c>
      <c r="E276" s="832" t="s">
        <v>3640</v>
      </c>
      <c r="F276" s="754" t="s">
        <v>2522</v>
      </c>
      <c r="G276" s="724" t="s">
        <v>1325</v>
      </c>
      <c r="H276" s="832" t="s">
        <v>1541</v>
      </c>
      <c r="I276" s="832" t="s">
        <v>2189</v>
      </c>
      <c r="J276" s="832" t="s">
        <v>2147</v>
      </c>
      <c r="K276" s="832" t="s">
        <v>5245</v>
      </c>
      <c r="L276" s="832" t="s">
        <v>914</v>
      </c>
      <c r="M276" s="832" t="s">
        <v>280</v>
      </c>
      <c r="N276" s="832" t="s">
        <v>5792</v>
      </c>
      <c r="O276" s="832" t="s">
        <v>717</v>
      </c>
      <c r="P276" s="833" t="s">
        <v>427</v>
      </c>
      <c r="Q276" s="832" t="s">
        <v>4081</v>
      </c>
      <c r="R276" s="832"/>
      <c r="S276" s="832"/>
      <c r="T276" s="832"/>
      <c r="U276" s="972" t="s">
        <v>1573</v>
      </c>
      <c r="V276" s="832" t="s">
        <v>7207</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6698</v>
      </c>
      <c r="B277" s="962" t="s">
        <v>7208</v>
      </c>
      <c r="C277" s="831" t="s">
        <v>7209</v>
      </c>
      <c r="D277" s="832" t="s">
        <v>6821</v>
      </c>
      <c r="E277" s="832" t="s">
        <v>4148</v>
      </c>
      <c r="F277" s="973" t="s">
        <v>7210</v>
      </c>
      <c r="G277" s="724" t="s">
        <v>7211</v>
      </c>
      <c r="H277" s="832"/>
      <c r="I277" s="832" t="str">
        <f>HYPERLINK("https://youtu.be/fNmQmNF7N9I","46.93")</f>
        <v>46.93</v>
      </c>
      <c r="J277" s="832" t="s">
        <v>7209</v>
      </c>
      <c r="K277" s="832" t="s">
        <v>538</v>
      </c>
      <c r="L277" s="832" t="s">
        <v>7212</v>
      </c>
      <c r="M277" s="832" t="s">
        <v>1577</v>
      </c>
      <c r="N277" s="832"/>
      <c r="O277" s="832"/>
      <c r="P277" s="833"/>
      <c r="Q277" s="832"/>
      <c r="R277" s="832"/>
      <c r="S277" s="832" t="s">
        <v>3984</v>
      </c>
      <c r="T277" s="832" t="s">
        <v>7188</v>
      </c>
      <c r="U277" s="832"/>
      <c r="V277" s="832" t="s">
        <v>7213</v>
      </c>
      <c r="W277" s="832" t="s">
        <v>4387</v>
      </c>
      <c r="X277" s="832" t="s">
        <v>7214</v>
      </c>
      <c r="Y277" s="832"/>
      <c r="Z277" s="832"/>
      <c r="AA277" s="832" t="s">
        <v>7215</v>
      </c>
      <c r="AB277" s="832" t="s">
        <v>7216</v>
      </c>
      <c r="AC277" s="832"/>
      <c r="AD277" s="832"/>
      <c r="AE277" s="832"/>
      <c r="AF277" s="832"/>
      <c r="AG277" s="832"/>
      <c r="AH277" s="832"/>
      <c r="AI277" s="832"/>
      <c r="AJ277" s="834"/>
      <c r="AK277" s="832"/>
      <c r="AL277" s="832"/>
      <c r="AM277" s="832"/>
      <c r="AN277" s="832"/>
      <c r="AO277" s="832"/>
      <c r="AP277" s="834"/>
      <c r="AQ277" s="834"/>
      <c r="AR277" s="832" t="s">
        <v>7217</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7218</v>
      </c>
      <c r="C278" s="831" t="s">
        <v>3969</v>
      </c>
      <c r="D278" s="832" t="s">
        <v>5174</v>
      </c>
      <c r="E278" s="832" t="s">
        <v>3427</v>
      </c>
      <c r="F278" s="766" t="s">
        <v>7219</v>
      </c>
      <c r="G278" s="724" t="s">
        <v>7220</v>
      </c>
      <c r="H278" s="832"/>
      <c r="I278" s="832" t="str">
        <f>HYPERLINK(" https://youtu.be/dsDcBzsPA5s","45.74")</f>
        <v>45.74</v>
      </c>
      <c r="J278" s="832" t="s">
        <v>3969</v>
      </c>
      <c r="K278" s="832" t="s">
        <v>7221</v>
      </c>
      <c r="L278" s="832" t="s">
        <v>3864</v>
      </c>
      <c r="M278" s="832" t="s">
        <v>1701</v>
      </c>
      <c r="N278" s="832" t="s">
        <v>2007</v>
      </c>
      <c r="O278" s="832" t="s">
        <v>4033</v>
      </c>
      <c r="P278" s="833" t="s">
        <v>3550</v>
      </c>
      <c r="Q278" s="832" t="s">
        <v>7222</v>
      </c>
      <c r="R278" s="832"/>
      <c r="S278" s="832" t="s">
        <v>7223</v>
      </c>
      <c r="T278" s="832" t="s">
        <v>288</v>
      </c>
      <c r="U278" s="832"/>
      <c r="V278" s="832" t="s">
        <v>7197</v>
      </c>
      <c r="W278" s="832" t="s">
        <v>704</v>
      </c>
      <c r="X278" s="832" t="s">
        <v>7224</v>
      </c>
      <c r="Y278" s="832"/>
      <c r="Z278" s="832"/>
      <c r="AA278" s="832"/>
      <c r="AB278" s="832" t="s">
        <v>6884</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7225</v>
      </c>
      <c r="C279" s="831" t="s">
        <v>1045</v>
      </c>
      <c r="D279" s="832" t="s">
        <v>4631</v>
      </c>
      <c r="E279" s="832" t="s">
        <v>412</v>
      </c>
      <c r="F279" s="973" t="s">
        <v>190</v>
      </c>
      <c r="G279" s="724" t="s">
        <v>1326</v>
      </c>
      <c r="H279" s="832" t="s">
        <v>2051</v>
      </c>
      <c r="I279" s="832" t="str">
        <f>HYPERLINK("https://youtu.be/9O9oqhlyCxY","45.20")</f>
        <v>45.20</v>
      </c>
      <c r="J279" s="832" t="s">
        <v>7226</v>
      </c>
      <c r="K279" s="724" t="s">
        <v>3663</v>
      </c>
      <c r="L279" s="832" t="s">
        <v>323</v>
      </c>
      <c r="M279" s="832" t="s">
        <v>1400</v>
      </c>
      <c r="N279" s="832" t="s">
        <v>7190</v>
      </c>
      <c r="O279" s="832" t="s">
        <v>1045</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6889</v>
      </c>
      <c r="B280" s="975" t="s">
        <v>7227</v>
      </c>
      <c r="C280" s="831" t="s">
        <v>883</v>
      </c>
      <c r="D280" s="734" t="s">
        <v>1618</v>
      </c>
      <c r="E280" s="976" t="s">
        <v>413</v>
      </c>
      <c r="F280" s="735" t="s">
        <v>2567</v>
      </c>
      <c r="G280" s="724" t="s">
        <v>1327</v>
      </c>
      <c r="H280" s="976" t="s">
        <v>4541</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6664</v>
      </c>
      <c r="B281" s="979" t="s">
        <v>7227</v>
      </c>
      <c r="C281" s="831" t="s">
        <v>7228</v>
      </c>
      <c r="D281" s="976" t="s">
        <v>1619</v>
      </c>
      <c r="E281" s="976" t="s">
        <v>414</v>
      </c>
      <c r="F281" s="735" t="s">
        <v>1584</v>
      </c>
      <c r="G281" s="740"/>
      <c r="H281" s="976" t="s">
        <v>7228</v>
      </c>
      <c r="I281" s="976"/>
      <c r="J281" s="976"/>
      <c r="K281" s="976"/>
      <c r="L281" s="976" t="s">
        <v>960</v>
      </c>
      <c r="M281" s="976" t="s">
        <v>192</v>
      </c>
      <c r="N281" s="976"/>
      <c r="O281" s="976" t="s">
        <v>1047</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6649</v>
      </c>
      <c r="C282" s="831" t="s">
        <v>5780</v>
      </c>
      <c r="D282" s="832" t="s">
        <v>5749</v>
      </c>
      <c r="E282" s="832" t="s">
        <v>2945</v>
      </c>
      <c r="F282" s="749" t="s">
        <v>434</v>
      </c>
      <c r="G282" s="724" t="s">
        <v>5717</v>
      </c>
      <c r="H282" s="832" t="s">
        <v>5780</v>
      </c>
      <c r="I282" s="832"/>
      <c r="J282" s="832" t="s">
        <v>5234</v>
      </c>
      <c r="K282" s="832"/>
      <c r="L282" s="832" t="s">
        <v>7229</v>
      </c>
      <c r="M282" s="832"/>
      <c r="N282" s="832"/>
      <c r="O282" s="832" t="s">
        <v>5780</v>
      </c>
      <c r="P282" s="833"/>
      <c r="Q282" s="832"/>
      <c r="R282" s="724" t="s">
        <v>7230</v>
      </c>
      <c r="S282" s="832"/>
      <c r="T282" s="832" t="s">
        <v>5780</v>
      </c>
      <c r="U282" s="832"/>
      <c r="V282" s="832"/>
      <c r="W282" s="832" t="s">
        <v>3602</v>
      </c>
      <c r="X282" s="832" t="s">
        <v>3589</v>
      </c>
      <c r="Y282" s="832" t="s">
        <v>7231</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6840</v>
      </c>
      <c r="B283" s="982" t="s">
        <v>7232</v>
      </c>
      <c r="C283" s="831" t="s">
        <v>7233</v>
      </c>
      <c r="D283" s="729" t="s">
        <v>1483</v>
      </c>
      <c r="E283" s="832" t="s">
        <v>4414</v>
      </c>
      <c r="F283" s="754" t="s">
        <v>2094</v>
      </c>
      <c r="G283" s="724" t="s">
        <v>1329</v>
      </c>
      <c r="H283" s="832" t="s">
        <v>7233</v>
      </c>
      <c r="I283" s="832" t="s">
        <v>1483</v>
      </c>
      <c r="J283" s="832" t="s">
        <v>3829</v>
      </c>
      <c r="K283" s="832"/>
      <c r="L283" s="832" t="s">
        <v>961</v>
      </c>
      <c r="M283" s="832"/>
      <c r="N283" s="832"/>
      <c r="O283" s="832" t="s">
        <v>7234</v>
      </c>
      <c r="P283" s="833"/>
      <c r="Q283" s="832" t="s">
        <v>193</v>
      </c>
      <c r="R283" s="832"/>
      <c r="S283" s="832"/>
      <c r="T283" s="832" t="s">
        <v>524</v>
      </c>
      <c r="U283" s="832"/>
      <c r="V283" s="832"/>
      <c r="W283" s="832" t="s">
        <v>7235</v>
      </c>
      <c r="X283" s="832"/>
      <c r="Y283" s="832"/>
      <c r="Z283" s="832"/>
      <c r="AA283" s="832"/>
      <c r="AB283" s="832"/>
      <c r="AC283" s="832"/>
      <c r="AD283" s="832"/>
      <c r="AE283" s="832"/>
      <c r="AF283" s="832" t="s">
        <v>7236</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6850</v>
      </c>
      <c r="B284" s="981" t="s">
        <v>7232</v>
      </c>
      <c r="C284" s="720" t="s">
        <v>7237</v>
      </c>
      <c r="D284" s="832" t="s">
        <v>7238</v>
      </c>
      <c r="E284" s="832"/>
      <c r="F284" s="735" t="s">
        <v>7239</v>
      </c>
      <c r="G284" s="740"/>
      <c r="H284" s="724" t="s">
        <v>7237</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7240</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6759</v>
      </c>
      <c r="B285" s="962" t="s">
        <v>7241</v>
      </c>
      <c r="C285" s="831" t="s">
        <v>4206</v>
      </c>
      <c r="D285" s="740"/>
      <c r="E285" s="724" t="s">
        <v>4347</v>
      </c>
      <c r="F285" s="969"/>
      <c r="G285" s="724" t="s">
        <v>3240</v>
      </c>
      <c r="H285" s="724" t="s">
        <v>4206</v>
      </c>
      <c r="I285" s="740"/>
      <c r="J285" s="740"/>
      <c r="K285" s="740"/>
      <c r="L285" s="740"/>
      <c r="M285" s="740"/>
      <c r="N285" s="740" t="s">
        <v>4315</v>
      </c>
      <c r="O285" s="740"/>
      <c r="P285" s="833" t="s">
        <v>7242</v>
      </c>
      <c r="Q285" s="740"/>
      <c r="R285" s="740"/>
      <c r="S285" s="740"/>
      <c r="T285" s="740"/>
      <c r="U285" s="724" t="s">
        <v>7172</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7243</v>
      </c>
      <c r="C286" s="831" t="s">
        <v>4496</v>
      </c>
      <c r="D286" s="832" t="s">
        <v>1620</v>
      </c>
      <c r="E286" s="832" t="s">
        <v>2748</v>
      </c>
      <c r="F286" s="749" t="s">
        <v>4091</v>
      </c>
      <c r="G286" s="740"/>
      <c r="H286" s="833" t="s">
        <v>1368</v>
      </c>
      <c r="I286" s="832"/>
      <c r="J286" s="832"/>
      <c r="K286" s="832"/>
      <c r="L286" s="832"/>
      <c r="M286" s="832"/>
      <c r="N286" s="832"/>
      <c r="O286" s="832"/>
      <c r="P286" s="833" t="s">
        <v>5237</v>
      </c>
      <c r="Q286" s="832" t="s">
        <v>2626</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7244</v>
      </c>
      <c r="C287" s="831" t="s">
        <v>623</v>
      </c>
      <c r="D287" s="832"/>
      <c r="E287" s="832" t="s">
        <v>371</v>
      </c>
      <c r="F287" s="754" t="s">
        <v>2568</v>
      </c>
      <c r="G287" s="724" t="s">
        <v>3817</v>
      </c>
      <c r="H287" s="833" t="s">
        <v>138</v>
      </c>
      <c r="I287" s="832"/>
      <c r="J287" s="832" t="s">
        <v>1620</v>
      </c>
      <c r="K287" s="832"/>
      <c r="L287" s="832"/>
      <c r="M287" s="832" t="s">
        <v>1185</v>
      </c>
      <c r="N287" s="832"/>
      <c r="O287" s="832" t="s">
        <v>3817</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6763</v>
      </c>
      <c r="B288" s="962" t="s">
        <v>6649</v>
      </c>
      <c r="C288" s="831" t="s">
        <v>7245</v>
      </c>
      <c r="D288" s="734" t="s">
        <v>195</v>
      </c>
      <c r="E288" s="838"/>
      <c r="F288" s="723"/>
      <c r="G288" s="724" t="s">
        <v>1330</v>
      </c>
      <c r="H288" s="838"/>
      <c r="I288" s="838"/>
      <c r="J288" s="838"/>
      <c r="K288" s="838"/>
      <c r="L288" s="838" t="s">
        <v>963</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7246</v>
      </c>
      <c r="B289" s="962" t="s">
        <v>6649</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6768</v>
      </c>
      <c r="B290" s="981" t="s">
        <v>6649</v>
      </c>
      <c r="C290" s="720" t="s">
        <v>7247</v>
      </c>
      <c r="D290" s="724" t="s">
        <v>7247</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6905</v>
      </c>
      <c r="B291" s="962" t="s">
        <v>6873</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6877</v>
      </c>
      <c r="C292" s="831" t="s">
        <v>4826</v>
      </c>
      <c r="D292" s="838"/>
      <c r="E292" s="838"/>
      <c r="F292" s="723"/>
      <c r="G292" s="724" t="s">
        <v>1332</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6649</v>
      </c>
      <c r="C293" s="831" t="s">
        <v>7248</v>
      </c>
      <c r="D293" s="838" t="s">
        <v>7249</v>
      </c>
      <c r="E293" s="838"/>
      <c r="F293" s="969"/>
      <c r="G293" s="724" t="s">
        <v>1333</v>
      </c>
      <c r="H293" s="838"/>
      <c r="I293" s="838"/>
      <c r="J293" s="838"/>
      <c r="K293" s="838"/>
      <c r="L293" s="838" t="s">
        <v>965</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7250</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7251</v>
      </c>
      <c r="B295" s="993" t="s">
        <v>7252</v>
      </c>
      <c r="C295" s="720" t="s">
        <v>7253</v>
      </c>
      <c r="D295" s="951"/>
      <c r="E295" s="740"/>
      <c r="F295" s="994"/>
      <c r="G295" s="724" t="s">
        <v>4843</v>
      </c>
      <c r="H295" s="740"/>
      <c r="I295" s="740"/>
      <c r="J295" s="740"/>
      <c r="K295" s="740"/>
      <c r="L295" s="740"/>
      <c r="M295" s="740"/>
      <c r="N295" s="740"/>
      <c r="O295" s="740"/>
      <c r="P295" s="833"/>
      <c r="Q295" s="740"/>
      <c r="R295" s="740"/>
      <c r="S295" s="740"/>
      <c r="T295" s="740"/>
      <c r="U295" s="724" t="s">
        <v>7253</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7254</v>
      </c>
      <c r="C296" s="831" t="s">
        <v>7255</v>
      </c>
      <c r="D296" s="832" t="s">
        <v>7256</v>
      </c>
      <c r="E296" s="832" t="s">
        <v>7255</v>
      </c>
      <c r="F296" s="723"/>
      <c r="H296" s="832"/>
      <c r="I296" s="832"/>
      <c r="J296" s="832"/>
      <c r="K296" s="833" t="s">
        <v>7257</v>
      </c>
      <c r="L296" s="832"/>
      <c r="M296" s="832"/>
      <c r="N296" s="832"/>
      <c r="O296" s="832"/>
      <c r="P296" s="833" t="s">
        <v>7258</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7259</v>
      </c>
      <c r="C297" s="831" t="s">
        <v>426</v>
      </c>
      <c r="D297" s="729" t="s">
        <v>1626</v>
      </c>
      <c r="E297" s="724" t="s">
        <v>426</v>
      </c>
      <c r="F297" s="754" t="s">
        <v>272</v>
      </c>
      <c r="G297" s="724" t="s">
        <v>1340</v>
      </c>
      <c r="H297" s="724" t="s">
        <v>7260</v>
      </c>
      <c r="I297" s="724" t="str">
        <f>HYPERLINK("https://youtu.be/ZpzmhXUsVhA","1:19.38")</f>
        <v>1:19.38</v>
      </c>
      <c r="J297" s="740"/>
      <c r="K297" s="724" t="s">
        <v>3669</v>
      </c>
      <c r="L297" s="740" t="s">
        <v>971</v>
      </c>
      <c r="M297" s="740" t="s">
        <v>6085</v>
      </c>
      <c r="N297" s="740" t="s">
        <v>7261</v>
      </c>
      <c r="O297" s="724" t="s">
        <v>7262</v>
      </c>
      <c r="P297" s="833" t="s">
        <v>7263</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7264</v>
      </c>
      <c r="B298" s="997" t="s">
        <v>7252</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7254</v>
      </c>
      <c r="C299" s="831" t="s">
        <v>5483</v>
      </c>
      <c r="D299" s="832" t="s">
        <v>1016</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7259</v>
      </c>
      <c r="C300" s="831" t="s">
        <v>2222</v>
      </c>
      <c r="D300" s="999" t="s">
        <v>7265</v>
      </c>
      <c r="E300" s="832" t="s">
        <v>3580</v>
      </c>
      <c r="F300" s="802" t="s">
        <v>683</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7266</v>
      </c>
      <c r="B301" s="1000" t="s">
        <v>7267</v>
      </c>
      <c r="C301" s="831" t="s">
        <v>2570</v>
      </c>
      <c r="D301" s="953" t="s">
        <v>1800</v>
      </c>
      <c r="E301" s="832" t="s">
        <v>2570</v>
      </c>
      <c r="F301" s="723"/>
      <c r="G301" s="740"/>
      <c r="H301" s="832"/>
      <c r="I301" s="832"/>
      <c r="J301" s="832"/>
      <c r="K301" s="832" t="s">
        <v>2338</v>
      </c>
      <c r="L301" s="832"/>
      <c r="M301" s="832"/>
      <c r="N301" s="832"/>
      <c r="O301" s="832"/>
      <c r="P301" s="833" t="s">
        <v>7268</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7269</v>
      </c>
      <c r="C302" s="831" t="s">
        <v>7207</v>
      </c>
      <c r="D302" s="729" t="s">
        <v>1627</v>
      </c>
      <c r="E302" s="724" t="s">
        <v>427</v>
      </c>
      <c r="F302" s="754" t="s">
        <v>2570</v>
      </c>
      <c r="G302" s="724" t="s">
        <v>1341</v>
      </c>
      <c r="H302" s="724" t="s">
        <v>2080</v>
      </c>
      <c r="I302" s="740"/>
      <c r="J302" s="740"/>
      <c r="K302" s="740"/>
      <c r="L302" s="724" t="s">
        <v>972</v>
      </c>
      <c r="M302" s="740" t="s">
        <v>817</v>
      </c>
      <c r="N302" s="740"/>
      <c r="O302" s="724" t="s">
        <v>7207</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7270</v>
      </c>
      <c r="B303" s="993" t="s">
        <v>7271</v>
      </c>
      <c r="C303" s="831" t="s">
        <v>6288</v>
      </c>
      <c r="D303" s="832"/>
      <c r="E303" s="832" t="s">
        <v>6288</v>
      </c>
      <c r="F303" s="723"/>
      <c r="G303" s="740"/>
      <c r="H303" s="832"/>
      <c r="I303" s="832" t="s">
        <v>7143</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7272</v>
      </c>
      <c r="C304" s="831" t="s">
        <v>7062</v>
      </c>
      <c r="D304" s="832"/>
      <c r="E304" s="832" t="s">
        <v>1410</v>
      </c>
      <c r="F304" s="793"/>
      <c r="G304" s="740"/>
      <c r="H304" s="832"/>
      <c r="I304" s="832" t="s">
        <v>7062</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7273</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7274</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7275</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7276</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6664</v>
      </c>
      <c r="B309" s="1000" t="s">
        <v>6766</v>
      </c>
      <c r="C309" s="831" t="s">
        <v>3348</v>
      </c>
      <c r="D309" s="832"/>
      <c r="E309" s="832" t="s">
        <v>3759</v>
      </c>
      <c r="F309" s="723"/>
      <c r="G309" s="740"/>
      <c r="H309" s="832" t="s">
        <v>3348</v>
      </c>
      <c r="I309" s="832" t="s">
        <v>7277</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7278</v>
      </c>
      <c r="B310" s="1002"/>
      <c r="C310" s="720" t="s">
        <v>7279</v>
      </c>
      <c r="D310" s="838"/>
      <c r="E310" s="838"/>
      <c r="F310" s="793"/>
      <c r="G310" s="740"/>
      <c r="H310" s="724" t="s">
        <v>7279</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7280</v>
      </c>
      <c r="B311" s="1000" t="s">
        <v>7281</v>
      </c>
      <c r="C311" s="831" t="s">
        <v>3630</v>
      </c>
      <c r="D311" s="729" t="s">
        <v>3630</v>
      </c>
      <c r="E311" s="838"/>
      <c r="F311" s="723"/>
      <c r="G311" s="740"/>
      <c r="H311" s="838"/>
      <c r="I311" s="724" t="s">
        <v>908</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7282</v>
      </c>
      <c r="C312" s="831" t="s">
        <v>3903</v>
      </c>
      <c r="D312" s="876"/>
      <c r="E312" s="876" t="s">
        <v>4172</v>
      </c>
      <c r="F312" s="793"/>
      <c r="G312" s="740"/>
      <c r="H312" s="876"/>
      <c r="I312" s="724" t="s">
        <v>3903</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7283</v>
      </c>
      <c r="B313" s="1001" t="s">
        <v>7284</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7285</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7286</v>
      </c>
      <c r="B315" s="1001" t="s">
        <v>7287</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7288</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7289</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7290</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7290</v>
      </c>
      <c r="C319" s="831" t="s">
        <v>6501</v>
      </c>
      <c r="D319" s="838"/>
      <c r="E319" s="838"/>
      <c r="F319" s="723"/>
      <c r="G319" s="740"/>
      <c r="H319" s="838"/>
      <c r="I319" s="724" t="s">
        <v>6501</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7291</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7292</v>
      </c>
      <c r="B321" s="1004" t="s">
        <v>7293</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7294</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7295</v>
      </c>
      <c r="C323" s="831" t="s">
        <v>3024</v>
      </c>
      <c r="D323" s="724" t="s">
        <v>408</v>
      </c>
      <c r="E323" s="724" t="s">
        <v>5343</v>
      </c>
      <c r="F323" s="749" t="s">
        <v>4687</v>
      </c>
      <c r="G323" s="740"/>
      <c r="H323" s="740" t="s">
        <v>2046</v>
      </c>
      <c r="I323" s="740"/>
      <c r="J323" s="740"/>
      <c r="K323" s="740"/>
      <c r="L323" s="740"/>
      <c r="M323" s="740"/>
      <c r="N323" s="740"/>
      <c r="O323" s="740"/>
      <c r="P323" s="833"/>
      <c r="Q323" s="740"/>
      <c r="R323" s="724" t="s">
        <v>5343</v>
      </c>
      <c r="S323" s="740"/>
      <c r="T323" s="724" t="s">
        <v>3024</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7296</v>
      </c>
      <c r="B324" s="1004" t="s">
        <v>6760</v>
      </c>
      <c r="C324" s="831" t="s">
        <v>7297</v>
      </c>
      <c r="D324" s="740"/>
      <c r="E324" s="724" t="s">
        <v>7297</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6762</v>
      </c>
      <c r="C325" s="831" t="s">
        <v>4763</v>
      </c>
      <c r="D325" s="740" t="s">
        <v>5100</v>
      </c>
      <c r="E325" s="724" t="s">
        <v>4467</v>
      </c>
      <c r="F325" s="749" t="s">
        <v>7298</v>
      </c>
      <c r="G325" s="740"/>
      <c r="H325" s="724" t="s">
        <v>4763</v>
      </c>
      <c r="I325" s="740"/>
      <c r="J325" s="740"/>
      <c r="K325" s="740"/>
      <c r="L325" s="740"/>
      <c r="M325" s="740"/>
      <c r="N325" s="740"/>
      <c r="O325" s="740"/>
      <c r="P325" s="833"/>
      <c r="Q325" s="740"/>
      <c r="R325" s="724" t="s">
        <v>6931</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6931</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7299</v>
      </c>
      <c r="B326" s="1004" t="s">
        <v>6649</v>
      </c>
      <c r="C326" s="806" t="s">
        <v>3555</v>
      </c>
      <c r="D326" s="762"/>
      <c r="E326" s="761" t="s">
        <v>1787</v>
      </c>
      <c r="F326" s="802" t="s">
        <v>3555</v>
      </c>
      <c r="G326" s="740"/>
      <c r="H326" s="761" t="s">
        <v>2386</v>
      </c>
      <c r="I326" s="762"/>
      <c r="J326" s="761" t="s">
        <v>1787</v>
      </c>
      <c r="K326" s="762"/>
      <c r="L326" s="761" t="s">
        <v>7300</v>
      </c>
      <c r="M326" s="761" t="s">
        <v>7301</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7302</v>
      </c>
      <c r="B327" s="1004" t="s">
        <v>7303</v>
      </c>
      <c r="C327" s="831" t="s">
        <v>7304</v>
      </c>
      <c r="D327" s="740"/>
      <c r="E327" s="724" t="s">
        <v>7304</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7305</v>
      </c>
      <c r="C328" s="806" t="s">
        <v>7306</v>
      </c>
      <c r="D328" s="740"/>
      <c r="E328" s="724" t="s">
        <v>7307</v>
      </c>
      <c r="F328" s="802" t="s">
        <v>7306</v>
      </c>
      <c r="G328" s="740"/>
      <c r="H328" s="740" t="s">
        <v>1426</v>
      </c>
      <c r="I328" s="740"/>
      <c r="J328" s="740"/>
      <c r="K328" s="740"/>
      <c r="L328" s="740"/>
      <c r="M328" s="740"/>
      <c r="N328" s="740"/>
      <c r="O328" s="740"/>
      <c r="P328" s="833"/>
      <c r="Q328" s="740"/>
      <c r="R328" s="740"/>
      <c r="S328" s="740"/>
      <c r="T328" s="740"/>
      <c r="U328" s="740"/>
      <c r="V328" s="740"/>
      <c r="W328" s="740"/>
      <c r="X328" s="740"/>
      <c r="Y328" s="724" t="s">
        <v>7308</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7309</v>
      </c>
      <c r="B329" s="993" t="s">
        <v>7310</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7311</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7312</v>
      </c>
      <c r="C331" s="831" t="s">
        <v>7313</v>
      </c>
      <c r="D331" s="740"/>
      <c r="E331" s="724" t="s">
        <v>7313</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7314</v>
      </c>
      <c r="C332" s="831" t="s">
        <v>1245</v>
      </c>
      <c r="D332" s="740"/>
      <c r="E332" s="724" t="s">
        <v>1245</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7315</v>
      </c>
      <c r="C333" s="831" t="s">
        <v>1177</v>
      </c>
      <c r="D333" s="740"/>
      <c r="E333" s="724" t="s">
        <v>1177</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7316</v>
      </c>
      <c r="C334" s="831" t="s">
        <v>7317</v>
      </c>
      <c r="D334" s="740"/>
      <c r="E334" s="724" t="s">
        <v>3880</v>
      </c>
      <c r="F334" s="802" t="s">
        <v>1106</v>
      </c>
      <c r="G334" s="740"/>
      <c r="H334" s="724" t="s">
        <v>7317</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1245</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7318</v>
      </c>
      <c r="C335" s="831" t="s">
        <v>7319</v>
      </c>
      <c r="D335" s="838" t="s">
        <v>7320</v>
      </c>
      <c r="E335" s="838"/>
      <c r="F335" s="749" t="s">
        <v>7321</v>
      </c>
      <c r="G335" s="740"/>
      <c r="H335" s="724" t="s">
        <v>7322</v>
      </c>
      <c r="I335" s="838"/>
      <c r="J335" s="838"/>
      <c r="K335" s="838"/>
      <c r="L335" s="838"/>
      <c r="M335" s="838"/>
      <c r="N335" s="838"/>
      <c r="O335" s="838"/>
      <c r="P335" s="840"/>
      <c r="Q335" s="838"/>
      <c r="R335" s="724" t="s">
        <v>7323</v>
      </c>
      <c r="S335" s="838"/>
      <c r="T335" s="724" t="s">
        <v>7324</v>
      </c>
      <c r="U335" s="838"/>
      <c r="V335" s="838"/>
      <c r="W335" s="838"/>
      <c r="X335" s="838"/>
      <c r="Y335" s="724" t="s">
        <v>7319</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7325</v>
      </c>
      <c r="B336" s="993" t="s">
        <v>6649</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6416</v>
      </c>
      <c r="X336" s="838"/>
      <c r="Y336" s="838"/>
      <c r="Z336" s="838"/>
      <c r="AA336" s="838"/>
      <c r="AB336" s="838"/>
      <c r="AC336" s="724" t="s">
        <v>1115</v>
      </c>
      <c r="AD336" s="838"/>
      <c r="AE336" s="838"/>
      <c r="AF336" s="838"/>
      <c r="AG336" s="838"/>
      <c r="AH336" s="838"/>
      <c r="AI336" s="724" t="s">
        <v>784</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7326</v>
      </c>
      <c r="B337" s="993" t="s">
        <v>7327</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7328</v>
      </c>
      <c r="C338" s="720" t="s">
        <v>7329</v>
      </c>
      <c r="D338" s="740" t="s">
        <v>1010</v>
      </c>
      <c r="E338" s="724" t="s">
        <v>7330</v>
      </c>
      <c r="F338" s="809" t="s">
        <v>7331</v>
      </c>
      <c r="G338" s="740"/>
      <c r="H338" s="740"/>
      <c r="I338" s="740"/>
      <c r="J338" s="724" t="s">
        <v>7332</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7333</v>
      </c>
      <c r="C339" s="720" t="s">
        <v>7334</v>
      </c>
      <c r="D339" s="740"/>
      <c r="E339" s="740"/>
      <c r="F339" s="749" t="s">
        <v>7335</v>
      </c>
      <c r="G339" s="740"/>
      <c r="H339" s="740" t="s">
        <v>7336</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7334</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7337</v>
      </c>
      <c r="B340" s="1001" t="s">
        <v>7338</v>
      </c>
      <c r="C340" s="831" t="s">
        <v>5749</v>
      </c>
      <c r="D340" s="1006"/>
      <c r="E340" s="1006"/>
      <c r="F340" s="802" t="s">
        <v>4583</v>
      </c>
      <c r="G340" s="740"/>
      <c r="H340" s="724" t="s">
        <v>1390</v>
      </c>
      <c r="I340" s="1006"/>
      <c r="J340" s="724" t="s">
        <v>5749</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7339</v>
      </c>
      <c r="C341" s="831" t="s">
        <v>4600</v>
      </c>
      <c r="D341" s="740"/>
      <c r="E341" s="724" t="s">
        <v>5840</v>
      </c>
      <c r="F341" s="766" t="s">
        <v>969</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7340</v>
      </c>
      <c r="B342" s="993" t="s">
        <v>6649</v>
      </c>
      <c r="C342" s="831" t="s">
        <v>7341</v>
      </c>
      <c r="D342" s="875"/>
      <c r="E342" s="875"/>
      <c r="F342" s="793"/>
      <c r="G342" s="740"/>
      <c r="H342" s="724" t="s">
        <v>7341</v>
      </c>
      <c r="I342" s="875"/>
      <c r="J342" s="875"/>
      <c r="K342" s="875"/>
      <c r="L342" s="875"/>
      <c r="M342" s="724" t="s">
        <v>7342</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7343</v>
      </c>
      <c r="B343" s="993" t="s">
        <v>7344</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7345</v>
      </c>
      <c r="C344" s="831" t="s">
        <v>756</v>
      </c>
      <c r="D344" s="833"/>
      <c r="E344" s="833"/>
      <c r="F344" s="802" t="s">
        <v>1001</v>
      </c>
      <c r="G344" s="740"/>
      <c r="H344" s="724" t="s">
        <v>756</v>
      </c>
      <c r="I344" s="833"/>
      <c r="J344" s="833"/>
      <c r="K344" s="833"/>
      <c r="L344" s="833"/>
      <c r="M344" s="833"/>
      <c r="N344" s="833"/>
      <c r="O344" s="724" t="s">
        <v>461</v>
      </c>
      <c r="P344" s="833"/>
      <c r="Q344" s="833"/>
      <c r="R344" s="833"/>
      <c r="S344" s="833"/>
      <c r="T344" s="833"/>
      <c r="U344" s="833"/>
      <c r="V344" s="833"/>
      <c r="W344" s="833"/>
      <c r="X344" s="833" t="s">
        <v>892</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7346</v>
      </c>
      <c r="C345" s="831" t="s">
        <v>756</v>
      </c>
      <c r="D345" s="740"/>
      <c r="E345" s="724" t="s">
        <v>756</v>
      </c>
      <c r="F345" s="723"/>
      <c r="G345" s="740"/>
      <c r="H345" s="740" t="s">
        <v>756</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7348</v>
      </c>
      <c r="H2" s="1014" t="s">
        <v>47</v>
      </c>
      <c r="I2" s="1014" t="s">
        <v>48</v>
      </c>
      <c r="J2" s="1014" t="s">
        <v>7349</v>
      </c>
      <c r="K2" s="1014" t="s">
        <v>54</v>
      </c>
      <c r="N2" s="1014" t="s">
        <v>7350</v>
      </c>
      <c r="P2" s="1015"/>
      <c r="Q2" s="1016" t="s">
        <v>47</v>
      </c>
      <c r="R2" s="1016" t="s">
        <v>7351</v>
      </c>
      <c r="S2" s="1016" t="s">
        <v>52</v>
      </c>
      <c r="T2" s="1016" t="s">
        <v>53</v>
      </c>
      <c r="U2" s="1016" t="s">
        <v>54</v>
      </c>
      <c r="V2" s="1016" t="s">
        <v>7352</v>
      </c>
      <c r="W2" s="1015"/>
      <c r="X2" s="1017" t="s">
        <v>47</v>
      </c>
      <c r="Y2" s="1017" t="s">
        <v>48</v>
      </c>
      <c r="Z2" s="1017" t="s">
        <v>49</v>
      </c>
      <c r="AA2" s="1017" t="s">
        <v>50</v>
      </c>
      <c r="AC2" s="1017" t="s">
        <v>52</v>
      </c>
      <c r="AD2" s="1017" t="s">
        <v>53</v>
      </c>
      <c r="AE2" s="1017" t="s">
        <v>54</v>
      </c>
      <c r="AF2" s="1017" t="s">
        <v>6905</v>
      </c>
      <c r="AG2" s="1017" t="s">
        <v>7350</v>
      </c>
      <c r="AI2" s="1015"/>
      <c r="AJ2" s="1018" t="s">
        <v>47</v>
      </c>
      <c r="AK2" s="1018" t="s">
        <v>48</v>
      </c>
      <c r="AM2" s="1018" t="s">
        <v>49</v>
      </c>
      <c r="AP2" s="1018" t="s">
        <v>51</v>
      </c>
      <c r="AR2" s="1018" t="s">
        <v>52</v>
      </c>
      <c r="AV2" s="1018" t="s">
        <v>52</v>
      </c>
      <c r="AW2" s="1018" t="s">
        <v>53</v>
      </c>
      <c r="AX2" s="1018" t="s">
        <v>7352</v>
      </c>
      <c r="AZ2" s="1019"/>
      <c r="BA2" s="1020" t="s">
        <v>47</v>
      </c>
      <c r="BB2" s="1020" t="s">
        <v>52</v>
      </c>
      <c r="BC2" s="1020" t="s">
        <v>53</v>
      </c>
      <c r="BD2" s="1020" t="s">
        <v>54</v>
      </c>
      <c r="BE2" s="1020" t="s">
        <v>7350</v>
      </c>
      <c r="BF2" s="1019"/>
      <c r="BG2" s="1021" t="s">
        <v>47</v>
      </c>
      <c r="BH2" s="1021" t="s">
        <v>48</v>
      </c>
      <c r="BI2" s="1021" t="s">
        <v>50</v>
      </c>
      <c r="BK2" s="1021" t="s">
        <v>52</v>
      </c>
      <c r="BL2" s="1021" t="s">
        <v>7350</v>
      </c>
      <c r="BN2" s="1015"/>
      <c r="BO2" s="1022" t="s">
        <v>49</v>
      </c>
      <c r="BP2" s="1022" t="s">
        <v>50</v>
      </c>
      <c r="BQ2" s="1022" t="s">
        <v>51</v>
      </c>
      <c r="BR2" s="1022" t="s">
        <v>52</v>
      </c>
      <c r="BT2" s="1022" t="s">
        <v>53</v>
      </c>
      <c r="BU2" s="1022" t="s">
        <v>54</v>
      </c>
      <c r="BW2" s="1022" t="s">
        <v>7352</v>
      </c>
      <c r="BX2" s="1019"/>
      <c r="BY2" s="1023" t="s">
        <v>7353</v>
      </c>
      <c r="BZ2" s="1024" t="s">
        <v>75</v>
      </c>
      <c r="CA2" s="1023" t="s">
        <v>80</v>
      </c>
      <c r="CD2" s="1023" t="s">
        <v>77</v>
      </c>
      <c r="CE2" s="1023" t="s">
        <v>7354</v>
      </c>
      <c r="CF2" s="1023" t="s">
        <v>7355</v>
      </c>
      <c r="CG2" s="1025" t="s">
        <v>68</v>
      </c>
      <c r="CH2" s="1023" t="s">
        <v>76</v>
      </c>
      <c r="CI2" s="1023" t="s">
        <v>66</v>
      </c>
      <c r="CJ2" s="1024" t="s">
        <v>78</v>
      </c>
    </row>
    <row r="3" ht="23.25" customHeight="1">
      <c r="J3" s="1026" t="s">
        <v>7356</v>
      </c>
      <c r="K3" s="1026" t="s">
        <v>7357</v>
      </c>
      <c r="L3" s="1027" t="s">
        <v>7358</v>
      </c>
      <c r="M3" s="1027" t="s">
        <v>7359</v>
      </c>
      <c r="N3" s="1027" t="s">
        <v>7360</v>
      </c>
      <c r="O3" s="1026" t="s">
        <v>7361</v>
      </c>
      <c r="P3" s="1015"/>
      <c r="W3" s="1015"/>
      <c r="AA3" s="1028" t="s">
        <v>7362</v>
      </c>
      <c r="AB3" s="1029" t="s">
        <v>92</v>
      </c>
      <c r="AF3" s="1029" t="s">
        <v>7363</v>
      </c>
      <c r="AG3" s="1028" t="s">
        <v>52</v>
      </c>
      <c r="AH3" s="1030" t="s">
        <v>49</v>
      </c>
      <c r="AI3" s="1015"/>
      <c r="AK3" s="1031" t="s">
        <v>7364</v>
      </c>
      <c r="AL3" s="1031" t="s">
        <v>7365</v>
      </c>
      <c r="AM3" s="1032" t="s">
        <v>7360</v>
      </c>
      <c r="AN3" s="1032" t="s">
        <v>7366</v>
      </c>
      <c r="AO3" s="1032" t="s">
        <v>7367</v>
      </c>
      <c r="AP3" s="1032" t="s">
        <v>7360</v>
      </c>
      <c r="AQ3" s="1033" t="s">
        <v>7368</v>
      </c>
      <c r="AR3" s="1032" t="s">
        <v>7369</v>
      </c>
      <c r="AS3" s="1032" t="s">
        <v>7370</v>
      </c>
      <c r="AT3" s="1032" t="s">
        <v>7371</v>
      </c>
      <c r="AU3" s="1032" t="s">
        <v>7372</v>
      </c>
      <c r="AX3" s="1032" t="s">
        <v>7373</v>
      </c>
      <c r="AY3" s="1032" t="s">
        <v>7374</v>
      </c>
      <c r="AZ3" s="1019"/>
      <c r="BF3" s="1034"/>
      <c r="BI3" s="1021" t="s">
        <v>7375</v>
      </c>
      <c r="BJ3" s="1021" t="s">
        <v>7376</v>
      </c>
      <c r="BL3" s="1035" t="s">
        <v>88</v>
      </c>
      <c r="BM3" s="1035" t="s">
        <v>7377</v>
      </c>
      <c r="BN3" s="1015"/>
      <c r="BR3" s="1036" t="s">
        <v>7367</v>
      </c>
      <c r="BS3" s="1036" t="s">
        <v>7378</v>
      </c>
      <c r="BU3" s="1036" t="s">
        <v>7360</v>
      </c>
      <c r="BV3" s="1036" t="s">
        <v>7367</v>
      </c>
      <c r="BX3" s="1019"/>
      <c r="CA3" s="1037" t="s">
        <v>7379</v>
      </c>
      <c r="CB3" s="1037" t="s">
        <v>7380</v>
      </c>
      <c r="CC3" s="1037" t="s">
        <v>7381</v>
      </c>
      <c r="CJ3" s="1037" t="s">
        <v>7382</v>
      </c>
      <c r="CK3" s="1037" t="s">
        <v>7383</v>
      </c>
    </row>
    <row r="4">
      <c r="A4" s="1038" t="s">
        <v>7384</v>
      </c>
      <c r="B4" s="1039" t="s">
        <v>7385</v>
      </c>
      <c r="C4" s="1040" t="s">
        <v>4104</v>
      </c>
      <c r="D4" s="1041" t="s">
        <v>440</v>
      </c>
      <c r="E4" s="1042" t="s">
        <v>1259</v>
      </c>
      <c r="F4" s="1043" t="s">
        <v>4770</v>
      </c>
      <c r="G4" s="1044" t="s">
        <v>2541</v>
      </c>
      <c r="H4" s="1045" t="s">
        <v>2989</v>
      </c>
      <c r="I4" s="1046"/>
      <c r="J4" s="1047" t="s">
        <v>1965</v>
      </c>
      <c r="K4" s="1047" t="s">
        <v>2777</v>
      </c>
      <c r="L4" s="1047" t="s">
        <v>2545</v>
      </c>
      <c r="M4" s="1048" t="s">
        <v>3216</v>
      </c>
      <c r="N4" s="1046"/>
      <c r="O4" s="1049" t="s">
        <v>7386</v>
      </c>
      <c r="P4" s="1050"/>
      <c r="Q4" s="1051" t="s">
        <v>7387</v>
      </c>
      <c r="R4" s="1052" t="s">
        <v>1650</v>
      </c>
      <c r="S4" s="1053" t="s">
        <v>5064</v>
      </c>
      <c r="T4" s="1053" t="s">
        <v>5611</v>
      </c>
      <c r="U4" s="1053"/>
      <c r="V4" s="1051" t="s">
        <v>7388</v>
      </c>
      <c r="W4" s="1050"/>
      <c r="X4" s="1054" t="s">
        <v>2379</v>
      </c>
      <c r="Y4" s="1055" t="s">
        <v>7389</v>
      </c>
      <c r="Z4" s="1055" t="s">
        <v>7390</v>
      </c>
      <c r="AA4" s="1055" t="s">
        <v>5027</v>
      </c>
      <c r="AB4" s="1056" t="s">
        <v>7391</v>
      </c>
      <c r="AC4" s="1055" t="s">
        <v>748</v>
      </c>
      <c r="AD4" s="1057" t="s">
        <v>4248</v>
      </c>
      <c r="AE4" s="1057" t="s">
        <v>2525</v>
      </c>
      <c r="AF4" s="1058"/>
      <c r="AG4" s="1056" t="s">
        <v>7392</v>
      </c>
      <c r="AH4" s="1059"/>
      <c r="AI4" s="1060"/>
      <c r="AJ4" s="1061"/>
      <c r="AK4" s="1062"/>
      <c r="AL4" s="1062"/>
      <c r="AM4" s="1063" t="s">
        <v>1428</v>
      </c>
      <c r="AN4" s="1061"/>
      <c r="AO4" s="1062"/>
      <c r="AP4" s="1063" t="s">
        <v>909</v>
      </c>
      <c r="AQ4" s="1061" t="s">
        <v>7393</v>
      </c>
      <c r="AR4" s="1062"/>
      <c r="AS4" s="1062"/>
      <c r="AT4" s="1062"/>
      <c r="AU4" s="1062"/>
      <c r="AV4" s="1062"/>
      <c r="AW4" s="1064" t="s">
        <v>4705</v>
      </c>
      <c r="AX4" s="1063" t="s">
        <v>7394</v>
      </c>
      <c r="AY4" s="1063" t="s">
        <v>1767</v>
      </c>
      <c r="AZ4" s="1065"/>
      <c r="BA4" s="1066" t="s">
        <v>7395</v>
      </c>
      <c r="BB4" s="1067" t="s">
        <v>7396</v>
      </c>
      <c r="BC4" s="1068" t="s">
        <v>296</v>
      </c>
      <c r="BD4" s="1066" t="s">
        <v>4253</v>
      </c>
      <c r="BE4" s="1066" t="s">
        <v>7397</v>
      </c>
      <c r="BF4" s="1065"/>
      <c r="BG4" s="1069" t="s">
        <v>7398</v>
      </c>
      <c r="BH4" s="1070" t="s">
        <v>694</v>
      </c>
      <c r="BI4" s="1071" t="s">
        <v>7399</v>
      </c>
      <c r="BJ4" s="1072" t="s">
        <v>7400</v>
      </c>
      <c r="BK4" s="1069" t="s">
        <v>7401</v>
      </c>
      <c r="BL4" s="1073"/>
      <c r="BM4" s="1074" t="s">
        <v>7402</v>
      </c>
      <c r="BN4" s="1060"/>
      <c r="BO4" s="1075" t="s">
        <v>7403</v>
      </c>
      <c r="BP4" s="1076"/>
      <c r="BQ4" s="1077" t="s">
        <v>7404</v>
      </c>
      <c r="BR4" s="1075" t="s">
        <v>7405</v>
      </c>
      <c r="BS4" s="1078"/>
      <c r="BT4" s="1077" t="s">
        <v>1110</v>
      </c>
      <c r="BU4" s="1075" t="s">
        <v>6399</v>
      </c>
      <c r="BV4" s="1079"/>
      <c r="BW4" s="1075" t="s">
        <v>7406</v>
      </c>
      <c r="BX4" s="1050"/>
      <c r="BY4" s="1080" t="s">
        <v>3381</v>
      </c>
      <c r="BZ4" s="1081" t="s">
        <v>6141</v>
      </c>
      <c r="CA4" s="1051" t="s">
        <v>7407</v>
      </c>
      <c r="CB4" s="1082"/>
      <c r="CC4" s="1083"/>
      <c r="CD4" s="1051" t="s">
        <v>7408</v>
      </c>
      <c r="CE4" s="1084" t="s">
        <v>7409</v>
      </c>
      <c r="CF4" s="1051" t="s">
        <v>1597</v>
      </c>
      <c r="CG4" s="1052" t="s">
        <v>5099</v>
      </c>
      <c r="CH4" s="1085" t="s">
        <v>7410</v>
      </c>
      <c r="CI4" s="1051" t="s">
        <v>1021</v>
      </c>
      <c r="CJ4" s="1051" t="s">
        <v>2217</v>
      </c>
      <c r="CK4" s="1051" t="s">
        <v>3933</v>
      </c>
    </row>
    <row r="5">
      <c r="A5" s="1086" t="s">
        <v>6627</v>
      </c>
      <c r="B5" s="1044" t="s">
        <v>7411</v>
      </c>
      <c r="C5" s="1040" t="s">
        <v>334</v>
      </c>
      <c r="D5" s="1041" t="s">
        <v>335</v>
      </c>
      <c r="E5" s="1042" t="s">
        <v>441</v>
      </c>
      <c r="F5" s="1043" t="s">
        <v>3371</v>
      </c>
      <c r="G5" s="1044" t="s">
        <v>4668</v>
      </c>
      <c r="H5" s="1087"/>
      <c r="I5" s="1088" t="s">
        <v>1261</v>
      </c>
      <c r="J5" s="1088"/>
      <c r="K5" s="1089" t="s">
        <v>7412</v>
      </c>
      <c r="L5" s="1088" t="s">
        <v>7413</v>
      </c>
      <c r="M5" s="1087"/>
      <c r="N5" s="1087"/>
      <c r="O5" s="1090" t="s">
        <v>7414</v>
      </c>
      <c r="P5" s="1065"/>
      <c r="Q5" s="1091" t="s">
        <v>7415</v>
      </c>
      <c r="R5" s="1092"/>
      <c r="S5" s="1092"/>
      <c r="T5" s="1093" t="s">
        <v>6861</v>
      </c>
      <c r="U5" s="1094"/>
      <c r="V5" s="1095" t="s">
        <v>7416</v>
      </c>
      <c r="W5" s="1065"/>
      <c r="X5" s="1096" t="s">
        <v>141</v>
      </c>
      <c r="Y5" s="1096" t="s">
        <v>7417</v>
      </c>
      <c r="Z5" s="1056" t="s">
        <v>4434</v>
      </c>
      <c r="AA5" s="1057" t="s">
        <v>5608</v>
      </c>
      <c r="AB5" s="1097" t="s">
        <v>792</v>
      </c>
      <c r="AC5" s="1097" t="s">
        <v>2973</v>
      </c>
      <c r="AD5" s="1055" t="s">
        <v>1215</v>
      </c>
      <c r="AE5" s="1097" t="s">
        <v>2924</v>
      </c>
      <c r="AF5" s="1058"/>
      <c r="AG5" s="1055" t="s">
        <v>7418</v>
      </c>
      <c r="AH5" s="1059"/>
      <c r="AI5" s="1065"/>
      <c r="AJ5" s="1098"/>
      <c r="AK5" s="1098" t="s">
        <v>4064</v>
      </c>
      <c r="AL5" s="1099"/>
      <c r="AM5" s="1098" t="s">
        <v>4625</v>
      </c>
      <c r="AN5" s="1098"/>
      <c r="AO5" s="1100" t="s">
        <v>2386</v>
      </c>
      <c r="AP5" s="1099"/>
      <c r="AQ5" s="1101" t="s">
        <v>7419</v>
      </c>
      <c r="AR5" s="1098" t="s">
        <v>7420</v>
      </c>
      <c r="AS5" s="1098" t="s">
        <v>7421</v>
      </c>
      <c r="AT5" s="1099"/>
      <c r="AU5" s="1099"/>
      <c r="AV5" s="1099"/>
      <c r="AW5" s="1102" t="s">
        <v>4330</v>
      </c>
      <c r="AX5" s="1103" t="s">
        <v>3753</v>
      </c>
      <c r="AY5" s="1098" t="s">
        <v>7422</v>
      </c>
      <c r="AZ5" s="1065"/>
      <c r="BA5" s="1104"/>
      <c r="BB5" s="1105" t="s">
        <v>7423</v>
      </c>
      <c r="BC5" s="1106" t="s">
        <v>7424</v>
      </c>
      <c r="BD5" s="1104"/>
      <c r="BE5" s="1107" t="s">
        <v>7425</v>
      </c>
      <c r="BF5" s="1065"/>
      <c r="BG5" s="1108" t="s">
        <v>7426</v>
      </c>
      <c r="BH5" s="1109" t="s">
        <v>1875</v>
      </c>
      <c r="BI5" s="1109"/>
      <c r="BJ5" s="1109"/>
      <c r="BK5" s="1110" t="s">
        <v>1984</v>
      </c>
      <c r="BL5" s="1111"/>
      <c r="BM5" s="1109" t="s">
        <v>7427</v>
      </c>
      <c r="BN5" s="1065"/>
      <c r="BO5" s="1112" t="s">
        <v>6470</v>
      </c>
      <c r="BP5" s="1113"/>
      <c r="BQ5" s="1113"/>
      <c r="BR5" s="1114" t="s">
        <v>7428</v>
      </c>
      <c r="BS5" s="1113"/>
      <c r="BT5" s="1115" t="s">
        <v>1619</v>
      </c>
      <c r="BU5" s="1113"/>
      <c r="BV5" s="1116" t="s">
        <v>3852</v>
      </c>
      <c r="BW5" s="1115" t="s">
        <v>6102</v>
      </c>
      <c r="BX5" s="1065"/>
      <c r="BY5" s="1117" t="s">
        <v>2713</v>
      </c>
      <c r="BZ5" s="1118" t="s">
        <v>4199</v>
      </c>
      <c r="CA5" s="1119"/>
      <c r="CB5" s="1119"/>
      <c r="CC5" s="1119"/>
      <c r="CD5" s="1118" t="s">
        <v>1400</v>
      </c>
      <c r="CE5" s="1120" t="s">
        <v>4699</v>
      </c>
      <c r="CF5" s="1118" t="s">
        <v>7429</v>
      </c>
      <c r="CG5" s="1119"/>
      <c r="CH5" s="1119"/>
      <c r="CI5" s="1119"/>
      <c r="CJ5" s="1119"/>
      <c r="CK5" s="1119"/>
    </row>
    <row r="6">
      <c r="A6" s="1121" t="s">
        <v>437</v>
      </c>
      <c r="B6" s="1044" t="s">
        <v>7430</v>
      </c>
      <c r="C6" s="1040" t="s">
        <v>439</v>
      </c>
      <c r="D6" s="1041" t="s">
        <v>1200</v>
      </c>
      <c r="E6" s="1042" t="s">
        <v>441</v>
      </c>
      <c r="F6" s="1043" t="s">
        <v>4042</v>
      </c>
      <c r="G6" s="1044" t="s">
        <v>1503</v>
      </c>
      <c r="H6" s="1089" t="s">
        <v>1609</v>
      </c>
      <c r="I6" s="1122" t="s">
        <v>3112</v>
      </c>
      <c r="J6" s="1090" t="s">
        <v>7431</v>
      </c>
      <c r="K6" s="1123" t="s">
        <v>5917</v>
      </c>
      <c r="L6" s="1089" t="s">
        <v>5460</v>
      </c>
      <c r="M6" s="1087"/>
      <c r="N6" s="1087"/>
      <c r="O6" s="1124" t="s">
        <v>7432</v>
      </c>
      <c r="P6" s="1050"/>
      <c r="Q6" s="1125" t="s">
        <v>5597</v>
      </c>
      <c r="R6" s="1125" t="s">
        <v>2714</v>
      </c>
      <c r="S6" s="1092"/>
      <c r="T6" s="1126" t="s">
        <v>234</v>
      </c>
      <c r="U6" s="1127"/>
      <c r="V6" s="1093" t="s">
        <v>7433</v>
      </c>
      <c r="W6" s="1050"/>
      <c r="X6" s="1057" t="s">
        <v>3265</v>
      </c>
      <c r="Y6" s="1057" t="s">
        <v>7434</v>
      </c>
      <c r="Z6" s="1057" t="s">
        <v>2590</v>
      </c>
      <c r="AA6" s="1128" t="s">
        <v>7435</v>
      </c>
      <c r="AB6" s="1096" t="s">
        <v>1277</v>
      </c>
      <c r="AC6" s="1128" t="s">
        <v>1319</v>
      </c>
      <c r="AD6" s="1055" t="s">
        <v>1215</v>
      </c>
      <c r="AE6" s="1055" t="s">
        <v>6742</v>
      </c>
      <c r="AF6" s="1129"/>
      <c r="AG6" s="1130" t="s">
        <v>7436</v>
      </c>
      <c r="AH6" s="1059"/>
      <c r="AI6" s="1060"/>
      <c r="AJ6" s="1098"/>
      <c r="AK6" s="1098" t="s">
        <v>7437</v>
      </c>
      <c r="AL6" s="1099"/>
      <c r="AM6" s="1131" t="s">
        <v>2775</v>
      </c>
      <c r="AN6" s="1132" t="s">
        <v>3536</v>
      </c>
      <c r="AO6" s="1098" t="s">
        <v>7438</v>
      </c>
      <c r="AP6" s="1131" t="s">
        <v>2464</v>
      </c>
      <c r="AQ6" s="1133" t="s">
        <v>7439</v>
      </c>
      <c r="AR6" s="1098" t="s">
        <v>7440</v>
      </c>
      <c r="AS6" s="1099"/>
      <c r="AT6" s="1100" t="s">
        <v>4876</v>
      </c>
      <c r="AU6" s="1099"/>
      <c r="AV6" s="1099"/>
      <c r="AW6" s="1103" t="s">
        <v>5029</v>
      </c>
      <c r="AX6" s="1103" t="s">
        <v>1304</v>
      </c>
      <c r="AY6" s="1099"/>
      <c r="AZ6" s="1065"/>
      <c r="BA6" s="1134"/>
      <c r="BB6" s="1106" t="s">
        <v>7441</v>
      </c>
      <c r="BC6" s="1107" t="s">
        <v>6132</v>
      </c>
      <c r="BD6" s="1134"/>
      <c r="BE6" s="1135" t="s">
        <v>7442</v>
      </c>
      <c r="BF6" s="1065"/>
      <c r="BG6" s="1108" t="s">
        <v>3227</v>
      </c>
      <c r="BH6" s="1108" t="s">
        <v>1306</v>
      </c>
      <c r="BI6" s="1136" t="s">
        <v>5825</v>
      </c>
      <c r="BJ6" s="1137"/>
      <c r="BK6" s="1108" t="s">
        <v>7443</v>
      </c>
      <c r="BL6" s="1111"/>
      <c r="BM6" s="1109" t="s">
        <v>7444</v>
      </c>
      <c r="BN6" s="1050"/>
      <c r="BO6" s="1115" t="s">
        <v>7445</v>
      </c>
      <c r="BP6" s="1114"/>
      <c r="BQ6" s="1138" t="s">
        <v>1770</v>
      </c>
      <c r="BR6" s="1114" t="s">
        <v>7446</v>
      </c>
      <c r="BS6" s="1113"/>
      <c r="BT6" s="1138" t="s">
        <v>2043</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7447</v>
      </c>
      <c r="B7" s="1142" t="s">
        <v>7448</v>
      </c>
      <c r="C7" s="1040" t="s">
        <v>335</v>
      </c>
      <c r="D7" s="1041" t="s">
        <v>441</v>
      </c>
      <c r="E7" s="1042" t="s">
        <v>4219</v>
      </c>
      <c r="F7" s="1043" t="s">
        <v>3432</v>
      </c>
      <c r="G7" s="1044" t="s">
        <v>3930</v>
      </c>
      <c r="H7" s="1143" t="s">
        <v>7184</v>
      </c>
      <c r="I7" s="1089" t="s">
        <v>7449</v>
      </c>
      <c r="J7" s="1089" t="s">
        <v>3717</v>
      </c>
      <c r="K7" s="1089" t="s">
        <v>7450</v>
      </c>
      <c r="L7" s="1144" t="s">
        <v>1965</v>
      </c>
      <c r="M7" s="1122" t="s">
        <v>7451</v>
      </c>
      <c r="N7" s="1089" t="s">
        <v>7452</v>
      </c>
      <c r="O7" s="1089" t="s">
        <v>7453</v>
      </c>
      <c r="P7" s="1050"/>
      <c r="Q7" s="1095" t="s">
        <v>7454</v>
      </c>
      <c r="R7" s="1095" t="s">
        <v>2080</v>
      </c>
      <c r="S7" s="1093" t="s">
        <v>727</v>
      </c>
      <c r="T7" s="1095" t="s">
        <v>5176</v>
      </c>
      <c r="U7" s="1125" t="s">
        <v>7455</v>
      </c>
      <c r="V7" s="1093" t="s">
        <v>7456</v>
      </c>
      <c r="W7" s="1050"/>
      <c r="X7" s="1097" t="s">
        <v>833</v>
      </c>
      <c r="Y7" s="1056" t="s">
        <v>7457</v>
      </c>
      <c r="Z7" s="1057" t="s">
        <v>7458</v>
      </c>
      <c r="AA7" s="1057" t="s">
        <v>7459</v>
      </c>
      <c r="AB7" s="1145" t="s">
        <v>4373</v>
      </c>
      <c r="AC7" s="1057" t="s">
        <v>5891</v>
      </c>
      <c r="AD7" s="1057" t="s">
        <v>131</v>
      </c>
      <c r="AE7" s="1057" t="s">
        <v>7460</v>
      </c>
      <c r="AF7" s="1058"/>
      <c r="AG7" s="1130" t="s">
        <v>7461</v>
      </c>
      <c r="AH7" s="1146" t="s">
        <v>7462</v>
      </c>
      <c r="AI7" s="1050"/>
      <c r="AJ7" s="1147"/>
      <c r="AK7" s="1132" t="s">
        <v>102</v>
      </c>
      <c r="AL7" s="1133" t="s">
        <v>7463</v>
      </c>
      <c r="AM7" s="1103" t="s">
        <v>2232</v>
      </c>
      <c r="AN7" s="1098" t="s">
        <v>4614</v>
      </c>
      <c r="AO7" s="1098" t="s">
        <v>7464</v>
      </c>
      <c r="AP7" s="1103" t="s">
        <v>7465</v>
      </c>
      <c r="AQ7" s="1098" t="s">
        <v>7466</v>
      </c>
      <c r="AR7" s="1103" t="s">
        <v>7467</v>
      </c>
      <c r="AS7" s="1103" t="s">
        <v>2764</v>
      </c>
      <c r="AT7" s="1132" t="s">
        <v>7468</v>
      </c>
      <c r="AU7" s="1100" t="s">
        <v>7469</v>
      </c>
      <c r="AV7" s="1133" t="s">
        <v>7470</v>
      </c>
      <c r="AW7" s="1103" t="s">
        <v>2547</v>
      </c>
      <c r="AX7" s="1132" t="s">
        <v>5299</v>
      </c>
      <c r="AY7" s="1132" t="s">
        <v>7471</v>
      </c>
      <c r="AZ7" s="1065"/>
      <c r="BA7" s="1107" t="s">
        <v>7472</v>
      </c>
      <c r="BB7" s="1148" t="s">
        <v>7473</v>
      </c>
      <c r="BC7" s="1149" t="s">
        <v>3278</v>
      </c>
      <c r="BD7" s="1150"/>
      <c r="BE7" s="1106" t="s">
        <v>7474</v>
      </c>
      <c r="BF7" s="1065"/>
      <c r="BG7" s="1151" t="s">
        <v>7475</v>
      </c>
      <c r="BH7" s="1152" t="s">
        <v>3548</v>
      </c>
      <c r="BI7" s="1108" t="s">
        <v>612</v>
      </c>
      <c r="BJ7" s="1109" t="s">
        <v>7476</v>
      </c>
      <c r="BK7" s="1108" t="s">
        <v>7477</v>
      </c>
      <c r="BL7" s="1108" t="s">
        <v>7478</v>
      </c>
      <c r="BM7" s="1108" t="s">
        <v>7479</v>
      </c>
      <c r="BN7" s="1050"/>
      <c r="BO7" s="1115" t="s">
        <v>2464</v>
      </c>
      <c r="BP7" s="1116" t="s">
        <v>5781</v>
      </c>
      <c r="BQ7" s="1115" t="s">
        <v>3589</v>
      </c>
      <c r="BR7" s="1115" t="s">
        <v>3914</v>
      </c>
      <c r="BS7" s="1115" t="s">
        <v>816</v>
      </c>
      <c r="BT7" s="1115" t="s">
        <v>1373</v>
      </c>
      <c r="BU7" s="1138" t="s">
        <v>3914</v>
      </c>
      <c r="BV7" s="1153" t="s">
        <v>7480</v>
      </c>
      <c r="BW7" s="1115" t="s">
        <v>7481</v>
      </c>
      <c r="BX7" s="1050"/>
      <c r="BY7" s="1139" t="s">
        <v>7482</v>
      </c>
      <c r="BZ7" s="1154" t="s">
        <v>6365</v>
      </c>
      <c r="CA7" s="1154" t="s">
        <v>2348</v>
      </c>
      <c r="CB7" s="1155" t="s">
        <v>3487</v>
      </c>
      <c r="CC7" s="1156"/>
      <c r="CD7" s="1157"/>
      <c r="CE7" s="1139" t="s">
        <v>2722</v>
      </c>
      <c r="CF7" s="1139" t="s">
        <v>7139</v>
      </c>
      <c r="CG7" s="1139" t="s">
        <v>7483</v>
      </c>
      <c r="CH7" s="1139" t="s">
        <v>2247</v>
      </c>
      <c r="CI7" s="1139" t="s">
        <v>7484</v>
      </c>
      <c r="CJ7" s="1154" t="s">
        <v>2749</v>
      </c>
      <c r="CK7" s="1155"/>
    </row>
    <row r="8">
      <c r="A8" s="1158" t="s">
        <v>1556</v>
      </c>
      <c r="B8" s="1044" t="s">
        <v>7485</v>
      </c>
      <c r="C8" s="1040" t="s">
        <v>334</v>
      </c>
      <c r="D8" s="1041" t="s">
        <v>648</v>
      </c>
      <c r="E8" s="1042" t="s">
        <v>441</v>
      </c>
      <c r="F8" s="1043" t="s">
        <v>2930</v>
      </c>
      <c r="G8" s="1044" t="s">
        <v>5859</v>
      </c>
      <c r="H8" s="1089" t="s">
        <v>1296</v>
      </c>
      <c r="I8" s="1159" t="s">
        <v>7486</v>
      </c>
      <c r="J8" s="1087"/>
      <c r="K8" s="1088" t="s">
        <v>7487</v>
      </c>
      <c r="L8" s="1159" t="s">
        <v>7488</v>
      </c>
      <c r="M8" s="1087"/>
      <c r="N8" s="1124" t="s">
        <v>7489</v>
      </c>
      <c r="O8" s="1087"/>
      <c r="P8" s="1050"/>
      <c r="Q8" s="1091" t="s">
        <v>4153</v>
      </c>
      <c r="R8" s="1126" t="s">
        <v>3174</v>
      </c>
      <c r="S8" s="1127" t="s">
        <v>5900</v>
      </c>
      <c r="T8" s="1160" t="s">
        <v>5383</v>
      </c>
      <c r="U8" s="1160" t="s">
        <v>7490</v>
      </c>
      <c r="V8" s="1125" t="s">
        <v>7491</v>
      </c>
      <c r="W8" s="1050"/>
      <c r="X8" s="1128" t="s">
        <v>913</v>
      </c>
      <c r="Y8" s="1128" t="s">
        <v>7492</v>
      </c>
      <c r="Z8" s="1057" t="s">
        <v>6880</v>
      </c>
      <c r="AA8" s="1145" t="s">
        <v>7493</v>
      </c>
      <c r="AB8" s="1096" t="s">
        <v>4951</v>
      </c>
      <c r="AC8" s="1096" t="s">
        <v>5125</v>
      </c>
      <c r="AD8" s="1128" t="s">
        <v>4956</v>
      </c>
      <c r="AE8" s="1096" t="s">
        <v>6704</v>
      </c>
      <c r="AF8" s="1096"/>
      <c r="AG8" s="1161"/>
      <c r="AH8" s="1162" t="s">
        <v>7494</v>
      </c>
      <c r="AI8" s="1050"/>
      <c r="AJ8" s="1098"/>
      <c r="AK8" s="1098" t="s">
        <v>7495</v>
      </c>
      <c r="AL8" s="1098" t="s">
        <v>5503</v>
      </c>
      <c r="AM8" s="1098" t="s">
        <v>563</v>
      </c>
      <c r="AN8" s="1103" t="s">
        <v>7496</v>
      </c>
      <c r="AO8" s="1099"/>
      <c r="AP8" s="1103" t="s">
        <v>7497</v>
      </c>
      <c r="AQ8" s="1163" t="s">
        <v>5059</v>
      </c>
      <c r="AR8" s="1098" t="s">
        <v>7498</v>
      </c>
      <c r="AS8" s="1132" t="s">
        <v>7499</v>
      </c>
      <c r="AT8" s="1099"/>
      <c r="AU8" s="1098" t="s">
        <v>7500</v>
      </c>
      <c r="AV8" s="1099"/>
      <c r="AW8" s="1098" t="s">
        <v>475</v>
      </c>
      <c r="AX8" s="1103" t="s">
        <v>7501</v>
      </c>
      <c r="AY8" s="1103" t="s">
        <v>7502</v>
      </c>
      <c r="AZ8" s="1065"/>
      <c r="BA8" s="1105" t="s">
        <v>7503</v>
      </c>
      <c r="BB8" s="1106" t="s">
        <v>7504</v>
      </c>
      <c r="BC8" s="1164" t="s">
        <v>3547</v>
      </c>
      <c r="BD8" s="1134"/>
      <c r="BE8" s="1135" t="s">
        <v>7505</v>
      </c>
      <c r="BF8" s="1065"/>
      <c r="BG8" s="1108" t="s">
        <v>3227</v>
      </c>
      <c r="BH8" s="1108" t="s">
        <v>7506</v>
      </c>
      <c r="BI8" s="1109" t="s">
        <v>770</v>
      </c>
      <c r="BJ8" s="1111"/>
      <c r="BK8" s="1108" t="s">
        <v>7507</v>
      </c>
      <c r="BL8" s="1110" t="s">
        <v>7508</v>
      </c>
      <c r="BM8" s="1165" t="s">
        <v>7509</v>
      </c>
      <c r="BN8" s="1050"/>
      <c r="BO8" s="1114" t="s">
        <v>7510</v>
      </c>
      <c r="BP8" s="1166"/>
      <c r="BQ8" s="1114" t="s">
        <v>7103</v>
      </c>
      <c r="BR8" s="1167" t="s">
        <v>7511</v>
      </c>
      <c r="BS8" s="1116" t="s">
        <v>7512</v>
      </c>
      <c r="BT8" s="1114" t="s">
        <v>6899</v>
      </c>
      <c r="BU8" s="1167" t="s">
        <v>7503</v>
      </c>
      <c r="BV8" s="1115" t="s">
        <v>7513</v>
      </c>
      <c r="BW8" s="1153" t="s">
        <v>7514</v>
      </c>
      <c r="BX8" s="1050"/>
      <c r="BY8" s="1118" t="s">
        <v>7515</v>
      </c>
      <c r="BZ8" s="1118" t="s">
        <v>2644</v>
      </c>
      <c r="CA8" s="1119"/>
      <c r="CB8" s="1168" t="s">
        <v>2403</v>
      </c>
      <c r="CC8" s="1118"/>
      <c r="CD8" s="1118" t="s">
        <v>2947</v>
      </c>
      <c r="CE8" s="1154" t="s">
        <v>7516</v>
      </c>
      <c r="CF8" s="1155" t="s">
        <v>7248</v>
      </c>
      <c r="CG8" s="1155" t="s">
        <v>5701</v>
      </c>
      <c r="CH8" s="1169" t="s">
        <v>7517</v>
      </c>
      <c r="CI8" s="1155" t="s">
        <v>3637</v>
      </c>
      <c r="CJ8" s="1155" t="s">
        <v>5037</v>
      </c>
      <c r="CK8" s="1140"/>
    </row>
    <row r="9">
      <c r="A9" s="1170" t="s">
        <v>827</v>
      </c>
      <c r="B9" s="1044" t="s">
        <v>7518</v>
      </c>
      <c r="C9" s="1040" t="s">
        <v>648</v>
      </c>
      <c r="D9" s="1041" t="s">
        <v>985</v>
      </c>
      <c r="E9" s="1042" t="s">
        <v>441</v>
      </c>
      <c r="F9" s="1043" t="s">
        <v>6214</v>
      </c>
      <c r="G9" s="1044" t="s">
        <v>2987</v>
      </c>
      <c r="H9" s="1087"/>
      <c r="I9" s="1143" t="s">
        <v>7519</v>
      </c>
      <c r="J9" s="1088" t="s">
        <v>7520</v>
      </c>
      <c r="K9" s="1088"/>
      <c r="L9" s="1124" t="s">
        <v>7521</v>
      </c>
      <c r="M9" s="1087"/>
      <c r="N9" s="1122" t="s">
        <v>7522</v>
      </c>
      <c r="O9" s="1087"/>
      <c r="P9" s="1050"/>
      <c r="Q9" s="1126" t="s">
        <v>7523</v>
      </c>
      <c r="R9" s="1171" t="s">
        <v>2123</v>
      </c>
      <c r="S9" s="1092"/>
      <c r="T9" s="1092"/>
      <c r="U9" s="1126" t="s">
        <v>7524</v>
      </c>
      <c r="V9" s="1093" t="s">
        <v>7525</v>
      </c>
      <c r="W9" s="1050"/>
      <c r="X9" s="1056" t="s">
        <v>7526</v>
      </c>
      <c r="Y9" s="1096"/>
      <c r="Z9" s="1096" t="s">
        <v>7527</v>
      </c>
      <c r="AA9" s="1172" t="s">
        <v>7528</v>
      </c>
      <c r="AB9" s="1096"/>
      <c r="AC9" s="1096" t="s">
        <v>7529</v>
      </c>
      <c r="AD9" s="1055" t="s">
        <v>1215</v>
      </c>
      <c r="AE9" s="1161"/>
      <c r="AF9" s="1161"/>
      <c r="AG9" s="1096" t="s">
        <v>7530</v>
      </c>
      <c r="AH9" s="1059"/>
      <c r="AI9" s="1050"/>
      <c r="AJ9" s="1099"/>
      <c r="AK9" s="1099"/>
      <c r="AL9" s="1099"/>
      <c r="AM9" s="1133" t="s">
        <v>5679</v>
      </c>
      <c r="AN9" s="1099"/>
      <c r="AO9" s="1132" t="s">
        <v>1998</v>
      </c>
      <c r="AP9" s="1133" t="s">
        <v>7531</v>
      </c>
      <c r="AQ9" s="1100" t="s">
        <v>7532</v>
      </c>
      <c r="AR9" s="1099"/>
      <c r="AS9" s="1099"/>
      <c r="AT9" s="1099"/>
      <c r="AU9" s="1099"/>
      <c r="AV9" s="1099"/>
      <c r="AW9" s="1100" t="s">
        <v>7533</v>
      </c>
      <c r="AX9" s="1099"/>
      <c r="AY9" s="1099"/>
      <c r="AZ9" s="1065"/>
      <c r="BA9" s="1173"/>
      <c r="BB9" s="1173"/>
      <c r="BC9" s="1148" t="s">
        <v>6687</v>
      </c>
      <c r="BD9" s="1134"/>
      <c r="BE9" s="1135" t="s">
        <v>7534</v>
      </c>
      <c r="BF9" s="1065"/>
      <c r="BG9" s="1110" t="s">
        <v>7535</v>
      </c>
      <c r="BH9" s="1174" t="s">
        <v>7277</v>
      </c>
      <c r="BI9" s="1110" t="s">
        <v>327</v>
      </c>
      <c r="BJ9" s="1111"/>
      <c r="BK9" s="1111"/>
      <c r="BL9" s="1111"/>
      <c r="BM9" s="1109" t="s">
        <v>7536</v>
      </c>
      <c r="BN9" s="1050"/>
      <c r="BO9" s="1138" t="s">
        <v>7537</v>
      </c>
      <c r="BP9" s="1166"/>
      <c r="BQ9" s="1114" t="s">
        <v>7538</v>
      </c>
      <c r="BR9" s="1113"/>
      <c r="BS9" s="1113"/>
      <c r="BT9" s="1153" t="s">
        <v>139</v>
      </c>
      <c r="BU9" s="1113"/>
      <c r="BV9" s="1114" t="s">
        <v>4049</v>
      </c>
      <c r="BW9" s="1114" t="s">
        <v>7539</v>
      </c>
      <c r="BX9" s="1050"/>
      <c r="BY9" s="1118" t="s">
        <v>966</v>
      </c>
      <c r="BZ9" s="1169" t="s">
        <v>7540</v>
      </c>
      <c r="CA9" s="1119"/>
      <c r="CB9" s="1140"/>
      <c r="CC9" s="1119"/>
      <c r="CD9" s="1119"/>
      <c r="CE9" s="1119"/>
      <c r="CF9" s="1119"/>
      <c r="CG9" s="1119"/>
      <c r="CH9" s="1119"/>
      <c r="CI9" s="1119"/>
      <c r="CJ9" s="1140"/>
      <c r="CK9" s="1140"/>
    </row>
    <row r="10">
      <c r="A10" s="1121" t="s">
        <v>1417</v>
      </c>
      <c r="B10" s="1044" t="s">
        <v>7541</v>
      </c>
      <c r="C10" s="1040" t="s">
        <v>1259</v>
      </c>
      <c r="D10" s="1041" t="s">
        <v>441</v>
      </c>
      <c r="E10" s="1042" t="s">
        <v>440</v>
      </c>
      <c r="F10" s="1043" t="s">
        <v>221</v>
      </c>
      <c r="G10" s="1044" t="s">
        <v>1726</v>
      </c>
      <c r="H10" s="1087"/>
      <c r="I10" s="1089" t="s">
        <v>7542</v>
      </c>
      <c r="J10" s="1123"/>
      <c r="K10" s="1124" t="s">
        <v>7543</v>
      </c>
      <c r="L10" s="1143" t="s">
        <v>3125</v>
      </c>
      <c r="M10" s="1087"/>
      <c r="N10" s="1087"/>
      <c r="O10" s="1159" t="s">
        <v>7544</v>
      </c>
      <c r="P10" s="1050"/>
      <c r="Q10" s="1095" t="s">
        <v>6959</v>
      </c>
      <c r="R10" s="1092"/>
      <c r="S10" s="1092"/>
      <c r="T10" s="1175" t="s">
        <v>5866</v>
      </c>
      <c r="U10" s="1091"/>
      <c r="V10" s="1160" t="s">
        <v>7545</v>
      </c>
      <c r="W10" s="1050"/>
      <c r="X10" s="1057" t="s">
        <v>592</v>
      </c>
      <c r="Y10" s="1176" t="s">
        <v>6875</v>
      </c>
      <c r="Z10" s="1128" t="s">
        <v>7546</v>
      </c>
      <c r="AA10" s="1128" t="s">
        <v>5494</v>
      </c>
      <c r="AB10" s="1057" t="s">
        <v>2352</v>
      </c>
      <c r="AC10" s="1128" t="s">
        <v>7547</v>
      </c>
      <c r="AD10" s="1177" t="s">
        <v>2417</v>
      </c>
      <c r="AE10" s="1057" t="s">
        <v>1092</v>
      </c>
      <c r="AF10" s="1129"/>
      <c r="AG10" s="1097" t="s">
        <v>7548</v>
      </c>
      <c r="AH10" s="1178" t="s">
        <v>7549</v>
      </c>
      <c r="AI10" s="1060"/>
      <c r="AJ10" s="1099"/>
      <c r="AK10" s="1131" t="s">
        <v>7550</v>
      </c>
      <c r="AL10" s="1132" t="s">
        <v>6015</v>
      </c>
      <c r="AM10" s="1103" t="s">
        <v>659</v>
      </c>
      <c r="AN10" s="1179"/>
      <c r="AO10" s="1103" t="s">
        <v>5853</v>
      </c>
      <c r="AP10" s="1131" t="s">
        <v>7551</v>
      </c>
      <c r="AQ10" s="1180" t="s">
        <v>5878</v>
      </c>
      <c r="AR10" s="1099"/>
      <c r="AS10" s="1099"/>
      <c r="AT10" s="1099"/>
      <c r="AU10" s="1099"/>
      <c r="AV10" s="1131" t="s">
        <v>7552</v>
      </c>
      <c r="AW10" s="1131" t="s">
        <v>962</v>
      </c>
      <c r="AX10" s="1163" t="s">
        <v>7553</v>
      </c>
      <c r="AY10" s="1163" t="s">
        <v>7554</v>
      </c>
      <c r="AZ10" s="1065"/>
      <c r="BA10" s="1173"/>
      <c r="BB10" s="1181" t="s">
        <v>7555</v>
      </c>
      <c r="BC10" s="1106" t="s">
        <v>5274</v>
      </c>
      <c r="BD10" s="1134"/>
      <c r="BE10" s="1106" t="s">
        <v>7556</v>
      </c>
      <c r="BF10" s="1065"/>
      <c r="BG10" s="1108" t="s">
        <v>7557</v>
      </c>
      <c r="BH10" s="1182" t="s">
        <v>4725</v>
      </c>
      <c r="BI10" s="1111"/>
      <c r="BJ10" s="1111"/>
      <c r="BK10" s="1111"/>
      <c r="BL10" s="1111"/>
      <c r="BM10" s="1183" t="s">
        <v>7558</v>
      </c>
      <c r="BN10" s="1060"/>
      <c r="BO10" s="1115" t="s">
        <v>7559</v>
      </c>
      <c r="BP10" s="1166"/>
      <c r="BQ10" s="1113"/>
      <c r="BR10" s="1138" t="s">
        <v>7560</v>
      </c>
      <c r="BS10" s="1113"/>
      <c r="BT10" s="1166" t="s">
        <v>298</v>
      </c>
      <c r="BU10" s="1113"/>
      <c r="BV10" s="1166" t="s">
        <v>7561</v>
      </c>
      <c r="BW10" s="1115" t="s">
        <v>7562</v>
      </c>
      <c r="BX10" s="1060"/>
      <c r="BY10" s="1184"/>
      <c r="BZ10" s="1139" t="s">
        <v>724</v>
      </c>
      <c r="CA10" s="1119"/>
      <c r="CB10" s="1140"/>
      <c r="CC10" s="1119"/>
      <c r="CD10" s="1155" t="s">
        <v>4318</v>
      </c>
      <c r="CE10" s="1119"/>
      <c r="CF10" s="1154" t="s">
        <v>7563</v>
      </c>
      <c r="CG10" s="1168" t="s">
        <v>2633</v>
      </c>
      <c r="CH10" s="1119"/>
      <c r="CI10" s="1119"/>
      <c r="CJ10" s="1140"/>
      <c r="CK10" s="1140"/>
    </row>
    <row r="11">
      <c r="A11" s="1121" t="s">
        <v>332</v>
      </c>
      <c r="B11" s="1044" t="s">
        <v>7564</v>
      </c>
      <c r="C11" s="1040" t="s">
        <v>441</v>
      </c>
      <c r="D11" s="1041" t="s">
        <v>335</v>
      </c>
      <c r="E11" s="1042" t="s">
        <v>1200</v>
      </c>
      <c r="F11" s="1043" t="s">
        <v>3961</v>
      </c>
      <c r="G11" s="1044" t="s">
        <v>1503</v>
      </c>
      <c r="H11" s="1185" t="s">
        <v>2895</v>
      </c>
      <c r="I11" s="1124" t="s">
        <v>7565</v>
      </c>
      <c r="J11" s="1124" t="s">
        <v>7566</v>
      </c>
      <c r="K11" s="1089" t="s">
        <v>713</v>
      </c>
      <c r="L11" s="1186" t="s">
        <v>7567</v>
      </c>
      <c r="M11" s="1087"/>
      <c r="N11" s="1087"/>
      <c r="O11" s="1159" t="s">
        <v>7568</v>
      </c>
      <c r="P11" s="1050"/>
      <c r="Q11" s="1095" t="s">
        <v>7569</v>
      </c>
      <c r="R11" s="1092"/>
      <c r="S11" s="1092"/>
      <c r="T11" s="1125" t="s">
        <v>5346</v>
      </c>
      <c r="U11" s="1091"/>
      <c r="V11" s="1160" t="s">
        <v>7570</v>
      </c>
      <c r="W11" s="1050"/>
      <c r="X11" s="1161"/>
      <c r="Y11" s="1128" t="s">
        <v>7571</v>
      </c>
      <c r="Z11" s="1176" t="s">
        <v>7567</v>
      </c>
      <c r="AA11" s="1176" t="s">
        <v>7572</v>
      </c>
      <c r="AB11" s="1055" t="s">
        <v>3425</v>
      </c>
      <c r="AC11" s="1128" t="s">
        <v>2866</v>
      </c>
      <c r="AD11" s="1057" t="s">
        <v>2395</v>
      </c>
      <c r="AE11" s="1056" t="s">
        <v>1249</v>
      </c>
      <c r="AF11" s="1129"/>
      <c r="AG11" s="1176" t="s">
        <v>7573</v>
      </c>
      <c r="AH11" s="1059"/>
      <c r="AI11" s="1050"/>
      <c r="AJ11" s="1187"/>
      <c r="AK11" s="1103" t="s">
        <v>7574</v>
      </c>
      <c r="AL11" s="1099"/>
      <c r="AM11" s="1188"/>
      <c r="AN11" s="1188" t="s">
        <v>7575</v>
      </c>
      <c r="AO11" s="1189" t="s">
        <v>4839</v>
      </c>
      <c r="AP11" s="1190" t="s">
        <v>7576</v>
      </c>
      <c r="AQ11" s="1190" t="s">
        <v>7577</v>
      </c>
      <c r="AR11" s="1191"/>
      <c r="AS11" s="1100" t="s">
        <v>7421</v>
      </c>
      <c r="AT11" s="1188"/>
      <c r="AU11" s="1179"/>
      <c r="AV11" s="1100" t="s">
        <v>7578</v>
      </c>
      <c r="AW11" s="1132" t="s">
        <v>7579</v>
      </c>
      <c r="AX11" s="1163" t="s">
        <v>7580</v>
      </c>
      <c r="AY11" s="1163" t="s">
        <v>7581</v>
      </c>
      <c r="AZ11" s="1065"/>
      <c r="BA11" s="1104"/>
      <c r="BB11" s="1107" t="s">
        <v>7582</v>
      </c>
      <c r="BC11" s="1106" t="s">
        <v>3749</v>
      </c>
      <c r="BD11" s="1134"/>
      <c r="BE11" s="1181" t="s">
        <v>7583</v>
      </c>
      <c r="BF11" s="1065"/>
      <c r="BG11" s="1192" t="s">
        <v>7584</v>
      </c>
      <c r="BH11" s="1192" t="s">
        <v>5445</v>
      </c>
      <c r="BI11" s="1109"/>
      <c r="BJ11" s="1109"/>
      <c r="BK11" s="1193" t="s">
        <v>7585</v>
      </c>
      <c r="BL11" s="1111"/>
      <c r="BM11" s="1193" t="s">
        <v>7586</v>
      </c>
      <c r="BN11" s="1050"/>
      <c r="BO11" s="1153" t="s">
        <v>7587</v>
      </c>
      <c r="BP11" s="1166"/>
      <c r="BQ11" s="1153" t="s">
        <v>695</v>
      </c>
      <c r="BR11" s="1167" t="s">
        <v>7588</v>
      </c>
      <c r="BS11" s="1113"/>
      <c r="BT11" s="1115" t="s">
        <v>2072</v>
      </c>
      <c r="BU11" s="1113"/>
      <c r="BV11" s="1166" t="s">
        <v>7589</v>
      </c>
      <c r="BW11" s="1194" t="s">
        <v>7590</v>
      </c>
      <c r="BX11" s="1060"/>
      <c r="BY11" s="1168" t="s">
        <v>4494</v>
      </c>
      <c r="BZ11" s="1119"/>
      <c r="CA11" s="1156"/>
      <c r="CB11" s="1169" t="s">
        <v>2810</v>
      </c>
      <c r="CC11" s="1184"/>
      <c r="CD11" s="1168" t="s">
        <v>1172</v>
      </c>
      <c r="CE11" s="1119"/>
      <c r="CF11" s="1168" t="s">
        <v>7591</v>
      </c>
      <c r="CG11" s="1119"/>
      <c r="CH11" s="1155" t="s">
        <v>4847</v>
      </c>
      <c r="CI11" s="1119"/>
      <c r="CJ11" s="1140"/>
      <c r="CK11" s="1140"/>
    </row>
    <row r="12">
      <c r="A12" s="1086" t="s">
        <v>2372</v>
      </c>
      <c r="B12" s="1044" t="s">
        <v>7564</v>
      </c>
      <c r="C12" s="1040" t="s">
        <v>548</v>
      </c>
      <c r="D12" s="1041" t="s">
        <v>441</v>
      </c>
      <c r="E12" s="1042" t="s">
        <v>440</v>
      </c>
      <c r="F12" s="1043" t="s">
        <v>2025</v>
      </c>
      <c r="G12" s="1044" t="s">
        <v>2025</v>
      </c>
      <c r="H12" s="1089" t="s">
        <v>1207</v>
      </c>
      <c r="I12" s="1089" t="s">
        <v>7592</v>
      </c>
      <c r="J12" s="1089" t="s">
        <v>3717</v>
      </c>
      <c r="K12" s="1089" t="s">
        <v>1966</v>
      </c>
      <c r="L12" s="1087"/>
      <c r="M12" s="1087"/>
      <c r="N12" s="1087"/>
      <c r="O12" s="1143" t="s">
        <v>7593</v>
      </c>
      <c r="P12" s="1050"/>
      <c r="Q12" s="1095" t="s">
        <v>7594</v>
      </c>
      <c r="R12" s="1092"/>
      <c r="S12" s="1125" t="s">
        <v>7595</v>
      </c>
      <c r="T12" s="1095" t="s">
        <v>5216</v>
      </c>
      <c r="U12" s="1095" t="s">
        <v>3596</v>
      </c>
      <c r="V12" s="1095" t="s">
        <v>7596</v>
      </c>
      <c r="W12" s="1050"/>
      <c r="X12" s="1057" t="s">
        <v>2680</v>
      </c>
      <c r="Y12" s="1097" t="s">
        <v>7597</v>
      </c>
      <c r="Z12" s="1057" t="s">
        <v>7598</v>
      </c>
      <c r="AA12" s="1057" t="s">
        <v>7459</v>
      </c>
      <c r="AB12" s="1057" t="s">
        <v>6377</v>
      </c>
      <c r="AC12" s="1057" t="s">
        <v>7599</v>
      </c>
      <c r="AD12" s="1057" t="s">
        <v>1058</v>
      </c>
      <c r="AE12" s="1057" t="s">
        <v>7600</v>
      </c>
      <c r="AF12" s="1129"/>
      <c r="AG12" s="1057" t="s">
        <v>7601</v>
      </c>
      <c r="AH12" s="1059"/>
      <c r="AI12" s="1050"/>
      <c r="AJ12" s="1187"/>
      <c r="AK12" s="1133" t="s">
        <v>2092</v>
      </c>
      <c r="AL12" s="1099"/>
      <c r="AM12" s="1103" t="s">
        <v>4230</v>
      </c>
      <c r="AN12" s="1099"/>
      <c r="AO12" s="1099"/>
      <c r="AP12" s="1103" t="s">
        <v>3549</v>
      </c>
      <c r="AQ12" s="1099"/>
      <c r="AR12" s="1133" t="s">
        <v>7602</v>
      </c>
      <c r="AS12" s="1103" t="s">
        <v>7603</v>
      </c>
      <c r="AT12" s="1099"/>
      <c r="AU12" s="1132" t="s">
        <v>7604</v>
      </c>
      <c r="AV12" s="1099"/>
      <c r="AW12" s="1103" t="s">
        <v>5410</v>
      </c>
      <c r="AX12" s="1103" t="s">
        <v>4807</v>
      </c>
      <c r="AY12" s="1103" t="s">
        <v>7605</v>
      </c>
      <c r="AZ12" s="1065"/>
      <c r="BA12" s="1106" t="s">
        <v>7606</v>
      </c>
      <c r="BB12" s="1106" t="s">
        <v>7607</v>
      </c>
      <c r="BC12" s="1106" t="s">
        <v>5335</v>
      </c>
      <c r="BD12" s="1134"/>
      <c r="BE12" s="1106" t="s">
        <v>7608</v>
      </c>
      <c r="BF12" s="1065"/>
      <c r="BG12" s="1108" t="s">
        <v>7609</v>
      </c>
      <c r="BH12" s="1108" t="s">
        <v>3325</v>
      </c>
      <c r="BI12" s="1108" t="s">
        <v>2217</v>
      </c>
      <c r="BJ12" s="1174" t="s">
        <v>7610</v>
      </c>
      <c r="BK12" s="1108" t="s">
        <v>2915</v>
      </c>
      <c r="BL12" s="1111"/>
      <c r="BM12" s="1108" t="s">
        <v>7611</v>
      </c>
      <c r="BN12" s="1050"/>
      <c r="BO12" s="1113"/>
      <c r="BP12" s="1166"/>
      <c r="BQ12" s="1115" t="s">
        <v>2661</v>
      </c>
      <c r="BR12" s="1115" t="s">
        <v>7612</v>
      </c>
      <c r="BS12" s="1113"/>
      <c r="BT12" s="1115" t="s">
        <v>1788</v>
      </c>
      <c r="BU12" s="1113"/>
      <c r="BV12" s="1115" t="s">
        <v>7613</v>
      </c>
      <c r="BW12" s="1115" t="s">
        <v>6201</v>
      </c>
      <c r="BX12" s="1050"/>
      <c r="BY12" s="1139" t="s">
        <v>7438</v>
      </c>
      <c r="BZ12" s="1139" t="s">
        <v>2684</v>
      </c>
      <c r="CA12" s="1155" t="s">
        <v>7614</v>
      </c>
      <c r="CB12" s="1140"/>
      <c r="CC12" s="1119"/>
      <c r="CD12" s="1155" t="s">
        <v>4318</v>
      </c>
      <c r="CE12" s="1139" t="s">
        <v>7615</v>
      </c>
      <c r="CF12" s="1139" t="s">
        <v>5337</v>
      </c>
      <c r="CG12" s="1154" t="s">
        <v>7616</v>
      </c>
      <c r="CH12" s="1119"/>
      <c r="CI12" s="1154" t="s">
        <v>4802</v>
      </c>
      <c r="CJ12" s="1140"/>
      <c r="CK12" s="1140"/>
    </row>
    <row r="13">
      <c r="A13" s="1195" t="s">
        <v>1059</v>
      </c>
      <c r="B13" s="1044" t="s">
        <v>7617</v>
      </c>
      <c r="C13" s="1040" t="s">
        <v>222</v>
      </c>
      <c r="D13" s="1041" t="s">
        <v>335</v>
      </c>
      <c r="E13" s="1042" t="s">
        <v>334</v>
      </c>
      <c r="F13" s="1043" t="s">
        <v>3961</v>
      </c>
      <c r="G13" s="1044" t="s">
        <v>6244</v>
      </c>
      <c r="H13" s="1122" t="s">
        <v>4806</v>
      </c>
      <c r="I13" s="1087"/>
      <c r="J13" s="1143" t="s">
        <v>7618</v>
      </c>
      <c r="K13" s="1143" t="s">
        <v>6347</v>
      </c>
      <c r="L13" s="1087"/>
      <c r="M13" s="1087"/>
      <c r="N13" s="1087"/>
      <c r="O13" s="1088" t="s">
        <v>7619</v>
      </c>
      <c r="P13" s="1050"/>
      <c r="Q13" s="1092"/>
      <c r="R13" s="1093" t="s">
        <v>405</v>
      </c>
      <c r="S13" s="1092"/>
      <c r="T13" s="1171" t="s">
        <v>4857</v>
      </c>
      <c r="U13" s="1171" t="s">
        <v>1186</v>
      </c>
      <c r="V13" s="1092"/>
      <c r="W13" s="1050"/>
      <c r="X13" s="1096" t="s">
        <v>380</v>
      </c>
      <c r="Y13" s="1161"/>
      <c r="Z13" s="1097" t="s">
        <v>3291</v>
      </c>
      <c r="AA13" s="1056" t="s">
        <v>7620</v>
      </c>
      <c r="AB13" s="1096" t="s">
        <v>506</v>
      </c>
      <c r="AC13" s="1130" t="s">
        <v>5215</v>
      </c>
      <c r="AD13" s="1056" t="s">
        <v>1790</v>
      </c>
      <c r="AE13" s="1128" t="s">
        <v>7621</v>
      </c>
      <c r="AF13" s="1096"/>
      <c r="AG13" s="1096" t="s">
        <v>7622</v>
      </c>
      <c r="AH13" s="1059"/>
      <c r="AI13" s="1050"/>
      <c r="AJ13" s="1099"/>
      <c r="AK13" s="1099"/>
      <c r="AL13" s="1099"/>
      <c r="AM13" s="1098" t="s">
        <v>5161</v>
      </c>
      <c r="AN13" s="1100" t="s">
        <v>4067</v>
      </c>
      <c r="AO13" s="1099"/>
      <c r="AP13" s="1099"/>
      <c r="AQ13" s="1099"/>
      <c r="AR13" s="1100" t="s">
        <v>7623</v>
      </c>
      <c r="AS13" s="1099"/>
      <c r="AT13" s="1133" t="s">
        <v>7624</v>
      </c>
      <c r="AU13" s="1099"/>
      <c r="AV13" s="1099"/>
      <c r="AW13" s="1133" t="s">
        <v>1041</v>
      </c>
      <c r="AX13" s="1133" t="s">
        <v>7625</v>
      </c>
      <c r="AY13" s="1133" t="s">
        <v>968</v>
      </c>
      <c r="AZ13" s="1065"/>
      <c r="BA13" s="1173"/>
      <c r="BB13" s="1135"/>
      <c r="BC13" s="1105" t="s">
        <v>4536</v>
      </c>
      <c r="BD13" s="1104"/>
      <c r="BE13" s="1135"/>
      <c r="BF13" s="1065"/>
      <c r="BG13" s="1111"/>
      <c r="BH13" s="1111"/>
      <c r="BI13" s="1174" t="s">
        <v>7626</v>
      </c>
      <c r="BJ13" s="1111"/>
      <c r="BK13" s="1111"/>
      <c r="BL13" s="1111"/>
      <c r="BM13" s="1111"/>
      <c r="BN13" s="1050"/>
      <c r="BO13" s="1114"/>
      <c r="BP13" s="1166"/>
      <c r="BQ13" s="1116" t="s">
        <v>5031</v>
      </c>
      <c r="BR13" s="1113"/>
      <c r="BS13" s="1113"/>
      <c r="BT13" s="1116" t="s">
        <v>7074</v>
      </c>
      <c r="BU13" s="1113"/>
      <c r="BV13" s="1167" t="s">
        <v>7627</v>
      </c>
      <c r="BW13" s="1115" t="s">
        <v>7628</v>
      </c>
      <c r="BX13" s="1050"/>
      <c r="BY13" s="1169" t="s">
        <v>3486</v>
      </c>
      <c r="BZ13" s="1169" t="s">
        <v>7540</v>
      </c>
      <c r="CA13" s="1119"/>
      <c r="CB13" s="1140"/>
      <c r="CC13" s="1119"/>
      <c r="CD13" s="1119"/>
      <c r="CE13" s="1119"/>
      <c r="CF13" s="1119"/>
      <c r="CG13" s="1169" t="s">
        <v>7629</v>
      </c>
      <c r="CH13" s="1119"/>
      <c r="CI13" s="1119"/>
      <c r="CJ13" s="1140"/>
      <c r="CK13" s="1140"/>
    </row>
    <row r="14">
      <c r="A14" s="1086" t="s">
        <v>1961</v>
      </c>
      <c r="B14" s="1044" t="s">
        <v>7630</v>
      </c>
      <c r="C14" s="1040" t="s">
        <v>1259</v>
      </c>
      <c r="D14" s="1041" t="s">
        <v>334</v>
      </c>
      <c r="E14" s="1042" t="s">
        <v>334</v>
      </c>
      <c r="F14" s="1043" t="s">
        <v>2837</v>
      </c>
      <c r="G14" s="1044" t="s">
        <v>7631</v>
      </c>
      <c r="H14" s="1087"/>
      <c r="I14" s="1088" t="s">
        <v>7632</v>
      </c>
      <c r="J14" s="1088"/>
      <c r="K14" s="1089" t="s">
        <v>1697</v>
      </c>
      <c r="L14" s="1088"/>
      <c r="M14" s="1088"/>
      <c r="N14" s="1087"/>
      <c r="O14" s="1089" t="s">
        <v>7633</v>
      </c>
      <c r="P14" s="1050"/>
      <c r="Q14" s="1092"/>
      <c r="R14" s="1094"/>
      <c r="S14" s="1095" t="s">
        <v>7634</v>
      </c>
      <c r="T14" s="1092"/>
      <c r="U14" s="1092"/>
      <c r="V14" s="1095" t="s">
        <v>7635</v>
      </c>
      <c r="W14" s="1050"/>
      <c r="X14" s="1055" t="s">
        <v>1376</v>
      </c>
      <c r="Y14" s="1161"/>
      <c r="Z14" s="1096" t="s">
        <v>7636</v>
      </c>
      <c r="AA14" s="1057" t="s">
        <v>7637</v>
      </c>
      <c r="AB14" s="1096" t="s">
        <v>3715</v>
      </c>
      <c r="AC14" s="1057" t="s">
        <v>1984</v>
      </c>
      <c r="AD14" s="1096" t="s">
        <v>4134</v>
      </c>
      <c r="AE14" s="1096" t="s">
        <v>4646</v>
      </c>
      <c r="AF14" s="1096"/>
      <c r="AG14" s="1057" t="s">
        <v>7638</v>
      </c>
      <c r="AH14" s="1059"/>
      <c r="AI14" s="1050"/>
      <c r="AJ14" s="1099"/>
      <c r="AK14" s="1099"/>
      <c r="AL14" s="1099"/>
      <c r="AM14" s="1132" t="s">
        <v>1420</v>
      </c>
      <c r="AN14" s="1099"/>
      <c r="AO14" s="1099"/>
      <c r="AP14" s="1098" t="s">
        <v>7639</v>
      </c>
      <c r="AQ14" s="1099"/>
      <c r="AR14" s="1099"/>
      <c r="AS14" s="1099"/>
      <c r="AT14" s="1099"/>
      <c r="AU14" s="1099"/>
      <c r="AV14" s="1099"/>
      <c r="AW14" s="1099"/>
      <c r="AX14" s="1103" t="s">
        <v>7640</v>
      </c>
      <c r="AY14" s="1098" t="s">
        <v>7641</v>
      </c>
      <c r="AZ14" s="1065"/>
      <c r="BA14" s="1135"/>
      <c r="BB14" s="1135"/>
      <c r="BC14" s="1106" t="s">
        <v>3243</v>
      </c>
      <c r="BD14" s="1104"/>
      <c r="BE14" s="1135" t="s">
        <v>7642</v>
      </c>
      <c r="BF14" s="1065"/>
      <c r="BG14" s="1109" t="s">
        <v>6189</v>
      </c>
      <c r="BH14" s="1110" t="s">
        <v>7298</v>
      </c>
      <c r="BI14" s="1111"/>
      <c r="BJ14" s="1111"/>
      <c r="BK14" s="1192" t="s">
        <v>7643</v>
      </c>
      <c r="BL14" s="1111"/>
      <c r="BM14" s="1108" t="s">
        <v>7644</v>
      </c>
      <c r="BN14" s="1050"/>
      <c r="BO14" s="1114" t="s">
        <v>7645</v>
      </c>
      <c r="BP14" s="1167"/>
      <c r="BQ14" s="1114"/>
      <c r="BR14" s="1115" t="s">
        <v>7646</v>
      </c>
      <c r="BS14" s="1114"/>
      <c r="BT14" s="1115" t="s">
        <v>1405</v>
      </c>
      <c r="BU14" s="1113"/>
      <c r="BV14" s="1138" t="s">
        <v>5681</v>
      </c>
      <c r="BW14" s="1115" t="s">
        <v>5676</v>
      </c>
      <c r="BX14" s="1050"/>
      <c r="BY14" s="1154" t="s">
        <v>465</v>
      </c>
      <c r="BZ14" s="1119"/>
      <c r="CA14" s="1119"/>
      <c r="CB14" s="1140"/>
      <c r="CC14" s="1119"/>
      <c r="CD14" s="1119"/>
      <c r="CE14" s="1119"/>
      <c r="CF14" s="1118" t="s">
        <v>4602</v>
      </c>
      <c r="CG14" s="1119"/>
      <c r="CH14" s="1119"/>
      <c r="CI14" s="1119"/>
      <c r="CJ14" s="1140"/>
      <c r="CK14" s="1140"/>
    </row>
    <row r="15">
      <c r="A15" s="1086" t="s">
        <v>6616</v>
      </c>
      <c r="B15" s="1044" t="s">
        <v>7647</v>
      </c>
      <c r="C15" s="1040" t="s">
        <v>1259</v>
      </c>
      <c r="D15" s="1041" t="s">
        <v>439</v>
      </c>
      <c r="E15" s="1042" t="s">
        <v>548</v>
      </c>
      <c r="F15" s="1043" t="s">
        <v>5622</v>
      </c>
      <c r="G15" s="1044" t="s">
        <v>1726</v>
      </c>
      <c r="H15" s="1089" t="s">
        <v>2126</v>
      </c>
      <c r="I15" s="1089" t="s">
        <v>7648</v>
      </c>
      <c r="J15" s="1087"/>
      <c r="K15" s="1087"/>
      <c r="L15" s="1089" t="s">
        <v>3368</v>
      </c>
      <c r="M15" s="1087"/>
      <c r="N15" s="1089" t="s">
        <v>7649</v>
      </c>
      <c r="O15" s="1087"/>
      <c r="P15" s="1050"/>
      <c r="Q15" s="1095" t="s">
        <v>248</v>
      </c>
      <c r="R15" s="1092"/>
      <c r="S15" s="1095" t="s">
        <v>7550</v>
      </c>
      <c r="T15" s="1095" t="s">
        <v>3732</v>
      </c>
      <c r="U15" s="1092"/>
      <c r="V15" s="1095" t="s">
        <v>7650</v>
      </c>
      <c r="W15" s="1050"/>
      <c r="X15" s="1057" t="s">
        <v>275</v>
      </c>
      <c r="Y15" s="1057" t="s">
        <v>7651</v>
      </c>
      <c r="Z15" s="1057" t="s">
        <v>2368</v>
      </c>
      <c r="AA15" s="1145" t="s">
        <v>7652</v>
      </c>
      <c r="AB15" s="1057" t="s">
        <v>7653</v>
      </c>
      <c r="AC15" s="1057" t="s">
        <v>1670</v>
      </c>
      <c r="AD15" s="1057" t="s">
        <v>5499</v>
      </c>
      <c r="AE15" s="1057" t="s">
        <v>7654</v>
      </c>
      <c r="AF15" s="1058"/>
      <c r="AG15" s="1096" t="s">
        <v>7655</v>
      </c>
      <c r="AH15" s="1059"/>
      <c r="AI15" s="1050"/>
      <c r="AJ15" s="1147"/>
      <c r="AK15" s="1103" t="s">
        <v>7656</v>
      </c>
      <c r="AL15" s="1103" t="s">
        <v>7657</v>
      </c>
      <c r="AM15" s="1103" t="s">
        <v>1212</v>
      </c>
      <c r="AN15" s="1098"/>
      <c r="AO15" s="1099"/>
      <c r="AP15" s="1103" t="s">
        <v>4060</v>
      </c>
      <c r="AQ15" s="1099"/>
      <c r="AR15" s="1103" t="s">
        <v>7658</v>
      </c>
      <c r="AS15" s="1133" t="s">
        <v>7659</v>
      </c>
      <c r="AT15" s="1103" t="s">
        <v>7660</v>
      </c>
      <c r="AU15" s="1133" t="s">
        <v>7661</v>
      </c>
      <c r="AV15" s="1099"/>
      <c r="AW15" s="1103" t="s">
        <v>371</v>
      </c>
      <c r="AX15" s="1103" t="s">
        <v>7662</v>
      </c>
      <c r="AY15" s="1103" t="s">
        <v>7663</v>
      </c>
      <c r="AZ15" s="1065"/>
      <c r="BA15" s="1173"/>
      <c r="BB15" s="1106" t="s">
        <v>7664</v>
      </c>
      <c r="BC15" s="1106" t="s">
        <v>7665</v>
      </c>
      <c r="BD15" s="1104"/>
      <c r="BE15" s="1106" t="s">
        <v>7666</v>
      </c>
      <c r="BF15" s="1065"/>
      <c r="BG15" s="1109" t="s">
        <v>4075</v>
      </c>
      <c r="BH15" s="1109" t="s">
        <v>4601</v>
      </c>
      <c r="BI15" s="1192" t="s">
        <v>1592</v>
      </c>
      <c r="BJ15" s="1111"/>
      <c r="BK15" s="1109" t="s">
        <v>4283</v>
      </c>
      <c r="BL15" s="1111"/>
      <c r="BM15" s="1109" t="s">
        <v>7667</v>
      </c>
      <c r="BN15" s="1050"/>
      <c r="BO15" s="1115" t="s">
        <v>3421</v>
      </c>
      <c r="BP15" s="1166"/>
      <c r="BQ15" s="1113"/>
      <c r="BR15" s="1113"/>
      <c r="BS15" s="1113"/>
      <c r="BT15" s="1115" t="s">
        <v>847</v>
      </c>
      <c r="BU15" s="1113"/>
      <c r="BV15" s="1114" t="s">
        <v>7668</v>
      </c>
      <c r="BW15" s="1114" t="s">
        <v>7669</v>
      </c>
      <c r="BX15" s="1050"/>
      <c r="BY15" s="1139" t="s">
        <v>1617</v>
      </c>
      <c r="BZ15" s="1118"/>
      <c r="CA15" s="1119"/>
      <c r="CB15" s="1140"/>
      <c r="CC15" s="1119"/>
      <c r="CD15" s="1119"/>
      <c r="CE15" s="1118" t="s">
        <v>7670</v>
      </c>
      <c r="CF15" s="1119"/>
      <c r="CG15" s="1119"/>
      <c r="CH15" s="1119"/>
      <c r="CI15" s="1119"/>
      <c r="CJ15" s="1140"/>
      <c r="CK15" s="1140"/>
    </row>
    <row r="16">
      <c r="A16" s="1196" t="s">
        <v>1724</v>
      </c>
      <c r="B16" s="1044" t="s">
        <v>7671</v>
      </c>
      <c r="C16" s="1040" t="s">
        <v>1259</v>
      </c>
      <c r="D16" s="1041" t="s">
        <v>548</v>
      </c>
      <c r="E16" s="1042" t="s">
        <v>439</v>
      </c>
      <c r="F16" s="1043" t="s">
        <v>3283</v>
      </c>
      <c r="G16" s="1044" t="s">
        <v>2154</v>
      </c>
      <c r="H16" s="1089" t="s">
        <v>2357</v>
      </c>
      <c r="I16" s="1197" t="s">
        <v>7672</v>
      </c>
      <c r="J16" s="1088" t="s">
        <v>1302</v>
      </c>
      <c r="K16" s="1088" t="s">
        <v>7673</v>
      </c>
      <c r="L16" s="1088" t="s">
        <v>2150</v>
      </c>
      <c r="M16" s="1198"/>
      <c r="N16" s="1088" t="s">
        <v>7674</v>
      </c>
      <c r="O16" s="1088" t="s">
        <v>7675</v>
      </c>
      <c r="P16" s="1050"/>
      <c r="Q16" s="1091" t="s">
        <v>7676</v>
      </c>
      <c r="R16" s="1091" t="s">
        <v>2456</v>
      </c>
      <c r="S16" s="1091" t="s">
        <v>7677</v>
      </c>
      <c r="T16" s="1091" t="s">
        <v>5761</v>
      </c>
      <c r="U16" s="1091" t="s">
        <v>7678</v>
      </c>
      <c r="V16" s="1091" t="s">
        <v>7679</v>
      </c>
      <c r="W16" s="1050"/>
      <c r="X16" s="1096" t="s">
        <v>3969</v>
      </c>
      <c r="Y16" s="1096" t="s">
        <v>7680</v>
      </c>
      <c r="Z16" s="1128" t="s">
        <v>7681</v>
      </c>
      <c r="AA16" s="1199" t="s">
        <v>7682</v>
      </c>
      <c r="AB16" s="1096" t="s">
        <v>7683</v>
      </c>
      <c r="AC16" s="1096" t="s">
        <v>7684</v>
      </c>
      <c r="AD16" s="1145" t="s">
        <v>1703</v>
      </c>
      <c r="AE16" s="1057" t="s">
        <v>5244</v>
      </c>
      <c r="AF16" s="1096" t="s">
        <v>7685</v>
      </c>
      <c r="AG16" s="1096" t="s">
        <v>7686</v>
      </c>
      <c r="AH16" s="1200" t="s">
        <v>7687</v>
      </c>
      <c r="AI16" s="1050"/>
      <c r="AJ16" s="1147"/>
      <c r="AK16" s="1103" t="s">
        <v>7688</v>
      </c>
      <c r="AL16" s="1098"/>
      <c r="AM16" s="1098" t="s">
        <v>3415</v>
      </c>
      <c r="AN16" s="1103" t="s">
        <v>1644</v>
      </c>
      <c r="AO16" s="1098" t="s">
        <v>4118</v>
      </c>
      <c r="AP16" s="1101" t="s">
        <v>7689</v>
      </c>
      <c r="AQ16" s="1098" t="s">
        <v>7690</v>
      </c>
      <c r="AR16" s="1132" t="s">
        <v>7691</v>
      </c>
      <c r="AS16" s="1098" t="s">
        <v>7692</v>
      </c>
      <c r="AT16" s="1098"/>
      <c r="AU16" s="1098"/>
      <c r="AV16" s="1098"/>
      <c r="AW16" s="1101" t="s">
        <v>307</v>
      </c>
      <c r="AX16" s="1163" t="s">
        <v>7693</v>
      </c>
      <c r="AY16" s="1098" t="s">
        <v>7694</v>
      </c>
      <c r="AZ16" s="1065"/>
      <c r="BA16" s="1135" t="s">
        <v>7695</v>
      </c>
      <c r="BB16" s="1135" t="s">
        <v>7696</v>
      </c>
      <c r="BC16" s="1135" t="s">
        <v>4208</v>
      </c>
      <c r="BD16" s="1135"/>
      <c r="BE16" s="1201" t="s">
        <v>7697</v>
      </c>
      <c r="BF16" s="1065"/>
      <c r="BG16" s="1109" t="s">
        <v>7698</v>
      </c>
      <c r="BH16" s="1109" t="s">
        <v>5168</v>
      </c>
      <c r="BI16" s="1108" t="s">
        <v>2080</v>
      </c>
      <c r="BJ16" s="1110" t="s">
        <v>7699</v>
      </c>
      <c r="BK16" s="1165" t="s">
        <v>7700</v>
      </c>
      <c r="BL16" s="1109"/>
      <c r="BM16" s="1109" t="s">
        <v>7701</v>
      </c>
      <c r="BN16" s="1050"/>
      <c r="BO16" s="1115" t="s">
        <v>4756</v>
      </c>
      <c r="BP16" s="1167"/>
      <c r="BQ16" s="1202" t="s">
        <v>4731</v>
      </c>
      <c r="BR16" s="1114" t="s">
        <v>7702</v>
      </c>
      <c r="BS16" s="1114"/>
      <c r="BT16" s="1203" t="s">
        <v>7703</v>
      </c>
      <c r="BU16" s="1167" t="s">
        <v>4780</v>
      </c>
      <c r="BV16" s="1114" t="s">
        <v>7704</v>
      </c>
      <c r="BW16" s="1114" t="s">
        <v>7705</v>
      </c>
      <c r="BX16" s="1050"/>
      <c r="BY16" s="1118" t="s">
        <v>2518</v>
      </c>
      <c r="BZ16" s="1118" t="s">
        <v>2075</v>
      </c>
      <c r="CA16" s="1119"/>
      <c r="CB16" s="1140"/>
      <c r="CC16" s="1119"/>
      <c r="CD16" s="1118"/>
      <c r="CE16" s="1118" t="s">
        <v>7706</v>
      </c>
      <c r="CF16" s="1118" t="s">
        <v>7707</v>
      </c>
      <c r="CG16" s="1118"/>
      <c r="CH16" s="1154" t="s">
        <v>7708</v>
      </c>
      <c r="CI16" s="1119"/>
      <c r="CJ16" s="1140"/>
      <c r="CK16" s="1140"/>
    </row>
    <row r="17">
      <c r="A17" s="1086" t="s">
        <v>7709</v>
      </c>
      <c r="B17" s="1044" t="s">
        <v>7710</v>
      </c>
      <c r="C17" s="1040" t="s">
        <v>1259</v>
      </c>
      <c r="D17" s="1041" t="s">
        <v>1259</v>
      </c>
      <c r="E17" s="1042" t="s">
        <v>1259</v>
      </c>
      <c r="F17" s="1043" t="s">
        <v>1259</v>
      </c>
      <c r="G17" s="1044" t="s">
        <v>3337</v>
      </c>
      <c r="H17" s="1087"/>
      <c r="I17" s="1159" t="s">
        <v>2757</v>
      </c>
      <c r="J17" s="1088"/>
      <c r="K17" s="1087"/>
      <c r="L17" s="1087"/>
      <c r="M17" s="1087"/>
      <c r="N17" s="1087"/>
      <c r="O17" s="1088" t="s">
        <v>7711</v>
      </c>
      <c r="P17" s="1050"/>
      <c r="Q17" s="1160" t="s">
        <v>1489</v>
      </c>
      <c r="R17" s="1092"/>
      <c r="S17" s="1092"/>
      <c r="T17" s="1160" t="s">
        <v>1117</v>
      </c>
      <c r="U17" s="1091"/>
      <c r="V17" s="1091" t="s">
        <v>7712</v>
      </c>
      <c r="W17" s="1050"/>
      <c r="X17" s="1176" t="s">
        <v>7713</v>
      </c>
      <c r="Y17" s="1096" t="s">
        <v>7714</v>
      </c>
      <c r="Z17" s="1176" t="s">
        <v>7567</v>
      </c>
      <c r="AA17" s="1128" t="s">
        <v>6652</v>
      </c>
      <c r="AB17" s="1128" t="s">
        <v>1651</v>
      </c>
      <c r="AC17" s="1128" t="s">
        <v>3637</v>
      </c>
      <c r="AD17" s="1176" t="s">
        <v>203</v>
      </c>
      <c r="AE17" s="1128" t="s">
        <v>4613</v>
      </c>
      <c r="AF17" s="1096"/>
      <c r="AG17" s="1128" t="s">
        <v>7715</v>
      </c>
      <c r="AH17" s="1059"/>
      <c r="AI17" s="1050"/>
      <c r="AJ17" s="1099"/>
      <c r="AK17" s="1131" t="s">
        <v>5606</v>
      </c>
      <c r="AL17" s="1163" t="s">
        <v>7716</v>
      </c>
      <c r="AM17" s="1131" t="s">
        <v>7717</v>
      </c>
      <c r="AN17" s="1099"/>
      <c r="AO17" s="1163" t="s">
        <v>975</v>
      </c>
      <c r="AP17" s="1131" t="s">
        <v>1570</v>
      </c>
      <c r="AQ17" s="1163" t="s">
        <v>7718</v>
      </c>
      <c r="AR17" s="1163" t="s">
        <v>7719</v>
      </c>
      <c r="AS17" s="1099"/>
      <c r="AT17" s="1099"/>
      <c r="AU17" s="1099"/>
      <c r="AV17" s="1099"/>
      <c r="AW17" s="1131" t="s">
        <v>1251</v>
      </c>
      <c r="AX17" s="1163" t="s">
        <v>7720</v>
      </c>
      <c r="AY17" s="1163" t="s">
        <v>7721</v>
      </c>
      <c r="AZ17" s="1065"/>
      <c r="BA17" s="1135"/>
      <c r="BB17" s="1201" t="s">
        <v>7722</v>
      </c>
      <c r="BC17" s="1173"/>
      <c r="BD17" s="1173"/>
      <c r="BE17" s="1201" t="s">
        <v>7723</v>
      </c>
      <c r="BF17" s="1065"/>
      <c r="BG17" s="1193" t="s">
        <v>7724</v>
      </c>
      <c r="BH17" s="1193" t="s">
        <v>2133</v>
      </c>
      <c r="BI17" s="1111"/>
      <c r="BJ17" s="1111"/>
      <c r="BK17" s="1111"/>
      <c r="BL17" s="1111"/>
      <c r="BM17" s="1109" t="s">
        <v>7725</v>
      </c>
      <c r="BN17" s="1050"/>
      <c r="BO17" s="1167" t="s">
        <v>1968</v>
      </c>
      <c r="BP17" s="1166"/>
      <c r="BQ17" s="1113"/>
      <c r="BR17" s="1167" t="s">
        <v>7726</v>
      </c>
      <c r="BS17" s="1113"/>
      <c r="BT17" s="1167" t="s">
        <v>3083</v>
      </c>
      <c r="BU17" s="1113"/>
      <c r="BV17" s="1167" t="s">
        <v>7727</v>
      </c>
      <c r="BW17" s="1167" t="s">
        <v>7728</v>
      </c>
      <c r="BX17" s="1050"/>
      <c r="BY17" s="1168" t="s">
        <v>3458</v>
      </c>
      <c r="BZ17" s="1119"/>
      <c r="CA17" s="1119"/>
      <c r="CB17" s="1140"/>
      <c r="CC17" s="1119"/>
      <c r="CD17" s="1119"/>
      <c r="CE17" s="1119"/>
      <c r="CF17" s="1119"/>
      <c r="CG17" s="1119"/>
      <c r="CH17" s="1119"/>
      <c r="CI17" s="1119"/>
      <c r="CJ17" s="1140"/>
      <c r="CK17" s="1140"/>
    </row>
    <row r="18">
      <c r="A18" s="1086" t="s">
        <v>7729</v>
      </c>
      <c r="B18" s="1044" t="s">
        <v>7730</v>
      </c>
      <c r="C18" s="1040" t="s">
        <v>1259</v>
      </c>
      <c r="D18" s="1041" t="s">
        <v>1259</v>
      </c>
      <c r="E18" s="1042" t="s">
        <v>1259</v>
      </c>
      <c r="F18" s="1043" t="s">
        <v>1200</v>
      </c>
      <c r="G18" s="1044" t="s">
        <v>2903</v>
      </c>
      <c r="H18" s="1087"/>
      <c r="I18" s="1087"/>
      <c r="J18" s="1088" t="s">
        <v>7731</v>
      </c>
      <c r="K18" s="1088" t="s">
        <v>7732</v>
      </c>
      <c r="L18" s="1089" t="s">
        <v>7733</v>
      </c>
      <c r="M18" s="1087"/>
      <c r="N18" s="1159" t="s">
        <v>7734</v>
      </c>
      <c r="O18" s="1088" t="s">
        <v>7735</v>
      </c>
      <c r="P18" s="1050"/>
      <c r="Q18" s="1160" t="s">
        <v>726</v>
      </c>
      <c r="R18" s="1092"/>
      <c r="S18" s="1092"/>
      <c r="T18" s="1092"/>
      <c r="U18" s="1091"/>
      <c r="V18" s="1095" t="s">
        <v>7655</v>
      </c>
      <c r="W18" s="1050"/>
      <c r="X18" s="1161"/>
      <c r="Y18" s="1057" t="s">
        <v>7736</v>
      </c>
      <c r="Z18" s="1128" t="s">
        <v>2401</v>
      </c>
      <c r="AA18" s="1204"/>
      <c r="AB18" s="1161"/>
      <c r="AC18" s="1128" t="s">
        <v>816</v>
      </c>
      <c r="AD18" s="1128" t="s">
        <v>5780</v>
      </c>
      <c r="AE18" s="1128" t="s">
        <v>6976</v>
      </c>
      <c r="AF18" s="1096"/>
      <c r="AG18" s="1128" t="s">
        <v>7737</v>
      </c>
      <c r="AH18" s="1059"/>
      <c r="AI18" s="1050"/>
      <c r="AJ18" s="1098"/>
      <c r="AK18" s="1163" t="s">
        <v>1475</v>
      </c>
      <c r="AL18" s="1099"/>
      <c r="AM18" s="1099"/>
      <c r="AN18" s="1099"/>
      <c r="AO18" s="1099"/>
      <c r="AP18" s="1163" t="s">
        <v>7738</v>
      </c>
      <c r="AQ18" s="1099"/>
      <c r="AR18" s="1099"/>
      <c r="AS18" s="1099"/>
      <c r="AT18" s="1099"/>
      <c r="AU18" s="1099"/>
      <c r="AV18" s="1099"/>
      <c r="AW18" s="1103" t="s">
        <v>6207</v>
      </c>
      <c r="AX18" s="1098" t="s">
        <v>7739</v>
      </c>
      <c r="AY18" s="1098" t="s">
        <v>6315</v>
      </c>
      <c r="AZ18" s="1065"/>
      <c r="BA18" s="1135" t="s">
        <v>7740</v>
      </c>
      <c r="BB18" s="1201" t="s">
        <v>7741</v>
      </c>
      <c r="BC18" s="1106" t="s">
        <v>513</v>
      </c>
      <c r="BD18" s="1104"/>
      <c r="BE18" s="1201" t="s">
        <v>7742</v>
      </c>
      <c r="BF18" s="1065"/>
      <c r="BG18" s="1109" t="s">
        <v>2819</v>
      </c>
      <c r="BH18" s="1193" t="s">
        <v>7743</v>
      </c>
      <c r="BI18" s="1109"/>
      <c r="BJ18" s="1109"/>
      <c r="BK18" s="1111"/>
      <c r="BL18" s="1111"/>
      <c r="BM18" s="1108" t="s">
        <v>7744</v>
      </c>
      <c r="BN18" s="1050"/>
      <c r="BO18" s="1167" t="s">
        <v>6729</v>
      </c>
      <c r="BP18" s="1166"/>
      <c r="BQ18" s="1113"/>
      <c r="BR18" s="1114" t="s">
        <v>7745</v>
      </c>
      <c r="BS18" s="1113"/>
      <c r="BT18" s="1167" t="s">
        <v>2326</v>
      </c>
      <c r="BU18" s="1113"/>
      <c r="BV18" s="1114" t="s">
        <v>254</v>
      </c>
      <c r="BW18" s="1114" t="s">
        <v>1579</v>
      </c>
      <c r="BX18" s="1050"/>
      <c r="BY18" s="1118" t="s">
        <v>4200</v>
      </c>
      <c r="BZ18" s="1139" t="s">
        <v>6056</v>
      </c>
      <c r="CA18" s="1119"/>
      <c r="CB18" s="1140"/>
      <c r="CC18" s="1119"/>
      <c r="CD18" s="1119"/>
      <c r="CE18" s="1118" t="s">
        <v>5898</v>
      </c>
      <c r="CF18" s="1168" t="s">
        <v>7746</v>
      </c>
      <c r="CG18" s="1119"/>
      <c r="CH18" s="1119"/>
      <c r="CI18" s="1118" t="s">
        <v>7747</v>
      </c>
      <c r="CJ18" s="1140"/>
      <c r="CK18" s="1140"/>
    </row>
    <row r="19">
      <c r="A19" s="1086" t="s">
        <v>1810</v>
      </c>
      <c r="B19" s="1044" t="s">
        <v>7748</v>
      </c>
      <c r="C19" s="1040" t="s">
        <v>1259</v>
      </c>
      <c r="D19" s="1041" t="s">
        <v>1259</v>
      </c>
      <c r="E19" s="1042" t="s">
        <v>1259</v>
      </c>
      <c r="F19" s="1043" t="s">
        <v>1259</v>
      </c>
      <c r="G19" s="1044" t="s">
        <v>2903</v>
      </c>
      <c r="H19" s="1087"/>
      <c r="I19" s="1088" t="s">
        <v>2657</v>
      </c>
      <c r="J19" s="1088" t="s">
        <v>2099</v>
      </c>
      <c r="K19" s="1088" t="s">
        <v>7749</v>
      </c>
      <c r="L19" s="1159" t="s">
        <v>7750</v>
      </c>
      <c r="M19" s="1087"/>
      <c r="N19" s="1159" t="s">
        <v>7751</v>
      </c>
      <c r="O19" s="1088" t="s">
        <v>7752</v>
      </c>
      <c r="P19" s="1050"/>
      <c r="Q19" s="1160" t="s">
        <v>2549</v>
      </c>
      <c r="R19" s="1092"/>
      <c r="S19" s="1092"/>
      <c r="T19" s="1160" t="s">
        <v>5030</v>
      </c>
      <c r="U19" s="1091"/>
      <c r="V19" s="1160" t="s">
        <v>7753</v>
      </c>
      <c r="W19" s="1050"/>
      <c r="X19" s="1128" t="s">
        <v>4111</v>
      </c>
      <c r="Y19" s="1128" t="s">
        <v>7754</v>
      </c>
      <c r="Z19" s="1128" t="s">
        <v>7755</v>
      </c>
      <c r="AA19" s="1128" t="s">
        <v>3030</v>
      </c>
      <c r="AB19" s="1128" t="s">
        <v>4693</v>
      </c>
      <c r="AC19" s="1096" t="s">
        <v>7756</v>
      </c>
      <c r="AD19" s="1128" t="s">
        <v>4600</v>
      </c>
      <c r="AE19" s="1128" t="s">
        <v>4886</v>
      </c>
      <c r="AF19" s="1096"/>
      <c r="AG19" s="1096" t="s">
        <v>7757</v>
      </c>
      <c r="AH19" s="1205" t="s">
        <v>7758</v>
      </c>
      <c r="AI19" s="1050"/>
      <c r="AJ19" s="1099"/>
      <c r="AK19" s="1099"/>
      <c r="AL19" s="1099"/>
      <c r="AM19" s="1098" t="s">
        <v>172</v>
      </c>
      <c r="AN19" s="1099"/>
      <c r="AO19" s="1163" t="s">
        <v>4384</v>
      </c>
      <c r="AP19" s="1098" t="s">
        <v>3299</v>
      </c>
      <c r="AQ19" s="1163" t="s">
        <v>7759</v>
      </c>
      <c r="AR19" s="1099"/>
      <c r="AS19" s="1099"/>
      <c r="AT19" s="1099"/>
      <c r="AU19" s="1099"/>
      <c r="AV19" s="1099"/>
      <c r="AW19" s="1163" t="s">
        <v>1008</v>
      </c>
      <c r="AX19" s="1163" t="s">
        <v>4876</v>
      </c>
      <c r="AY19" s="1099"/>
      <c r="AZ19" s="1065"/>
      <c r="BA19" s="1173"/>
      <c r="BB19" s="1173"/>
      <c r="BC19" s="1201" t="s">
        <v>6859</v>
      </c>
      <c r="BD19" s="1135"/>
      <c r="BE19" s="1135" t="s">
        <v>7760</v>
      </c>
      <c r="BF19" s="1065"/>
      <c r="BG19" s="1193" t="s">
        <v>1205</v>
      </c>
      <c r="BH19" s="1193" t="s">
        <v>2133</v>
      </c>
      <c r="BI19" s="1111"/>
      <c r="BJ19" s="1111"/>
      <c r="BK19" s="1109" t="s">
        <v>7761</v>
      </c>
      <c r="BL19" s="1111"/>
      <c r="BM19" s="1193" t="s">
        <v>7762</v>
      </c>
      <c r="BN19" s="1050"/>
      <c r="BO19" s="1167" t="s">
        <v>7763</v>
      </c>
      <c r="BP19" s="1166"/>
      <c r="BQ19" s="1113"/>
      <c r="BR19" s="1113"/>
      <c r="BS19" s="1113"/>
      <c r="BT19" s="1167" t="s">
        <v>2771</v>
      </c>
      <c r="BU19" s="1113"/>
      <c r="BV19" s="1113"/>
      <c r="BW19" s="1166" t="s">
        <v>7764</v>
      </c>
      <c r="BX19" s="1050"/>
      <c r="BY19" s="1118" t="s">
        <v>2995</v>
      </c>
      <c r="BZ19" s="1119"/>
      <c r="CA19" s="1119"/>
      <c r="CB19" s="1140"/>
      <c r="CC19" s="1119"/>
      <c r="CD19" s="1119"/>
      <c r="CE19" s="1119"/>
      <c r="CF19" s="1119"/>
      <c r="CG19" s="1119"/>
      <c r="CH19" s="1119"/>
      <c r="CI19" s="1119"/>
      <c r="CJ19" s="1140"/>
      <c r="CK19" s="1140"/>
    </row>
    <row r="20">
      <c r="A20" s="1086" t="s">
        <v>3561</v>
      </c>
      <c r="B20" s="1044" t="s">
        <v>7765</v>
      </c>
      <c r="C20" s="1040" t="s">
        <v>548</v>
      </c>
      <c r="D20" s="1041" t="s">
        <v>1259</v>
      </c>
      <c r="E20" s="1042" t="s">
        <v>334</v>
      </c>
      <c r="F20" s="1043" t="s">
        <v>3283</v>
      </c>
      <c r="G20" s="1044" t="s">
        <v>3835</v>
      </c>
      <c r="H20" s="1185" t="s">
        <v>268</v>
      </c>
      <c r="I20" s="1087"/>
      <c r="J20" s="1087"/>
      <c r="K20" s="1087"/>
      <c r="L20" s="1089" t="s">
        <v>1162</v>
      </c>
      <c r="M20" s="1087"/>
      <c r="N20" s="1089" t="s">
        <v>7766</v>
      </c>
      <c r="O20" s="1087"/>
      <c r="P20" s="1050"/>
      <c r="Q20" s="1206" t="s">
        <v>7767</v>
      </c>
      <c r="R20" s="1092"/>
      <c r="S20" s="1091" t="s">
        <v>6009</v>
      </c>
      <c r="T20" s="1206" t="s">
        <v>5383</v>
      </c>
      <c r="U20" s="1207" t="s">
        <v>7768</v>
      </c>
      <c r="V20" s="1091" t="s">
        <v>7769</v>
      </c>
      <c r="W20" s="1050"/>
      <c r="X20" s="1057" t="s">
        <v>2645</v>
      </c>
      <c r="Y20" s="1096" t="s">
        <v>3576</v>
      </c>
      <c r="Z20" s="1096" t="s">
        <v>7567</v>
      </c>
      <c r="AA20" s="1145" t="s">
        <v>7770</v>
      </c>
      <c r="AB20" s="1096" t="s">
        <v>2390</v>
      </c>
      <c r="AC20" s="1096" t="s">
        <v>3904</v>
      </c>
      <c r="AD20" s="1096" t="s">
        <v>3073</v>
      </c>
      <c r="AE20" s="1057" t="s">
        <v>246</v>
      </c>
      <c r="AF20" s="1056" t="s">
        <v>1093</v>
      </c>
      <c r="AG20" s="1096" t="s">
        <v>7771</v>
      </c>
      <c r="AH20" s="1208" t="s">
        <v>3578</v>
      </c>
      <c r="AI20" s="1050"/>
      <c r="AJ20" s="1098"/>
      <c r="AK20" s="1098" t="s">
        <v>7772</v>
      </c>
      <c r="AL20" s="1098" t="s">
        <v>7773</v>
      </c>
      <c r="AM20" s="1098" t="s">
        <v>5109</v>
      </c>
      <c r="AN20" s="1098"/>
      <c r="AO20" s="1099"/>
      <c r="AP20" s="1101" t="s">
        <v>1696</v>
      </c>
      <c r="AQ20" s="1099"/>
      <c r="AR20" s="1098" t="s">
        <v>7774</v>
      </c>
      <c r="AS20" s="1098" t="s">
        <v>7775</v>
      </c>
      <c r="AT20" s="1098" t="s">
        <v>7776</v>
      </c>
      <c r="AU20" s="1098" t="s">
        <v>7777</v>
      </c>
      <c r="AV20" s="1099"/>
      <c r="AW20" s="1101" t="s">
        <v>416</v>
      </c>
      <c r="AX20" s="1103" t="s">
        <v>7778</v>
      </c>
      <c r="AY20" s="1098" t="s">
        <v>7779</v>
      </c>
      <c r="AZ20" s="1065"/>
      <c r="BA20" s="1135" t="s">
        <v>7780</v>
      </c>
      <c r="BB20" s="1135" t="s">
        <v>7781</v>
      </c>
      <c r="BC20" s="1135" t="s">
        <v>5176</v>
      </c>
      <c r="BD20" s="1135"/>
      <c r="BE20" s="1135" t="s">
        <v>7782</v>
      </c>
      <c r="BF20" s="1065"/>
      <c r="BG20" s="1109" t="s">
        <v>7783</v>
      </c>
      <c r="BH20" s="1109" t="s">
        <v>2013</v>
      </c>
      <c r="BI20" s="1109" t="s">
        <v>1826</v>
      </c>
      <c r="BJ20" s="1111"/>
      <c r="BK20" s="1109" t="s">
        <v>1478</v>
      </c>
      <c r="BL20" s="1109" t="s">
        <v>7784</v>
      </c>
      <c r="BM20" s="1109" t="s">
        <v>7785</v>
      </c>
      <c r="BN20" s="1050"/>
      <c r="BO20" s="1167" t="s">
        <v>4864</v>
      </c>
      <c r="BP20" s="1166"/>
      <c r="BQ20" s="1114" t="s">
        <v>2594</v>
      </c>
      <c r="BR20" s="1114" t="s">
        <v>3783</v>
      </c>
      <c r="BS20" s="1153" t="s">
        <v>7786</v>
      </c>
      <c r="BT20" s="1167" t="s">
        <v>2318</v>
      </c>
      <c r="BU20" s="1153" t="s">
        <v>7787</v>
      </c>
      <c r="BV20" s="1114" t="s">
        <v>7788</v>
      </c>
      <c r="BW20" s="1114" t="s">
        <v>7789</v>
      </c>
      <c r="BX20" s="1050"/>
      <c r="BY20" s="1119"/>
      <c r="BZ20" s="1118" t="s">
        <v>3301</v>
      </c>
      <c r="CA20" s="1119"/>
      <c r="CB20" s="1140"/>
      <c r="CC20" s="1119"/>
      <c r="CD20" s="1118" t="s">
        <v>7790</v>
      </c>
      <c r="CE20" s="1118" t="s">
        <v>7791</v>
      </c>
      <c r="CF20" s="1118" t="s">
        <v>7792</v>
      </c>
      <c r="CG20" s="1119"/>
      <c r="CH20" s="1119"/>
      <c r="CI20" s="1118" t="s">
        <v>7793</v>
      </c>
      <c r="CJ20" s="1140"/>
      <c r="CK20" s="1140"/>
    </row>
    <row r="21">
      <c r="A21" s="1086" t="s">
        <v>6625</v>
      </c>
      <c r="B21" s="1044" t="s">
        <v>7794</v>
      </c>
      <c r="C21" s="1040" t="s">
        <v>1259</v>
      </c>
      <c r="D21" s="1041" t="s">
        <v>1259</v>
      </c>
      <c r="E21" s="1042" t="s">
        <v>548</v>
      </c>
      <c r="F21" s="1043" t="s">
        <v>548</v>
      </c>
      <c r="G21" s="1044" t="s">
        <v>7631</v>
      </c>
      <c r="H21" s="1087"/>
      <c r="I21" s="1087"/>
      <c r="J21" s="1088" t="s">
        <v>7795</v>
      </c>
      <c r="K21" s="1088" t="s">
        <v>7796</v>
      </c>
      <c r="L21" s="1087"/>
      <c r="M21" s="1087"/>
      <c r="N21" s="1087"/>
      <c r="O21" s="1159" t="s">
        <v>7797</v>
      </c>
      <c r="P21" s="1050"/>
      <c r="Q21" s="1091" t="s">
        <v>7798</v>
      </c>
      <c r="R21" s="1092"/>
      <c r="S21" s="1091" t="s">
        <v>5900</v>
      </c>
      <c r="T21" s="1091" t="s">
        <v>5145</v>
      </c>
      <c r="U21" s="1091" t="s">
        <v>7799</v>
      </c>
      <c r="V21" s="1160" t="s">
        <v>7800</v>
      </c>
      <c r="W21" s="1050"/>
      <c r="X21" s="1161"/>
      <c r="Y21" s="1161"/>
      <c r="Z21" s="1096" t="s">
        <v>7801</v>
      </c>
      <c r="AA21" s="1204"/>
      <c r="AB21" s="1096" t="s">
        <v>2273</v>
      </c>
      <c r="AC21" s="1128" t="s">
        <v>7802</v>
      </c>
      <c r="AD21" s="1161"/>
      <c r="AE21" s="1161"/>
      <c r="AF21" s="1161"/>
      <c r="AG21" s="1128" t="s">
        <v>7803</v>
      </c>
      <c r="AH21" s="1059"/>
      <c r="AI21" s="1050"/>
      <c r="AJ21" s="1099"/>
      <c r="AK21" s="1099"/>
      <c r="AL21" s="1099"/>
      <c r="AM21" s="1098" t="s">
        <v>1313</v>
      </c>
      <c r="AN21" s="1098"/>
      <c r="AO21" s="1099"/>
      <c r="AP21" s="1099"/>
      <c r="AQ21" s="1099"/>
      <c r="AR21" s="1099"/>
      <c r="AS21" s="1099"/>
      <c r="AT21" s="1099"/>
      <c r="AU21" s="1099"/>
      <c r="AV21" s="1099"/>
      <c r="AW21" s="1098" t="s">
        <v>3967</v>
      </c>
      <c r="AX21" s="1163" t="s">
        <v>7804</v>
      </c>
      <c r="AY21" s="1099"/>
      <c r="AZ21" s="1065"/>
      <c r="BA21" s="1173"/>
      <c r="BB21" s="1135" t="s">
        <v>7805</v>
      </c>
      <c r="BC21" s="1135" t="s">
        <v>3729</v>
      </c>
      <c r="BD21" s="1135"/>
      <c r="BE21" s="1201" t="s">
        <v>7806</v>
      </c>
      <c r="BF21" s="1065"/>
      <c r="BG21" s="1109" t="s">
        <v>713</v>
      </c>
      <c r="BH21" s="1193" t="s">
        <v>4286</v>
      </c>
      <c r="BI21" s="1109" t="s">
        <v>1760</v>
      </c>
      <c r="BJ21" s="1109" t="s">
        <v>7807</v>
      </c>
      <c r="BK21" s="1109" t="s">
        <v>7808</v>
      </c>
      <c r="BL21" s="1111"/>
      <c r="BM21" s="1109" t="s">
        <v>7809</v>
      </c>
      <c r="BN21" s="1050"/>
      <c r="BO21" s="1114" t="s">
        <v>4723</v>
      </c>
      <c r="BP21" s="1166"/>
      <c r="BQ21" s="1113"/>
      <c r="BR21" s="1153" t="s">
        <v>7810</v>
      </c>
      <c r="BS21" s="1113"/>
      <c r="BT21" s="1114" t="s">
        <v>2064</v>
      </c>
      <c r="BU21" s="1113"/>
      <c r="BV21" s="1114" t="s">
        <v>7811</v>
      </c>
      <c r="BW21" s="1114" t="s">
        <v>2058</v>
      </c>
      <c r="BX21" s="1050"/>
      <c r="BY21" s="1118" t="s">
        <v>4577</v>
      </c>
      <c r="BZ21" s="1156"/>
      <c r="CA21" s="1119"/>
      <c r="CB21" s="1140"/>
      <c r="CC21" s="1119"/>
      <c r="CD21" s="1119"/>
      <c r="CE21" s="1119"/>
      <c r="CF21" s="1119"/>
      <c r="CG21" s="1119"/>
      <c r="CH21" s="1119"/>
      <c r="CI21" s="1119"/>
      <c r="CJ21" s="1140"/>
      <c r="CK21" s="1140"/>
    </row>
    <row r="22">
      <c r="A22" s="1086" t="s">
        <v>2985</v>
      </c>
      <c r="B22" s="1044" t="s">
        <v>7812</v>
      </c>
      <c r="C22" s="1040" t="s">
        <v>548</v>
      </c>
      <c r="D22" s="1041" t="s">
        <v>1259</v>
      </c>
      <c r="E22" s="1042" t="s">
        <v>1259</v>
      </c>
      <c r="F22" s="1043" t="s">
        <v>548</v>
      </c>
      <c r="G22" s="1044" t="s">
        <v>5140</v>
      </c>
      <c r="H22" s="1087"/>
      <c r="I22" s="1087"/>
      <c r="J22" s="1088" t="s">
        <v>313</v>
      </c>
      <c r="K22" s="1088" t="s">
        <v>7813</v>
      </c>
      <c r="L22" s="1088"/>
      <c r="M22" s="1087"/>
      <c r="N22" s="1087"/>
      <c r="O22" s="1088" t="s">
        <v>7814</v>
      </c>
      <c r="P22" s="1050"/>
      <c r="Q22" s="1091" t="s">
        <v>4936</v>
      </c>
      <c r="R22" s="1091" t="s">
        <v>3801</v>
      </c>
      <c r="S22" s="1091" t="s">
        <v>691</v>
      </c>
      <c r="T22" s="1091" t="s">
        <v>253</v>
      </c>
      <c r="U22" s="1092"/>
      <c r="V22" s="1091" t="s">
        <v>7815</v>
      </c>
      <c r="W22" s="1050"/>
      <c r="X22" s="1096" t="s">
        <v>6434</v>
      </c>
      <c r="Y22" s="1161"/>
      <c r="Z22" s="1096" t="s">
        <v>4901</v>
      </c>
      <c r="AA22" s="1096" t="s">
        <v>7816</v>
      </c>
      <c r="AB22" s="1096" t="s">
        <v>3003</v>
      </c>
      <c r="AC22" s="1096" t="s">
        <v>1670</v>
      </c>
      <c r="AD22" s="1096" t="s">
        <v>6689</v>
      </c>
      <c r="AE22" s="1096" t="s">
        <v>2806</v>
      </c>
      <c r="AF22" s="1096"/>
      <c r="AG22" s="1096" t="s">
        <v>7817</v>
      </c>
      <c r="AH22" s="1209" t="s">
        <v>3006</v>
      </c>
      <c r="AI22" s="1050"/>
      <c r="AJ22" s="1099"/>
      <c r="AK22" s="1099"/>
      <c r="AL22" s="1100" t="s">
        <v>7818</v>
      </c>
      <c r="AM22" s="1098" t="s">
        <v>1899</v>
      </c>
      <c r="AN22" s="1098"/>
      <c r="AO22" s="1099"/>
      <c r="AP22" s="1099"/>
      <c r="AQ22" s="1099"/>
      <c r="AR22" s="1098" t="s">
        <v>7819</v>
      </c>
      <c r="AS22" s="1098"/>
      <c r="AT22" s="1099"/>
      <c r="AU22" s="1098" t="s">
        <v>7820</v>
      </c>
      <c r="AV22" s="1163" t="s">
        <v>7821</v>
      </c>
      <c r="AW22" s="1098" t="s">
        <v>194</v>
      </c>
      <c r="AX22" s="1163" t="s">
        <v>7822</v>
      </c>
      <c r="AY22" s="1098" t="s">
        <v>7823</v>
      </c>
      <c r="AZ22" s="1065"/>
      <c r="BA22" s="1135" t="s">
        <v>7824</v>
      </c>
      <c r="BB22" s="1135" t="s">
        <v>7825</v>
      </c>
      <c r="BC22" s="1173"/>
      <c r="BD22" s="1173"/>
      <c r="BE22" s="1135" t="s">
        <v>7826</v>
      </c>
      <c r="BF22" s="1065"/>
      <c r="BG22" s="1109" t="s">
        <v>6189</v>
      </c>
      <c r="BH22" s="1111"/>
      <c r="BI22" s="1109" t="s">
        <v>477</v>
      </c>
      <c r="BJ22" s="1109" t="s">
        <v>7827</v>
      </c>
      <c r="BK22" s="1109" t="s">
        <v>6966</v>
      </c>
      <c r="BL22" s="1109" t="s">
        <v>7828</v>
      </c>
      <c r="BM22" s="1165" t="s">
        <v>7829</v>
      </c>
      <c r="BN22" s="1050"/>
      <c r="BO22" s="1114" t="s">
        <v>7830</v>
      </c>
      <c r="BP22" s="1114" t="s">
        <v>4173</v>
      </c>
      <c r="BQ22" s="1113"/>
      <c r="BR22" s="1114" t="s">
        <v>7831</v>
      </c>
      <c r="BS22" s="1113"/>
      <c r="BT22" s="1114" t="s">
        <v>3024</v>
      </c>
      <c r="BU22" s="1114" t="s">
        <v>5163</v>
      </c>
      <c r="BV22" s="1114" t="s">
        <v>7832</v>
      </c>
      <c r="BW22" s="1114" t="s">
        <v>7833</v>
      </c>
      <c r="BX22" s="1050"/>
      <c r="BY22" s="1210" t="s">
        <v>3550</v>
      </c>
      <c r="BZ22" s="1118" t="s">
        <v>853</v>
      </c>
      <c r="CA22" s="1119"/>
      <c r="CB22" s="1140"/>
      <c r="CC22" s="1119"/>
      <c r="CD22" s="1119"/>
      <c r="CE22" s="1118" t="s">
        <v>7834</v>
      </c>
      <c r="CF22" s="1118" t="s">
        <v>7835</v>
      </c>
      <c r="CG22" s="1119"/>
      <c r="CH22" s="1119"/>
      <c r="CI22" s="1119"/>
      <c r="CJ22" s="1140"/>
      <c r="CK22" s="1140"/>
    </row>
    <row r="23">
      <c r="A23" s="1086" t="s">
        <v>7836</v>
      </c>
      <c r="B23" s="1044" t="s">
        <v>7837</v>
      </c>
      <c r="C23" s="1040" t="s">
        <v>1259</v>
      </c>
      <c r="D23" s="1041" t="s">
        <v>1259</v>
      </c>
      <c r="E23" s="1042" t="s">
        <v>1259</v>
      </c>
      <c r="F23" s="1043" t="s">
        <v>440</v>
      </c>
      <c r="G23" s="1044" t="s">
        <v>223</v>
      </c>
      <c r="H23" s="1087"/>
      <c r="I23" s="1087"/>
      <c r="J23" s="1087"/>
      <c r="K23" s="1087"/>
      <c r="L23" s="1186" t="s">
        <v>7838</v>
      </c>
      <c r="M23" s="1087"/>
      <c r="N23" s="1159" t="s">
        <v>7839</v>
      </c>
      <c r="O23" s="1087"/>
      <c r="P23" s="1050"/>
      <c r="Q23" s="1092"/>
      <c r="R23" s="1092"/>
      <c r="S23" s="1092"/>
      <c r="T23" s="1092"/>
      <c r="U23" s="1091"/>
      <c r="V23" s="1160" t="s">
        <v>7840</v>
      </c>
      <c r="W23" s="1050"/>
      <c r="X23" s="1161"/>
      <c r="Y23" s="1161"/>
      <c r="Z23" s="1176" t="s">
        <v>7841</v>
      </c>
      <c r="AA23" s="1161"/>
      <c r="AB23" s="1161"/>
      <c r="AC23" s="1161"/>
      <c r="AD23" s="1161"/>
      <c r="AE23" s="1211" t="str">
        <f>HYPERLINK("https://youtu.be/0lXotWIeH0g","49.54")</f>
        <v>49.54</v>
      </c>
      <c r="AF23" s="1204"/>
      <c r="AG23" s="1128" t="s">
        <v>7842</v>
      </c>
      <c r="AH23" s="1146" t="s">
        <v>7843</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7844</v>
      </c>
      <c r="AZ23" s="1065"/>
      <c r="BA23" s="1173"/>
      <c r="BB23" s="1173"/>
      <c r="BC23" s="1181" t="s">
        <v>4132</v>
      </c>
      <c r="BD23" s="1173"/>
      <c r="BE23" s="1201" t="s">
        <v>7845</v>
      </c>
      <c r="BF23" s="1065"/>
      <c r="BG23" s="1111"/>
      <c r="BH23" s="1111"/>
      <c r="BI23" s="1111"/>
      <c r="BJ23" s="1111"/>
      <c r="BK23" s="1111"/>
      <c r="BL23" s="1213" t="str">
        <f>HYPERLINK("https://youtu.be/ZWHJWoriERw","3:48.70")</f>
        <v>3:48.70</v>
      </c>
      <c r="BM23" s="1108" t="s">
        <v>7846</v>
      </c>
      <c r="BN23" s="1050"/>
      <c r="BO23" s="1166" t="s">
        <v>232</v>
      </c>
      <c r="BP23" s="1166"/>
      <c r="BQ23" s="1113"/>
      <c r="BR23" s="1113"/>
      <c r="BS23" s="1113"/>
      <c r="BT23" s="1115" t="str">
        <f>HYPERLINK("https://youtu.be/-5bLlrzaDDc","27.91")</f>
        <v>27.91</v>
      </c>
      <c r="BU23" s="1166" t="s">
        <v>7778</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7847</v>
      </c>
      <c r="C24" s="1040" t="s">
        <v>1259</v>
      </c>
      <c r="D24" s="1041" t="s">
        <v>548</v>
      </c>
      <c r="E24" s="1042" t="s">
        <v>1259</v>
      </c>
      <c r="F24" s="1043" t="s">
        <v>441</v>
      </c>
      <c r="G24" s="1044" t="s">
        <v>1061</v>
      </c>
      <c r="H24" s="1087"/>
      <c r="I24" s="1087"/>
      <c r="J24" s="1087"/>
      <c r="K24" s="1087"/>
      <c r="L24" s="1087"/>
      <c r="M24" s="1087"/>
      <c r="N24" s="1088" t="s">
        <v>7848</v>
      </c>
      <c r="O24" s="1087"/>
      <c r="P24" s="1050"/>
      <c r="Q24" s="1092"/>
      <c r="R24" s="1092"/>
      <c r="S24" s="1092"/>
      <c r="T24" s="1092"/>
      <c r="U24" s="1091" t="s">
        <v>3119</v>
      </c>
      <c r="V24" s="1091" t="s">
        <v>7849</v>
      </c>
      <c r="W24" s="1050"/>
      <c r="X24" s="1096" t="s">
        <v>199</v>
      </c>
      <c r="Y24" s="1096" t="s">
        <v>7850</v>
      </c>
      <c r="Z24" s="1096" t="s">
        <v>7851</v>
      </c>
      <c r="AA24" s="1216" t="s">
        <v>2891</v>
      </c>
      <c r="AB24" s="1096" t="s">
        <v>658</v>
      </c>
      <c r="AC24" s="1096" t="s">
        <v>1815</v>
      </c>
      <c r="AD24" s="1096" t="s">
        <v>2555</v>
      </c>
      <c r="AE24" s="1096" t="s">
        <v>147</v>
      </c>
      <c r="AF24" s="1096"/>
      <c r="AG24" s="1096" t="s">
        <v>6530</v>
      </c>
      <c r="AH24" s="1217" t="s">
        <v>7852</v>
      </c>
      <c r="AI24" s="1050"/>
      <c r="AJ24" s="1098"/>
      <c r="AK24" s="1098" t="s">
        <v>5758</v>
      </c>
      <c r="AL24" s="1099"/>
      <c r="AM24" s="1098" t="s">
        <v>5161</v>
      </c>
      <c r="AN24" s="1099"/>
      <c r="AO24" s="1099"/>
      <c r="AP24" s="1098" t="s">
        <v>1997</v>
      </c>
      <c r="AQ24" s="1099"/>
      <c r="AR24" s="1098" t="s">
        <v>7853</v>
      </c>
      <c r="AS24" s="1098"/>
      <c r="AT24" s="1198"/>
      <c r="AU24" s="1099"/>
      <c r="AV24" s="1163" t="s">
        <v>7854</v>
      </c>
      <c r="AW24" s="1103" t="s">
        <v>6112</v>
      </c>
      <c r="AX24" s="1098" t="s">
        <v>7855</v>
      </c>
      <c r="AY24" s="1098" t="s">
        <v>7856</v>
      </c>
      <c r="AZ24" s="1065"/>
      <c r="BA24" s="1173"/>
      <c r="BB24" s="1106" t="s">
        <v>7857</v>
      </c>
      <c r="BC24" s="1135" t="s">
        <v>138</v>
      </c>
      <c r="BD24" s="1135"/>
      <c r="BE24" s="1218" t="s">
        <v>7858</v>
      </c>
      <c r="BF24" s="1065"/>
      <c r="BG24" s="1111"/>
      <c r="BH24" s="1111"/>
      <c r="BI24" s="1111"/>
      <c r="BJ24" s="1111"/>
      <c r="BK24" s="1111"/>
      <c r="BL24" s="1136" t="s">
        <v>7859</v>
      </c>
      <c r="BM24" s="1109" t="s">
        <v>7860</v>
      </c>
      <c r="BN24" s="1050"/>
      <c r="BO24" s="1113"/>
      <c r="BP24" s="1166"/>
      <c r="BQ24" s="1113"/>
      <c r="BR24" s="1113"/>
      <c r="BS24" s="1138" t="s">
        <v>7255</v>
      </c>
      <c r="BT24" s="1113"/>
      <c r="BU24" s="1113"/>
      <c r="BV24" s="1113"/>
      <c r="BW24" s="1114" t="s">
        <v>7861</v>
      </c>
      <c r="BX24" s="1050"/>
      <c r="BY24" s="1119"/>
      <c r="BZ24" s="1119"/>
      <c r="CA24" s="1119"/>
      <c r="CB24" s="1140"/>
      <c r="CC24" s="1119"/>
      <c r="CD24" s="1119"/>
      <c r="CE24" s="1119"/>
      <c r="CF24" s="1119"/>
      <c r="CG24" s="1119"/>
      <c r="CH24" s="1119"/>
      <c r="CI24" s="1119"/>
      <c r="CJ24" s="1140"/>
      <c r="CK24" s="1140"/>
    </row>
    <row r="25">
      <c r="A25" s="1219" t="s">
        <v>900</v>
      </c>
      <c r="B25" s="1044" t="s">
        <v>7862</v>
      </c>
      <c r="C25" s="1040" t="s">
        <v>1259</v>
      </c>
      <c r="D25" s="1041" t="s">
        <v>1259</v>
      </c>
      <c r="E25" s="1042" t="s">
        <v>1259</v>
      </c>
      <c r="F25" s="1043" t="s">
        <v>1200</v>
      </c>
      <c r="G25" s="1044" t="s">
        <v>3961</v>
      </c>
      <c r="H25" s="1089" t="s">
        <v>2607</v>
      </c>
      <c r="I25" s="1089" t="s">
        <v>7863</v>
      </c>
      <c r="J25" s="1220"/>
      <c r="K25" s="1089" t="s">
        <v>3304</v>
      </c>
      <c r="L25" s="1088"/>
      <c r="M25" s="1087"/>
      <c r="N25" s="1087"/>
      <c r="O25" s="1159" t="s">
        <v>7864</v>
      </c>
      <c r="P25" s="1050"/>
      <c r="Q25" s="1160" t="s">
        <v>7865</v>
      </c>
      <c r="R25" s="1092"/>
      <c r="S25" s="1092"/>
      <c r="T25" s="1160" t="s">
        <v>5176</v>
      </c>
      <c r="U25" s="1091"/>
      <c r="V25" s="1160" t="s">
        <v>7866</v>
      </c>
      <c r="W25" s="1050"/>
      <c r="X25" s="1128" t="s">
        <v>2145</v>
      </c>
      <c r="Y25" s="1161"/>
      <c r="Z25" s="1128" t="s">
        <v>1841</v>
      </c>
      <c r="AA25" s="1204"/>
      <c r="AB25" s="1128" t="s">
        <v>5321</v>
      </c>
      <c r="AC25" s="1161"/>
      <c r="AD25" s="1161"/>
      <c r="AE25" s="1128" t="s">
        <v>4420</v>
      </c>
      <c r="AF25" s="1096"/>
      <c r="AG25" s="1128" t="s">
        <v>7867</v>
      </c>
      <c r="AH25" s="1059"/>
      <c r="AI25" s="1050"/>
      <c r="AJ25" s="1099"/>
      <c r="AK25" s="1099"/>
      <c r="AL25" s="1099"/>
      <c r="AM25" s="1099"/>
      <c r="AN25" s="1099"/>
      <c r="AO25" s="1163" t="s">
        <v>5090</v>
      </c>
      <c r="AP25" s="1099"/>
      <c r="AQ25" s="1103" t="s">
        <v>3202</v>
      </c>
      <c r="AR25" s="1099"/>
      <c r="AS25" s="1099"/>
      <c r="AT25" s="1099"/>
      <c r="AU25" s="1099"/>
      <c r="AV25" s="1099"/>
      <c r="AW25" s="1103" t="s">
        <v>721</v>
      </c>
      <c r="AX25" s="1099"/>
      <c r="AY25" s="1099"/>
      <c r="AZ25" s="1065"/>
      <c r="BA25" s="1173"/>
      <c r="BB25" s="1173"/>
      <c r="BC25" s="1173"/>
      <c r="BD25" s="1173"/>
      <c r="BE25" s="1201" t="s">
        <v>7868</v>
      </c>
      <c r="BF25" s="1065"/>
      <c r="BG25" s="1193" t="s">
        <v>2622</v>
      </c>
      <c r="BH25" s="1111"/>
      <c r="BI25" s="1111"/>
      <c r="BJ25" s="1111"/>
      <c r="BK25" s="1111"/>
      <c r="BL25" s="1111"/>
      <c r="BM25" s="1193" t="s">
        <v>7869</v>
      </c>
      <c r="BN25" s="1050"/>
      <c r="BO25" s="1167" t="s">
        <v>614</v>
      </c>
      <c r="BP25" s="1166"/>
      <c r="BQ25" s="1113"/>
      <c r="BR25" s="1113"/>
      <c r="BS25" s="1113"/>
      <c r="BT25" s="1113"/>
      <c r="BU25" s="1113"/>
      <c r="BV25" s="1167" t="s">
        <v>7870</v>
      </c>
      <c r="BW25" s="1113"/>
      <c r="BX25" s="1050"/>
      <c r="BY25" s="1139" t="s">
        <v>7871</v>
      </c>
      <c r="BZ25" s="1119"/>
      <c r="CA25" s="1119"/>
      <c r="CB25" s="1140"/>
      <c r="CC25" s="1119"/>
      <c r="CD25" s="1119"/>
      <c r="CE25" s="1139" t="s">
        <v>7786</v>
      </c>
      <c r="CF25" s="1118" t="s">
        <v>7872</v>
      </c>
      <c r="CG25" s="1119"/>
      <c r="CH25" s="1119"/>
      <c r="CI25" s="1119"/>
      <c r="CJ25" s="1140"/>
      <c r="CK25" s="1140"/>
    </row>
    <row r="26">
      <c r="A26" s="1086" t="s">
        <v>6628</v>
      </c>
      <c r="B26" s="1044" t="s">
        <v>7873</v>
      </c>
      <c r="C26" s="1040" t="s">
        <v>1259</v>
      </c>
      <c r="D26" s="1041" t="s">
        <v>1259</v>
      </c>
      <c r="E26" s="1042" t="s">
        <v>1259</v>
      </c>
      <c r="F26" s="1043" t="s">
        <v>439</v>
      </c>
      <c r="G26" s="1044" t="s">
        <v>3961</v>
      </c>
      <c r="H26" s="1087"/>
      <c r="I26" s="1087"/>
      <c r="J26" s="1087"/>
      <c r="K26" s="1087"/>
      <c r="L26" s="1088" t="s">
        <v>745</v>
      </c>
      <c r="M26" s="1087"/>
      <c r="N26" s="1088" t="s">
        <v>7874</v>
      </c>
      <c r="O26" s="1088"/>
      <c r="P26" s="1050"/>
      <c r="Q26" s="1092"/>
      <c r="R26" s="1092"/>
      <c r="S26" s="1092"/>
      <c r="T26" s="1092"/>
      <c r="U26" s="1092"/>
      <c r="V26" s="1160" t="s">
        <v>7875</v>
      </c>
      <c r="W26" s="1050"/>
      <c r="X26" s="1096" t="s">
        <v>7876</v>
      </c>
      <c r="Y26" s="1128" t="s">
        <v>7877</v>
      </c>
      <c r="Z26" s="1161"/>
      <c r="AA26" s="1221" t="s">
        <v>7878</v>
      </c>
      <c r="AB26" s="1161"/>
      <c r="AC26" s="1057" t="s">
        <v>4773</v>
      </c>
      <c r="AD26" s="1096" t="s">
        <v>1336</v>
      </c>
      <c r="AE26" s="1096" t="s">
        <v>7879</v>
      </c>
      <c r="AF26" s="1096"/>
      <c r="AG26" s="1128" t="s">
        <v>7880</v>
      </c>
      <c r="AH26" s="1059"/>
      <c r="AI26" s="1050"/>
      <c r="AJ26" s="1099"/>
      <c r="AK26" s="1099"/>
      <c r="AL26" s="1099"/>
      <c r="AM26" s="1098" t="s">
        <v>4951</v>
      </c>
      <c r="AN26" s="1099"/>
      <c r="AO26" s="1099"/>
      <c r="AP26" s="1099"/>
      <c r="AQ26" s="1099"/>
      <c r="AR26" s="1099"/>
      <c r="AS26" s="1099"/>
      <c r="AT26" s="1099"/>
      <c r="AU26" s="1099"/>
      <c r="AV26" s="1099"/>
      <c r="AW26" s="1099"/>
      <c r="AX26" s="1099"/>
      <c r="AY26" s="1163" t="s">
        <v>7881</v>
      </c>
      <c r="AZ26" s="1065"/>
      <c r="BA26" s="1173"/>
      <c r="BB26" s="1173"/>
      <c r="BC26" s="1173"/>
      <c r="BD26" s="1173"/>
      <c r="BE26" s="1135" t="s">
        <v>7882</v>
      </c>
      <c r="BF26" s="1065"/>
      <c r="BG26" s="1111"/>
      <c r="BH26" s="1111"/>
      <c r="BI26" s="1111"/>
      <c r="BJ26" s="1111"/>
      <c r="BK26" s="1111"/>
      <c r="BL26" s="1109" t="s">
        <v>7883</v>
      </c>
      <c r="BM26" s="1111"/>
      <c r="BN26" s="1050"/>
      <c r="BO26" s="1114" t="s">
        <v>4929</v>
      </c>
      <c r="BP26" s="1166"/>
      <c r="BQ26" s="1113"/>
      <c r="BR26" s="1114" t="s">
        <v>7884</v>
      </c>
      <c r="BS26" s="1115" t="s">
        <v>7637</v>
      </c>
      <c r="BT26" s="1114" t="s">
        <v>1320</v>
      </c>
      <c r="BU26" s="1113"/>
      <c r="BV26" s="1167" t="s">
        <v>7885</v>
      </c>
      <c r="BW26" s="1114" t="s">
        <v>7886</v>
      </c>
      <c r="BX26" s="1050"/>
      <c r="BY26" s="1119"/>
      <c r="BZ26" s="1119"/>
      <c r="CA26" s="1119"/>
      <c r="CB26" s="1140"/>
      <c r="CC26" s="1119"/>
      <c r="CD26" s="1119"/>
      <c r="CE26" s="1118" t="s">
        <v>7887</v>
      </c>
      <c r="CF26" s="1168" t="s">
        <v>7888</v>
      </c>
      <c r="CG26" s="1119"/>
      <c r="CH26" s="1119"/>
      <c r="CI26" s="1119"/>
      <c r="CJ26" s="1140"/>
      <c r="CK26" s="1140"/>
    </row>
    <row r="27">
      <c r="A27" s="1219" t="s">
        <v>6644</v>
      </c>
      <c r="B27" s="1044" t="s">
        <v>6440</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7889</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7890</v>
      </c>
      <c r="BF27" s="1065"/>
      <c r="BG27" s="1111"/>
      <c r="BH27" s="1111"/>
      <c r="BI27" s="1111"/>
      <c r="BJ27" s="1111"/>
      <c r="BK27" s="1111"/>
      <c r="BL27" s="1111"/>
      <c r="BM27" s="1110" t="s">
        <v>7891</v>
      </c>
      <c r="BN27" s="1060"/>
      <c r="BO27" s="1214" t="str">
        <f>HYPERLINK("https://youtu.be/oOY4TocVyJU","1:05.01")</f>
        <v>1:05.01</v>
      </c>
      <c r="BP27" s="1166"/>
      <c r="BQ27" s="1113"/>
      <c r="BR27" s="1114"/>
      <c r="BS27" s="1114"/>
      <c r="BT27" s="1113"/>
      <c r="BU27" s="1113"/>
      <c r="BV27" s="1113"/>
      <c r="BW27" s="1138" t="s">
        <v>7892</v>
      </c>
      <c r="BX27" s="1060"/>
      <c r="BY27" s="1119"/>
      <c r="BZ27" s="1119"/>
      <c r="CA27" s="1156"/>
      <c r="CB27" s="1225"/>
      <c r="CC27" s="1156"/>
      <c r="CD27" s="1119"/>
      <c r="CE27" s="1119"/>
      <c r="CF27" s="1119"/>
      <c r="CG27" s="1119"/>
      <c r="CH27" s="1119"/>
      <c r="CI27" s="1119"/>
      <c r="CJ27" s="1140"/>
      <c r="CK27" s="1140"/>
    </row>
    <row r="28">
      <c r="A28" s="1086" t="s">
        <v>7893</v>
      </c>
      <c r="B28" s="1044" t="s">
        <v>7894</v>
      </c>
      <c r="C28" s="1040" t="s">
        <v>548</v>
      </c>
      <c r="D28" s="1041" t="s">
        <v>1259</v>
      </c>
      <c r="E28" s="1042" t="s">
        <v>548</v>
      </c>
      <c r="F28" s="1043" t="s">
        <v>441</v>
      </c>
      <c r="G28" s="1044" t="s">
        <v>2930</v>
      </c>
      <c r="H28" s="1088" t="s">
        <v>4030</v>
      </c>
      <c r="I28" s="1088"/>
      <c r="J28" s="1088"/>
      <c r="K28" s="1087"/>
      <c r="L28" s="1088" t="s">
        <v>7895</v>
      </c>
      <c r="M28" s="1087"/>
      <c r="N28" s="1088" t="s">
        <v>7896</v>
      </c>
      <c r="O28" s="1087"/>
      <c r="P28" s="1050"/>
      <c r="Q28" s="1091" t="s">
        <v>7897</v>
      </c>
      <c r="R28" s="1092"/>
      <c r="S28" s="1092"/>
      <c r="T28" s="1092"/>
      <c r="U28" s="1160" t="s">
        <v>7898</v>
      </c>
      <c r="V28" s="1091" t="s">
        <v>7899</v>
      </c>
      <c r="W28" s="1050"/>
      <c r="X28" s="1096"/>
      <c r="Y28" s="1096"/>
      <c r="Z28" s="1096" t="s">
        <v>6663</v>
      </c>
      <c r="AA28" s="1216" t="s">
        <v>4602</v>
      </c>
      <c r="AB28" s="1096" t="s">
        <v>1186</v>
      </c>
      <c r="AC28" s="1161"/>
      <c r="AD28" s="1161"/>
      <c r="AE28" s="1096" t="s">
        <v>7900</v>
      </c>
      <c r="AF28" s="1096"/>
      <c r="AG28" s="1129" t="s">
        <v>7901</v>
      </c>
      <c r="AH28" s="1200" t="s">
        <v>7902</v>
      </c>
      <c r="AI28" s="1050"/>
      <c r="AJ28" s="1147"/>
      <c r="AK28" s="1100" t="s">
        <v>7903</v>
      </c>
      <c r="AL28" s="1099"/>
      <c r="AM28" s="1099"/>
      <c r="AN28" s="1099"/>
      <c r="AO28" s="1099"/>
      <c r="AP28" s="1099"/>
      <c r="AQ28" s="1099"/>
      <c r="AR28" s="1163" t="s">
        <v>7904</v>
      </c>
      <c r="AS28" s="1098" t="s">
        <v>7905</v>
      </c>
      <c r="AT28" s="1099"/>
      <c r="AU28" s="1099"/>
      <c r="AV28" s="1163" t="s">
        <v>6567</v>
      </c>
      <c r="AW28" s="1098" t="s">
        <v>2654</v>
      </c>
      <c r="AX28" s="1099"/>
      <c r="AY28" s="1098" t="s">
        <v>7906</v>
      </c>
      <c r="AZ28" s="1065"/>
      <c r="BA28" s="1173"/>
      <c r="BB28" s="1173"/>
      <c r="BC28" s="1173"/>
      <c r="BD28" s="1173"/>
      <c r="BE28" s="1135" t="s">
        <v>7907</v>
      </c>
      <c r="BF28" s="1065"/>
      <c r="BG28" s="1111"/>
      <c r="BH28" s="1111"/>
      <c r="BI28" s="1111"/>
      <c r="BJ28" s="1109"/>
      <c r="BK28" s="1111"/>
      <c r="BL28" s="1192" t="s">
        <v>7908</v>
      </c>
      <c r="BM28" s="1108" t="s">
        <v>7909</v>
      </c>
      <c r="BN28" s="1050"/>
      <c r="BO28" s="1114" t="s">
        <v>4047</v>
      </c>
      <c r="BP28" s="1166"/>
      <c r="BQ28" s="1113"/>
      <c r="BR28" s="1114" t="s">
        <v>7910</v>
      </c>
      <c r="BS28" s="1113"/>
      <c r="BT28" s="1167" t="s">
        <v>974</v>
      </c>
      <c r="BU28" s="1113"/>
      <c r="BV28" s="1114" t="s">
        <v>7911</v>
      </c>
      <c r="BW28" s="1114" t="s">
        <v>7912</v>
      </c>
      <c r="BX28" s="1050"/>
      <c r="BY28" s="1119"/>
      <c r="BZ28" s="1119"/>
      <c r="CA28" s="1119"/>
      <c r="CB28" s="1140"/>
      <c r="CC28" s="1119"/>
      <c r="CD28" s="1119"/>
      <c r="CE28" s="1139" t="s">
        <v>7913</v>
      </c>
      <c r="CF28" s="1119"/>
      <c r="CG28" s="1119"/>
      <c r="CH28" s="1119"/>
      <c r="CI28" s="1119"/>
      <c r="CJ28" s="1140"/>
      <c r="CK28" s="1140"/>
    </row>
    <row r="29">
      <c r="A29" s="1226" t="s">
        <v>6622</v>
      </c>
      <c r="B29" s="1044" t="s">
        <v>7914</v>
      </c>
      <c r="C29" s="1040" t="s">
        <v>1259</v>
      </c>
      <c r="D29" s="1041" t="s">
        <v>1259</v>
      </c>
      <c r="E29" s="1042" t="s">
        <v>1259</v>
      </c>
      <c r="F29" s="1043" t="s">
        <v>440</v>
      </c>
      <c r="G29" s="1044" t="s">
        <v>4104</v>
      </c>
      <c r="H29" s="1185" t="s">
        <v>4223</v>
      </c>
      <c r="I29" s="1088" t="s">
        <v>7915</v>
      </c>
      <c r="J29" s="1088"/>
      <c r="K29" s="1088"/>
      <c r="L29" s="1159" t="s">
        <v>7916</v>
      </c>
      <c r="M29" s="1087"/>
      <c r="N29" s="1089" t="s">
        <v>7917</v>
      </c>
      <c r="O29" s="1087"/>
      <c r="P29" s="1050"/>
      <c r="Q29" s="1092"/>
      <c r="R29" s="1092"/>
      <c r="S29" s="1092"/>
      <c r="T29" s="1092"/>
      <c r="U29" s="1091" t="s">
        <v>417</v>
      </c>
      <c r="V29" s="1095" t="s">
        <v>7918</v>
      </c>
      <c r="W29" s="1050"/>
      <c r="X29" s="1128" t="s">
        <v>4925</v>
      </c>
      <c r="Y29" s="1096" t="s">
        <v>6154</v>
      </c>
      <c r="Z29" s="1128" t="s">
        <v>6070</v>
      </c>
      <c r="AA29" s="1199" t="s">
        <v>4602</v>
      </c>
      <c r="AB29" s="1128" t="s">
        <v>2506</v>
      </c>
      <c r="AC29" s="1057" t="s">
        <v>7919</v>
      </c>
      <c r="AD29" s="1161"/>
      <c r="AE29" s="1057" t="str">
        <f>HYPERLINK("https://twitter.com/Qbe_Root/status/1242884733232648192","56.04")</f>
        <v>56.04</v>
      </c>
      <c r="AF29" s="1129"/>
      <c r="AG29" s="1057" t="s">
        <v>7920</v>
      </c>
      <c r="AH29" s="1059"/>
      <c r="AI29" s="1050"/>
      <c r="AJ29" s="1098"/>
      <c r="AK29" s="1098" t="s">
        <v>7921</v>
      </c>
      <c r="AL29" s="1098" t="s">
        <v>7922</v>
      </c>
      <c r="AM29" s="1098" t="s">
        <v>7923</v>
      </c>
      <c r="AN29" s="1098"/>
      <c r="AO29" s="1099"/>
      <c r="AP29" s="113" t="s">
        <v>7924</v>
      </c>
      <c r="AQ29" s="1099"/>
      <c r="AR29" s="1099"/>
      <c r="AS29" s="1099"/>
      <c r="AT29" s="1099"/>
      <c r="AU29" s="1099"/>
      <c r="AV29" s="1099"/>
      <c r="AW29" s="1098" t="s">
        <v>1620</v>
      </c>
      <c r="AX29" s="1098" t="s">
        <v>7925</v>
      </c>
      <c r="AY29" s="1099"/>
      <c r="AZ29" s="1065"/>
      <c r="BA29" s="1173"/>
      <c r="BB29" s="1173"/>
      <c r="BC29" s="1173"/>
      <c r="BD29" s="1173"/>
      <c r="BE29" s="1201" t="s">
        <v>7926</v>
      </c>
      <c r="BF29" s="1065"/>
      <c r="BG29" s="1109" t="s">
        <v>1470</v>
      </c>
      <c r="BH29" s="1111"/>
      <c r="BI29" s="1111"/>
      <c r="BJ29" s="1111"/>
      <c r="BK29" s="1109" t="s">
        <v>7927</v>
      </c>
      <c r="BL29" s="1111"/>
      <c r="BM29" s="1109" t="s">
        <v>7928</v>
      </c>
      <c r="BN29" s="1050"/>
      <c r="BO29" s="1114" t="s">
        <v>7929</v>
      </c>
      <c r="BP29" s="1166"/>
      <c r="BQ29" s="1113"/>
      <c r="BR29" s="1113"/>
      <c r="BS29" s="1113"/>
      <c r="BT29" s="1167" t="s">
        <v>1477</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6571</v>
      </c>
      <c r="B30" s="1044" t="s">
        <v>7930</v>
      </c>
      <c r="C30" s="1040" t="s">
        <v>548</v>
      </c>
      <c r="D30" s="1041" t="s">
        <v>1259</v>
      </c>
      <c r="E30" s="1042" t="s">
        <v>1259</v>
      </c>
      <c r="F30" s="1043" t="s">
        <v>548</v>
      </c>
      <c r="G30" s="1044" t="s">
        <v>6244</v>
      </c>
      <c r="H30" s="1087"/>
      <c r="I30" s="1087"/>
      <c r="J30" s="1087"/>
      <c r="K30" s="1087"/>
      <c r="L30" s="1088" t="s">
        <v>7931</v>
      </c>
      <c r="M30" s="1087"/>
      <c r="N30" s="1088" t="s">
        <v>7932</v>
      </c>
      <c r="O30" s="1087"/>
      <c r="P30" s="1050"/>
      <c r="Q30" s="1091" t="s">
        <v>7933</v>
      </c>
      <c r="R30" s="1092"/>
      <c r="S30" s="1091" t="s">
        <v>7934</v>
      </c>
      <c r="T30" s="1092"/>
      <c r="U30" s="1092"/>
      <c r="V30" s="1091" t="s">
        <v>7935</v>
      </c>
      <c r="W30" s="1050"/>
      <c r="X30" s="1161"/>
      <c r="Y30" s="1161"/>
      <c r="Z30" s="1161"/>
      <c r="AA30" s="1204"/>
      <c r="AB30" s="1161"/>
      <c r="AC30" s="1161"/>
      <c r="AD30" s="1096" t="s">
        <v>205</v>
      </c>
      <c r="AE30" s="1096" t="s">
        <v>1296</v>
      </c>
      <c r="AF30" s="1161"/>
      <c r="AG30" s="1096" t="s">
        <v>7936</v>
      </c>
      <c r="AH30" s="1059"/>
      <c r="AI30" s="1050"/>
      <c r="AJ30" s="1099"/>
      <c r="AK30" s="1099"/>
      <c r="AL30" s="1099"/>
      <c r="AM30" s="1098" t="s">
        <v>7937</v>
      </c>
      <c r="AN30" s="1099"/>
      <c r="AO30" s="1099"/>
      <c r="AP30" s="1098" t="s">
        <v>7938</v>
      </c>
      <c r="AQ30" s="1099"/>
      <c r="AR30" s="1098" t="s">
        <v>7939</v>
      </c>
      <c r="AS30" s="1098" t="s">
        <v>7940</v>
      </c>
      <c r="AT30" s="1163" t="s">
        <v>7941</v>
      </c>
      <c r="AU30" s="1098" t="s">
        <v>7942</v>
      </c>
      <c r="AV30" s="1099"/>
      <c r="AW30" s="1098" t="s">
        <v>416</v>
      </c>
      <c r="AX30" s="1099"/>
      <c r="AY30" s="1098" t="s">
        <v>7943</v>
      </c>
      <c r="AZ30" s="1065"/>
      <c r="BA30" s="1135" t="s">
        <v>7944</v>
      </c>
      <c r="BB30" s="1135" t="s">
        <v>7945</v>
      </c>
      <c r="BC30" s="1135" t="s">
        <v>5296</v>
      </c>
      <c r="BD30" s="1173"/>
      <c r="BE30" s="1135" t="s">
        <v>7946</v>
      </c>
      <c r="BF30" s="1065"/>
      <c r="BG30" s="1109" t="s">
        <v>7598</v>
      </c>
      <c r="BH30" s="1109" t="s">
        <v>5794</v>
      </c>
      <c r="BI30" s="1109" t="s">
        <v>3911</v>
      </c>
      <c r="BJ30" s="1193" t="s">
        <v>6403</v>
      </c>
      <c r="BK30" s="1111"/>
      <c r="BL30" s="1109" t="s">
        <v>7947</v>
      </c>
      <c r="BM30" s="1111"/>
      <c r="BN30" s="1050"/>
      <c r="BO30" s="1114" t="s">
        <v>7948</v>
      </c>
      <c r="BP30" s="1166"/>
      <c r="BQ30" s="1113"/>
      <c r="BR30" s="1114" t="s">
        <v>1335</v>
      </c>
      <c r="BS30" s="1113"/>
      <c r="BT30" s="1114" t="s">
        <v>1290</v>
      </c>
      <c r="BU30" s="1113"/>
      <c r="BV30" s="1113"/>
      <c r="BW30" s="1113"/>
      <c r="BX30" s="1050"/>
      <c r="BY30" s="1118" t="s">
        <v>4432</v>
      </c>
      <c r="BZ30" s="1119"/>
      <c r="CA30" s="1119"/>
      <c r="CB30" s="1140"/>
      <c r="CC30" s="1169" t="s">
        <v>7949</v>
      </c>
      <c r="CD30" s="1119"/>
      <c r="CE30" s="1119"/>
      <c r="CF30" s="1118" t="s">
        <v>7434</v>
      </c>
      <c r="CG30" s="1119"/>
      <c r="CH30" s="1119"/>
      <c r="CI30" s="1119"/>
      <c r="CJ30" s="1140"/>
      <c r="CK30" s="1140"/>
    </row>
    <row r="31">
      <c r="A31" s="1086" t="s">
        <v>4040</v>
      </c>
      <c r="B31" s="1044" t="s">
        <v>7950</v>
      </c>
      <c r="C31" s="1040" t="s">
        <v>1259</v>
      </c>
      <c r="D31" s="1041" t="s">
        <v>1259</v>
      </c>
      <c r="E31" s="1042" t="s">
        <v>1259</v>
      </c>
      <c r="F31" s="1043" t="s">
        <v>439</v>
      </c>
      <c r="G31" s="1044" t="s">
        <v>2987</v>
      </c>
      <c r="H31" s="1088" t="s">
        <v>2309</v>
      </c>
      <c r="I31" s="1087"/>
      <c r="J31" s="1087"/>
      <c r="K31" s="1087"/>
      <c r="L31" s="1088" t="s">
        <v>6471</v>
      </c>
      <c r="M31" s="1087"/>
      <c r="N31" s="1088" t="s">
        <v>7951</v>
      </c>
      <c r="O31" s="1087"/>
      <c r="P31" s="1050"/>
      <c r="Q31" s="1091" t="s">
        <v>7952</v>
      </c>
      <c r="R31" s="1092"/>
      <c r="S31" s="1092"/>
      <c r="T31" s="1092"/>
      <c r="U31" s="1160" t="s">
        <v>7561</v>
      </c>
      <c r="V31" s="1091" t="s">
        <v>7953</v>
      </c>
      <c r="W31" s="1050"/>
      <c r="X31" s="1161"/>
      <c r="Y31" s="1161"/>
      <c r="Z31" s="1096" t="s">
        <v>7954</v>
      </c>
      <c r="AA31" s="1204"/>
      <c r="AB31" s="1096" t="s">
        <v>4847</v>
      </c>
      <c r="AC31" s="1096" t="s">
        <v>311</v>
      </c>
      <c r="AD31" s="1161"/>
      <c r="AE31" s="1096" t="s">
        <v>2775</v>
      </c>
      <c r="AF31" s="1096"/>
      <c r="AG31" s="1057" t="s">
        <v>7955</v>
      </c>
      <c r="AH31" s="1209" t="s">
        <v>7956</v>
      </c>
      <c r="AI31" s="1050"/>
      <c r="AJ31" s="1098"/>
      <c r="AK31" s="1098" t="s">
        <v>7957</v>
      </c>
      <c r="AL31" s="1098" t="s">
        <v>7958</v>
      </c>
      <c r="AM31" s="1098" t="s">
        <v>4190</v>
      </c>
      <c r="AN31" s="1098"/>
      <c r="AO31" s="1099"/>
      <c r="AP31" s="1099"/>
      <c r="AQ31" s="1099"/>
      <c r="AR31" s="1098" t="s">
        <v>7959</v>
      </c>
      <c r="AS31" s="1098" t="s">
        <v>7960</v>
      </c>
      <c r="AT31" s="1098"/>
      <c r="AU31" s="1098" t="s">
        <v>7961</v>
      </c>
      <c r="AV31" s="1098"/>
      <c r="AW31" s="1098" t="s">
        <v>194</v>
      </c>
      <c r="AX31" s="1099"/>
      <c r="AY31" s="1098" t="s">
        <v>7962</v>
      </c>
      <c r="AZ31" s="1065"/>
      <c r="BA31" s="1135"/>
      <c r="BB31" s="1135" t="s">
        <v>7963</v>
      </c>
      <c r="BC31" s="1201" t="s">
        <v>4496</v>
      </c>
      <c r="BD31" s="1135"/>
      <c r="BE31" s="1201" t="s">
        <v>7964</v>
      </c>
      <c r="BF31" s="1065"/>
      <c r="BG31" s="1109" t="s">
        <v>7965</v>
      </c>
      <c r="BH31" s="1111"/>
      <c r="BI31" s="1111"/>
      <c r="BJ31" s="1111"/>
      <c r="BK31" s="1111"/>
      <c r="BL31" s="1109" t="s">
        <v>7966</v>
      </c>
      <c r="BM31" s="1109" t="s">
        <v>7967</v>
      </c>
      <c r="BN31" s="1050"/>
      <c r="BO31" s="1114" t="s">
        <v>3392</v>
      </c>
      <c r="BP31" s="1166"/>
      <c r="BQ31" s="1113"/>
      <c r="BR31" s="1114" t="s">
        <v>7968</v>
      </c>
      <c r="BS31" s="1167" t="s">
        <v>7969</v>
      </c>
      <c r="BT31" s="1113"/>
      <c r="BU31" s="1113"/>
      <c r="BV31" s="1114" t="s">
        <v>5333</v>
      </c>
      <c r="BW31" s="1114" t="s">
        <v>4507</v>
      </c>
      <c r="BX31" s="1050"/>
      <c r="BY31" s="1119"/>
      <c r="BZ31" s="1119"/>
      <c r="CA31" s="1119"/>
      <c r="CB31" s="1140"/>
      <c r="CC31" s="1119"/>
      <c r="CD31" s="1119"/>
      <c r="CE31" s="1119"/>
      <c r="CF31" s="1118" t="s">
        <v>7970</v>
      </c>
      <c r="CG31" s="1119"/>
      <c r="CH31" s="1119"/>
      <c r="CI31" s="1139" t="s">
        <v>7971</v>
      </c>
      <c r="CJ31" s="1140"/>
      <c r="CK31" s="1140"/>
    </row>
    <row r="32">
      <c r="A32" s="1086" t="s">
        <v>2928</v>
      </c>
      <c r="B32" s="1044" t="s">
        <v>7972</v>
      </c>
      <c r="C32" s="1040" t="s">
        <v>548</v>
      </c>
      <c r="D32" s="1041" t="s">
        <v>1259</v>
      </c>
      <c r="E32" s="1042" t="s">
        <v>548</v>
      </c>
      <c r="F32" s="1043" t="s">
        <v>441</v>
      </c>
      <c r="G32" s="1044" t="s">
        <v>4219</v>
      </c>
      <c r="H32" s="1088"/>
      <c r="I32" s="1087"/>
      <c r="J32" s="1087"/>
      <c r="K32" s="1087"/>
      <c r="L32" s="1087"/>
      <c r="M32" s="1087"/>
      <c r="N32" s="1087"/>
      <c r="O32" s="1087"/>
      <c r="P32" s="1050"/>
      <c r="Q32" s="1092"/>
      <c r="R32" s="1092"/>
      <c r="S32" s="1092"/>
      <c r="T32" s="1091" t="s">
        <v>1945</v>
      </c>
      <c r="U32" s="1095" t="s">
        <v>7973</v>
      </c>
      <c r="V32" s="1091" t="s">
        <v>7974</v>
      </c>
      <c r="W32" s="1050"/>
      <c r="X32" s="1161"/>
      <c r="Y32" s="1161"/>
      <c r="Z32" s="1161"/>
      <c r="AA32" s="1204"/>
      <c r="AB32" s="1096"/>
      <c r="AC32" s="1056" t="s">
        <v>7975</v>
      </c>
      <c r="AD32" s="1096" t="s">
        <v>7976</v>
      </c>
      <c r="AE32" s="1096" t="s">
        <v>4564</v>
      </c>
      <c r="AF32" s="1096"/>
      <c r="AG32" s="1161"/>
      <c r="AH32" s="1059"/>
      <c r="AI32" s="1050"/>
      <c r="AJ32" s="1099"/>
      <c r="AK32" s="1099"/>
      <c r="AL32" s="1099"/>
      <c r="AM32" s="1099"/>
      <c r="AN32" s="1099"/>
      <c r="AO32" s="1099"/>
      <c r="AP32" s="1132" t="s">
        <v>7977</v>
      </c>
      <c r="AQ32" s="1099"/>
      <c r="AR32" s="1099"/>
      <c r="AS32" s="1099"/>
      <c r="AT32" s="1099"/>
      <c r="AU32" s="1099"/>
      <c r="AV32" s="1099"/>
      <c r="AW32" s="1098" t="s">
        <v>1703</v>
      </c>
      <c r="AX32" s="1099"/>
      <c r="AY32" s="1099"/>
      <c r="AZ32" s="1065"/>
      <c r="BA32" s="1173"/>
      <c r="BB32" s="1173"/>
      <c r="BC32" s="1106" t="s">
        <v>5625</v>
      </c>
      <c r="BD32" s="1104"/>
      <c r="BE32" s="1135" t="s">
        <v>7978</v>
      </c>
      <c r="BF32" s="1065"/>
      <c r="BG32" s="1111"/>
      <c r="BH32" s="1111"/>
      <c r="BI32" s="1111"/>
      <c r="BJ32" s="1111"/>
      <c r="BK32" s="1111"/>
      <c r="BL32" s="1111"/>
      <c r="BM32" s="1111"/>
      <c r="BN32" s="1050"/>
      <c r="BO32" s="1114" t="s">
        <v>7979</v>
      </c>
      <c r="BP32" s="1166"/>
      <c r="BQ32" s="1113"/>
      <c r="BR32" s="1113"/>
      <c r="BS32" s="1113"/>
      <c r="BT32" s="1113"/>
      <c r="BU32" s="1113"/>
      <c r="BV32" s="1114" t="s">
        <v>7980</v>
      </c>
      <c r="BW32" s="1113"/>
      <c r="BX32" s="1050"/>
      <c r="BY32" s="1119"/>
      <c r="BZ32" s="1119"/>
      <c r="CA32" s="1119"/>
      <c r="CB32" s="1140"/>
      <c r="CC32" s="1119"/>
      <c r="CD32" s="1119"/>
      <c r="CE32" s="1119"/>
      <c r="CF32" s="1119"/>
      <c r="CG32" s="1119"/>
      <c r="CH32" s="1119"/>
      <c r="CI32" s="1119"/>
      <c r="CJ32" s="1140"/>
      <c r="CK32" s="1140"/>
    </row>
    <row r="33">
      <c r="A33" s="1086" t="s">
        <v>7981</v>
      </c>
      <c r="B33" s="1044" t="s">
        <v>6006</v>
      </c>
      <c r="C33" s="1040" t="s">
        <v>1259</v>
      </c>
      <c r="D33" s="1041" t="s">
        <v>1259</v>
      </c>
      <c r="E33" s="1042" t="s">
        <v>1259</v>
      </c>
      <c r="F33" s="1043" t="s">
        <v>1259</v>
      </c>
      <c r="G33" s="1044" t="s">
        <v>222</v>
      </c>
      <c r="H33" s="1087"/>
      <c r="I33" s="1087"/>
      <c r="J33" s="1088" t="s">
        <v>7982</v>
      </c>
      <c r="K33" s="1087"/>
      <c r="L33" s="1087"/>
      <c r="M33" s="1087"/>
      <c r="N33" s="1087"/>
      <c r="O33" s="1088" t="s">
        <v>7983</v>
      </c>
      <c r="P33" s="1050"/>
      <c r="Q33" s="1092"/>
      <c r="R33" s="1092"/>
      <c r="S33" s="1092"/>
      <c r="T33" s="1092"/>
      <c r="U33" s="1092"/>
      <c r="V33" s="1091" t="s">
        <v>7984</v>
      </c>
      <c r="W33" s="1050"/>
      <c r="X33" s="1161"/>
      <c r="Y33" s="1161"/>
      <c r="Z33" s="1161"/>
      <c r="AA33" s="1204"/>
      <c r="AB33" s="1161"/>
      <c r="AC33" s="1161"/>
      <c r="AD33" s="1161"/>
      <c r="AE33" s="1096" t="s">
        <v>2300</v>
      </c>
      <c r="AF33" s="1096"/>
      <c r="AG33" s="1096" t="s">
        <v>7985</v>
      </c>
      <c r="AH33" s="1059"/>
      <c r="AI33" s="1050"/>
      <c r="AJ33" s="1099"/>
      <c r="AK33" s="1099"/>
      <c r="AL33" s="1099"/>
      <c r="AM33" s="1099"/>
      <c r="AN33" s="1099"/>
      <c r="AO33" s="1099"/>
      <c r="AP33" s="1098" t="s">
        <v>7986</v>
      </c>
      <c r="AQ33" s="1099"/>
      <c r="AR33" s="1099"/>
      <c r="AS33" s="1099"/>
      <c r="AT33" s="1099"/>
      <c r="AU33" s="1099"/>
      <c r="AV33" s="1099"/>
      <c r="AW33" s="1099"/>
      <c r="AX33" s="1099"/>
      <c r="AY33" s="1099"/>
      <c r="AZ33" s="1065"/>
      <c r="BA33" s="1135" t="s">
        <v>7987</v>
      </c>
      <c r="BB33" s="1173"/>
      <c r="BC33" s="1135"/>
      <c r="BD33" s="1135"/>
      <c r="BE33" s="1135" t="s">
        <v>7988</v>
      </c>
      <c r="BF33" s="1065"/>
      <c r="BG33" s="1111"/>
      <c r="BH33" s="1111"/>
      <c r="BI33" s="1111"/>
      <c r="BJ33" s="1111"/>
      <c r="BK33" s="1111"/>
      <c r="BL33" s="1111"/>
      <c r="BM33" s="1109" t="s">
        <v>7989</v>
      </c>
      <c r="BN33" s="1050"/>
      <c r="BO33" s="1113"/>
      <c r="BP33" s="1166"/>
      <c r="BQ33" s="1113"/>
      <c r="BR33" s="1114" t="s">
        <v>2472</v>
      </c>
      <c r="BS33" s="1113"/>
      <c r="BT33" s="1113"/>
      <c r="BU33" s="1113"/>
      <c r="BV33" s="1167" t="s">
        <v>7990</v>
      </c>
      <c r="BW33" s="1114" t="s">
        <v>7991</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1259</v>
      </c>
      <c r="D34" s="1041" t="s">
        <v>1259</v>
      </c>
      <c r="E34" s="1042" t="s">
        <v>1259</v>
      </c>
      <c r="F34" s="1043" t="s">
        <v>441</v>
      </c>
      <c r="G34" s="1044" t="s">
        <v>6281</v>
      </c>
      <c r="H34" s="1088" t="s">
        <v>7992</v>
      </c>
      <c r="I34" s="1087"/>
      <c r="J34" s="1087"/>
      <c r="K34" s="1087"/>
      <c r="L34" s="1087"/>
      <c r="M34" s="1087"/>
      <c r="N34" s="1087"/>
      <c r="O34" s="1087"/>
      <c r="P34" s="1050"/>
      <c r="Q34" s="1092"/>
      <c r="R34" s="1092"/>
      <c r="S34" s="1091" t="s">
        <v>1024</v>
      </c>
      <c r="T34" s="1091" t="s">
        <v>1980</v>
      </c>
      <c r="U34" s="1091" t="s">
        <v>4561</v>
      </c>
      <c r="V34" s="1091" t="s">
        <v>7993</v>
      </c>
      <c r="W34" s="1050"/>
      <c r="X34" s="1096" t="s">
        <v>1667</v>
      </c>
      <c r="Y34" s="1161"/>
      <c r="Z34" s="1161"/>
      <c r="AA34" s="1204"/>
      <c r="AB34" s="1161"/>
      <c r="AC34" s="1161"/>
      <c r="AD34" s="1161"/>
      <c r="AE34" s="1161"/>
      <c r="AF34" s="1096"/>
      <c r="AG34" s="1161"/>
      <c r="AH34" s="1059"/>
      <c r="AI34" s="1050"/>
      <c r="AJ34" s="1099"/>
      <c r="AK34" s="1099"/>
      <c r="AL34" s="1099"/>
      <c r="AM34" s="1098" t="s">
        <v>7994</v>
      </c>
      <c r="AN34" s="1099"/>
      <c r="AO34" s="1099"/>
      <c r="AP34" s="1098" t="s">
        <v>7995</v>
      </c>
      <c r="AQ34" s="1099"/>
      <c r="AR34" s="1103" t="s">
        <v>7996</v>
      </c>
      <c r="AS34" s="1099"/>
      <c r="AT34" s="1099"/>
      <c r="AU34" s="1099"/>
      <c r="AV34" s="1099"/>
      <c r="AW34" s="1098" t="s">
        <v>1440</v>
      </c>
      <c r="AX34" s="1099"/>
      <c r="AY34" s="1099"/>
      <c r="AZ34" s="1065"/>
      <c r="BA34" s="1173"/>
      <c r="BB34" s="1135" t="s">
        <v>7997</v>
      </c>
      <c r="BC34" s="1135" t="s">
        <v>422</v>
      </c>
      <c r="BD34" s="1135"/>
      <c r="BE34" s="1135" t="s">
        <v>7998</v>
      </c>
      <c r="BF34" s="1065"/>
      <c r="BG34" s="1111"/>
      <c r="BH34" s="1111"/>
      <c r="BI34" s="1111"/>
      <c r="BJ34" s="1111"/>
      <c r="BK34" s="1111"/>
      <c r="BL34" s="1111"/>
      <c r="BM34" s="1111"/>
      <c r="BN34" s="1050"/>
      <c r="BO34" s="1115" t="s">
        <v>7999</v>
      </c>
      <c r="BP34" s="1166"/>
      <c r="BQ34" s="1115" t="s">
        <v>1035</v>
      </c>
      <c r="BR34" s="1113"/>
      <c r="BS34" s="1113"/>
      <c r="BT34" s="1113"/>
      <c r="BU34" s="1113"/>
      <c r="BV34" s="1114" t="s">
        <v>7945</v>
      </c>
      <c r="BW34" s="1114" t="s">
        <v>8000</v>
      </c>
      <c r="BX34" s="1050"/>
      <c r="BY34" s="1119"/>
      <c r="BZ34" s="1139" t="s">
        <v>6680</v>
      </c>
      <c r="CA34" s="1119"/>
      <c r="CB34" s="1140"/>
      <c r="CC34" s="1119"/>
      <c r="CD34" s="1119"/>
      <c r="CE34" s="1119"/>
      <c r="CF34" s="1119"/>
      <c r="CG34" s="1119"/>
      <c r="CH34" s="1119"/>
      <c r="CI34" s="1119"/>
      <c r="CJ34" s="1140"/>
      <c r="CK34" s="1140"/>
    </row>
    <row r="35">
      <c r="A35" s="1086" t="s">
        <v>2190</v>
      </c>
      <c r="B35" s="1044" t="s">
        <v>1351</v>
      </c>
      <c r="C35" s="1040" t="s">
        <v>548</v>
      </c>
      <c r="D35" s="1041" t="s">
        <v>1259</v>
      </c>
      <c r="E35" s="1042" t="s">
        <v>1259</v>
      </c>
      <c r="F35" s="1043" t="s">
        <v>548</v>
      </c>
      <c r="G35" s="1044" t="s">
        <v>223</v>
      </c>
      <c r="H35" s="1088"/>
      <c r="I35" s="1087"/>
      <c r="J35" s="1087"/>
      <c r="K35" s="1087"/>
      <c r="L35" s="1088" t="s">
        <v>8001</v>
      </c>
      <c r="M35" s="1087"/>
      <c r="N35" s="1088" t="s">
        <v>8002</v>
      </c>
      <c r="O35" s="1088"/>
      <c r="P35" s="1050"/>
      <c r="Q35" s="1091" t="s">
        <v>8003</v>
      </c>
      <c r="R35" s="1092"/>
      <c r="S35" s="1092"/>
      <c r="T35" s="1092"/>
      <c r="U35" s="1092"/>
      <c r="V35" s="1091" t="s">
        <v>8004</v>
      </c>
      <c r="W35" s="1050"/>
      <c r="X35" s="1161"/>
      <c r="Y35" s="1161"/>
      <c r="Z35" s="1096" t="s">
        <v>8005</v>
      </c>
      <c r="AA35" s="1096" t="s">
        <v>8006</v>
      </c>
      <c r="AB35" s="1096" t="s">
        <v>3922</v>
      </c>
      <c r="AC35" s="1096" t="s">
        <v>8007</v>
      </c>
      <c r="AD35" s="1161"/>
      <c r="AE35" s="1096" t="s">
        <v>2600</v>
      </c>
      <c r="AF35" s="1096"/>
      <c r="AG35" s="1161"/>
      <c r="AH35" s="1209" t="s">
        <v>8008</v>
      </c>
      <c r="AI35" s="1050"/>
      <c r="AJ35" s="1099"/>
      <c r="AK35" s="1099"/>
      <c r="AL35" s="1099"/>
      <c r="AM35" s="1099"/>
      <c r="AN35" s="1099"/>
      <c r="AO35" s="1099"/>
      <c r="AP35" s="1098" t="s">
        <v>8009</v>
      </c>
      <c r="AQ35" s="1099"/>
      <c r="AR35" s="1099"/>
      <c r="AS35" s="1099"/>
      <c r="AT35" s="1099"/>
      <c r="AU35" s="1099"/>
      <c r="AV35" s="1099"/>
      <c r="AW35" s="1098" t="s">
        <v>435</v>
      </c>
      <c r="AX35" s="1099"/>
      <c r="AY35" s="1098" t="s">
        <v>8010</v>
      </c>
      <c r="AZ35" s="1065"/>
      <c r="BA35" s="1135" t="s">
        <v>8011</v>
      </c>
      <c r="BB35" s="1135" t="s">
        <v>8012</v>
      </c>
      <c r="BC35" s="1173"/>
      <c r="BD35" s="1173"/>
      <c r="BE35" s="1135" t="s">
        <v>8013</v>
      </c>
      <c r="BF35" s="1065"/>
      <c r="BG35" s="1111"/>
      <c r="BH35" s="1111"/>
      <c r="BI35" s="1111"/>
      <c r="BJ35" s="1111"/>
      <c r="BK35" s="1111"/>
      <c r="BL35" s="1174" t="s">
        <v>8014</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742</v>
      </c>
      <c r="C36" s="1040" t="s">
        <v>548</v>
      </c>
      <c r="D36" s="1041" t="s">
        <v>1259</v>
      </c>
      <c r="E36" s="1042" t="s">
        <v>1259</v>
      </c>
      <c r="F36" s="1043" t="s">
        <v>441</v>
      </c>
      <c r="G36" s="1044" t="s">
        <v>986</v>
      </c>
      <c r="H36" s="1088" t="s">
        <v>840</v>
      </c>
      <c r="I36" s="1087"/>
      <c r="J36" s="1087"/>
      <c r="K36" s="1087"/>
      <c r="L36" s="1087"/>
      <c r="M36" s="1087"/>
      <c r="N36" s="1089" t="s">
        <v>8015</v>
      </c>
      <c r="O36" s="1087"/>
      <c r="P36" s="1050"/>
      <c r="Q36" s="1092"/>
      <c r="R36" s="1092"/>
      <c r="S36" s="1171" t="s">
        <v>2808</v>
      </c>
      <c r="T36" s="1092"/>
      <c r="U36" s="1092"/>
      <c r="V36" s="1091" t="s">
        <v>8016</v>
      </c>
      <c r="W36" s="1050"/>
      <c r="X36" s="1161"/>
      <c r="Y36" s="1161"/>
      <c r="Z36" s="1096" t="s">
        <v>7795</v>
      </c>
      <c r="AA36" s="1145" t="s">
        <v>609</v>
      </c>
      <c r="AB36" s="1161"/>
      <c r="AC36" s="1161"/>
      <c r="AD36" s="1096" t="s">
        <v>4940</v>
      </c>
      <c r="AE36" s="1096" t="s">
        <v>750</v>
      </c>
      <c r="AF36" s="1161"/>
      <c r="AG36" s="1161"/>
      <c r="AH36" s="1217" t="s">
        <v>8017</v>
      </c>
      <c r="AI36" s="1050"/>
      <c r="AJ36" s="1099"/>
      <c r="AK36" s="1099"/>
      <c r="AL36" s="1099"/>
      <c r="AM36" s="1098" t="s">
        <v>8018</v>
      </c>
      <c r="AN36" s="1099"/>
      <c r="AO36" s="1099"/>
      <c r="AP36" s="1099"/>
      <c r="AQ36" s="1099"/>
      <c r="AR36" s="1099"/>
      <c r="AS36" s="1099"/>
      <c r="AT36" s="1099"/>
      <c r="AU36" s="1099"/>
      <c r="AV36" s="1099"/>
      <c r="AW36" s="1099"/>
      <c r="AX36" s="1099"/>
      <c r="AY36" s="1098" t="s">
        <v>8019</v>
      </c>
      <c r="AZ36" s="1065"/>
      <c r="BA36" s="1173"/>
      <c r="BB36" s="1173"/>
      <c r="BC36" s="1173"/>
      <c r="BD36" s="1135" t="s">
        <v>8020</v>
      </c>
      <c r="BE36" s="1135" t="s">
        <v>8021</v>
      </c>
      <c r="BF36" s="1065"/>
      <c r="BG36" s="1109" t="s">
        <v>1394</v>
      </c>
      <c r="BH36" s="1111"/>
      <c r="BI36" s="1111"/>
      <c r="BJ36" s="1111"/>
      <c r="BK36" s="1111"/>
      <c r="BL36" s="1109" t="s">
        <v>8022</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987</v>
      </c>
      <c r="C37" s="1040" t="s">
        <v>1259</v>
      </c>
      <c r="D37" s="1041" t="s">
        <v>1259</v>
      </c>
      <c r="E37" s="1042" t="s">
        <v>1259</v>
      </c>
      <c r="F37" s="1043" t="s">
        <v>1259</v>
      </c>
      <c r="G37" s="1044" t="s">
        <v>2837</v>
      </c>
      <c r="H37" s="1087"/>
      <c r="I37" s="1087"/>
      <c r="J37" s="1087"/>
      <c r="K37" s="1087"/>
      <c r="L37" s="1088" t="s">
        <v>8023</v>
      </c>
      <c r="M37" s="1087"/>
      <c r="N37" s="1088" t="s">
        <v>8024</v>
      </c>
      <c r="O37" s="1087"/>
      <c r="P37" s="1050"/>
      <c r="Q37" s="1092"/>
      <c r="R37" s="1092"/>
      <c r="S37" s="1092"/>
      <c r="T37" s="1092"/>
      <c r="U37" s="1091" t="s">
        <v>4508</v>
      </c>
      <c r="V37" s="1091" t="s">
        <v>8025</v>
      </c>
      <c r="W37" s="1050"/>
      <c r="X37" s="1161"/>
      <c r="Y37" s="1161"/>
      <c r="Z37" s="1096" t="s">
        <v>8026</v>
      </c>
      <c r="AA37" s="1204"/>
      <c r="AB37" s="1161"/>
      <c r="AC37" s="1161"/>
      <c r="AD37" s="1096" t="s">
        <v>1414</v>
      </c>
      <c r="AE37" s="1096" t="s">
        <v>3262</v>
      </c>
      <c r="AF37" s="1096"/>
      <c r="AG37" s="1161"/>
      <c r="AH37" s="1209" t="s">
        <v>8027</v>
      </c>
      <c r="AI37" s="1050"/>
      <c r="AJ37" s="1099"/>
      <c r="AK37" s="1099"/>
      <c r="AL37" s="1099"/>
      <c r="AM37" s="1098" t="s">
        <v>2978</v>
      </c>
      <c r="AN37" s="1099"/>
      <c r="AO37" s="1099"/>
      <c r="AP37" s="1099"/>
      <c r="AQ37" s="1099"/>
      <c r="AR37" s="1099"/>
      <c r="AS37" s="1099"/>
      <c r="AT37" s="1099"/>
      <c r="AU37" s="1099"/>
      <c r="AV37" s="1099"/>
      <c r="AW37" s="1098" t="s">
        <v>1284</v>
      </c>
      <c r="AX37" s="1099"/>
      <c r="AY37" s="1099"/>
      <c r="AZ37" s="1065"/>
      <c r="BA37" s="1173"/>
      <c r="BB37" s="1173"/>
      <c r="BC37" s="1173"/>
      <c r="BD37" s="1173"/>
      <c r="BE37" s="1135" t="s">
        <v>8028</v>
      </c>
      <c r="BF37" s="1065"/>
      <c r="BG37" s="1109" t="s">
        <v>8029</v>
      </c>
      <c r="BH37" s="1109" t="s">
        <v>2995</v>
      </c>
      <c r="BI37" s="1111"/>
      <c r="BJ37" s="1111"/>
      <c r="BK37" s="1111"/>
      <c r="BL37" s="1109" t="s">
        <v>8030</v>
      </c>
      <c r="BM37" s="1111"/>
      <c r="BN37" s="1050"/>
      <c r="BO37" s="1114" t="s">
        <v>1833</v>
      </c>
      <c r="BP37" s="1166"/>
      <c r="BQ37" s="1113"/>
      <c r="BR37" s="1113"/>
      <c r="BS37" s="1113"/>
      <c r="BT37" s="1114" t="s">
        <v>4386</v>
      </c>
      <c r="BU37" s="1113"/>
      <c r="BV37" s="1114" t="s">
        <v>8031</v>
      </c>
      <c r="BW37" s="1114" t="s">
        <v>8032</v>
      </c>
      <c r="BX37" s="1050"/>
      <c r="BY37" s="1119"/>
      <c r="BZ37" s="1119"/>
      <c r="CA37" s="1119"/>
      <c r="CB37" s="1140"/>
      <c r="CC37" s="1119"/>
      <c r="CD37" s="1119"/>
      <c r="CE37" s="1119"/>
      <c r="CF37" s="1119"/>
      <c r="CG37" s="1119"/>
      <c r="CH37" s="1168" t="s">
        <v>6076</v>
      </c>
      <c r="CI37" s="1119"/>
      <c r="CJ37" s="1140"/>
      <c r="CK37" s="1140"/>
    </row>
    <row r="38">
      <c r="A38" s="1086" t="s">
        <v>5238</v>
      </c>
      <c r="B38" s="1044" t="s">
        <v>8033</v>
      </c>
      <c r="C38" s="1040" t="s">
        <v>1259</v>
      </c>
      <c r="D38" s="1041" t="s">
        <v>1259</v>
      </c>
      <c r="E38" s="1042" t="s">
        <v>1259</v>
      </c>
      <c r="F38" s="1043" t="s">
        <v>548</v>
      </c>
      <c r="G38" s="1044" t="s">
        <v>222</v>
      </c>
      <c r="H38" s="1087"/>
      <c r="I38" s="1087"/>
      <c r="J38" s="1087"/>
      <c r="K38" s="1087"/>
      <c r="L38" s="1185" t="s">
        <v>293</v>
      </c>
      <c r="M38" s="1087"/>
      <c r="N38" s="1088" t="s">
        <v>8034</v>
      </c>
      <c r="O38" s="1087"/>
      <c r="P38" s="1050"/>
      <c r="Q38" s="1092"/>
      <c r="R38" s="1092"/>
      <c r="S38" s="1091" t="s">
        <v>8035</v>
      </c>
      <c r="T38" s="1092"/>
      <c r="U38" s="1092"/>
      <c r="V38" s="1092"/>
      <c r="W38" s="1050"/>
      <c r="X38" s="1161"/>
      <c r="Y38" s="1161"/>
      <c r="Z38" s="1161"/>
      <c r="AA38" s="1216" t="s">
        <v>6957</v>
      </c>
      <c r="AB38" s="1130" t="s">
        <v>8036</v>
      </c>
      <c r="AC38" s="1161"/>
      <c r="AD38" s="1161"/>
      <c r="AE38" s="1161"/>
      <c r="AF38" s="1161"/>
      <c r="AG38" s="1161"/>
      <c r="AH38" s="1209" t="s">
        <v>8037</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8038</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8039</v>
      </c>
      <c r="BX38" s="1050"/>
      <c r="BY38" s="1119"/>
      <c r="BZ38" s="1210" t="s">
        <v>2841</v>
      </c>
      <c r="CA38" s="1119"/>
      <c r="CB38" s="1140"/>
      <c r="CC38" s="1119"/>
      <c r="CD38" s="1119"/>
      <c r="CE38" s="1119"/>
      <c r="CF38" s="1118" t="s">
        <v>8040</v>
      </c>
      <c r="CG38" s="1119"/>
      <c r="CH38" s="1119"/>
      <c r="CI38" s="1139" t="s">
        <v>5010</v>
      </c>
      <c r="CJ38" s="1140"/>
      <c r="CK38" s="1140"/>
    </row>
    <row r="39">
      <c r="A39" s="1086" t="s">
        <v>8041</v>
      </c>
      <c r="B39" s="1044" t="s">
        <v>5270</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8042</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1160</v>
      </c>
      <c r="Y40" s="773" t="s">
        <v>8043</v>
      </c>
      <c r="Z40" s="773"/>
      <c r="AA40" s="773"/>
      <c r="AB40" s="734" t="s">
        <v>5132</v>
      </c>
      <c r="AC40" s="773"/>
      <c r="AD40" s="1233"/>
      <c r="AE40" s="1233"/>
      <c r="AF40" s="1233"/>
      <c r="AG40" s="734" t="s">
        <v>8044</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8045</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1259</v>
      </c>
      <c r="D42" s="1041" t="s">
        <v>1259</v>
      </c>
      <c r="E42" s="1042" t="s">
        <v>1259</v>
      </c>
      <c r="F42" s="1043" t="s">
        <v>1259</v>
      </c>
      <c r="G42" s="1044" t="s">
        <v>4219</v>
      </c>
      <c r="H42" s="1087"/>
      <c r="I42" s="1087"/>
      <c r="J42" s="1088" t="s">
        <v>8046</v>
      </c>
      <c r="K42" s="1088"/>
      <c r="L42" s="1088"/>
      <c r="M42" s="1088" t="s">
        <v>8047</v>
      </c>
      <c r="N42" s="1087"/>
      <c r="O42" s="1088" t="s">
        <v>8048</v>
      </c>
      <c r="P42" s="1050"/>
      <c r="Q42" s="1092"/>
      <c r="R42" s="1091" t="s">
        <v>7297</v>
      </c>
      <c r="S42" s="1092"/>
      <c r="T42" s="1092"/>
      <c r="U42" s="1092"/>
      <c r="V42" s="1091" t="s">
        <v>8049</v>
      </c>
      <c r="W42" s="1050"/>
      <c r="X42" s="1161"/>
      <c r="Y42" s="1161"/>
      <c r="Z42" s="1161"/>
      <c r="AA42" s="1216" t="s">
        <v>8050</v>
      </c>
      <c r="AB42" s="1096" t="s">
        <v>8051</v>
      </c>
      <c r="AC42" s="1161"/>
      <c r="AD42" s="1161"/>
      <c r="AE42" s="1161"/>
      <c r="AF42" s="1161"/>
      <c r="AG42" s="1096" t="s">
        <v>8052</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8053</v>
      </c>
      <c r="BF42" s="1065"/>
      <c r="BG42" s="1111"/>
      <c r="BH42" s="1111"/>
      <c r="BI42" s="1111"/>
      <c r="BJ42" s="1111"/>
      <c r="BK42" s="1111"/>
      <c r="BL42" s="1111"/>
      <c r="BM42" s="1109" t="s">
        <v>8054</v>
      </c>
      <c r="BN42" s="1050"/>
      <c r="BO42" s="1113"/>
      <c r="BP42" s="1166"/>
      <c r="BQ42" s="1113"/>
      <c r="BR42" s="1113"/>
      <c r="BS42" s="1113"/>
      <c r="BT42" s="1113"/>
      <c r="BU42" s="1113"/>
      <c r="BV42" s="1114" t="s">
        <v>7470</v>
      </c>
      <c r="BW42" s="1114" t="s">
        <v>8055</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1259</v>
      </c>
      <c r="D43" s="1041" t="s">
        <v>548</v>
      </c>
      <c r="E43" s="1042" t="s">
        <v>1259</v>
      </c>
      <c r="F43" s="1043" t="s">
        <v>441</v>
      </c>
      <c r="G43" s="1044" t="s">
        <v>2675</v>
      </c>
      <c r="H43" s="1088" t="s">
        <v>2062</v>
      </c>
      <c r="I43" s="1088"/>
      <c r="J43" s="1087"/>
      <c r="K43" s="1087"/>
      <c r="L43" s="1088" t="s">
        <v>8056</v>
      </c>
      <c r="M43" s="1087"/>
      <c r="N43" s="1089" t="s">
        <v>8057</v>
      </c>
      <c r="O43" s="1087"/>
      <c r="P43" s="1050"/>
      <c r="Q43" s="1091" t="s">
        <v>8058</v>
      </c>
      <c r="R43" s="1092"/>
      <c r="S43" s="1092"/>
      <c r="T43" s="1092"/>
      <c r="U43" s="1092"/>
      <c r="V43" s="1091" t="s">
        <v>8059</v>
      </c>
      <c r="W43" s="1050"/>
      <c r="X43" s="1161"/>
      <c r="Y43" s="1161"/>
      <c r="Z43" s="1161"/>
      <c r="AA43" s="1204"/>
      <c r="AB43" s="1161"/>
      <c r="AC43" s="1161"/>
      <c r="AD43" s="1161"/>
      <c r="AE43" s="1161"/>
      <c r="AF43" s="1161"/>
      <c r="AG43" s="1161"/>
      <c r="AH43" s="1209" t="s">
        <v>8060</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8061</v>
      </c>
      <c r="BD43" s="1105" t="s">
        <v>8062</v>
      </c>
      <c r="BE43" s="1135" t="s">
        <v>8063</v>
      </c>
      <c r="BF43" s="1065"/>
      <c r="BG43" s="1111"/>
      <c r="BH43" s="1111"/>
      <c r="BI43" s="1111"/>
      <c r="BJ43" s="1111"/>
      <c r="BK43" s="1111"/>
      <c r="BL43" s="1111"/>
      <c r="BM43" s="1111"/>
      <c r="BN43" s="1050"/>
      <c r="BO43" s="1113"/>
      <c r="BP43" s="1166"/>
      <c r="BQ43" s="1114" t="s">
        <v>3658</v>
      </c>
      <c r="BR43" s="1113"/>
      <c r="BS43" s="1113"/>
      <c r="BT43" s="1113"/>
      <c r="BU43" s="1115" t="s">
        <v>8064</v>
      </c>
      <c r="BV43" s="1113"/>
      <c r="BW43" s="1114" t="s">
        <v>8065</v>
      </c>
      <c r="BX43" s="1050"/>
      <c r="BY43" s="1119"/>
      <c r="BZ43" s="1119"/>
      <c r="CA43" s="1119"/>
      <c r="CB43" s="1140"/>
      <c r="CC43" s="1119"/>
      <c r="CD43" s="1119"/>
      <c r="CE43" s="1119"/>
      <c r="CF43" s="1119"/>
      <c r="CG43" s="1119"/>
      <c r="CH43" s="1119"/>
      <c r="CI43" s="1139" t="s">
        <v>8066</v>
      </c>
      <c r="CJ43" s="1140"/>
      <c r="CK43" s="1140"/>
    </row>
    <row r="44">
      <c r="A44" s="1086" t="s">
        <v>5977</v>
      </c>
      <c r="B44" s="1044" t="s">
        <v>2987</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8067</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1259</v>
      </c>
      <c r="D45" s="1041" t="s">
        <v>1259</v>
      </c>
      <c r="E45" s="1042" t="s">
        <v>1259</v>
      </c>
      <c r="F45" s="1043" t="s">
        <v>1259</v>
      </c>
      <c r="G45" s="1044" t="s">
        <v>334</v>
      </c>
      <c r="H45" s="1087"/>
      <c r="I45" s="1087"/>
      <c r="J45" s="1087"/>
      <c r="K45" s="1087"/>
      <c r="L45" s="1237" t="s">
        <v>8068</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8069</v>
      </c>
      <c r="BF45" s="1065"/>
      <c r="BG45" s="1193" t="s">
        <v>8070</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703</v>
      </c>
      <c r="AQ46" s="1099"/>
      <c r="AR46" s="1098" t="s">
        <v>8071</v>
      </c>
      <c r="AS46" s="1099"/>
      <c r="AT46" s="1099"/>
      <c r="AU46" s="1099"/>
      <c r="AV46" s="1099"/>
      <c r="AW46" s="1098" t="s">
        <v>889</v>
      </c>
      <c r="AX46" s="1099"/>
      <c r="AY46" s="1099"/>
      <c r="AZ46" s="1065"/>
      <c r="BA46" s="1173"/>
      <c r="BB46" s="1173"/>
      <c r="BC46" s="1135" t="s">
        <v>2138</v>
      </c>
      <c r="BD46" s="1173"/>
      <c r="BE46" s="1173"/>
      <c r="BF46" s="1065"/>
      <c r="BG46" s="1111"/>
      <c r="BH46" s="1111"/>
      <c r="BI46" s="1111"/>
      <c r="BJ46" s="1111"/>
      <c r="BK46" s="1111"/>
      <c r="BL46" s="1111"/>
      <c r="BM46" s="1111"/>
      <c r="BN46" s="1050"/>
      <c r="BO46" s="1114" t="s">
        <v>8072</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1259</v>
      </c>
      <c r="D47" s="1041" t="s">
        <v>1259</v>
      </c>
      <c r="E47" s="1042" t="s">
        <v>1259</v>
      </c>
      <c r="F47" s="1043" t="s">
        <v>1259</v>
      </c>
      <c r="G47" s="1044" t="s">
        <v>985</v>
      </c>
      <c r="H47" s="1087"/>
      <c r="I47" s="1087"/>
      <c r="J47" s="1087"/>
      <c r="K47" s="1087"/>
      <c r="L47" s="1088" t="s">
        <v>4823</v>
      </c>
      <c r="M47" s="1087"/>
      <c r="N47" s="1088" t="s">
        <v>8073</v>
      </c>
      <c r="O47" s="1087"/>
      <c r="P47" s="1050"/>
      <c r="Q47" s="1092"/>
      <c r="R47" s="1092"/>
      <c r="S47" s="1092"/>
      <c r="T47" s="1092"/>
      <c r="U47" s="1091"/>
      <c r="V47" s="1091" t="s">
        <v>8074</v>
      </c>
      <c r="W47" s="1050"/>
      <c r="X47" s="1161"/>
      <c r="Y47" s="1161"/>
      <c r="Z47" s="1128" t="s">
        <v>8075</v>
      </c>
      <c r="AA47" s="1204"/>
      <c r="AB47" s="1096" t="s">
        <v>816</v>
      </c>
      <c r="AC47" s="1161"/>
      <c r="AD47" s="1161"/>
      <c r="AE47" s="1161"/>
      <c r="AF47" s="1161"/>
      <c r="AG47" s="1096" t="s">
        <v>8076</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8077</v>
      </c>
      <c r="BF47" s="1065"/>
      <c r="BG47" s="1111"/>
      <c r="BH47" s="1111"/>
      <c r="BI47" s="1111"/>
      <c r="BJ47" s="1111"/>
      <c r="BK47" s="1111"/>
      <c r="BL47" s="1111"/>
      <c r="BM47" s="1111"/>
      <c r="BN47" s="1050"/>
      <c r="BO47" s="1114" t="s">
        <v>8078</v>
      </c>
      <c r="BP47" s="1166"/>
      <c r="BQ47" s="1113"/>
      <c r="BR47" s="1113"/>
      <c r="BS47" s="1113"/>
      <c r="BT47" s="1113"/>
      <c r="BU47" s="1113"/>
      <c r="BV47" s="1113"/>
      <c r="BW47" s="1167" t="s">
        <v>8079</v>
      </c>
      <c r="BX47" s="1050"/>
      <c r="BY47" s="1119"/>
      <c r="BZ47" s="1119"/>
      <c r="CA47" s="1119"/>
      <c r="CB47" s="1140"/>
      <c r="CC47" s="1119"/>
      <c r="CD47" s="1119"/>
      <c r="CE47" s="1119"/>
      <c r="CF47" s="1119"/>
      <c r="CG47" s="1119"/>
      <c r="CH47" s="1119"/>
      <c r="CI47" s="1119"/>
      <c r="CJ47" s="1140"/>
      <c r="CK47" s="1140"/>
    </row>
    <row r="48">
      <c r="A48" s="1239" t="s">
        <v>6645</v>
      </c>
      <c r="B48" s="1044" t="s">
        <v>6214</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1259</v>
      </c>
      <c r="D49" s="1041" t="s">
        <v>1259</v>
      </c>
      <c r="E49" s="1042" t="s">
        <v>1259</v>
      </c>
      <c r="F49" s="1043" t="s">
        <v>439</v>
      </c>
      <c r="G49" s="1044" t="s">
        <v>439</v>
      </c>
      <c r="H49" s="1087"/>
      <c r="I49" s="1089" t="s">
        <v>8080</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6646</v>
      </c>
      <c r="B50" s="1044" t="s">
        <v>1062</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8081</v>
      </c>
      <c r="W50" s="1050"/>
      <c r="X50" s="1161"/>
      <c r="Y50" s="1161"/>
      <c r="Z50" s="1161"/>
      <c r="AA50" s="1204"/>
      <c r="AB50" s="1161"/>
      <c r="AC50" s="1161"/>
      <c r="AD50" s="1161"/>
      <c r="AE50" s="1161"/>
      <c r="AF50" s="1161"/>
      <c r="AG50" s="1161"/>
      <c r="AH50" s="1209" t="s">
        <v>8082</v>
      </c>
      <c r="AI50" s="1050"/>
      <c r="AJ50" s="1099"/>
      <c r="AK50" s="1099"/>
      <c r="AL50" s="1099"/>
      <c r="AM50" s="1099"/>
      <c r="AN50" s="1099"/>
      <c r="AO50" s="1099"/>
      <c r="AP50" s="1099"/>
      <c r="AQ50" s="1099"/>
      <c r="AR50" s="1099"/>
      <c r="AS50" s="1099"/>
      <c r="AT50" s="1099"/>
      <c r="AU50" s="1099"/>
      <c r="AV50" s="1099"/>
      <c r="AW50" s="1099"/>
      <c r="AX50" s="1099"/>
      <c r="AY50" s="1209" t="s">
        <v>8083</v>
      </c>
      <c r="AZ50" s="1065"/>
      <c r="BA50" s="1173"/>
      <c r="BB50" s="1173"/>
      <c r="BC50" s="1173"/>
      <c r="BD50" s="1173"/>
      <c r="BE50" s="1209" t="s">
        <v>8084</v>
      </c>
      <c r="BF50" s="1065"/>
      <c r="BG50" s="1111"/>
      <c r="BH50" s="1111"/>
      <c r="BI50" s="1111"/>
      <c r="BJ50" s="1111"/>
      <c r="BK50" s="1111"/>
      <c r="BL50" s="1209" t="s">
        <v>8085</v>
      </c>
      <c r="BM50" s="1109"/>
      <c r="BN50" s="1050"/>
      <c r="BO50" s="1113"/>
      <c r="BP50" s="1166"/>
      <c r="BQ50" s="1113"/>
      <c r="BR50" s="1113"/>
      <c r="BS50" s="1113"/>
      <c r="BT50" s="1113"/>
      <c r="BU50" s="1113"/>
      <c r="BV50" s="1113"/>
      <c r="BW50" s="1209" t="s">
        <v>8086</v>
      </c>
      <c r="BX50" s="1050"/>
      <c r="BY50" s="1119"/>
      <c r="BZ50" s="1119"/>
      <c r="CA50" s="1119"/>
      <c r="CB50" s="1140"/>
      <c r="CC50" s="1119"/>
      <c r="CD50" s="1119"/>
      <c r="CE50" s="1119"/>
      <c r="CF50" s="1119"/>
      <c r="CG50" s="1119"/>
      <c r="CH50" s="1119"/>
      <c r="CI50" s="1119"/>
      <c r="CJ50" s="1140"/>
      <c r="CK50" s="1140"/>
    </row>
    <row r="51">
      <c r="A51" s="1086" t="s">
        <v>8087</v>
      </c>
      <c r="B51" s="1044" t="s">
        <v>222</v>
      </c>
      <c r="C51" s="1040" t="s">
        <v>1259</v>
      </c>
      <c r="D51" s="1041" t="s">
        <v>1259</v>
      </c>
      <c r="E51" s="1042" t="s">
        <v>1259</v>
      </c>
      <c r="F51" s="1043" t="s">
        <v>1259</v>
      </c>
      <c r="G51" s="1044" t="s">
        <v>334</v>
      </c>
      <c r="H51" s="1087"/>
      <c r="I51" s="1087"/>
      <c r="J51" s="1087"/>
      <c r="K51" s="1087"/>
      <c r="L51" s="1087"/>
      <c r="M51" s="1087"/>
      <c r="N51" s="1088" t="s">
        <v>8088</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8089</v>
      </c>
      <c r="BF51" s="1065"/>
      <c r="BG51" s="1111"/>
      <c r="BH51" s="1111"/>
      <c r="BI51" s="1111"/>
      <c r="BJ51" s="1111"/>
      <c r="BK51" s="1111"/>
      <c r="BL51" s="1111"/>
      <c r="BM51" s="1111"/>
      <c r="BN51" s="1050"/>
      <c r="BO51" s="1113"/>
      <c r="BP51" s="1166"/>
      <c r="BQ51" s="1113"/>
      <c r="BR51" s="1113"/>
      <c r="BS51" s="1113"/>
      <c r="BT51" s="1113"/>
      <c r="BU51" s="1113"/>
      <c r="BV51" s="1113"/>
      <c r="BW51" s="1114" t="s">
        <v>8090</v>
      </c>
      <c r="BX51" s="1050"/>
      <c r="BY51" s="1119"/>
      <c r="BZ51" s="1119"/>
      <c r="CA51" s="1119"/>
      <c r="CB51" s="1140"/>
      <c r="CC51" s="1119"/>
      <c r="CD51" s="1119"/>
      <c r="CE51" s="1119"/>
      <c r="CF51" s="1119"/>
      <c r="CG51" s="1119"/>
      <c r="CH51" s="1119"/>
      <c r="CI51" s="1119"/>
      <c r="CJ51" s="1140"/>
      <c r="CK51" s="1140"/>
    </row>
    <row r="52">
      <c r="A52" s="1219" t="s">
        <v>8091</v>
      </c>
      <c r="B52" s="1044" t="s">
        <v>1199</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8092</v>
      </c>
      <c r="AA52" s="1161"/>
      <c r="AB52" s="1176" t="s">
        <v>8093</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1259</v>
      </c>
      <c r="D53" s="1041" t="s">
        <v>1259</v>
      </c>
      <c r="E53" s="1042" t="s">
        <v>1259</v>
      </c>
      <c r="F53" s="1043" t="s">
        <v>1259</v>
      </c>
      <c r="G53" s="1044" t="s">
        <v>1200</v>
      </c>
      <c r="H53" s="1087"/>
      <c r="I53" s="1087"/>
      <c r="J53" s="1087"/>
      <c r="K53" s="1087"/>
      <c r="L53" s="1087"/>
      <c r="M53" s="1087"/>
      <c r="N53" s="1088" t="s">
        <v>8094</v>
      </c>
      <c r="O53" s="1087"/>
      <c r="P53" s="1050"/>
      <c r="Q53" s="1092"/>
      <c r="R53" s="1092"/>
      <c r="S53" s="1092"/>
      <c r="T53" s="1092"/>
      <c r="U53" s="1092"/>
      <c r="V53" s="1091" t="s">
        <v>8095</v>
      </c>
      <c r="W53" s="1050"/>
      <c r="X53" s="1161"/>
      <c r="Y53" s="1161"/>
      <c r="Z53" s="1161"/>
      <c r="AA53" s="1204"/>
      <c r="AB53" s="1161"/>
      <c r="AC53" s="1161"/>
      <c r="AD53" s="1161"/>
      <c r="AE53" s="1096" t="s">
        <v>8096</v>
      </c>
      <c r="AF53" s="1161"/>
      <c r="AG53" s="1161"/>
      <c r="AH53" s="1209" t="s">
        <v>8097</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8098</v>
      </c>
      <c r="BE53" s="1135" t="s">
        <v>8099</v>
      </c>
      <c r="BF53" s="1065"/>
      <c r="BG53" s="1111"/>
      <c r="BH53" s="1111"/>
      <c r="BI53" s="1111"/>
      <c r="BJ53" s="1111"/>
      <c r="BK53" s="1111"/>
      <c r="BL53" s="1111"/>
      <c r="BM53" s="1111"/>
      <c r="BN53" s="1050"/>
      <c r="BO53" s="1113"/>
      <c r="BP53" s="1166"/>
      <c r="BQ53" s="1113"/>
      <c r="BR53" s="1113"/>
      <c r="BS53" s="1113"/>
      <c r="BT53" s="1113"/>
      <c r="BU53" s="1113"/>
      <c r="BV53" s="1113"/>
      <c r="BW53" s="1114" t="s">
        <v>8100</v>
      </c>
      <c r="BX53" s="1050"/>
      <c r="BY53" s="1119"/>
      <c r="BZ53" s="1119"/>
      <c r="CA53" s="1119"/>
      <c r="CB53" s="1140"/>
      <c r="CC53" s="1119"/>
      <c r="CD53" s="1119"/>
      <c r="CE53" s="1119"/>
      <c r="CF53" s="1119"/>
      <c r="CG53" s="1119"/>
      <c r="CH53" s="1119"/>
      <c r="CI53" s="1119"/>
      <c r="CJ53" s="1140"/>
      <c r="CK53" s="1140"/>
    </row>
    <row r="54">
      <c r="A54" s="1086" t="s">
        <v>3616</v>
      </c>
      <c r="B54" s="1044" t="s">
        <v>985</v>
      </c>
      <c r="C54" s="1040" t="s">
        <v>1259</v>
      </c>
      <c r="D54" s="1041" t="s">
        <v>1259</v>
      </c>
      <c r="E54" s="1042" t="s">
        <v>1259</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8101</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6418</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1114</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8102</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8103</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1200</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8104</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8105</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8106</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8107</v>
      </c>
      <c r="B61" s="1044" t="s">
        <v>334</v>
      </c>
      <c r="C61" s="1040" t="s">
        <v>1259</v>
      </c>
      <c r="D61" s="1041" t="s">
        <v>1259</v>
      </c>
      <c r="E61" s="1042" t="s">
        <v>1259</v>
      </c>
      <c r="F61" s="1043" t="s">
        <v>439</v>
      </c>
      <c r="G61" s="1044" t="s">
        <v>439</v>
      </c>
      <c r="H61" s="1087"/>
      <c r="I61" s="1087"/>
      <c r="J61" s="1087"/>
      <c r="K61" s="1087"/>
      <c r="L61" s="1089" t="s">
        <v>8108</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7441</v>
      </c>
      <c r="BV61" s="1113"/>
      <c r="BW61" s="1113"/>
      <c r="BX61" s="1050"/>
      <c r="BY61" s="1119"/>
      <c r="BZ61" s="1119"/>
      <c r="CA61" s="1119"/>
      <c r="CB61" s="1140"/>
      <c r="CC61" s="1119"/>
      <c r="CD61" s="1119"/>
      <c r="CE61" s="1119"/>
      <c r="CF61" s="1119"/>
      <c r="CG61" s="1119"/>
      <c r="CH61" s="1119"/>
      <c r="CI61" s="1119"/>
      <c r="CJ61" s="1140"/>
      <c r="CK61" s="1140"/>
    </row>
    <row r="62">
      <c r="A62" s="1086" t="s">
        <v>8109</v>
      </c>
      <c r="B62" s="1044" t="s">
        <v>548</v>
      </c>
      <c r="C62" s="1040" t="s">
        <v>1259</v>
      </c>
      <c r="D62" s="1041" t="s">
        <v>1259</v>
      </c>
      <c r="E62" s="1042" t="s">
        <v>1259</v>
      </c>
      <c r="F62" s="1043" t="s">
        <v>1259</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7127</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6497</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8110</v>
      </c>
      <c r="C1" s="23" t="s">
        <v>10</v>
      </c>
      <c r="F1" s="23" t="s">
        <v>34</v>
      </c>
      <c r="H1" s="24" t="s">
        <v>35</v>
      </c>
      <c r="K1" s="26" t="s">
        <v>36</v>
      </c>
      <c r="O1" s="28" t="s">
        <v>6871</v>
      </c>
      <c r="R1" s="29" t="s">
        <v>38</v>
      </c>
      <c r="U1" s="30" t="s">
        <v>39</v>
      </c>
      <c r="X1" s="32" t="s">
        <v>7120</v>
      </c>
      <c r="AA1" s="33" t="s">
        <v>7182</v>
      </c>
      <c r="AD1" s="34" t="s">
        <v>42</v>
      </c>
      <c r="AG1" s="1250"/>
      <c r="AH1" s="1250"/>
    </row>
    <row r="2" ht="38.25" customHeight="1">
      <c r="A2" s="35" t="s">
        <v>43</v>
      </c>
      <c r="B2" s="36" t="s">
        <v>44</v>
      </c>
      <c r="C2" s="36" t="s">
        <v>45</v>
      </c>
      <c r="F2" s="36" t="s">
        <v>8111</v>
      </c>
      <c r="H2" s="1251" t="s">
        <v>8112</v>
      </c>
      <c r="I2" s="1252"/>
      <c r="J2" s="1252"/>
      <c r="K2" s="1253" t="s">
        <v>8113</v>
      </c>
      <c r="L2" s="1254" t="s">
        <v>8114</v>
      </c>
      <c r="M2" s="1253" t="s">
        <v>8115</v>
      </c>
      <c r="N2" s="1253" t="s">
        <v>8116</v>
      </c>
      <c r="O2" s="1255" t="s">
        <v>8117</v>
      </c>
      <c r="P2" s="1255" t="s">
        <v>8118</v>
      </c>
      <c r="Q2" s="1255"/>
      <c r="R2" s="42" t="s">
        <v>48</v>
      </c>
      <c r="S2" s="42" t="s">
        <v>8119</v>
      </c>
      <c r="T2" s="42"/>
      <c r="U2" s="44" t="s">
        <v>50</v>
      </c>
      <c r="V2" s="44" t="s">
        <v>54</v>
      </c>
      <c r="W2" s="44" t="s">
        <v>62</v>
      </c>
      <c r="X2" s="45" t="s">
        <v>52</v>
      </c>
      <c r="Y2" s="45"/>
      <c r="Z2" s="45"/>
      <c r="AA2" s="47" t="s">
        <v>51</v>
      </c>
      <c r="AB2" s="1256" t="s">
        <v>8120</v>
      </c>
      <c r="AC2" s="47"/>
      <c r="AD2" s="1257" t="s">
        <v>8121</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7114</v>
      </c>
      <c r="V3" s="1269"/>
      <c r="W3" s="1269"/>
      <c r="X3" s="1271" t="s">
        <v>8122</v>
      </c>
      <c r="Y3" s="1269"/>
      <c r="Z3" s="1269"/>
      <c r="AA3" s="1272" t="s">
        <v>8123</v>
      </c>
      <c r="AB3" s="1269"/>
      <c r="AC3" s="1233"/>
      <c r="AD3" s="1269"/>
      <c r="AE3" s="1269"/>
      <c r="AF3" s="1269"/>
      <c r="AG3" s="1273"/>
      <c r="AH3" s="1273"/>
    </row>
    <row r="4">
      <c r="A4" s="1274" t="s">
        <v>5268</v>
      </c>
      <c r="B4" s="1260" t="s">
        <v>1062</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8124</v>
      </c>
      <c r="Y4" s="1269"/>
      <c r="Z4" s="1269"/>
      <c r="AA4" s="734" t="s">
        <v>1245</v>
      </c>
      <c r="AB4" s="1269"/>
      <c r="AC4" s="1233"/>
      <c r="AD4" s="1269"/>
      <c r="AE4" s="1269"/>
      <c r="AF4" s="1269"/>
      <c r="AG4" s="1273"/>
      <c r="AH4" s="1273"/>
    </row>
    <row r="5">
      <c r="A5" s="1259" t="s">
        <v>4040</v>
      </c>
      <c r="B5" s="1260" t="s">
        <v>4219</v>
      </c>
      <c r="C5" s="1261" t="s">
        <v>1259</v>
      </c>
      <c r="D5" s="1262" t="s">
        <v>548</v>
      </c>
      <c r="E5" s="1263" t="s">
        <v>1259</v>
      </c>
      <c r="F5" s="1264" t="s">
        <v>334</v>
      </c>
      <c r="G5" s="1260" t="s">
        <v>335</v>
      </c>
      <c r="H5" s="1233"/>
      <c r="I5" s="97"/>
      <c r="J5" s="92"/>
      <c r="K5" s="1233"/>
      <c r="L5" s="1233"/>
      <c r="M5" s="1233"/>
      <c r="N5" s="1233"/>
      <c r="O5" s="1233"/>
      <c r="P5" s="1233"/>
      <c r="Q5" s="1269"/>
      <c r="R5" s="1276" t="s">
        <v>4506</v>
      </c>
      <c r="S5" s="1277" t="s">
        <v>1663</v>
      </c>
      <c r="T5" s="1233"/>
      <c r="U5" s="734" t="s">
        <v>1041</v>
      </c>
      <c r="V5" s="1269"/>
      <c r="W5" s="1269"/>
      <c r="X5" s="734" t="s">
        <v>8125</v>
      </c>
      <c r="Y5" s="1269"/>
      <c r="Z5" s="1269"/>
      <c r="AA5" s="1278" t="s">
        <v>8126</v>
      </c>
      <c r="AB5" s="1269"/>
      <c r="AC5" s="1233"/>
      <c r="AD5" s="1269"/>
      <c r="AE5" s="1269"/>
      <c r="AF5" s="1269"/>
      <c r="AG5" s="1273"/>
      <c r="AH5" s="1273"/>
    </row>
    <row r="6">
      <c r="A6" s="1259" t="s">
        <v>2457</v>
      </c>
      <c r="B6" s="1260" t="s">
        <v>4219</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1738</v>
      </c>
      <c r="V6" s="97"/>
      <c r="W6" s="759" t="s">
        <v>7965</v>
      </c>
      <c r="X6" s="1233"/>
      <c r="Y6" s="1269"/>
      <c r="Z6" s="1269"/>
      <c r="AA6" s="1233"/>
      <c r="AB6" s="1269"/>
      <c r="AC6" s="1233"/>
      <c r="AD6" s="734" t="s">
        <v>218</v>
      </c>
      <c r="AE6" s="1269"/>
      <c r="AF6" s="1269"/>
      <c r="AG6" s="1273"/>
      <c r="AH6" s="1273"/>
    </row>
    <row r="7">
      <c r="A7" s="1259" t="s">
        <v>983</v>
      </c>
      <c r="B7" s="1260" t="s">
        <v>3283</v>
      </c>
      <c r="C7" s="1261" t="s">
        <v>439</v>
      </c>
      <c r="D7" s="1262" t="s">
        <v>548</v>
      </c>
      <c r="E7" s="1263" t="s">
        <v>1259</v>
      </c>
      <c r="F7" s="1264" t="s">
        <v>334</v>
      </c>
      <c r="G7" s="1260" t="s">
        <v>334</v>
      </c>
      <c r="H7" s="1233"/>
      <c r="I7" s="97"/>
      <c r="J7" s="92"/>
      <c r="K7" s="1265"/>
      <c r="L7" s="1265"/>
      <c r="M7" s="1265"/>
      <c r="N7" s="773"/>
      <c r="O7" s="1280"/>
      <c r="P7" s="1233"/>
      <c r="Q7" s="1269"/>
      <c r="R7" s="1269"/>
      <c r="S7" s="1276" t="s">
        <v>8127</v>
      </c>
      <c r="T7" s="1233"/>
      <c r="U7" s="1269"/>
      <c r="V7" s="1269"/>
      <c r="W7" s="1269"/>
      <c r="X7" s="1233"/>
      <c r="Y7" s="1269"/>
      <c r="Z7" s="1269"/>
      <c r="AA7" s="1270" t="s">
        <v>8128</v>
      </c>
      <c r="AB7" s="1270" t="s">
        <v>6409</v>
      </c>
      <c r="AC7" s="1233"/>
      <c r="AD7" s="1269"/>
      <c r="AE7" s="1269"/>
      <c r="AF7" s="1269"/>
      <c r="AG7" s="1273"/>
      <c r="AH7" s="1273"/>
    </row>
    <row r="8">
      <c r="A8" s="1259" t="s">
        <v>1059</v>
      </c>
      <c r="B8" s="1260" t="s">
        <v>3283</v>
      </c>
      <c r="C8" s="1261" t="s">
        <v>548</v>
      </c>
      <c r="D8" s="1262" t="s">
        <v>439</v>
      </c>
      <c r="E8" s="1263" t="s">
        <v>548</v>
      </c>
      <c r="F8" s="1264" t="s">
        <v>441</v>
      </c>
      <c r="G8" s="1260" t="s">
        <v>441</v>
      </c>
      <c r="H8" s="1233"/>
      <c r="I8" s="97"/>
      <c r="J8" s="92"/>
      <c r="K8" s="1276" t="s">
        <v>8129</v>
      </c>
      <c r="L8" s="1275" t="s">
        <v>6239</v>
      </c>
      <c r="M8" s="1233"/>
      <c r="N8" s="1233"/>
      <c r="O8" s="1233"/>
      <c r="P8" s="1276" t="s">
        <v>8130</v>
      </c>
      <c r="Q8" s="1269"/>
      <c r="R8" s="1269"/>
      <c r="S8" s="1233"/>
      <c r="T8" s="1233"/>
      <c r="U8" s="1269"/>
      <c r="V8" s="1269"/>
      <c r="W8" s="1269"/>
      <c r="X8" s="1270" t="s">
        <v>8124</v>
      </c>
      <c r="Y8" s="1269"/>
      <c r="Z8" s="1269"/>
      <c r="AA8" s="1233"/>
      <c r="AB8" s="1269"/>
      <c r="AC8" s="1233"/>
      <c r="AD8" s="1269"/>
      <c r="AE8" s="1269"/>
      <c r="AF8" s="1269"/>
      <c r="AG8" s="1273"/>
      <c r="AH8" s="1273"/>
    </row>
    <row r="9">
      <c r="A9" s="1239" t="s">
        <v>8087</v>
      </c>
      <c r="B9" s="1260" t="s">
        <v>985</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6997</v>
      </c>
      <c r="AB9" s="1282"/>
      <c r="AC9" s="1281"/>
      <c r="AD9" s="1269"/>
      <c r="AE9" s="1282"/>
      <c r="AF9" s="1282"/>
      <c r="AG9" s="1284"/>
      <c r="AH9" s="1284"/>
    </row>
    <row r="10">
      <c r="A10" s="1121" t="s">
        <v>900</v>
      </c>
      <c r="B10" s="1260" t="s">
        <v>1200</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8131</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7031</v>
      </c>
      <c r="AE11" s="1269"/>
      <c r="AF11" s="1269"/>
      <c r="AG11" s="1273"/>
      <c r="AH11" s="1273"/>
    </row>
    <row r="12">
      <c r="A12" s="1239" t="s">
        <v>4532</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8132</v>
      </c>
      <c r="X12" s="1233"/>
      <c r="Y12" s="1269"/>
      <c r="Z12" s="1269"/>
      <c r="AA12" s="1233"/>
      <c r="AB12" s="1269"/>
      <c r="AC12" s="1233"/>
      <c r="AD12" s="1269"/>
      <c r="AE12" s="1269"/>
      <c r="AF12" s="1269"/>
      <c r="AG12" s="1273"/>
      <c r="AH12" s="1273"/>
    </row>
    <row r="13">
      <c r="A13" s="1259" t="s">
        <v>8133</v>
      </c>
      <c r="B13" s="1260" t="s">
        <v>440</v>
      </c>
      <c r="C13" s="1261" t="s">
        <v>439</v>
      </c>
      <c r="D13" s="1262" t="s">
        <v>548</v>
      </c>
      <c r="E13" s="1263" t="s">
        <v>1259</v>
      </c>
      <c r="F13" s="1264" t="s">
        <v>334</v>
      </c>
      <c r="G13" s="1260" t="s">
        <v>334</v>
      </c>
      <c r="H13" s="1233"/>
      <c r="I13" s="97"/>
      <c r="J13" s="92"/>
      <c r="K13" s="1270" t="s">
        <v>8134</v>
      </c>
      <c r="L13" s="1276" t="s">
        <v>6599</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1259</v>
      </c>
      <c r="D14" s="1262" t="s">
        <v>1259</v>
      </c>
      <c r="E14" s="1263" t="s">
        <v>548</v>
      </c>
      <c r="F14" s="1264" t="s">
        <v>439</v>
      </c>
      <c r="G14" s="1260" t="s">
        <v>439</v>
      </c>
      <c r="H14" s="1233"/>
      <c r="I14" s="97"/>
      <c r="J14" s="92"/>
      <c r="K14" s="1233"/>
      <c r="L14" s="734" t="s">
        <v>7103</v>
      </c>
      <c r="M14" s="1233"/>
      <c r="N14" s="1233"/>
      <c r="O14" s="1233"/>
      <c r="P14" s="1233"/>
      <c r="Q14" s="1269"/>
      <c r="R14" s="1269"/>
      <c r="S14" s="1233"/>
      <c r="T14" s="1233"/>
      <c r="U14" s="1269"/>
      <c r="V14" s="1269"/>
      <c r="W14" s="1269"/>
      <c r="X14" s="1233"/>
      <c r="Y14" s="1269"/>
      <c r="Z14" s="1269"/>
      <c r="AA14" s="1275" t="s">
        <v>1106</v>
      </c>
      <c r="AB14" s="1269"/>
      <c r="AC14" s="1233"/>
      <c r="AD14" s="1269"/>
      <c r="AE14" s="1269"/>
      <c r="AF14" s="1269"/>
      <c r="AG14" s="1273"/>
      <c r="AH14" s="1273"/>
    </row>
    <row r="15">
      <c r="A15" s="1259" t="s">
        <v>1127</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8135</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5648</v>
      </c>
      <c r="X16" s="1233"/>
      <c r="Y16" s="1269"/>
      <c r="Z16" s="1269"/>
      <c r="AA16" s="1233"/>
      <c r="AB16" s="1269"/>
      <c r="AC16" s="1233"/>
      <c r="AD16" s="1269"/>
      <c r="AE16" s="1269"/>
      <c r="AF16" s="1269"/>
      <c r="AG16" s="1273"/>
      <c r="AH16" s="1273"/>
    </row>
    <row r="17">
      <c r="A17" s="1259" t="s">
        <v>8136</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8137</v>
      </c>
      <c r="B18" s="1260" t="s">
        <v>441</v>
      </c>
      <c r="C18" s="1261" t="s">
        <v>548</v>
      </c>
      <c r="D18" s="1262" t="s">
        <v>1259</v>
      </c>
      <c r="E18" s="1263" t="s">
        <v>1259</v>
      </c>
      <c r="F18" s="1264" t="s">
        <v>548</v>
      </c>
      <c r="G18" s="1260" t="s">
        <v>548</v>
      </c>
      <c r="H18" s="1233"/>
      <c r="I18" s="97"/>
      <c r="J18" s="92"/>
      <c r="K18" s="1233"/>
      <c r="L18" s="1270" t="s">
        <v>8138</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3735</v>
      </c>
      <c r="S19" s="1265"/>
      <c r="T19" s="1265"/>
      <c r="U19" s="1283" t="s">
        <v>6761</v>
      </c>
      <c r="V19" s="1233"/>
      <c r="W19" s="1233"/>
      <c r="X19" s="1283" t="s">
        <v>1347</v>
      </c>
      <c r="Y19" s="1268"/>
      <c r="Z19" s="1268"/>
      <c r="AA19" s="1281"/>
      <c r="AB19" s="1268"/>
      <c r="AC19" s="1268"/>
      <c r="AD19" s="773"/>
      <c r="AE19" s="1289"/>
      <c r="AF19" s="1289"/>
      <c r="AG19" s="1290"/>
      <c r="AH19" s="1291"/>
    </row>
    <row r="20">
      <c r="A20" s="1121" t="s">
        <v>1417</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8139</v>
      </c>
      <c r="AE20" s="1269"/>
      <c r="AF20" s="1269"/>
      <c r="AG20" s="1273"/>
      <c r="AH20" s="1273"/>
    </row>
    <row r="21">
      <c r="A21" s="1121" t="s">
        <v>6580</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8140</v>
      </c>
      <c r="X21" s="1233"/>
      <c r="Y21" s="1269"/>
      <c r="Z21" s="1269"/>
      <c r="AA21" s="1233"/>
      <c r="AB21" s="1269"/>
      <c r="AC21" s="1233"/>
      <c r="AD21" s="1269"/>
      <c r="AE21" s="1269"/>
      <c r="AF21" s="1269"/>
      <c r="AG21" s="1273"/>
      <c r="AH21" s="1273"/>
    </row>
    <row r="22">
      <c r="A22" s="1259" t="s">
        <v>4894</v>
      </c>
      <c r="B22" s="1260" t="s">
        <v>334</v>
      </c>
      <c r="C22" s="1261" t="s">
        <v>548</v>
      </c>
      <c r="D22" s="1262" t="s">
        <v>1259</v>
      </c>
      <c r="E22" s="1263" t="s">
        <v>1259</v>
      </c>
      <c r="F22" s="1264" t="s">
        <v>548</v>
      </c>
      <c r="G22" s="1260" t="s">
        <v>548</v>
      </c>
      <c r="H22" s="1233"/>
      <c r="I22" s="97"/>
      <c r="J22" s="92"/>
      <c r="K22" s="1233"/>
      <c r="L22" s="1233"/>
      <c r="M22" s="1233"/>
      <c r="N22" s="1233"/>
      <c r="O22" s="1233"/>
      <c r="P22" s="1270" t="s">
        <v>8141</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8142</v>
      </c>
      <c r="AE23" s="1269"/>
      <c r="AF23" s="1269"/>
      <c r="AG23" s="1273"/>
      <c r="AH23" s="1273"/>
    </row>
    <row r="24">
      <c r="A24" s="1259" t="s">
        <v>6616</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8143</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8144</v>
      </c>
      <c r="W26" s="1269"/>
      <c r="X26" s="1233"/>
      <c r="Y26" s="1269"/>
      <c r="Z26" s="1269"/>
      <c r="AA26" s="1233"/>
      <c r="AB26" s="1269"/>
      <c r="AC26" s="1233"/>
      <c r="AD26" s="1269"/>
      <c r="AE26" s="1269"/>
      <c r="AF26" s="1269"/>
      <c r="AG26" s="1273"/>
      <c r="AH26" s="1273"/>
    </row>
    <row r="27">
      <c r="A27" s="1293" t="s">
        <v>5707</v>
      </c>
      <c r="B27" s="1260" t="s">
        <v>548</v>
      </c>
      <c r="C27" s="1261" t="s">
        <v>1259</v>
      </c>
      <c r="D27" s="1262" t="s">
        <v>1259</v>
      </c>
      <c r="E27" s="1263" t="s">
        <v>548</v>
      </c>
      <c r="F27" s="1264" t="s">
        <v>548</v>
      </c>
      <c r="G27" s="1260" t="s">
        <v>548</v>
      </c>
      <c r="H27" s="1233"/>
      <c r="I27" s="97"/>
      <c r="J27" s="92"/>
      <c r="K27" s="1233"/>
      <c r="L27" s="1233"/>
      <c r="M27" s="1233"/>
      <c r="N27" s="1233"/>
      <c r="O27" s="1233"/>
      <c r="P27" s="1275" t="s">
        <v>710</v>
      </c>
      <c r="Q27" s="1269"/>
      <c r="R27" s="1269"/>
      <c r="S27" s="1233"/>
      <c r="T27" s="1233"/>
      <c r="U27" s="1269"/>
      <c r="V27" s="1269"/>
      <c r="W27" s="1269"/>
      <c r="X27" s="1233"/>
      <c r="Y27" s="1269"/>
      <c r="Z27" s="1269"/>
      <c r="AA27" s="1233"/>
      <c r="AB27" s="1269"/>
      <c r="AC27" s="1233"/>
      <c r="AD27" s="1269"/>
      <c r="AE27" s="1269"/>
      <c r="AF27" s="1269"/>
      <c r="AG27" s="1273"/>
      <c r="AH27" s="1273"/>
    </row>
    <row r="28">
      <c r="A28" s="1239" t="s">
        <v>6371</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8145</v>
      </c>
      <c r="C1" s="23" t="s">
        <v>10</v>
      </c>
      <c r="F1" s="23" t="s">
        <v>34</v>
      </c>
      <c r="H1" s="1294" t="s">
        <v>8146</v>
      </c>
      <c r="W1" s="1295" t="s">
        <v>8147</v>
      </c>
      <c r="AM1" s="1296" t="s">
        <v>8148</v>
      </c>
      <c r="BG1" s="1297" t="s">
        <v>8149</v>
      </c>
      <c r="BQ1" s="1298" t="s">
        <v>8150</v>
      </c>
      <c r="BV1" s="1299" t="s">
        <v>8151</v>
      </c>
      <c r="CE1" s="1294" t="s">
        <v>8152</v>
      </c>
      <c r="CM1" s="1300" t="s">
        <v>8153</v>
      </c>
      <c r="CP1" s="1301" t="s">
        <v>8154</v>
      </c>
      <c r="CT1" s="1302" t="s">
        <v>8155</v>
      </c>
      <c r="CU1" s="1303" t="s">
        <v>8156</v>
      </c>
    </row>
    <row r="2">
      <c r="A2" s="1304" t="s">
        <v>43</v>
      </c>
      <c r="B2" s="36" t="s">
        <v>44</v>
      </c>
      <c r="C2" s="36" t="s">
        <v>45</v>
      </c>
      <c r="F2" s="36" t="s">
        <v>8157</v>
      </c>
      <c r="H2" s="1305" t="s">
        <v>8158</v>
      </c>
      <c r="I2" s="1305" t="s">
        <v>8159</v>
      </c>
      <c r="J2" s="1305" t="s">
        <v>8160</v>
      </c>
      <c r="K2" s="1305" t="s">
        <v>8161</v>
      </c>
      <c r="L2" s="1305" t="s">
        <v>8162</v>
      </c>
      <c r="M2" s="1305" t="s">
        <v>8163</v>
      </c>
      <c r="N2" s="1305" t="s">
        <v>8164</v>
      </c>
      <c r="O2" s="1305" t="s">
        <v>8165</v>
      </c>
      <c r="P2" s="1305" t="s">
        <v>8166</v>
      </c>
      <c r="Q2" s="1305" t="s">
        <v>8167</v>
      </c>
      <c r="R2" s="1305" t="s">
        <v>8168</v>
      </c>
      <c r="S2" s="1305" t="s">
        <v>8169</v>
      </c>
      <c r="T2" s="1305" t="s">
        <v>8170</v>
      </c>
      <c r="U2" s="1305" t="s">
        <v>8171</v>
      </c>
      <c r="V2" s="1305" t="s">
        <v>8172</v>
      </c>
      <c r="W2" s="1306" t="s">
        <v>8173</v>
      </c>
      <c r="X2" s="1306" t="s">
        <v>8174</v>
      </c>
      <c r="Y2" s="1306" t="s">
        <v>8175</v>
      </c>
      <c r="Z2" s="1306" t="s">
        <v>8176</v>
      </c>
      <c r="AA2" s="1306" t="s">
        <v>8177</v>
      </c>
      <c r="AB2" s="1306" t="s">
        <v>8178</v>
      </c>
      <c r="AC2" s="1306" t="s">
        <v>8179</v>
      </c>
      <c r="AD2" s="1306" t="s">
        <v>8180</v>
      </c>
      <c r="AE2" s="1306" t="s">
        <v>8181</v>
      </c>
      <c r="AF2" s="1306" t="s">
        <v>8182</v>
      </c>
      <c r="AG2" s="1306" t="s">
        <v>8183</v>
      </c>
      <c r="AH2" s="1306" t="s">
        <v>8184</v>
      </c>
      <c r="AI2" s="1306" t="s">
        <v>8185</v>
      </c>
      <c r="AJ2" s="1306" t="s">
        <v>8186</v>
      </c>
      <c r="AK2" s="1306" t="s">
        <v>8187</v>
      </c>
      <c r="AL2" s="1306" t="s">
        <v>8188</v>
      </c>
      <c r="AM2" s="1307" t="s">
        <v>8189</v>
      </c>
      <c r="AN2" s="1307" t="s">
        <v>8190</v>
      </c>
      <c r="AO2" s="1307" t="s">
        <v>8191</v>
      </c>
      <c r="AP2" s="1307" t="s">
        <v>8192</v>
      </c>
      <c r="AQ2" s="1307" t="s">
        <v>8193</v>
      </c>
      <c r="AR2" s="1307" t="s">
        <v>8194</v>
      </c>
      <c r="AS2" s="1307" t="s">
        <v>8195</v>
      </c>
      <c r="AT2" s="1307" t="s">
        <v>8196</v>
      </c>
      <c r="AU2" s="1307" t="s">
        <v>8197</v>
      </c>
      <c r="AV2" s="1307" t="s">
        <v>8198</v>
      </c>
      <c r="AW2" s="1307" t="s">
        <v>8199</v>
      </c>
      <c r="AX2" s="1307" t="s">
        <v>8200</v>
      </c>
      <c r="AY2" s="1307" t="s">
        <v>8201</v>
      </c>
      <c r="AZ2" s="1307" t="s">
        <v>8202</v>
      </c>
      <c r="BA2" s="1307" t="s">
        <v>8203</v>
      </c>
      <c r="BB2" s="1307" t="s">
        <v>8204</v>
      </c>
      <c r="BC2" s="1307" t="s">
        <v>8205</v>
      </c>
      <c r="BD2" s="1307" t="s">
        <v>8206</v>
      </c>
      <c r="BE2" s="1307" t="s">
        <v>8207</v>
      </c>
      <c r="BF2" s="1307" t="s">
        <v>8208</v>
      </c>
      <c r="BG2" s="1308" t="s">
        <v>8209</v>
      </c>
      <c r="BH2" s="1308" t="s">
        <v>8210</v>
      </c>
      <c r="BI2" s="1308" t="s">
        <v>8211</v>
      </c>
      <c r="BJ2" s="1308" t="s">
        <v>8212</v>
      </c>
      <c r="BK2" s="1308" t="s">
        <v>8213</v>
      </c>
      <c r="BL2" s="1308" t="s">
        <v>8214</v>
      </c>
      <c r="BM2" s="1308" t="s">
        <v>8215</v>
      </c>
      <c r="BN2" s="1308" t="s">
        <v>8216</v>
      </c>
      <c r="BO2" s="1308" t="s">
        <v>8217</v>
      </c>
      <c r="BP2" s="1308" t="s">
        <v>8218</v>
      </c>
      <c r="BQ2" s="1309" t="s">
        <v>8219</v>
      </c>
      <c r="BR2" s="1309" t="s">
        <v>8220</v>
      </c>
      <c r="BS2" s="1309" t="s">
        <v>8221</v>
      </c>
      <c r="BT2" s="1309" t="s">
        <v>8222</v>
      </c>
      <c r="BU2" s="1309" t="s">
        <v>8223</v>
      </c>
      <c r="BV2" s="1310" t="s">
        <v>8224</v>
      </c>
      <c r="BW2" s="1310" t="s">
        <v>8225</v>
      </c>
      <c r="BX2" s="1310" t="s">
        <v>8226</v>
      </c>
      <c r="BY2" s="1310" t="s">
        <v>8227</v>
      </c>
      <c r="BZ2" s="1310" t="s">
        <v>8228</v>
      </c>
      <c r="CA2" s="1310" t="s">
        <v>8229</v>
      </c>
      <c r="CB2" s="1310" t="s">
        <v>8230</v>
      </c>
      <c r="CC2" s="1310" t="s">
        <v>8231</v>
      </c>
      <c r="CD2" s="1310" t="s">
        <v>8232</v>
      </c>
      <c r="CE2" s="1311" t="s">
        <v>8158</v>
      </c>
      <c r="CF2" s="1311" t="s">
        <v>8161</v>
      </c>
      <c r="CG2" s="1311" t="s">
        <v>8165</v>
      </c>
      <c r="CH2" s="1311" t="s">
        <v>8167</v>
      </c>
      <c r="CI2" s="1311" t="s">
        <v>8168</v>
      </c>
      <c r="CJ2" s="1311" t="s">
        <v>8171</v>
      </c>
      <c r="CK2" s="1311" t="s">
        <v>8233</v>
      </c>
      <c r="CL2" s="1311" t="s">
        <v>8234</v>
      </c>
      <c r="CM2" s="1312" t="s">
        <v>8235</v>
      </c>
      <c r="CN2" s="1312" t="s">
        <v>8236</v>
      </c>
      <c r="CO2" s="1312" t="s">
        <v>8237</v>
      </c>
      <c r="CP2" s="1253" t="s">
        <v>8238</v>
      </c>
      <c r="CQ2" s="1253" t="s">
        <v>8239</v>
      </c>
      <c r="CR2" s="1253" t="s">
        <v>8240</v>
      </c>
      <c r="CS2" s="1253" t="s">
        <v>8241</v>
      </c>
      <c r="CT2" s="1313" t="s">
        <v>8242</v>
      </c>
      <c r="CU2" s="1314" t="s">
        <v>8243</v>
      </c>
    </row>
    <row r="3">
      <c r="A3" s="1315" t="s">
        <v>6641</v>
      </c>
      <c r="B3" s="1044" t="s">
        <v>8244</v>
      </c>
      <c r="C3" s="1040" t="s">
        <v>4219</v>
      </c>
      <c r="D3" s="1041" t="s">
        <v>548</v>
      </c>
      <c r="E3" s="1042" t="s">
        <v>335</v>
      </c>
      <c r="F3" s="1043" t="s">
        <v>6214</v>
      </c>
      <c r="G3" s="1044" t="s">
        <v>3432</v>
      </c>
      <c r="H3" s="773" t="s">
        <v>8245</v>
      </c>
      <c r="I3" s="1275" t="s">
        <v>8246</v>
      </c>
      <c r="J3" s="773" t="s">
        <v>6567</v>
      </c>
      <c r="K3" s="1275" t="s">
        <v>8247</v>
      </c>
      <c r="L3" s="1275" t="s">
        <v>8248</v>
      </c>
      <c r="M3" s="1316" t="s">
        <v>8249</v>
      </c>
      <c r="N3" s="773" t="s">
        <v>8250</v>
      </c>
      <c r="O3" s="1275" t="s">
        <v>8251</v>
      </c>
      <c r="P3" s="1276" t="s">
        <v>8252</v>
      </c>
      <c r="Q3" s="1275" t="s">
        <v>8253</v>
      </c>
      <c r="R3" s="773" t="s">
        <v>8254</v>
      </c>
      <c r="S3" s="1278" t="s">
        <v>8255</v>
      </c>
      <c r="T3" s="734" t="s">
        <v>8256</v>
      </c>
      <c r="U3" s="1270" t="s">
        <v>8257</v>
      </c>
      <c r="V3" s="773" t="s">
        <v>8258</v>
      </c>
      <c r="W3" s="773" t="s">
        <v>2357</v>
      </c>
      <c r="X3" s="1278" t="s">
        <v>1780</v>
      </c>
      <c r="Y3" s="773" t="s">
        <v>1953</v>
      </c>
      <c r="Z3" s="1278" t="s">
        <v>8259</v>
      </c>
      <c r="AA3" s="773" t="s">
        <v>4444</v>
      </c>
      <c r="AB3" s="1278"/>
      <c r="AC3" s="773" t="s">
        <v>3480</v>
      </c>
      <c r="AD3" s="773" t="s">
        <v>3941</v>
      </c>
      <c r="AE3" s="773" t="s">
        <v>8260</v>
      </c>
      <c r="AF3" s="1278" t="s">
        <v>8261</v>
      </c>
      <c r="AG3" s="773"/>
      <c r="AH3" s="1278" t="s">
        <v>8262</v>
      </c>
      <c r="AI3" s="1278" t="s">
        <v>8263</v>
      </c>
      <c r="AJ3" s="1269"/>
      <c r="AK3" s="773"/>
      <c r="AL3" s="773"/>
      <c r="AM3" s="734" t="s">
        <v>4352</v>
      </c>
      <c r="AN3" s="1270" t="s">
        <v>8264</v>
      </c>
      <c r="AO3" s="1270" t="s">
        <v>8265</v>
      </c>
      <c r="AP3" s="1270" t="s">
        <v>8266</v>
      </c>
      <c r="AQ3" s="1270" t="s">
        <v>8267</v>
      </c>
      <c r="AR3" s="1270" t="s">
        <v>8268</v>
      </c>
      <c r="AS3" s="1270" t="s">
        <v>8269</v>
      </c>
      <c r="AT3" s="1316" t="s">
        <v>8270</v>
      </c>
      <c r="AU3" s="1270" t="s">
        <v>8271</v>
      </c>
      <c r="AV3" s="1270" t="s">
        <v>8272</v>
      </c>
      <c r="AW3" s="734" t="s">
        <v>8273</v>
      </c>
      <c r="AX3" s="1270" t="s">
        <v>8274</v>
      </c>
      <c r="AY3" s="1278" t="s">
        <v>8275</v>
      </c>
      <c r="AZ3" s="1278" t="s">
        <v>5140</v>
      </c>
      <c r="BA3" s="1270" t="s">
        <v>7387</v>
      </c>
      <c r="BB3" s="1278" t="s">
        <v>8276</v>
      </c>
      <c r="BC3" s="1278" t="s">
        <v>8277</v>
      </c>
      <c r="BD3" s="773" t="s">
        <v>8278</v>
      </c>
      <c r="BE3" s="1278"/>
      <c r="BF3" s="1270" t="s">
        <v>8279</v>
      </c>
      <c r="BG3" s="773"/>
      <c r="BH3" s="1278"/>
      <c r="BI3" s="1278" t="s">
        <v>8280</v>
      </c>
      <c r="BJ3" s="1278"/>
      <c r="BK3" s="1278"/>
      <c r="BL3" s="773"/>
      <c r="BM3" s="1278" t="s">
        <v>8281</v>
      </c>
      <c r="BN3" s="1278"/>
      <c r="BO3" s="1278"/>
      <c r="BP3" s="1278"/>
      <c r="BQ3" s="773" t="s">
        <v>8282</v>
      </c>
      <c r="BR3" s="1269"/>
      <c r="BS3" s="773" t="s">
        <v>8283</v>
      </c>
      <c r="BT3" s="1269"/>
      <c r="BU3" s="773" t="s">
        <v>8284</v>
      </c>
      <c r="BV3" s="1233"/>
      <c r="BW3" s="1269"/>
      <c r="BX3" s="1278" t="s">
        <v>3924</v>
      </c>
      <c r="BY3" s="1233"/>
      <c r="BZ3" s="1233"/>
      <c r="CA3" s="1278" t="s">
        <v>3513</v>
      </c>
      <c r="CB3" s="1278" t="s">
        <v>373</v>
      </c>
      <c r="CC3" s="1278" t="s">
        <v>2385</v>
      </c>
      <c r="CD3" s="1278"/>
      <c r="CE3" s="773" t="s">
        <v>8285</v>
      </c>
      <c r="CF3" s="773" t="s">
        <v>8286</v>
      </c>
      <c r="CG3" s="1278"/>
      <c r="CH3" s="1278"/>
      <c r="CI3" s="773"/>
      <c r="CJ3" s="773"/>
      <c r="CK3" s="1278"/>
      <c r="CL3" s="1278"/>
      <c r="CM3" s="1278"/>
      <c r="CN3" s="773"/>
      <c r="CO3" s="1278"/>
      <c r="CP3" s="773" t="s">
        <v>8287</v>
      </c>
      <c r="CQ3" s="773" t="s">
        <v>8288</v>
      </c>
      <c r="CR3" s="1278"/>
      <c r="CS3" s="1278"/>
      <c r="CT3" s="1278" t="s">
        <v>8289</v>
      </c>
      <c r="CU3" s="773"/>
    </row>
    <row r="4">
      <c r="A4" s="1317" t="s">
        <v>6616</v>
      </c>
      <c r="B4" s="1044" t="s">
        <v>8290</v>
      </c>
      <c r="C4" s="1040" t="s">
        <v>335</v>
      </c>
      <c r="D4" s="1041" t="s">
        <v>441</v>
      </c>
      <c r="E4" s="1042" t="s">
        <v>3283</v>
      </c>
      <c r="F4" s="1043" t="s">
        <v>6244</v>
      </c>
      <c r="G4" s="1044" t="s">
        <v>3563</v>
      </c>
      <c r="H4" s="1318" t="s">
        <v>8291</v>
      </c>
      <c r="I4" s="1319" t="s">
        <v>8292</v>
      </c>
      <c r="J4" s="1233"/>
      <c r="K4" s="773" t="s">
        <v>8293</v>
      </c>
      <c r="L4" s="1233"/>
      <c r="M4" s="1270" t="s">
        <v>8294</v>
      </c>
      <c r="N4" s="1233"/>
      <c r="O4" s="734" t="s">
        <v>8295</v>
      </c>
      <c r="P4" s="1275" t="s">
        <v>8296</v>
      </c>
      <c r="Q4" s="1233"/>
      <c r="R4" s="734" t="s">
        <v>8297</v>
      </c>
      <c r="S4" s="1233"/>
      <c r="T4" s="773" t="s">
        <v>8298</v>
      </c>
      <c r="U4" s="734" t="s">
        <v>7736</v>
      </c>
      <c r="V4" s="1270" t="s">
        <v>8299</v>
      </c>
      <c r="W4" s="734" t="s">
        <v>1296</v>
      </c>
      <c r="X4" s="734" t="s">
        <v>1727</v>
      </c>
      <c r="Y4" s="734" t="s">
        <v>1587</v>
      </c>
      <c r="Z4" s="1270" t="s">
        <v>2741</v>
      </c>
      <c r="AA4" s="1265"/>
      <c r="AB4" s="1320" t="s">
        <v>8300</v>
      </c>
      <c r="AC4" s="734" t="s">
        <v>3404</v>
      </c>
      <c r="AD4" s="734" t="s">
        <v>4763</v>
      </c>
      <c r="AE4" s="1265"/>
      <c r="AF4" s="1275" t="s">
        <v>7994</v>
      </c>
      <c r="AG4" s="1233"/>
      <c r="AH4" s="1276" t="s">
        <v>8301</v>
      </c>
      <c r="AI4" s="1276" t="s">
        <v>5045</v>
      </c>
      <c r="AJ4" s="1269"/>
      <c r="AK4" s="734" t="s">
        <v>8302</v>
      </c>
      <c r="AL4" s="1233"/>
      <c r="AM4" s="1275" t="s">
        <v>8303</v>
      </c>
      <c r="AN4" s="773" t="s">
        <v>8304</v>
      </c>
      <c r="AO4" s="773" t="s">
        <v>8305</v>
      </c>
      <c r="AP4" s="1275" t="s">
        <v>8306</v>
      </c>
      <c r="AQ4" s="1233"/>
      <c r="AR4" s="773" t="s">
        <v>8307</v>
      </c>
      <c r="AS4" s="1233"/>
      <c r="AT4" s="1275" t="s">
        <v>8270</v>
      </c>
      <c r="AU4" s="1275" t="s">
        <v>8308</v>
      </c>
      <c r="AV4" s="1233"/>
      <c r="AW4" s="1275" t="s">
        <v>8309</v>
      </c>
      <c r="AX4" s="1233"/>
      <c r="AY4" s="1233"/>
      <c r="AZ4" s="1275" t="s">
        <v>1580</v>
      </c>
      <c r="BA4" s="1276" t="s">
        <v>5303</v>
      </c>
      <c r="BB4" s="1275" t="s">
        <v>8310</v>
      </c>
      <c r="BC4" s="734" t="s">
        <v>8311</v>
      </c>
      <c r="BD4" s="1270" t="s">
        <v>8312</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6625</v>
      </c>
      <c r="B5" s="1044" t="s">
        <v>8313</v>
      </c>
      <c r="C5" s="1040" t="s">
        <v>441</v>
      </c>
      <c r="D5" s="1041" t="s">
        <v>335</v>
      </c>
      <c r="E5" s="1042" t="s">
        <v>1259</v>
      </c>
      <c r="F5" s="1043" t="s">
        <v>1199</v>
      </c>
      <c r="G5" s="1044" t="s">
        <v>5622</v>
      </c>
      <c r="H5" s="773" t="s">
        <v>8314</v>
      </c>
      <c r="I5" s="773" t="s">
        <v>7961</v>
      </c>
      <c r="J5" s="773"/>
      <c r="K5" s="1276" t="s">
        <v>8315</v>
      </c>
      <c r="L5" s="1270" t="s">
        <v>8316</v>
      </c>
      <c r="M5" s="773"/>
      <c r="N5" s="773"/>
      <c r="O5" s="734" t="s">
        <v>8317</v>
      </c>
      <c r="P5" s="773" t="s">
        <v>8318</v>
      </c>
      <c r="Q5" s="773" t="s">
        <v>8319</v>
      </c>
      <c r="R5" s="1270" t="s">
        <v>8320</v>
      </c>
      <c r="S5" s="773"/>
      <c r="T5" s="1276" t="s">
        <v>8321</v>
      </c>
      <c r="U5" s="1276" t="s">
        <v>8322</v>
      </c>
      <c r="V5" s="773"/>
      <c r="W5" s="773" t="s">
        <v>6668</v>
      </c>
      <c r="X5" s="773"/>
      <c r="Y5" s="773" t="s">
        <v>8323</v>
      </c>
      <c r="Z5" s="1276" t="s">
        <v>122</v>
      </c>
      <c r="AA5" s="1265"/>
      <c r="AB5" s="1265"/>
      <c r="AC5" s="773" t="s">
        <v>8324</v>
      </c>
      <c r="AD5" s="1233"/>
      <c r="AE5" s="773"/>
      <c r="AF5" s="773" t="s">
        <v>8325</v>
      </c>
      <c r="AG5" s="773"/>
      <c r="AH5" s="773" t="s">
        <v>4761</v>
      </c>
      <c r="AI5" s="773" t="s">
        <v>2036</v>
      </c>
      <c r="AJ5" s="1233"/>
      <c r="AK5" s="773"/>
      <c r="AL5" s="773"/>
      <c r="AM5" s="773" t="s">
        <v>8326</v>
      </c>
      <c r="AN5" s="1233"/>
      <c r="AO5" s="1233"/>
      <c r="AP5" s="773" t="s">
        <v>8327</v>
      </c>
      <c r="AQ5" s="1276" t="s">
        <v>8328</v>
      </c>
      <c r="AR5" s="773" t="s">
        <v>8329</v>
      </c>
      <c r="AS5" s="773"/>
      <c r="AT5" s="773" t="s">
        <v>8330</v>
      </c>
      <c r="AU5" s="734" t="s">
        <v>8331</v>
      </c>
      <c r="AV5" s="773"/>
      <c r="AW5" s="1279" t="s">
        <v>8332</v>
      </c>
      <c r="AX5" s="113"/>
      <c r="AY5" s="113" t="s">
        <v>8333</v>
      </c>
      <c r="AZ5" s="773" t="s">
        <v>3092</v>
      </c>
      <c r="BA5" s="773"/>
      <c r="BB5" s="773" t="s">
        <v>8312</v>
      </c>
      <c r="BC5" s="1270" t="s">
        <v>8334</v>
      </c>
      <c r="BD5" s="773" t="s">
        <v>8335</v>
      </c>
      <c r="BE5" s="773"/>
      <c r="BF5" s="773"/>
      <c r="BG5" s="773" t="s">
        <v>8336</v>
      </c>
      <c r="BH5" s="773"/>
      <c r="BI5" s="773"/>
      <c r="BJ5" s="773"/>
      <c r="BK5" s="773" t="s">
        <v>8337</v>
      </c>
      <c r="BL5" s="773"/>
      <c r="BM5" s="773"/>
      <c r="BN5" s="773"/>
      <c r="BO5" s="773"/>
      <c r="BP5" s="773" t="s">
        <v>8338</v>
      </c>
      <c r="BQ5" s="1233"/>
      <c r="BR5" s="1233"/>
      <c r="BS5" s="1233"/>
      <c r="BT5" s="1233"/>
      <c r="BU5" s="1233"/>
      <c r="BV5" s="773"/>
      <c r="BW5" s="773" t="s">
        <v>6935</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6639</v>
      </c>
      <c r="B6" s="1044" t="s">
        <v>8339</v>
      </c>
      <c r="C6" s="1040" t="s">
        <v>3283</v>
      </c>
      <c r="D6" s="1041" t="s">
        <v>4219</v>
      </c>
      <c r="E6" s="1042" t="s">
        <v>334</v>
      </c>
      <c r="F6" s="1043" t="s">
        <v>6244</v>
      </c>
      <c r="G6" s="1044" t="s">
        <v>5725</v>
      </c>
      <c r="H6" s="1276" t="s">
        <v>8340</v>
      </c>
      <c r="I6" s="734" t="s">
        <v>8341</v>
      </c>
      <c r="J6" s="773"/>
      <c r="K6" s="734" t="s">
        <v>8342</v>
      </c>
      <c r="L6" s="734" t="s">
        <v>8343</v>
      </c>
      <c r="M6" s="1233"/>
      <c r="N6" s="1233"/>
      <c r="O6" s="734" t="s">
        <v>8344</v>
      </c>
      <c r="P6" s="1233"/>
      <c r="Q6" s="773" t="s">
        <v>8345</v>
      </c>
      <c r="R6" s="1276" t="s">
        <v>8346</v>
      </c>
      <c r="S6" s="1233"/>
      <c r="T6" s="1275" t="s">
        <v>8347</v>
      </c>
      <c r="U6" s="1275" t="s">
        <v>672</v>
      </c>
      <c r="V6" s="773" t="s">
        <v>8348</v>
      </c>
      <c r="W6" s="1233"/>
      <c r="X6" s="1275" t="s">
        <v>6236</v>
      </c>
      <c r="Y6" s="1276" t="s">
        <v>2537</v>
      </c>
      <c r="Z6" s="1233"/>
      <c r="AA6" s="1233"/>
      <c r="AB6" s="1233"/>
      <c r="AC6" s="1233"/>
      <c r="AD6" s="773" t="s">
        <v>8349</v>
      </c>
      <c r="AE6" s="1265"/>
      <c r="AF6" s="734" t="s">
        <v>467</v>
      </c>
      <c r="AG6" s="1265"/>
      <c r="AH6" s="1233"/>
      <c r="AI6" s="1233"/>
      <c r="AJ6" s="1270" t="s">
        <v>2256</v>
      </c>
      <c r="AK6" s="1276" t="s">
        <v>6211</v>
      </c>
      <c r="AL6" s="1323" t="s">
        <v>8350</v>
      </c>
      <c r="AM6" s="1276" t="s">
        <v>8351</v>
      </c>
      <c r="AN6" s="1233"/>
      <c r="AO6" s="1233"/>
      <c r="AP6" s="773" t="s">
        <v>8306</v>
      </c>
      <c r="AQ6" s="773"/>
      <c r="AR6" s="1276" t="s">
        <v>8352</v>
      </c>
      <c r="AS6" s="1265"/>
      <c r="AT6" s="1270" t="s">
        <v>8353</v>
      </c>
      <c r="AU6" s="734" t="s">
        <v>8354</v>
      </c>
      <c r="AV6" s="1276" t="s">
        <v>8355</v>
      </c>
      <c r="AW6" s="1276" t="s">
        <v>8356</v>
      </c>
      <c r="AX6" s="1233"/>
      <c r="AY6" s="1233"/>
      <c r="AZ6" s="1270" t="s">
        <v>4621</v>
      </c>
      <c r="BA6" s="1265"/>
      <c r="BB6" s="1276" t="s">
        <v>8357</v>
      </c>
      <c r="BC6" s="1276" t="s">
        <v>8358</v>
      </c>
      <c r="BD6" s="1233"/>
      <c r="BE6" s="1233"/>
      <c r="BF6" s="1233"/>
      <c r="BG6" s="1324" t="s">
        <v>8359</v>
      </c>
      <c r="BH6" s="1173"/>
      <c r="BI6" s="1173"/>
      <c r="BJ6" s="1173"/>
      <c r="BK6" s="1324" t="s">
        <v>8360</v>
      </c>
      <c r="BL6" s="1173"/>
      <c r="BM6" s="1105" t="s">
        <v>8361</v>
      </c>
      <c r="BN6" s="1148" t="s">
        <v>8362</v>
      </c>
      <c r="BO6" s="1173"/>
      <c r="BP6" s="1173"/>
      <c r="BQ6" s="1325"/>
      <c r="BR6" s="1233"/>
      <c r="BS6" s="1270" t="s">
        <v>8363</v>
      </c>
      <c r="BT6" s="1233"/>
      <c r="BU6" s="1233"/>
      <c r="BV6" s="1233"/>
      <c r="BW6" s="1233"/>
      <c r="BX6" s="1233"/>
      <c r="BY6" s="1233"/>
      <c r="BZ6" s="1233"/>
      <c r="CA6" s="1233"/>
      <c r="CB6" s="1233"/>
      <c r="CC6" s="1276" t="s">
        <v>453</v>
      </c>
      <c r="CD6" s="1265"/>
      <c r="CE6" s="1326"/>
      <c r="CF6" s="1326"/>
      <c r="CG6" s="1327"/>
      <c r="CH6" s="1327"/>
      <c r="CI6" s="1326" t="s">
        <v>8364</v>
      </c>
      <c r="CJ6" s="1327"/>
      <c r="CK6" s="1327"/>
      <c r="CL6" s="1326" t="s">
        <v>5622</v>
      </c>
      <c r="CM6" s="1328" t="s">
        <v>2154</v>
      </c>
      <c r="CN6" s="1328" t="s">
        <v>3371</v>
      </c>
      <c r="CO6" s="1326"/>
      <c r="CP6" s="1326"/>
      <c r="CQ6" s="1326"/>
      <c r="CR6" s="1326"/>
      <c r="CS6" s="1328" t="s">
        <v>8365</v>
      </c>
      <c r="CT6" s="1233"/>
      <c r="CU6" s="1233"/>
    </row>
    <row r="7">
      <c r="A7" s="1329" t="s">
        <v>7447</v>
      </c>
      <c r="B7" s="1044" t="s">
        <v>8366</v>
      </c>
      <c r="C7" s="1040" t="s">
        <v>441</v>
      </c>
      <c r="D7" s="1041" t="s">
        <v>440</v>
      </c>
      <c r="E7" s="1042" t="s">
        <v>335</v>
      </c>
      <c r="F7" s="1043" t="s">
        <v>1061</v>
      </c>
      <c r="G7" s="1044" t="s">
        <v>3092</v>
      </c>
      <c r="H7" s="734" t="s">
        <v>8367</v>
      </c>
      <c r="I7" s="721" t="s">
        <v>8368</v>
      </c>
      <c r="J7" s="1330"/>
      <c r="K7" s="734" t="s">
        <v>8369</v>
      </c>
      <c r="L7" s="1265"/>
      <c r="M7" s="734" t="s">
        <v>8370</v>
      </c>
      <c r="N7" s="1233"/>
      <c r="O7" s="1233"/>
      <c r="P7" s="1278" t="s">
        <v>8371</v>
      </c>
      <c r="Q7" s="1233"/>
      <c r="R7" s="773"/>
      <c r="S7" s="1233"/>
      <c r="T7" s="1233"/>
      <c r="U7" s="1278" t="s">
        <v>8372</v>
      </c>
      <c r="V7" s="1278"/>
      <c r="W7" s="1275" t="s">
        <v>2132</v>
      </c>
      <c r="X7" s="734" t="s">
        <v>1823</v>
      </c>
      <c r="Y7" s="734" t="s">
        <v>2754</v>
      </c>
      <c r="Z7" s="1275" t="s">
        <v>8373</v>
      </c>
      <c r="AA7" s="1265"/>
      <c r="AB7" s="1265"/>
      <c r="AC7" s="1278" t="s">
        <v>8374</v>
      </c>
      <c r="AD7" s="734" t="s">
        <v>4467</v>
      </c>
      <c r="AE7" s="1265"/>
      <c r="AF7" s="734" t="s">
        <v>8375</v>
      </c>
      <c r="AG7" s="1265"/>
      <c r="AH7" s="1278" t="s">
        <v>8376</v>
      </c>
      <c r="AI7" s="1278" t="s">
        <v>1277</v>
      </c>
      <c r="AJ7" s="1278"/>
      <c r="AK7" s="773" t="s">
        <v>5932</v>
      </c>
      <c r="AL7" s="1278" t="s">
        <v>6387</v>
      </c>
      <c r="AM7" s="1331" t="s">
        <v>8377</v>
      </c>
      <c r="AN7" s="1275" t="s">
        <v>8378</v>
      </c>
      <c r="AO7" s="1276" t="s">
        <v>8379</v>
      </c>
      <c r="AP7" s="734" t="s">
        <v>8380</v>
      </c>
      <c r="AQ7" s="1265"/>
      <c r="AR7" s="734" t="s">
        <v>8381</v>
      </c>
      <c r="AS7" s="1265"/>
      <c r="AT7" s="1276" t="s">
        <v>8337</v>
      </c>
      <c r="AU7" s="734" t="s">
        <v>8382</v>
      </c>
      <c r="AV7" s="1265"/>
      <c r="AW7" s="1277" t="s">
        <v>8383</v>
      </c>
      <c r="AX7" s="1265"/>
      <c r="AY7" s="1276" t="s">
        <v>8384</v>
      </c>
      <c r="AZ7" s="734" t="s">
        <v>4668</v>
      </c>
      <c r="BA7" s="1265"/>
      <c r="BB7" s="734" t="s">
        <v>8385</v>
      </c>
      <c r="BC7" s="1277" t="s">
        <v>8386</v>
      </c>
      <c r="BD7" s="1275" t="s">
        <v>8387</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8388</v>
      </c>
      <c r="BZ7" s="1276" t="s">
        <v>8389</v>
      </c>
      <c r="CA7" s="1270" t="s">
        <v>1281</v>
      </c>
      <c r="CB7" s="1270" t="s">
        <v>8390</v>
      </c>
      <c r="CC7" s="1270" t="s">
        <v>479</v>
      </c>
      <c r="CD7" s="1333" t="s">
        <v>2515</v>
      </c>
      <c r="CE7" s="1233"/>
      <c r="CF7" s="1233"/>
      <c r="CG7" s="1269"/>
      <c r="CH7" s="1269"/>
      <c r="CI7" s="1233"/>
      <c r="CJ7" s="1233"/>
      <c r="CK7" s="1269"/>
      <c r="CL7" s="1269"/>
      <c r="CM7" s="1269"/>
      <c r="CN7" s="1233"/>
      <c r="CO7" s="1269"/>
      <c r="CP7" s="1269"/>
      <c r="CQ7" s="1269"/>
      <c r="CR7" s="1269"/>
      <c r="CS7" s="1269"/>
      <c r="CT7" s="773" t="s">
        <v>8391</v>
      </c>
      <c r="CU7" s="773"/>
    </row>
    <row r="8">
      <c r="A8" s="1334" t="s">
        <v>8392</v>
      </c>
      <c r="B8" s="1044" t="s">
        <v>8393</v>
      </c>
      <c r="C8" s="1040" t="s">
        <v>548</v>
      </c>
      <c r="D8" s="1041" t="s">
        <v>441</v>
      </c>
      <c r="E8" s="1042" t="s">
        <v>335</v>
      </c>
      <c r="F8" s="1043" t="s">
        <v>223</v>
      </c>
      <c r="G8" s="1044" t="s">
        <v>7631</v>
      </c>
      <c r="H8" s="734" t="s">
        <v>8394</v>
      </c>
      <c r="I8" s="734" t="s">
        <v>8395</v>
      </c>
      <c r="J8" s="1265"/>
      <c r="K8" s="1233"/>
      <c r="L8" s="1233"/>
      <c r="M8" s="1233"/>
      <c r="N8" s="1233"/>
      <c r="O8" s="1233"/>
      <c r="P8" s="773" t="s">
        <v>8396</v>
      </c>
      <c r="Q8" s="1233"/>
      <c r="R8" s="1275" t="s">
        <v>8397</v>
      </c>
      <c r="S8" s="1233"/>
      <c r="T8" s="1233"/>
      <c r="U8" s="1331" t="s">
        <v>8398</v>
      </c>
      <c r="V8" s="1287"/>
      <c r="W8" s="1316" t="s">
        <v>783</v>
      </c>
      <c r="X8" s="1287" t="s">
        <v>3766</v>
      </c>
      <c r="Y8" s="1335" t="s">
        <v>5042</v>
      </c>
      <c r="Z8" s="1265"/>
      <c r="AA8" s="1265" t="s">
        <v>8399</v>
      </c>
      <c r="AB8" s="1287"/>
      <c r="AC8" s="1275" t="s">
        <v>8400</v>
      </c>
      <c r="AD8" s="734" t="s">
        <v>819</v>
      </c>
      <c r="AE8" s="1265"/>
      <c r="AF8" s="1265"/>
      <c r="AG8" s="1265"/>
      <c r="AH8" s="1233"/>
      <c r="AI8" s="1269"/>
      <c r="AJ8" s="1269"/>
      <c r="AK8" s="1278" t="s">
        <v>327</v>
      </c>
      <c r="AL8" s="773"/>
      <c r="AM8" s="1270" t="s">
        <v>8401</v>
      </c>
      <c r="AN8" s="1278" t="s">
        <v>8402</v>
      </c>
      <c r="AO8" s="1233"/>
      <c r="AP8" s="734" t="s">
        <v>8378</v>
      </c>
      <c r="AQ8" s="1265"/>
      <c r="AR8" s="1233"/>
      <c r="AS8" s="1233"/>
      <c r="AT8" s="734" t="s">
        <v>8403</v>
      </c>
      <c r="AU8" s="773"/>
      <c r="AV8" s="773"/>
      <c r="AW8" s="734" t="s">
        <v>8404</v>
      </c>
      <c r="AX8" s="1233"/>
      <c r="AY8" s="1233"/>
      <c r="AZ8" s="1233"/>
      <c r="BA8" s="1233"/>
      <c r="BB8" s="734" t="s">
        <v>8405</v>
      </c>
      <c r="BC8" s="1278" t="s">
        <v>8406</v>
      </c>
      <c r="BD8" s="1233"/>
      <c r="BE8" s="1269"/>
      <c r="BF8" s="1233"/>
      <c r="BG8" s="1173"/>
      <c r="BH8" s="1135" t="s">
        <v>8407</v>
      </c>
      <c r="BI8" s="1181"/>
      <c r="BJ8" s="1181"/>
      <c r="BK8" s="1181"/>
      <c r="BL8" s="1173"/>
      <c r="BM8" s="1181"/>
      <c r="BN8" s="1181"/>
      <c r="BO8" s="1181"/>
      <c r="BP8" s="1181"/>
      <c r="BQ8" s="1269"/>
      <c r="BR8" s="1269"/>
      <c r="BS8" s="1276" t="s">
        <v>8408</v>
      </c>
      <c r="BT8" s="1269"/>
      <c r="BU8" s="1269"/>
      <c r="BV8" s="1336" t="s">
        <v>1136</v>
      </c>
      <c r="BW8" s="1275" t="s">
        <v>3631</v>
      </c>
      <c r="BX8" s="1276" t="s">
        <v>2316</v>
      </c>
      <c r="BY8" s="1331" t="s">
        <v>3268</v>
      </c>
      <c r="BZ8" s="1265"/>
      <c r="CA8" s="1276" t="s">
        <v>1977</v>
      </c>
      <c r="CB8" s="1331" t="s">
        <v>2820</v>
      </c>
      <c r="CC8" s="1337" t="s">
        <v>3536</v>
      </c>
      <c r="CD8" s="1280"/>
      <c r="CE8" s="1327"/>
      <c r="CF8" s="1327"/>
      <c r="CG8" s="1338"/>
      <c r="CH8" s="1338"/>
      <c r="CI8" s="1327"/>
      <c r="CJ8" s="1327"/>
      <c r="CK8" s="1338"/>
      <c r="CL8" s="1338"/>
      <c r="CM8" s="1339" t="s">
        <v>2155</v>
      </c>
      <c r="CN8" s="1327"/>
      <c r="CO8" s="1338"/>
      <c r="CP8" s="1338"/>
      <c r="CQ8" s="1340" t="s">
        <v>8383</v>
      </c>
      <c r="CR8" s="1338"/>
      <c r="CS8" s="1338"/>
      <c r="CT8" s="1265"/>
      <c r="CU8" s="1265"/>
    </row>
    <row r="9">
      <c r="A9" s="1341" t="s">
        <v>8409</v>
      </c>
      <c r="B9" s="1044" t="s">
        <v>8410</v>
      </c>
      <c r="C9" s="1040" t="s">
        <v>548</v>
      </c>
      <c r="D9" s="1041" t="s">
        <v>1200</v>
      </c>
      <c r="E9" s="1042" t="s">
        <v>335</v>
      </c>
      <c r="F9" s="1043" t="s">
        <v>7631</v>
      </c>
      <c r="G9" s="1044" t="s">
        <v>2987</v>
      </c>
      <c r="H9" s="1319" t="s">
        <v>8411</v>
      </c>
      <c r="I9" s="1319" t="s">
        <v>8412</v>
      </c>
      <c r="J9" s="1233"/>
      <c r="K9" s="734" t="s">
        <v>8413</v>
      </c>
      <c r="L9" s="734" t="s">
        <v>8414</v>
      </c>
      <c r="M9" s="1233"/>
      <c r="N9" s="1233"/>
      <c r="O9" s="734" t="s">
        <v>8415</v>
      </c>
      <c r="P9" s="734" t="s">
        <v>8416</v>
      </c>
      <c r="Q9" s="1276" t="s">
        <v>5113</v>
      </c>
      <c r="R9" s="734" t="s">
        <v>8417</v>
      </c>
      <c r="S9" s="1275" t="s">
        <v>8418</v>
      </c>
      <c r="T9" s="734" t="s">
        <v>8419</v>
      </c>
      <c r="U9" s="734" t="s">
        <v>6021</v>
      </c>
      <c r="V9" s="1269"/>
      <c r="W9" s="1233"/>
      <c r="X9" s="734" t="s">
        <v>2500</v>
      </c>
      <c r="Y9" s="734" t="s">
        <v>4202</v>
      </c>
      <c r="Z9" s="1233"/>
      <c r="AA9" s="1276" t="s">
        <v>6115</v>
      </c>
      <c r="AB9" s="1269"/>
      <c r="AC9" s="734" t="s">
        <v>2257</v>
      </c>
      <c r="AD9" s="734" t="s">
        <v>2299</v>
      </c>
      <c r="AE9" s="1275" t="s">
        <v>1275</v>
      </c>
      <c r="AF9" s="1233"/>
      <c r="AG9" s="1233"/>
      <c r="AH9" s="1233"/>
      <c r="AI9" s="1269"/>
      <c r="AJ9" s="1269"/>
      <c r="AK9" s="1233"/>
      <c r="AL9" s="1233"/>
      <c r="AM9" s="773" t="s">
        <v>8287</v>
      </c>
      <c r="AN9" s="1276" t="s">
        <v>8356</v>
      </c>
      <c r="AO9" s="1233"/>
      <c r="AP9" s="884" t="s">
        <v>8287</v>
      </c>
      <c r="AQ9" s="1275" t="s">
        <v>8420</v>
      </c>
      <c r="AR9" s="1275" t="s">
        <v>8421</v>
      </c>
      <c r="AS9" s="1233"/>
      <c r="AT9" s="734" t="s">
        <v>8422</v>
      </c>
      <c r="AU9" s="734" t="s">
        <v>8423</v>
      </c>
      <c r="AV9" s="1275" t="s">
        <v>8424</v>
      </c>
      <c r="AW9" s="734" t="s">
        <v>8425</v>
      </c>
      <c r="AX9" s="1276" t="s">
        <v>8426</v>
      </c>
      <c r="AY9" s="1233"/>
      <c r="AZ9" s="1233"/>
      <c r="BA9" s="1233"/>
      <c r="BB9" s="734" t="s">
        <v>8423</v>
      </c>
      <c r="BC9" s="1233"/>
      <c r="BD9" s="1276" t="s">
        <v>8427</v>
      </c>
      <c r="BE9" s="1342" t="s">
        <v>8428</v>
      </c>
      <c r="BF9" s="1233"/>
      <c r="BG9" s="1343" t="s">
        <v>8429</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8430</v>
      </c>
      <c r="CU9" s="1233"/>
    </row>
    <row r="10">
      <c r="A10" s="1346" t="s">
        <v>2190</v>
      </c>
      <c r="B10" s="1044" t="s">
        <v>7812</v>
      </c>
      <c r="C10" s="1040" t="s">
        <v>1259</v>
      </c>
      <c r="D10" s="1041" t="s">
        <v>439</v>
      </c>
      <c r="E10" s="1042" t="s">
        <v>548</v>
      </c>
      <c r="F10" s="1043" t="s">
        <v>441</v>
      </c>
      <c r="G10" s="1044" t="s">
        <v>4621</v>
      </c>
      <c r="H10" s="1347" t="s">
        <v>8431</v>
      </c>
      <c r="I10" s="1348" t="s">
        <v>2202</v>
      </c>
      <c r="J10" s="773" t="s">
        <v>8432</v>
      </c>
      <c r="K10" s="773" t="s">
        <v>8433</v>
      </c>
      <c r="L10" s="773" t="s">
        <v>8434</v>
      </c>
      <c r="M10" s="773" t="s">
        <v>8435</v>
      </c>
      <c r="N10" s="773" t="s">
        <v>8436</v>
      </c>
      <c r="O10" s="773" t="s">
        <v>8437</v>
      </c>
      <c r="P10" s="773" t="s">
        <v>8438</v>
      </c>
      <c r="Q10" s="773" t="s">
        <v>8439</v>
      </c>
      <c r="R10" s="773" t="s">
        <v>8440</v>
      </c>
      <c r="S10" s="734" t="s">
        <v>8441</v>
      </c>
      <c r="T10" s="773" t="s">
        <v>8442</v>
      </c>
      <c r="U10" s="773" t="s">
        <v>8443</v>
      </c>
      <c r="V10" s="1275" t="s">
        <v>8444</v>
      </c>
      <c r="W10" s="773" t="s">
        <v>3994</v>
      </c>
      <c r="X10" s="773" t="s">
        <v>8445</v>
      </c>
      <c r="Y10" s="1278" t="s">
        <v>1993</v>
      </c>
      <c r="Z10" s="1233"/>
      <c r="AA10" s="1233"/>
      <c r="AB10" s="1269"/>
      <c r="AC10" s="1278" t="s">
        <v>8446</v>
      </c>
      <c r="AD10" s="1278" t="s">
        <v>5291</v>
      </c>
      <c r="AE10" s="1276" t="s">
        <v>2525</v>
      </c>
      <c r="AF10" s="1278" t="s">
        <v>8447</v>
      </c>
      <c r="AG10" s="773" t="s">
        <v>8448</v>
      </c>
      <c r="AH10" s="1233"/>
      <c r="AI10" s="1269"/>
      <c r="AJ10" s="1269"/>
      <c r="AK10" s="773" t="s">
        <v>8449</v>
      </c>
      <c r="AL10" s="773" t="s">
        <v>2891</v>
      </c>
      <c r="AM10" s="1233"/>
      <c r="AN10" s="1233"/>
      <c r="AO10" s="1233"/>
      <c r="AP10" s="1233"/>
      <c r="AQ10" s="1233"/>
      <c r="AR10" s="1233"/>
      <c r="AS10" s="1233"/>
      <c r="AT10" s="773" t="s">
        <v>8450</v>
      </c>
      <c r="AU10" s="773" t="s">
        <v>8387</v>
      </c>
      <c r="AV10" s="1233"/>
      <c r="AW10" s="773" t="s">
        <v>8385</v>
      </c>
      <c r="AX10" s="773" t="s">
        <v>8451</v>
      </c>
      <c r="AY10" s="1233"/>
      <c r="AZ10" s="773"/>
      <c r="BA10" s="773"/>
      <c r="BB10" s="1265"/>
      <c r="BC10" s="773" t="s">
        <v>8452</v>
      </c>
      <c r="BD10" s="773" t="s">
        <v>8421</v>
      </c>
      <c r="BE10" s="773"/>
      <c r="BF10" s="773" t="s">
        <v>8453</v>
      </c>
      <c r="BG10" s="1233"/>
      <c r="BH10" s="1269"/>
      <c r="BI10" s="1269"/>
      <c r="BJ10" s="1269"/>
      <c r="BK10" s="1269"/>
      <c r="BL10" s="1233"/>
      <c r="BM10" s="1269"/>
      <c r="BN10" s="1269"/>
      <c r="BO10" s="1269"/>
      <c r="BP10" s="1269"/>
      <c r="BQ10" s="1269"/>
      <c r="BR10" s="1269"/>
      <c r="BS10" s="1269"/>
      <c r="BT10" s="1269"/>
      <c r="BU10" s="1269"/>
      <c r="BV10" s="773"/>
      <c r="BW10" s="1278" t="s">
        <v>952</v>
      </c>
      <c r="BX10" s="1278" t="s">
        <v>2219</v>
      </c>
      <c r="BY10" s="1278" t="s">
        <v>6066</v>
      </c>
      <c r="BZ10" s="773"/>
      <c r="CA10" s="1278" t="s">
        <v>3513</v>
      </c>
      <c r="CB10" s="1278" t="s">
        <v>792</v>
      </c>
      <c r="CC10" s="1278" t="s">
        <v>192</v>
      </c>
      <c r="CD10" s="1278"/>
      <c r="CE10" s="1327"/>
      <c r="CF10" s="1327"/>
      <c r="CG10" s="1338"/>
      <c r="CH10" s="1338"/>
      <c r="CI10" s="1327"/>
      <c r="CJ10" s="1327"/>
      <c r="CK10" s="1338"/>
      <c r="CL10" s="1338"/>
      <c r="CM10" s="1338"/>
      <c r="CN10" s="1327"/>
      <c r="CO10" s="1338"/>
      <c r="CP10" s="1338"/>
      <c r="CQ10" s="1338"/>
      <c r="CR10" s="1338"/>
      <c r="CS10" s="1338"/>
      <c r="CT10" s="1278" t="s">
        <v>8454</v>
      </c>
      <c r="CU10" s="773"/>
    </row>
    <row r="11">
      <c r="A11" s="1349" t="s">
        <v>2985</v>
      </c>
      <c r="B11" s="1044" t="s">
        <v>8455</v>
      </c>
      <c r="C11" s="1040" t="s">
        <v>439</v>
      </c>
      <c r="D11" s="1041" t="s">
        <v>439</v>
      </c>
      <c r="E11" s="1042" t="s">
        <v>1259</v>
      </c>
      <c r="F11" s="1043" t="s">
        <v>1200</v>
      </c>
      <c r="G11" s="1044" t="s">
        <v>2903</v>
      </c>
      <c r="H11" s="1347"/>
      <c r="I11" s="1347" t="s">
        <v>8456</v>
      </c>
      <c r="J11" s="1233"/>
      <c r="K11" s="773" t="s">
        <v>8457</v>
      </c>
      <c r="L11" s="734" t="s">
        <v>8458</v>
      </c>
      <c r="M11" s="773" t="s">
        <v>8459</v>
      </c>
      <c r="N11" s="1233"/>
      <c r="O11" s="773" t="s">
        <v>8460</v>
      </c>
      <c r="P11" s="773" t="s">
        <v>8461</v>
      </c>
      <c r="Q11" s="773" t="s">
        <v>8462</v>
      </c>
      <c r="R11" s="773" t="s">
        <v>8463</v>
      </c>
      <c r="S11" s="1276" t="s">
        <v>3022</v>
      </c>
      <c r="T11" s="1233"/>
      <c r="U11" s="773" t="s">
        <v>3995</v>
      </c>
      <c r="V11" s="1269"/>
      <c r="W11" s="773" t="s">
        <v>5016</v>
      </c>
      <c r="X11" s="734" t="s">
        <v>3661</v>
      </c>
      <c r="Y11" s="734" t="s">
        <v>8464</v>
      </c>
      <c r="Z11" s="1233"/>
      <c r="AA11" s="1270" t="s">
        <v>5719</v>
      </c>
      <c r="AB11" s="1269"/>
      <c r="AC11" s="773" t="s">
        <v>5874</v>
      </c>
      <c r="AD11" s="773" t="s">
        <v>1993</v>
      </c>
      <c r="AE11" s="773"/>
      <c r="AF11" s="773" t="s">
        <v>5648</v>
      </c>
      <c r="AG11" s="1233"/>
      <c r="AH11" s="1233"/>
      <c r="AI11" s="1269"/>
      <c r="AJ11" s="1269"/>
      <c r="AK11" s="1233"/>
      <c r="AL11" s="1233"/>
      <c r="AM11" s="1278" t="s">
        <v>8383</v>
      </c>
      <c r="AN11" s="1233"/>
      <c r="AO11" s="1233"/>
      <c r="AP11" s="773" t="s">
        <v>8425</v>
      </c>
      <c r="AQ11" s="773" t="s">
        <v>8425</v>
      </c>
      <c r="AR11" s="773" t="s">
        <v>8465</v>
      </c>
      <c r="AS11" s="773" t="s">
        <v>8466</v>
      </c>
      <c r="AT11" s="773"/>
      <c r="AU11" s="1276" t="s">
        <v>8467</v>
      </c>
      <c r="AV11" s="773" t="s">
        <v>8403</v>
      </c>
      <c r="AW11" s="773" t="s">
        <v>8377</v>
      </c>
      <c r="AX11" s="1233"/>
      <c r="AY11" s="1270" t="s">
        <v>8468</v>
      </c>
      <c r="AZ11" s="773" t="s">
        <v>5140</v>
      </c>
      <c r="BA11" s="773"/>
      <c r="BB11" s="773" t="s">
        <v>8387</v>
      </c>
      <c r="BC11" s="1278" t="s">
        <v>8452</v>
      </c>
      <c r="BD11" s="1278" t="s">
        <v>8469</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1527</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8470</v>
      </c>
      <c r="CT11" s="1233"/>
      <c r="CU11" s="1233"/>
    </row>
    <row r="12">
      <c r="A12" s="1321" t="s">
        <v>3860</v>
      </c>
      <c r="B12" s="1044" t="s">
        <v>8471</v>
      </c>
      <c r="C12" s="1040" t="s">
        <v>1259</v>
      </c>
      <c r="D12" s="1041" t="s">
        <v>548</v>
      </c>
      <c r="E12" s="1042" t="s">
        <v>1259</v>
      </c>
      <c r="F12" s="1043" t="s">
        <v>548</v>
      </c>
      <c r="G12" s="1044" t="s">
        <v>2429</v>
      </c>
      <c r="H12" s="1347"/>
      <c r="I12" s="1347" t="s">
        <v>3869</v>
      </c>
      <c r="J12" s="773" t="s">
        <v>8472</v>
      </c>
      <c r="K12" s="773" t="s">
        <v>8473</v>
      </c>
      <c r="L12" s="773" t="s">
        <v>8474</v>
      </c>
      <c r="M12" s="773" t="s">
        <v>8475</v>
      </c>
      <c r="N12" s="773" t="s">
        <v>8476</v>
      </c>
      <c r="O12" s="773" t="s">
        <v>8477</v>
      </c>
      <c r="P12" s="773" t="s">
        <v>8478</v>
      </c>
      <c r="Q12" s="1233"/>
      <c r="R12" s="1278" t="s">
        <v>8479</v>
      </c>
      <c r="S12" s="773" t="s">
        <v>8480</v>
      </c>
      <c r="T12" s="773" t="s">
        <v>8481</v>
      </c>
      <c r="U12" s="773" t="s">
        <v>8482</v>
      </c>
      <c r="V12" s="773" t="s">
        <v>4076</v>
      </c>
      <c r="W12" s="773" t="s">
        <v>4993</v>
      </c>
      <c r="X12" s="773" t="s">
        <v>8483</v>
      </c>
      <c r="Y12" s="773" t="s">
        <v>378</v>
      </c>
      <c r="Z12" s="1278" t="s">
        <v>3216</v>
      </c>
      <c r="AA12" s="773" t="s">
        <v>8484</v>
      </c>
      <c r="AB12" s="1278"/>
      <c r="AC12" s="1278" t="s">
        <v>2254</v>
      </c>
      <c r="AD12" s="1278" t="s">
        <v>8485</v>
      </c>
      <c r="AE12" s="773" t="s">
        <v>5181</v>
      </c>
      <c r="AF12" s="773" t="s">
        <v>4083</v>
      </c>
      <c r="AG12" s="1278" t="s">
        <v>8486</v>
      </c>
      <c r="AH12" s="1233"/>
      <c r="AI12" s="1269"/>
      <c r="AJ12" s="1269"/>
      <c r="AK12" s="1233"/>
      <c r="AL12" s="773" t="s">
        <v>5528</v>
      </c>
      <c r="AM12" s="1278" t="s">
        <v>8405</v>
      </c>
      <c r="AN12" s="1278" t="s">
        <v>8487</v>
      </c>
      <c r="AO12" s="1233"/>
      <c r="AP12" s="773" t="s">
        <v>8488</v>
      </c>
      <c r="AQ12" s="773" t="s">
        <v>8287</v>
      </c>
      <c r="AR12" s="1278" t="s">
        <v>8489</v>
      </c>
      <c r="AS12" s="773" t="s">
        <v>8490</v>
      </c>
      <c r="AT12" s="773" t="s">
        <v>8491</v>
      </c>
      <c r="AU12" s="773" t="s">
        <v>8359</v>
      </c>
      <c r="AV12" s="113" t="s">
        <v>8492</v>
      </c>
      <c r="AW12" s="773" t="s">
        <v>8493</v>
      </c>
      <c r="AX12" s="773" t="s">
        <v>8494</v>
      </c>
      <c r="AY12" s="1233"/>
      <c r="AZ12" s="1278" t="s">
        <v>1726</v>
      </c>
      <c r="BA12" s="773"/>
      <c r="BB12" s="1278" t="s">
        <v>8495</v>
      </c>
      <c r="BC12" s="1278" t="s">
        <v>8496</v>
      </c>
      <c r="BD12" s="773" t="s">
        <v>8497</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8452</v>
      </c>
      <c r="CG12" s="1269"/>
      <c r="CH12" s="1338"/>
      <c r="CI12" s="1340" t="s">
        <v>8288</v>
      </c>
      <c r="CJ12" s="1326" t="s">
        <v>8498</v>
      </c>
      <c r="CK12" s="1326"/>
      <c r="CL12" s="1339" t="s">
        <v>6244</v>
      </c>
      <c r="CM12" s="1326" t="s">
        <v>8499</v>
      </c>
      <c r="CN12" s="1326" t="s">
        <v>6214</v>
      </c>
      <c r="CO12" s="1326" t="s">
        <v>2903</v>
      </c>
      <c r="CP12" s="1326" t="s">
        <v>8382</v>
      </c>
      <c r="CQ12" s="1326" t="s">
        <v>8379</v>
      </c>
      <c r="CR12" s="1338"/>
      <c r="CS12" s="1338"/>
      <c r="CT12" s="1233"/>
      <c r="CU12" s="1233"/>
    </row>
    <row r="13">
      <c r="A13" s="1351" t="s">
        <v>6645</v>
      </c>
      <c r="B13" s="1044" t="s">
        <v>7862</v>
      </c>
      <c r="C13" s="1040" t="s">
        <v>441</v>
      </c>
      <c r="D13" s="1041" t="s">
        <v>335</v>
      </c>
      <c r="E13" s="1042" t="s">
        <v>334</v>
      </c>
      <c r="F13" s="1043" t="s">
        <v>223</v>
      </c>
      <c r="G13" s="1044" t="s">
        <v>1061</v>
      </c>
      <c r="H13" s="1352" t="str">
        <f>HYPERLINK("https://www.twitch.tv/videos/990301696","3:46.19")</f>
        <v>3:46.19</v>
      </c>
      <c r="I13" s="1347" t="s">
        <v>8500</v>
      </c>
      <c r="J13" s="773"/>
      <c r="K13" s="773" t="s">
        <v>8501</v>
      </c>
      <c r="L13" s="1233"/>
      <c r="M13" s="1353" t="str">
        <f>HYPERLINK("https://youtu.be/muKa7MrNAp8","2:59.41")</f>
        <v>2:59.41</v>
      </c>
      <c r="N13" s="1316"/>
      <c r="O13" s="113" t="s">
        <v>8502</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8503</v>
      </c>
      <c r="X13" s="773"/>
      <c r="Y13" s="773" t="s">
        <v>8504</v>
      </c>
      <c r="Z13" s="1233"/>
      <c r="AA13" s="1233"/>
      <c r="AB13" s="1269"/>
      <c r="AC13" s="1233"/>
      <c r="AD13" s="773" t="s">
        <v>4256</v>
      </c>
      <c r="AE13" s="1233"/>
      <c r="AF13" s="1233"/>
      <c r="AG13" s="1233"/>
      <c r="AH13" s="773" t="s">
        <v>5729</v>
      </c>
      <c r="AI13" s="1278"/>
      <c r="AJ13" s="1278"/>
      <c r="AK13" s="1275" t="s">
        <v>8505</v>
      </c>
      <c r="AL13" s="1265"/>
      <c r="AM13" s="1278" t="s">
        <v>8425</v>
      </c>
      <c r="AN13" s="1233"/>
      <c r="AO13" s="1233"/>
      <c r="AP13" s="1233"/>
      <c r="AQ13" s="1233"/>
      <c r="AR13" s="1233"/>
      <c r="AS13" s="1233"/>
      <c r="AT13" s="773" t="s">
        <v>8494</v>
      </c>
      <c r="AU13" s="773" t="s">
        <v>8506</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8507</v>
      </c>
      <c r="C14" s="1040" t="s">
        <v>334</v>
      </c>
      <c r="D14" s="1041" t="s">
        <v>334</v>
      </c>
      <c r="E14" s="1042" t="s">
        <v>1259</v>
      </c>
      <c r="F14" s="1043" t="s">
        <v>986</v>
      </c>
      <c r="G14" s="1044" t="s">
        <v>4042</v>
      </c>
      <c r="H14" s="1347"/>
      <c r="I14" s="1347" t="s">
        <v>8381</v>
      </c>
      <c r="J14" s="1233"/>
      <c r="K14" s="734" t="s">
        <v>8508</v>
      </c>
      <c r="L14" s="1233"/>
      <c r="M14" s="734" t="s">
        <v>8509</v>
      </c>
      <c r="N14" s="1233"/>
      <c r="O14" s="734" t="s">
        <v>8510</v>
      </c>
      <c r="P14" s="734" t="s">
        <v>8511</v>
      </c>
      <c r="Q14" s="1233"/>
      <c r="R14" s="1278" t="s">
        <v>8512</v>
      </c>
      <c r="S14" s="734" t="s">
        <v>8513</v>
      </c>
      <c r="T14" s="1233"/>
      <c r="U14" s="734" t="s">
        <v>8514</v>
      </c>
      <c r="V14" s="1265"/>
      <c r="W14" s="773" t="s">
        <v>5128</v>
      </c>
      <c r="X14" s="734" t="s">
        <v>8515</v>
      </c>
      <c r="Y14" s="1278" t="s">
        <v>2713</v>
      </c>
      <c r="Z14" s="1233"/>
      <c r="AA14" s="1233"/>
      <c r="AB14" s="1269"/>
      <c r="AC14" s="773" t="s">
        <v>8516</v>
      </c>
      <c r="AD14" s="721" t="s">
        <v>4256</v>
      </c>
      <c r="AE14" s="1233"/>
      <c r="AF14" s="1233"/>
      <c r="AG14" s="1233"/>
      <c r="AH14" s="1278" t="s">
        <v>5409</v>
      </c>
      <c r="AI14" s="1269"/>
      <c r="AJ14" s="1269"/>
      <c r="AK14" s="1278" t="s">
        <v>4824</v>
      </c>
      <c r="AL14" s="773"/>
      <c r="AM14" s="734" t="s">
        <v>8402</v>
      </c>
      <c r="AN14" s="1233"/>
      <c r="AO14" s="1233"/>
      <c r="AP14" s="734" t="s">
        <v>8517</v>
      </c>
      <c r="AQ14" s="1233"/>
      <c r="AR14" s="1233"/>
      <c r="AS14" s="1233"/>
      <c r="AT14" s="773" t="s">
        <v>8518</v>
      </c>
      <c r="AU14" s="1233"/>
      <c r="AV14" s="1233"/>
      <c r="AW14" s="1233"/>
      <c r="AX14" s="1233"/>
      <c r="AY14" s="1233"/>
      <c r="AZ14" s="1276" t="s">
        <v>8519</v>
      </c>
      <c r="BA14" s="1265"/>
      <c r="BB14" s="734" t="s">
        <v>8520</v>
      </c>
      <c r="BC14" s="1331" t="s">
        <v>8496</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8521</v>
      </c>
      <c r="CF14" s="1328" t="s">
        <v>8498</v>
      </c>
      <c r="CG14" s="1366" t="s">
        <v>8522</v>
      </c>
      <c r="CH14" s="1338"/>
      <c r="CI14" s="1327"/>
      <c r="CJ14" s="1327"/>
      <c r="CK14" s="1338"/>
      <c r="CL14" s="1338"/>
      <c r="CM14" s="1338"/>
      <c r="CN14" s="1339" t="s">
        <v>6214</v>
      </c>
      <c r="CO14" s="1338"/>
      <c r="CP14" s="1338"/>
      <c r="CQ14" s="1338"/>
      <c r="CR14" s="1366" t="s">
        <v>7631</v>
      </c>
      <c r="CS14" s="1338"/>
      <c r="CT14" s="1233"/>
      <c r="CU14" s="1233"/>
    </row>
    <row r="15">
      <c r="A15" s="1321" t="s">
        <v>1810</v>
      </c>
      <c r="B15" s="1044" t="s">
        <v>8523</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5739</v>
      </c>
      <c r="X15" s="773"/>
      <c r="Y15" s="734" t="s">
        <v>1153</v>
      </c>
      <c r="Z15" s="1233"/>
      <c r="AA15" s="1233"/>
      <c r="AB15" s="1269"/>
      <c r="AC15" s="1278" t="s">
        <v>5500</v>
      </c>
      <c r="AD15" s="1276" t="s">
        <v>612</v>
      </c>
      <c r="AE15" s="1233"/>
      <c r="AF15" s="1233"/>
      <c r="AG15" s="1233"/>
      <c r="AH15" s="1233"/>
      <c r="AI15" s="1269"/>
      <c r="AJ15" s="1269"/>
      <c r="AK15" s="1233"/>
      <c r="AL15" s="1233"/>
      <c r="AM15" s="1233"/>
      <c r="AN15" s="1233"/>
      <c r="AO15" s="1233"/>
      <c r="AP15" s="1278" t="s">
        <v>8378</v>
      </c>
      <c r="AQ15" s="773"/>
      <c r="AR15" s="1278" t="s">
        <v>8526</v>
      </c>
      <c r="AS15" s="773"/>
      <c r="AT15" s="1233"/>
      <c r="AU15" s="1278" t="s">
        <v>8423</v>
      </c>
      <c r="AV15" s="773"/>
      <c r="AW15" s="1278" t="s">
        <v>8527</v>
      </c>
      <c r="AX15" s="1233"/>
      <c r="AY15" s="1233"/>
      <c r="AZ15" s="1233"/>
      <c r="BA15" s="1233"/>
      <c r="BB15" s="1270" t="s">
        <v>8528</v>
      </c>
      <c r="BC15" s="1275" t="s">
        <v>8285</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8530</v>
      </c>
      <c r="C16" s="1040" t="s">
        <v>1200</v>
      </c>
      <c r="D16" s="1041" t="s">
        <v>548</v>
      </c>
      <c r="E16" s="1042" t="s">
        <v>1259</v>
      </c>
      <c r="F16" s="1043" t="s">
        <v>648</v>
      </c>
      <c r="G16" s="1044" t="s">
        <v>222</v>
      </c>
      <c r="H16" s="1368" t="s">
        <v>8531</v>
      </c>
      <c r="I16" s="1368" t="s">
        <v>8514</v>
      </c>
      <c r="J16" s="1270" t="s">
        <v>8532</v>
      </c>
      <c r="K16" s="1270" t="s">
        <v>8533</v>
      </c>
      <c r="L16" s="773" t="s">
        <v>8534</v>
      </c>
      <c r="M16" s="1233"/>
      <c r="N16" s="1270" t="s">
        <v>3691</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7950</v>
      </c>
      <c r="C17" s="1040" t="s">
        <v>548</v>
      </c>
      <c r="D17" s="1041" t="s">
        <v>1259</v>
      </c>
      <c r="E17" s="1042" t="s">
        <v>548</v>
      </c>
      <c r="F17" s="1043" t="s">
        <v>439</v>
      </c>
      <c r="G17" s="1044" t="s">
        <v>3092</v>
      </c>
      <c r="H17" s="1347"/>
      <c r="I17" s="1347" t="s">
        <v>8542</v>
      </c>
      <c r="J17" s="773"/>
      <c r="K17" s="1278" t="s">
        <v>8543</v>
      </c>
      <c r="L17" s="773"/>
      <c r="M17" s="1278" t="s">
        <v>8544</v>
      </c>
      <c r="N17" s="1233"/>
      <c r="O17" s="1278" t="s">
        <v>8545</v>
      </c>
      <c r="P17" s="1233"/>
      <c r="Q17" s="1233"/>
      <c r="R17" s="773" t="s">
        <v>8546</v>
      </c>
      <c r="S17" s="1316" t="s">
        <v>8547</v>
      </c>
      <c r="T17" s="1278" t="s">
        <v>8548</v>
      </c>
      <c r="U17" s="773" t="s">
        <v>3777</v>
      </c>
      <c r="V17" s="1278"/>
      <c r="W17" s="1278" t="s">
        <v>4435</v>
      </c>
      <c r="X17" s="773" t="s">
        <v>3810</v>
      </c>
      <c r="Y17" s="1278" t="s">
        <v>2797</v>
      </c>
      <c r="Z17" s="1233"/>
      <c r="AA17" s="1233"/>
      <c r="AB17" s="1269"/>
      <c r="AC17" s="1278" t="s">
        <v>8549</v>
      </c>
      <c r="AD17" s="773" t="s">
        <v>2027</v>
      </c>
      <c r="AE17" s="773"/>
      <c r="AF17" s="1278" t="s">
        <v>8550</v>
      </c>
      <c r="AG17" s="1270" t="s">
        <v>8551</v>
      </c>
      <c r="AH17" s="1275" t="s">
        <v>1268</v>
      </c>
      <c r="AI17" s="1269"/>
      <c r="AJ17" s="1269"/>
      <c r="AK17" s="1278" t="s">
        <v>707</v>
      </c>
      <c r="AL17" s="1233"/>
      <c r="AM17" s="1278" t="s">
        <v>8427</v>
      </c>
      <c r="AN17" s="1233"/>
      <c r="AO17" s="1233"/>
      <c r="AP17" s="773" t="s">
        <v>8304</v>
      </c>
      <c r="AQ17" s="773"/>
      <c r="AR17" s="773" t="s">
        <v>8330</v>
      </c>
      <c r="AS17" s="773" t="s">
        <v>8552</v>
      </c>
      <c r="AT17" s="773" t="s">
        <v>8553</v>
      </c>
      <c r="AU17" s="773" t="s">
        <v>8554</v>
      </c>
      <c r="AV17" s="773"/>
      <c r="AW17" s="1233"/>
      <c r="AX17" s="1233"/>
      <c r="AY17" s="1233"/>
      <c r="AZ17" s="1278" t="s">
        <v>4770</v>
      </c>
      <c r="BA17" s="773"/>
      <c r="BB17" s="1278" t="s">
        <v>8423</v>
      </c>
      <c r="BC17" s="1278" t="s">
        <v>8555</v>
      </c>
      <c r="BD17" s="1278" t="s">
        <v>8360</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4687</v>
      </c>
      <c r="BW17" s="1269"/>
      <c r="BX17" s="1233"/>
      <c r="BY17" s="773" t="s">
        <v>2230</v>
      </c>
      <c r="BZ17" s="1233"/>
      <c r="CA17" s="1269"/>
      <c r="CB17" s="773" t="s">
        <v>4526</v>
      </c>
      <c r="CC17" s="1278" t="s">
        <v>8558</v>
      </c>
      <c r="CD17" s="1278"/>
      <c r="CE17" s="1233"/>
      <c r="CF17" s="1233"/>
      <c r="CG17" s="1269"/>
      <c r="CH17" s="1269"/>
      <c r="CI17" s="1233"/>
      <c r="CJ17" s="1233"/>
      <c r="CK17" s="1269"/>
      <c r="CL17" s="1269"/>
      <c r="CM17" s="1278" t="s">
        <v>8559</v>
      </c>
      <c r="CN17" s="1278" t="s">
        <v>1882</v>
      </c>
      <c r="CO17" s="1278" t="s">
        <v>1812</v>
      </c>
      <c r="CP17" s="1278" t="s">
        <v>8560</v>
      </c>
      <c r="CQ17" s="773" t="s">
        <v>8561</v>
      </c>
      <c r="CR17" s="1278" t="s">
        <v>3337</v>
      </c>
      <c r="CS17" s="773" t="s">
        <v>8562</v>
      </c>
      <c r="CT17" s="1233"/>
      <c r="CU17" s="1233"/>
    </row>
    <row r="18">
      <c r="A18" s="1370" t="s">
        <v>8136</v>
      </c>
      <c r="B18" s="1044" t="s">
        <v>8563</v>
      </c>
      <c r="C18" s="1040" t="s">
        <v>440</v>
      </c>
      <c r="D18" s="1041" t="s">
        <v>439</v>
      </c>
      <c r="E18" s="1042" t="s">
        <v>1259</v>
      </c>
      <c r="F18" s="1043" t="s">
        <v>3283</v>
      </c>
      <c r="G18" s="1044" t="s">
        <v>1199</v>
      </c>
      <c r="H18" s="1347"/>
      <c r="I18" s="1347"/>
      <c r="J18" s="1233"/>
      <c r="K18" s="1233"/>
      <c r="L18" s="1233"/>
      <c r="M18" s="1233"/>
      <c r="N18" s="1233"/>
      <c r="O18" s="1233"/>
      <c r="P18" s="1233"/>
      <c r="Q18" s="1233"/>
      <c r="R18" s="1233"/>
      <c r="S18" s="1233"/>
      <c r="T18" s="1233"/>
      <c r="U18" s="1233"/>
      <c r="V18" s="1269"/>
      <c r="W18" s="1270" t="s">
        <v>8564</v>
      </c>
      <c r="X18" s="1276" t="s">
        <v>1743</v>
      </c>
      <c r="Y18" s="1233"/>
      <c r="Z18" s="1233"/>
      <c r="AA18" s="1233"/>
      <c r="AB18" s="1270" t="s">
        <v>8565</v>
      </c>
      <c r="AC18" s="1276" t="s">
        <v>2459</v>
      </c>
      <c r="AD18" s="734" t="s">
        <v>2733</v>
      </c>
      <c r="AE18" s="1265"/>
      <c r="AF18" s="1270" t="s">
        <v>8566</v>
      </c>
      <c r="AG18" s="1233"/>
      <c r="AH18" s="1270" t="s">
        <v>1701</v>
      </c>
      <c r="AI18" s="1270" t="s">
        <v>3142</v>
      </c>
      <c r="AJ18" s="1269"/>
      <c r="AK18" s="773" t="s">
        <v>4258</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8568</v>
      </c>
      <c r="C19" s="1040" t="s">
        <v>1259</v>
      </c>
      <c r="D19" s="1041" t="s">
        <v>1259</v>
      </c>
      <c r="E19" s="1042" t="s">
        <v>1259</v>
      </c>
      <c r="F19" s="1043" t="s">
        <v>548</v>
      </c>
      <c r="G19" s="1044" t="s">
        <v>3371</v>
      </c>
      <c r="H19" s="1347"/>
      <c r="I19" s="1347" t="s">
        <v>8569</v>
      </c>
      <c r="J19" s="773"/>
      <c r="K19" s="773" t="s">
        <v>7491</v>
      </c>
      <c r="L19" s="773"/>
      <c r="M19" s="1233"/>
      <c r="N19" s="1233"/>
      <c r="O19" s="1233"/>
      <c r="P19" s="1233"/>
      <c r="Q19" s="1233"/>
      <c r="R19" s="1278" t="s">
        <v>8570</v>
      </c>
      <c r="S19" s="1233"/>
      <c r="T19" s="1278" t="s">
        <v>8571</v>
      </c>
      <c r="U19" s="1278" t="s">
        <v>8572</v>
      </c>
      <c r="V19" s="1278" t="s">
        <v>8573</v>
      </c>
      <c r="W19" s="1278" t="s">
        <v>3439</v>
      </c>
      <c r="X19" s="773" t="s">
        <v>2615</v>
      </c>
      <c r="Y19" s="1278" t="s">
        <v>8574</v>
      </c>
      <c r="Z19" s="1233"/>
      <c r="AA19" s="1233"/>
      <c r="AB19" s="1269"/>
      <c r="AC19" s="734" t="s">
        <v>345</v>
      </c>
      <c r="AD19" s="1278" t="s">
        <v>3939</v>
      </c>
      <c r="AE19" s="773"/>
      <c r="AF19" s="1278" t="s">
        <v>8575</v>
      </c>
      <c r="AG19" s="773"/>
      <c r="AH19" s="1278" t="s">
        <v>8576</v>
      </c>
      <c r="AI19" s="1269"/>
      <c r="AJ19" s="1269"/>
      <c r="AK19" s="1233"/>
      <c r="AL19" s="1233"/>
      <c r="AM19" s="1233"/>
      <c r="AN19" s="1233"/>
      <c r="AO19" s="1233"/>
      <c r="AP19" s="773" t="s">
        <v>8304</v>
      </c>
      <c r="AQ19" s="1233"/>
      <c r="AR19" s="773" t="s">
        <v>8577</v>
      </c>
      <c r="AS19" s="1233"/>
      <c r="AT19" s="1233"/>
      <c r="AU19" s="773" t="s">
        <v>8578</v>
      </c>
      <c r="AV19" s="773"/>
      <c r="AW19" s="773" t="s">
        <v>8335</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8581</v>
      </c>
      <c r="C20" s="1040" t="s">
        <v>1259</v>
      </c>
      <c r="D20" s="1041" t="s">
        <v>1259</v>
      </c>
      <c r="E20" s="1042" t="s">
        <v>1259</v>
      </c>
      <c r="F20" s="1043" t="s">
        <v>1259</v>
      </c>
      <c r="G20" s="1044" t="s">
        <v>3371</v>
      </c>
      <c r="H20" s="1347" t="s">
        <v>8582</v>
      </c>
      <c r="I20" s="1347" t="s">
        <v>8583</v>
      </c>
      <c r="J20" s="773" t="s">
        <v>8584</v>
      </c>
      <c r="K20" s="1347" t="s">
        <v>8585</v>
      </c>
      <c r="L20" s="773" t="s">
        <v>8586</v>
      </c>
      <c r="M20" s="773" t="s">
        <v>8367</v>
      </c>
      <c r="N20" s="773" t="s">
        <v>8587</v>
      </c>
      <c r="O20" s="773" t="s">
        <v>8588</v>
      </c>
      <c r="P20" s="773" t="s">
        <v>7858</v>
      </c>
      <c r="Q20" s="1233"/>
      <c r="R20" s="773" t="s">
        <v>8502</v>
      </c>
      <c r="S20" s="113" t="s">
        <v>8589</v>
      </c>
      <c r="T20" s="1233"/>
      <c r="U20" s="1372" t="s">
        <v>8590</v>
      </c>
      <c r="V20" s="773" t="s">
        <v>8591</v>
      </c>
      <c r="W20" s="1278" t="s">
        <v>8592</v>
      </c>
      <c r="X20" s="773" t="s">
        <v>8593</v>
      </c>
      <c r="Y20" s="773" t="s">
        <v>250</v>
      </c>
      <c r="Z20" s="1233"/>
      <c r="AA20" s="1233"/>
      <c r="AB20" s="1269"/>
      <c r="AC20" s="1278" t="s">
        <v>8594</v>
      </c>
      <c r="AD20" s="773" t="s">
        <v>4163</v>
      </c>
      <c r="AE20" s="1233"/>
      <c r="AF20" s="1233"/>
      <c r="AG20" s="1233"/>
      <c r="AH20" s="1233"/>
      <c r="AI20" s="1269"/>
      <c r="AJ20" s="1269"/>
      <c r="AK20" s="1233"/>
      <c r="AL20" s="1233"/>
      <c r="AM20" s="773"/>
      <c r="AN20" s="1233"/>
      <c r="AO20" s="1233"/>
      <c r="AP20" s="773" t="s">
        <v>8380</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6591</v>
      </c>
      <c r="B21" s="1044" t="s">
        <v>8596</v>
      </c>
      <c r="C21" s="1040" t="s">
        <v>1259</v>
      </c>
      <c r="D21" s="1041" t="s">
        <v>1259</v>
      </c>
      <c r="E21" s="1042" t="s">
        <v>1259</v>
      </c>
      <c r="F21" s="1043" t="s">
        <v>1259</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3231</v>
      </c>
      <c r="Z21" s="773"/>
      <c r="AA21" s="773"/>
      <c r="AB21" s="1278"/>
      <c r="AC21" s="1278" t="s">
        <v>8601</v>
      </c>
      <c r="AD21" s="1278" t="s">
        <v>4887</v>
      </c>
      <c r="AE21" s="773"/>
      <c r="AF21" s="773"/>
      <c r="AG21" s="773"/>
      <c r="AH21" s="1233"/>
      <c r="AI21" s="1269"/>
      <c r="AJ21" s="1269"/>
      <c r="AK21" s="1233"/>
      <c r="AL21" s="1233"/>
      <c r="AM21" s="1278" t="s">
        <v>8517</v>
      </c>
      <c r="AN21" s="1233"/>
      <c r="AO21" s="1233"/>
      <c r="AP21" s="1278" t="s">
        <v>8602</v>
      </c>
      <c r="AQ21" s="773"/>
      <c r="AR21" s="1278" t="s">
        <v>8603</v>
      </c>
      <c r="AS21" s="773"/>
      <c r="AT21" s="1278" t="s">
        <v>8604</v>
      </c>
      <c r="AU21" s="1278" t="s">
        <v>8605</v>
      </c>
      <c r="AV21" s="773"/>
      <c r="AW21" s="773"/>
      <c r="AX21" s="1233"/>
      <c r="AY21" s="1233"/>
      <c r="AZ21" s="1278" t="s">
        <v>5140</v>
      </c>
      <c r="BA21" s="773"/>
      <c r="BB21" s="1278" t="s">
        <v>8336</v>
      </c>
      <c r="BC21" s="1278" t="s">
        <v>8420</v>
      </c>
      <c r="BD21" s="1278" t="s">
        <v>8497</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8102</v>
      </c>
      <c r="B22" s="1044" t="s">
        <v>8596</v>
      </c>
      <c r="C22" s="1040" t="s">
        <v>1259</v>
      </c>
      <c r="D22" s="1041" t="s">
        <v>1259</v>
      </c>
      <c r="E22" s="1042" t="s">
        <v>1259</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5168</v>
      </c>
      <c r="Z22" s="1233"/>
      <c r="AA22" s="1233"/>
      <c r="AB22" s="1269"/>
      <c r="AC22" s="1278" t="s">
        <v>8612</v>
      </c>
      <c r="AD22" s="1278" t="s">
        <v>4106</v>
      </c>
      <c r="AE22" s="1265"/>
      <c r="AF22" s="734" t="s">
        <v>723</v>
      </c>
      <c r="AG22" s="1265"/>
      <c r="AH22" s="1278" t="s">
        <v>6771</v>
      </c>
      <c r="AI22" s="1278" t="s">
        <v>5532</v>
      </c>
      <c r="AJ22" s="1269"/>
      <c r="AK22" s="1233"/>
      <c r="AL22" s="1233"/>
      <c r="AM22" s="1233"/>
      <c r="AN22" s="1233"/>
      <c r="AO22" s="1233"/>
      <c r="AP22" s="1233"/>
      <c r="AQ22" s="1233"/>
      <c r="AR22" s="1233"/>
      <c r="AS22" s="1233"/>
      <c r="AT22" s="1233"/>
      <c r="AU22" s="1233"/>
      <c r="AV22" s="1233"/>
      <c r="AW22" s="1233"/>
      <c r="AX22" s="773"/>
      <c r="AY22" s="1278" t="s">
        <v>8496</v>
      </c>
      <c r="AZ22" s="1233"/>
      <c r="BA22" s="1233"/>
      <c r="BB22" s="1278" t="s">
        <v>8428</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8091</v>
      </c>
      <c r="B23" s="1044" t="s">
        <v>8614</v>
      </c>
      <c r="C23" s="1040" t="s">
        <v>1259</v>
      </c>
      <c r="D23" s="1041" t="s">
        <v>1259</v>
      </c>
      <c r="E23" s="1042" t="s">
        <v>1259</v>
      </c>
      <c r="F23" s="1043" t="s">
        <v>1259</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1015</v>
      </c>
      <c r="Z23" s="1269" t="s">
        <v>8621</v>
      </c>
      <c r="AA23" s="1233"/>
      <c r="AB23" s="1269"/>
      <c r="AC23" s="773"/>
      <c r="AD23" s="1278" t="s">
        <v>1913</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8517</v>
      </c>
      <c r="AX23" s="1233"/>
      <c r="AY23" s="1269" t="s">
        <v>8521</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6631</v>
      </c>
      <c r="B24" s="1044" t="s">
        <v>8629</v>
      </c>
      <c r="C24" s="1040" t="s">
        <v>1259</v>
      </c>
      <c r="D24" s="1041" t="s">
        <v>548</v>
      </c>
      <c r="E24" s="1042" t="s">
        <v>1259</v>
      </c>
      <c r="F24" s="1043" t="s">
        <v>441</v>
      </c>
      <c r="G24" s="1044" t="s">
        <v>3371</v>
      </c>
      <c r="H24" s="1347"/>
      <c r="I24" s="1347" t="s">
        <v>8630</v>
      </c>
      <c r="J24" s="773"/>
      <c r="K24" s="773" t="s">
        <v>8631</v>
      </c>
      <c r="L24" s="1276" t="s">
        <v>3755</v>
      </c>
      <c r="M24" s="1233"/>
      <c r="N24" s="1233"/>
      <c r="O24" s="1233"/>
      <c r="P24" s="773" t="s">
        <v>5811</v>
      </c>
      <c r="Q24" s="1233"/>
      <c r="R24" s="734" t="s">
        <v>8632</v>
      </c>
      <c r="S24" s="1233"/>
      <c r="T24" s="1233"/>
      <c r="U24" s="773" t="s">
        <v>752</v>
      </c>
      <c r="V24" s="1278"/>
      <c r="W24" s="1278" t="s">
        <v>4308</v>
      </c>
      <c r="X24" s="773" t="s">
        <v>3444</v>
      </c>
      <c r="Y24" s="734" t="s">
        <v>5848</v>
      </c>
      <c r="Z24" s="1233"/>
      <c r="AA24" s="1233"/>
      <c r="AB24" s="1269"/>
      <c r="AC24" s="1278" t="s">
        <v>8633</v>
      </c>
      <c r="AD24" s="1278" t="s">
        <v>5675</v>
      </c>
      <c r="AE24" s="773"/>
      <c r="AF24" s="1278" t="s">
        <v>8634</v>
      </c>
      <c r="AG24" s="773"/>
      <c r="AH24" s="1278" t="s">
        <v>8635</v>
      </c>
      <c r="AI24" s="1269"/>
      <c r="AJ24" s="1269"/>
      <c r="AK24" s="1283" t="s">
        <v>3800</v>
      </c>
      <c r="AL24" s="1330"/>
      <c r="AM24" s="1233"/>
      <c r="AN24" s="1233"/>
      <c r="AO24" s="1233"/>
      <c r="AP24" s="1233"/>
      <c r="AQ24" s="1233"/>
      <c r="AR24" s="1278" t="s">
        <v>8636</v>
      </c>
      <c r="AS24" s="773"/>
      <c r="AT24" s="1233"/>
      <c r="AU24" s="1233"/>
      <c r="AV24" s="1233"/>
      <c r="AW24" s="1278" t="s">
        <v>8312</v>
      </c>
      <c r="AX24" s="1233"/>
      <c r="AY24" s="1233"/>
      <c r="AZ24" s="1233"/>
      <c r="BA24" s="1233"/>
      <c r="BB24" s="1278" t="s">
        <v>8387</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8629</v>
      </c>
      <c r="C25" s="1040" t="s">
        <v>1259</v>
      </c>
      <c r="D25" s="1041" t="s">
        <v>548</v>
      </c>
      <c r="E25" s="1042" t="s">
        <v>548</v>
      </c>
      <c r="F25" s="1043" t="s">
        <v>440</v>
      </c>
      <c r="G25" s="1044" t="s">
        <v>5140</v>
      </c>
      <c r="H25" s="1352" t="s">
        <v>8637</v>
      </c>
      <c r="I25" s="1352" t="s">
        <v>5307</v>
      </c>
      <c r="J25" s="1265"/>
      <c r="K25" s="1278" t="s">
        <v>8638</v>
      </c>
      <c r="L25" s="773"/>
      <c r="M25" s="773"/>
      <c r="N25" s="1278" t="s">
        <v>8639</v>
      </c>
      <c r="O25" s="1278" t="s">
        <v>8640</v>
      </c>
      <c r="P25" s="1278" t="s">
        <v>8641</v>
      </c>
      <c r="Q25" s="1278" t="s">
        <v>8642</v>
      </c>
      <c r="R25" s="1278" t="s">
        <v>8643</v>
      </c>
      <c r="S25" s="1278" t="s">
        <v>5325</v>
      </c>
      <c r="T25" s="1278" t="s">
        <v>8644</v>
      </c>
      <c r="U25" s="1278" t="s">
        <v>8645</v>
      </c>
      <c r="V25" s="1278"/>
      <c r="W25" s="1278" t="s">
        <v>6076</v>
      </c>
      <c r="X25" s="773"/>
      <c r="Y25" s="1233"/>
      <c r="Z25" s="1233"/>
      <c r="AA25" s="1233"/>
      <c r="AB25" s="1269"/>
      <c r="AC25" s="1278" t="s">
        <v>8646</v>
      </c>
      <c r="AD25" s="1278" t="s">
        <v>5881</v>
      </c>
      <c r="AE25" s="773"/>
      <c r="AF25" s="1278" t="s">
        <v>7690</v>
      </c>
      <c r="AG25" s="773"/>
      <c r="AH25" s="1278" t="s">
        <v>3323</v>
      </c>
      <c r="AI25" s="1278"/>
      <c r="AJ25" s="1278"/>
      <c r="AK25" s="1233"/>
      <c r="AL25" s="1233"/>
      <c r="AM25" s="1278" t="s">
        <v>8647</v>
      </c>
      <c r="AN25" s="1278" t="s">
        <v>8506</v>
      </c>
      <c r="AO25" s="1278" t="s">
        <v>8403</v>
      </c>
      <c r="AP25" s="1278" t="s">
        <v>8648</v>
      </c>
      <c r="AQ25" s="773"/>
      <c r="AR25" s="1278" t="s">
        <v>8552</v>
      </c>
      <c r="AS25" s="773"/>
      <c r="AT25" s="1278" t="s">
        <v>8649</v>
      </c>
      <c r="AU25" s="1278" t="s">
        <v>8650</v>
      </c>
      <c r="AV25" s="773"/>
      <c r="AW25" s="1278" t="s">
        <v>8427</v>
      </c>
      <c r="AX25" s="773"/>
      <c r="AY25" s="1278" t="s">
        <v>8567</v>
      </c>
      <c r="AZ25" s="1233"/>
      <c r="BA25" s="1233"/>
      <c r="BB25" s="1278" t="s">
        <v>8487</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1783</v>
      </c>
      <c r="BX25" s="1278" t="s">
        <v>1632</v>
      </c>
      <c r="BY25" s="1275" t="s">
        <v>4959</v>
      </c>
      <c r="BZ25" s="1278" t="s">
        <v>2254</v>
      </c>
      <c r="CA25" s="1278" t="s">
        <v>5459</v>
      </c>
      <c r="CB25" s="1278" t="s">
        <v>2133</v>
      </c>
      <c r="CC25" s="1278" t="s">
        <v>8656</v>
      </c>
      <c r="CD25" s="1278"/>
      <c r="CE25" s="1340" t="s">
        <v>8579</v>
      </c>
      <c r="CF25" s="1340" t="s">
        <v>8275</v>
      </c>
      <c r="CG25" s="1340" t="s">
        <v>8657</v>
      </c>
      <c r="CH25" s="1340"/>
      <c r="CI25" s="1327"/>
      <c r="CJ25" s="1327"/>
      <c r="CK25" s="1338"/>
      <c r="CL25" s="1338"/>
      <c r="CM25" s="1338"/>
      <c r="CN25" s="1327"/>
      <c r="CO25" s="1338"/>
      <c r="CP25" s="1338"/>
      <c r="CQ25" s="1338"/>
      <c r="CR25" s="1338"/>
      <c r="CS25" s="1338"/>
      <c r="CT25" s="734" t="s">
        <v>4883</v>
      </c>
      <c r="CU25" s="1265"/>
    </row>
    <row r="26">
      <c r="A26" s="1383" t="s">
        <v>3188</v>
      </c>
      <c r="B26" s="1044" t="s">
        <v>8658</v>
      </c>
      <c r="C26" s="1040" t="s">
        <v>548</v>
      </c>
      <c r="D26" s="1041" t="s">
        <v>1259</v>
      </c>
      <c r="E26" s="1042" t="s">
        <v>548</v>
      </c>
      <c r="F26" s="1043" t="s">
        <v>335</v>
      </c>
      <c r="G26" s="1044" t="s">
        <v>6214</v>
      </c>
      <c r="H26" s="1347"/>
      <c r="I26" s="1384" t="s">
        <v>8659</v>
      </c>
      <c r="J26" s="1233"/>
      <c r="K26" s="734" t="s">
        <v>8660</v>
      </c>
      <c r="L26" s="1233"/>
      <c r="M26" s="1275" t="s">
        <v>8661</v>
      </c>
      <c r="N26" s="1233"/>
      <c r="O26" s="721" t="s">
        <v>8662</v>
      </c>
      <c r="P26" s="1278" t="s">
        <v>8663</v>
      </c>
      <c r="Q26" s="1233"/>
      <c r="R26" s="1233"/>
      <c r="S26" s="734" t="s">
        <v>8664</v>
      </c>
      <c r="T26" s="773" t="s">
        <v>8665</v>
      </c>
      <c r="U26" s="1278" t="s">
        <v>8666</v>
      </c>
      <c r="V26" s="1269"/>
      <c r="W26" s="1233"/>
      <c r="X26" s="773" t="s">
        <v>8667</v>
      </c>
      <c r="Y26" s="773" t="s">
        <v>5074</v>
      </c>
      <c r="Z26" s="1233"/>
      <c r="AA26" s="773" t="s">
        <v>8668</v>
      </c>
      <c r="AB26" s="1269"/>
      <c r="AC26" s="773" t="s">
        <v>8669</v>
      </c>
      <c r="AD26" s="773" t="s">
        <v>5292</v>
      </c>
      <c r="AE26" s="734" t="s">
        <v>4526</v>
      </c>
      <c r="AF26" s="773" t="s">
        <v>7975</v>
      </c>
      <c r="AG26" s="1233"/>
      <c r="AH26" s="1233"/>
      <c r="AI26" s="1269"/>
      <c r="AJ26" s="1269"/>
      <c r="AK26" s="1233"/>
      <c r="AL26" s="1233"/>
      <c r="AM26" s="1233"/>
      <c r="AN26" s="773" t="s">
        <v>8670</v>
      </c>
      <c r="AO26" s="1278" t="s">
        <v>8671</v>
      </c>
      <c r="AP26" s="1233"/>
      <c r="AQ26" s="773" t="s">
        <v>8402</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8105</v>
      </c>
      <c r="B27" s="1044" t="s">
        <v>8673</v>
      </c>
      <c r="C27" s="1040" t="s">
        <v>1259</v>
      </c>
      <c r="D27" s="1041" t="s">
        <v>1259</v>
      </c>
      <c r="E27" s="1042" t="s">
        <v>1259</v>
      </c>
      <c r="F27" s="1043" t="s">
        <v>441</v>
      </c>
      <c r="G27" s="1044" t="s">
        <v>2675</v>
      </c>
      <c r="H27" s="1347"/>
      <c r="I27" s="1347" t="s">
        <v>8674</v>
      </c>
      <c r="J27" s="1233"/>
      <c r="K27" s="773" t="s">
        <v>8675</v>
      </c>
      <c r="L27" s="1233"/>
      <c r="M27" s="1233"/>
      <c r="N27" s="1233"/>
      <c r="O27" s="1233"/>
      <c r="P27" s="773" t="s">
        <v>8676</v>
      </c>
      <c r="Q27" s="1233"/>
      <c r="R27" s="773" t="s">
        <v>8677</v>
      </c>
      <c r="S27" s="1233"/>
      <c r="T27" s="773" t="s">
        <v>8678</v>
      </c>
      <c r="U27" s="734" t="s">
        <v>5400</v>
      </c>
      <c r="V27" s="1269"/>
      <c r="W27" s="1233"/>
      <c r="X27" s="773" t="s">
        <v>6838</v>
      </c>
      <c r="Y27" s="734" t="s">
        <v>6931</v>
      </c>
      <c r="Z27" s="1233"/>
      <c r="AA27" s="773" t="s">
        <v>8679</v>
      </c>
      <c r="AB27" s="1269"/>
      <c r="AC27" s="773" t="s">
        <v>8680</v>
      </c>
      <c r="AD27" s="734" t="s">
        <v>1506</v>
      </c>
      <c r="AE27" s="734" t="s">
        <v>5118</v>
      </c>
      <c r="AF27" s="773" t="s">
        <v>1270</v>
      </c>
      <c r="AG27" s="773" t="s">
        <v>1058</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1259</v>
      </c>
      <c r="F28" s="1043" t="s">
        <v>1200</v>
      </c>
      <c r="G28" s="1044" t="s">
        <v>1200</v>
      </c>
      <c r="H28" s="1386"/>
      <c r="I28" s="1386"/>
      <c r="J28" s="1233"/>
      <c r="K28" s="1233"/>
      <c r="L28" s="1233"/>
      <c r="M28" s="1233"/>
      <c r="N28" s="1233"/>
      <c r="O28" s="1233"/>
      <c r="P28" s="1233"/>
      <c r="Q28" s="1233"/>
      <c r="R28" s="1233"/>
      <c r="S28" s="1233"/>
      <c r="T28" s="1233"/>
      <c r="U28" s="1233"/>
      <c r="V28" s="1269"/>
      <c r="W28" s="1233"/>
      <c r="X28" s="1270" t="s">
        <v>2975</v>
      </c>
      <c r="Y28" s="1270" t="s">
        <v>8505</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8681</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8033</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5730</v>
      </c>
      <c r="AG29" s="1233"/>
      <c r="AH29" s="1233"/>
      <c r="AI29" s="1269"/>
      <c r="AJ29" s="1269"/>
      <c r="AK29" s="1233"/>
      <c r="AL29" s="1233"/>
      <c r="AM29" s="1233"/>
      <c r="AN29" s="1233"/>
      <c r="AO29" s="1233"/>
      <c r="AP29" s="1233"/>
      <c r="AQ29" s="1233"/>
      <c r="AR29" s="1233"/>
      <c r="AS29" s="1233"/>
      <c r="AT29" s="1233"/>
      <c r="AU29" s="1233"/>
      <c r="AV29" s="1233"/>
      <c r="AW29" s="1233"/>
      <c r="AX29" s="773" t="s">
        <v>6705</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827</v>
      </c>
      <c r="B30" s="1044" t="s">
        <v>2642</v>
      </c>
      <c r="C30" s="1040" t="s">
        <v>1259</v>
      </c>
      <c r="D30" s="1041" t="s">
        <v>1259</v>
      </c>
      <c r="E30" s="1042" t="s">
        <v>1259</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1259</v>
      </c>
      <c r="D31" s="1041" t="s">
        <v>1259</v>
      </c>
      <c r="E31" s="1042" t="s">
        <v>1259</v>
      </c>
      <c r="F31" s="1043" t="s">
        <v>1259</v>
      </c>
      <c r="G31" s="1044" t="s">
        <v>222</v>
      </c>
      <c r="H31" s="1347"/>
      <c r="I31" s="1347" t="s">
        <v>6705</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8377</v>
      </c>
      <c r="AQ31" s="721"/>
      <c r="AR31" s="1233"/>
      <c r="AS31" s="773" t="s">
        <v>8553</v>
      </c>
      <c r="AT31" s="1233"/>
      <c r="AU31" s="773" t="s">
        <v>8636</v>
      </c>
      <c r="AV31" s="1233"/>
      <c r="AW31" s="1233"/>
      <c r="AX31" s="1233"/>
      <c r="AY31" s="1233"/>
      <c r="AZ31" s="773" t="s">
        <v>2374</v>
      </c>
      <c r="BA31" s="1233"/>
      <c r="BB31" s="721" t="s">
        <v>8689</v>
      </c>
      <c r="BC31" s="773" t="s">
        <v>8303</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1259</v>
      </c>
      <c r="D32" s="1041" t="s">
        <v>1259</v>
      </c>
      <c r="E32" s="1042" t="s">
        <v>1259</v>
      </c>
      <c r="F32" s="1043" t="s">
        <v>1259</v>
      </c>
      <c r="G32" s="1044" t="s">
        <v>985</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7903</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8506</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1259</v>
      </c>
      <c r="D33" s="1041" t="s">
        <v>1259</v>
      </c>
      <c r="E33" s="1042" t="s">
        <v>548</v>
      </c>
      <c r="F33" s="1043" t="s">
        <v>334</v>
      </c>
      <c r="G33" s="1044" t="s">
        <v>4219</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1654</v>
      </c>
      <c r="AD33" s="773" t="s">
        <v>5479</v>
      </c>
      <c r="AE33" s="1233"/>
      <c r="AF33" s="1233"/>
      <c r="AG33" s="1233"/>
      <c r="AH33" s="1233"/>
      <c r="AI33" s="1269"/>
      <c r="AJ33" s="1269"/>
      <c r="AK33" s="1233"/>
      <c r="AL33" s="1233"/>
      <c r="AM33" s="773" t="s">
        <v>8697</v>
      </c>
      <c r="AN33" s="1233"/>
      <c r="AO33" s="1233"/>
      <c r="AP33" s="773" t="s">
        <v>8359</v>
      </c>
      <c r="AQ33" s="1233"/>
      <c r="AR33" s="1233"/>
      <c r="AS33" s="1233"/>
      <c r="AT33" s="1233"/>
      <c r="AU33" s="773" t="s">
        <v>8466</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6636</v>
      </c>
      <c r="B34" s="1044" t="s">
        <v>3563</v>
      </c>
      <c r="C34" s="1040" t="s">
        <v>439</v>
      </c>
      <c r="D34" s="1041" t="s">
        <v>1259</v>
      </c>
      <c r="E34" s="1042" t="s">
        <v>1259</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5622</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8702</v>
      </c>
      <c r="CA35" s="1269"/>
      <c r="CB35" s="1331" t="s">
        <v>1078</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1059</v>
      </c>
      <c r="B36" s="1044" t="s">
        <v>6244</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6497</v>
      </c>
      <c r="B38" s="1044" t="s">
        <v>2930</v>
      </c>
      <c r="C38" s="1040" t="s">
        <v>1259</v>
      </c>
      <c r="D38" s="1041" t="s">
        <v>1259</v>
      </c>
      <c r="E38" s="1042" t="s">
        <v>1259</v>
      </c>
      <c r="F38" s="1043" t="s">
        <v>1259</v>
      </c>
      <c r="G38" s="1044" t="s">
        <v>4219</v>
      </c>
      <c r="H38" s="1347"/>
      <c r="I38" s="1347"/>
      <c r="J38" s="1233"/>
      <c r="K38" s="1233"/>
      <c r="L38" s="1233"/>
      <c r="M38" s="1233"/>
      <c r="N38" s="1233"/>
      <c r="O38" s="1233"/>
      <c r="P38" s="1233"/>
      <c r="Q38" s="1233"/>
      <c r="R38" s="1233"/>
      <c r="S38" s="773" t="s">
        <v>8703</v>
      </c>
      <c r="T38" s="1233"/>
      <c r="U38" s="773" t="s">
        <v>8704</v>
      </c>
      <c r="V38" s="1269"/>
      <c r="W38" s="1233"/>
      <c r="X38" s="773" t="s">
        <v>6399</v>
      </c>
      <c r="Y38" s="773" t="s">
        <v>1940</v>
      </c>
      <c r="Z38" s="1233"/>
      <c r="AA38" s="773" t="s">
        <v>3139</v>
      </c>
      <c r="AB38" s="1269"/>
      <c r="AC38" s="773" t="s">
        <v>8705</v>
      </c>
      <c r="AD38" s="773" t="s">
        <v>2126</v>
      </c>
      <c r="AE38" s="773" t="s">
        <v>6476</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8386</v>
      </c>
      <c r="CF38" s="1233"/>
      <c r="CG38" s="1269"/>
      <c r="CH38" s="1269"/>
      <c r="CI38" s="1233"/>
      <c r="CJ38" s="773" t="s">
        <v>8277</v>
      </c>
      <c r="CK38" s="1269"/>
      <c r="CL38" s="1269"/>
      <c r="CM38" s="1269"/>
      <c r="CN38" s="1233"/>
      <c r="CO38" s="1269"/>
      <c r="CP38" s="1269"/>
      <c r="CQ38" s="1269"/>
      <c r="CR38" s="1269"/>
      <c r="CS38" s="1269"/>
      <c r="CT38" s="1233"/>
      <c r="CU38" s="1233"/>
    </row>
    <row r="39">
      <c r="A39" s="1373" t="s">
        <v>1417</v>
      </c>
      <c r="B39" s="1044" t="s">
        <v>8707</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893</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6628</v>
      </c>
      <c r="B41" s="1044" t="s">
        <v>3961</v>
      </c>
      <c r="C41" s="1040" t="s">
        <v>1259</v>
      </c>
      <c r="D41" s="1041" t="s">
        <v>1259</v>
      </c>
      <c r="E41" s="1042" t="s">
        <v>1259</v>
      </c>
      <c r="F41" s="1043" t="s">
        <v>1259</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3371</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8327</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6281</v>
      </c>
      <c r="C43" s="1040" t="s">
        <v>1259</v>
      </c>
      <c r="D43" s="1041" t="s">
        <v>1259</v>
      </c>
      <c r="E43" s="1042" t="s">
        <v>1259</v>
      </c>
      <c r="F43" s="1043" t="s">
        <v>1259</v>
      </c>
      <c r="G43" s="1044" t="s">
        <v>648</v>
      </c>
      <c r="H43" s="1347"/>
      <c r="I43" s="1347"/>
      <c r="J43" s="1233"/>
      <c r="K43" s="1233"/>
      <c r="L43" s="1233"/>
      <c r="M43" s="1233"/>
      <c r="N43" s="1233"/>
      <c r="O43" s="1233"/>
      <c r="P43" s="773" t="s">
        <v>8711</v>
      </c>
      <c r="Q43" s="1233"/>
      <c r="R43" s="773" t="s">
        <v>8712</v>
      </c>
      <c r="S43" s="1233"/>
      <c r="T43" s="1233"/>
      <c r="U43" s="1233"/>
      <c r="V43" s="1269"/>
      <c r="W43" s="1233"/>
      <c r="X43" s="773" t="s">
        <v>8550</v>
      </c>
      <c r="Y43" s="1233"/>
      <c r="Z43" s="1233"/>
      <c r="AA43" s="773" t="s">
        <v>8713</v>
      </c>
      <c r="AB43" s="1269"/>
      <c r="AC43" s="1233"/>
      <c r="AD43" s="1233"/>
      <c r="AE43" s="773" t="s">
        <v>3881</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900</v>
      </c>
      <c r="B44" s="1044" t="s">
        <v>6281</v>
      </c>
      <c r="C44" s="1040" t="s">
        <v>1259</v>
      </c>
      <c r="D44" s="1041" t="s">
        <v>1259</v>
      </c>
      <c r="E44" s="1042" t="s">
        <v>1259</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1259</v>
      </c>
      <c r="D45" s="1041" t="s">
        <v>1259</v>
      </c>
      <c r="E45" s="1042" t="s">
        <v>1259</v>
      </c>
      <c r="F45" s="1043" t="s">
        <v>1259</v>
      </c>
      <c r="G45" s="1044" t="s">
        <v>335</v>
      </c>
      <c r="H45" s="1347"/>
      <c r="I45" s="1347"/>
      <c r="J45" s="1233"/>
      <c r="K45" s="773" t="s">
        <v>8717</v>
      </c>
      <c r="L45" s="1233"/>
      <c r="M45" s="1233"/>
      <c r="N45" s="1233"/>
      <c r="O45" s="1233"/>
      <c r="P45" s="1233"/>
      <c r="Q45" s="1233"/>
      <c r="R45" s="1233"/>
      <c r="S45" s="1233"/>
      <c r="T45" s="1233"/>
      <c r="U45" s="1233"/>
      <c r="V45" s="1269"/>
      <c r="W45" s="1278" t="s">
        <v>6482</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8330</v>
      </c>
      <c r="AV45" s="773"/>
      <c r="AW45" s="1233"/>
      <c r="AX45" s="1233"/>
      <c r="AY45" s="1233"/>
      <c r="AZ45" s="1233"/>
      <c r="BA45" s="1233"/>
      <c r="BB45" s="1233"/>
      <c r="BC45" s="773" t="s">
        <v>8425</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986</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6626</v>
      </c>
      <c r="B48" s="1044" t="s">
        <v>4219</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846</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4219</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6450</v>
      </c>
      <c r="B50" s="1044" t="s">
        <v>222</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8720</v>
      </c>
      <c r="V50" s="1269"/>
      <c r="W50" s="1233"/>
      <c r="X50" s="773" t="s">
        <v>3299</v>
      </c>
      <c r="Y50" s="1233"/>
      <c r="Z50" s="1233"/>
      <c r="AA50" s="1233"/>
      <c r="AB50" s="1269"/>
      <c r="AC50" s="1233"/>
      <c r="AD50" s="773" t="s">
        <v>7223</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1259</v>
      </c>
      <c r="D51" s="1041" t="s">
        <v>1259</v>
      </c>
      <c r="E51" s="1042" t="s">
        <v>1259</v>
      </c>
      <c r="F51" s="1043" t="s">
        <v>1259</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985</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985</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6585</v>
      </c>
      <c r="B54" s="1044" t="s">
        <v>648</v>
      </c>
      <c r="C54" s="1040" t="s">
        <v>1259</v>
      </c>
      <c r="D54" s="1041" t="s">
        <v>1259</v>
      </c>
      <c r="E54" s="1042" t="s">
        <v>1259</v>
      </c>
      <c r="F54" s="1043" t="s">
        <v>441</v>
      </c>
      <c r="G54" s="1044" t="s">
        <v>1200</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8731</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8306</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3960</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8459</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8159</v>
      </c>
      <c r="F1" s="1407" t="s">
        <v>8160</v>
      </c>
      <c r="G1" s="1407" t="s">
        <v>8739</v>
      </c>
      <c r="H1" s="1408" t="s">
        <v>8740</v>
      </c>
      <c r="I1" s="1408" t="s">
        <v>8741</v>
      </c>
      <c r="J1" s="1409" t="s">
        <v>8171</v>
      </c>
      <c r="K1" s="1409" t="s">
        <v>8742</v>
      </c>
      <c r="L1" s="1409" t="s">
        <v>8743</v>
      </c>
      <c r="M1" s="1409" t="s">
        <v>8744</v>
      </c>
      <c r="N1" s="1409" t="s">
        <v>8234</v>
      </c>
      <c r="O1" s="1409" t="s">
        <v>8745</v>
      </c>
      <c r="P1" s="1409" t="s">
        <v>8746</v>
      </c>
      <c r="Q1" s="1410" t="s">
        <v>8747</v>
      </c>
      <c r="R1" s="1410" t="s">
        <v>8167</v>
      </c>
      <c r="S1" s="1410" t="s">
        <v>8748</v>
      </c>
      <c r="T1" s="1410" t="s">
        <v>8749</v>
      </c>
      <c r="U1" s="1410" t="s">
        <v>8750</v>
      </c>
      <c r="V1" s="1410" t="s">
        <v>8751</v>
      </c>
      <c r="W1" s="1411" t="s">
        <v>8161</v>
      </c>
      <c r="X1" s="1411" t="s">
        <v>8162</v>
      </c>
      <c r="Y1" s="1411" t="s">
        <v>8752</v>
      </c>
      <c r="Z1" s="1411" t="s">
        <v>8753</v>
      </c>
      <c r="AA1" s="1411" t="s">
        <v>8164</v>
      </c>
      <c r="AB1" s="1411" t="s">
        <v>8754</v>
      </c>
      <c r="AC1" s="1411" t="s">
        <v>8755</v>
      </c>
      <c r="AD1" s="1407" t="s">
        <v>8756</v>
      </c>
      <c r="AE1" s="1407" t="s">
        <v>8757</v>
      </c>
      <c r="AF1" s="1412" t="s">
        <v>8168</v>
      </c>
      <c r="AG1" s="1412" t="s">
        <v>8758</v>
      </c>
      <c r="AH1" s="1412" t="s">
        <v>8759</v>
      </c>
      <c r="AI1" s="1412" t="s">
        <v>8169</v>
      </c>
      <c r="AJ1" s="1412" t="s">
        <v>8760</v>
      </c>
      <c r="AK1" s="1412" t="s">
        <v>8761</v>
      </c>
      <c r="AL1" s="1412" t="s">
        <v>8762</v>
      </c>
      <c r="AM1" s="1413" t="s">
        <v>8170</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5200</v>
      </c>
      <c r="K2" s="1425" t="s">
        <v>8780</v>
      </c>
      <c r="L2" s="1425" t="s">
        <v>235</v>
      </c>
      <c r="M2" s="1425" t="s">
        <v>6259</v>
      </c>
      <c r="N2" s="1425" t="s">
        <v>4059</v>
      </c>
      <c r="O2" s="1425" t="s">
        <v>8781</v>
      </c>
      <c r="P2" s="1425" t="s">
        <v>1286</v>
      </c>
      <c r="Q2" s="1426" t="s">
        <v>8782</v>
      </c>
      <c r="R2" s="1427" t="s">
        <v>8783</v>
      </c>
      <c r="S2" s="1426" t="s">
        <v>6880</v>
      </c>
      <c r="T2" s="1427" t="s">
        <v>3266</v>
      </c>
      <c r="U2" s="1426" t="s">
        <v>7623</v>
      </c>
      <c r="V2" s="1426" t="s">
        <v>3765</v>
      </c>
      <c r="W2" s="1428" t="s">
        <v>8784</v>
      </c>
      <c r="X2" s="1429" t="s">
        <v>8785</v>
      </c>
      <c r="Y2" s="1429" t="s">
        <v>5853</v>
      </c>
      <c r="Z2" s="1430" t="s">
        <v>7546</v>
      </c>
      <c r="AA2" s="1429" t="s">
        <v>8786</v>
      </c>
      <c r="AB2" s="1429" t="s">
        <v>8787</v>
      </c>
      <c r="AC2" s="1430" t="s">
        <v>4085</v>
      </c>
      <c r="AD2" s="1431" t="s">
        <v>8788</v>
      </c>
      <c r="AE2" s="1432" t="s">
        <v>4792</v>
      </c>
      <c r="AF2" s="1433" t="s">
        <v>8789</v>
      </c>
      <c r="AG2" s="1433" t="s">
        <v>8790</v>
      </c>
      <c r="AH2" s="1433" t="s">
        <v>3841</v>
      </c>
      <c r="AI2" s="1434" t="s">
        <v>5408</v>
      </c>
      <c r="AJ2" s="1434" t="s">
        <v>8791</v>
      </c>
      <c r="AK2" s="1434" t="s">
        <v>8792</v>
      </c>
      <c r="AL2" s="1434" t="s">
        <v>5568</v>
      </c>
      <c r="AM2" s="1435" t="s">
        <v>8793</v>
      </c>
      <c r="AN2" s="1436" t="s">
        <v>8794</v>
      </c>
      <c r="AO2" s="1436" t="s">
        <v>7756</v>
      </c>
      <c r="AP2" s="1437" t="s">
        <v>8795</v>
      </c>
      <c r="AQ2" s="1435" t="s">
        <v>8796</v>
      </c>
      <c r="AR2" s="1436" t="s">
        <v>8797</v>
      </c>
      <c r="AS2" s="1435" t="s">
        <v>1334</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7393</v>
      </c>
      <c r="F3" s="1444" t="s">
        <v>8803</v>
      </c>
      <c r="G3" s="1444" t="s">
        <v>8804</v>
      </c>
      <c r="H3" s="1445" t="s">
        <v>8805</v>
      </c>
      <c r="I3" s="1445" t="s">
        <v>8806</v>
      </c>
      <c r="J3" s="1446" t="s">
        <v>1353</v>
      </c>
      <c r="K3" s="1446" t="s">
        <v>8807</v>
      </c>
      <c r="L3" s="1446" t="s">
        <v>2941</v>
      </c>
      <c r="M3" s="1446" t="s">
        <v>8808</v>
      </c>
      <c r="N3" s="1446" t="s">
        <v>2496</v>
      </c>
      <c r="O3" s="1446" t="s">
        <v>8809</v>
      </c>
      <c r="P3" s="1446" t="s">
        <v>5502</v>
      </c>
      <c r="Q3" s="1447" t="s">
        <v>5841</v>
      </c>
      <c r="R3" s="1447" t="s">
        <v>8810</v>
      </c>
      <c r="S3" s="1447" t="s">
        <v>337</v>
      </c>
      <c r="T3" s="1447" t="s">
        <v>8811</v>
      </c>
      <c r="U3" s="1448" t="s">
        <v>8064</v>
      </c>
      <c r="V3" s="1447" t="s">
        <v>8812</v>
      </c>
      <c r="W3" s="1449" t="s">
        <v>4141</v>
      </c>
      <c r="X3" s="1449" t="s">
        <v>7676</v>
      </c>
      <c r="Y3" s="1450" t="s">
        <v>8813</v>
      </c>
      <c r="Z3" s="1450" t="s">
        <v>1340</v>
      </c>
      <c r="AA3" s="1450" t="s">
        <v>5985</v>
      </c>
      <c r="AB3" s="1449" t="s">
        <v>2979</v>
      </c>
      <c r="AC3" s="1450" t="s">
        <v>8814</v>
      </c>
      <c r="AD3" s="1444" t="s">
        <v>8815</v>
      </c>
      <c r="AE3" s="1444" t="s">
        <v>6853</v>
      </c>
      <c r="AF3" s="1451" t="s">
        <v>8816</v>
      </c>
      <c r="AG3" s="1452" t="s">
        <v>4602</v>
      </c>
      <c r="AH3" s="1452" t="s">
        <v>8817</v>
      </c>
      <c r="AI3" s="1452" t="s">
        <v>8818</v>
      </c>
      <c r="AJ3" s="1451" t="s">
        <v>8819</v>
      </c>
      <c r="AK3" s="1452" t="s">
        <v>8820</v>
      </c>
      <c r="AL3" s="1452" t="s">
        <v>6228</v>
      </c>
      <c r="AM3" s="1453" t="s">
        <v>8821</v>
      </c>
      <c r="AN3" s="1453" t="s">
        <v>3209</v>
      </c>
      <c r="AO3" s="1454" t="s">
        <v>7954</v>
      </c>
      <c r="AP3" s="1454" t="s">
        <v>8822</v>
      </c>
      <c r="AQ3" s="1454" t="s">
        <v>8823</v>
      </c>
      <c r="AR3" s="1454" t="s">
        <v>4066</v>
      </c>
      <c r="AS3" s="1453" t="s">
        <v>5229</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3799</v>
      </c>
      <c r="M4" s="1462" t="s">
        <v>8834</v>
      </c>
      <c r="N4" s="1462" t="s">
        <v>8793</v>
      </c>
      <c r="O4" s="1462" t="s">
        <v>8835</v>
      </c>
      <c r="P4" s="1462" t="s">
        <v>8836</v>
      </c>
      <c r="Q4" s="1463" t="s">
        <v>8837</v>
      </c>
      <c r="R4" s="1463" t="s">
        <v>8838</v>
      </c>
      <c r="S4" s="1463" t="s">
        <v>2268</v>
      </c>
      <c r="T4" s="1463" t="s">
        <v>8839</v>
      </c>
      <c r="U4" s="1463" t="s">
        <v>8840</v>
      </c>
      <c r="V4" s="1463" t="s">
        <v>4269</v>
      </c>
      <c r="W4" s="1464" t="s">
        <v>8841</v>
      </c>
      <c r="X4" s="1464" t="s">
        <v>8842</v>
      </c>
      <c r="Y4" s="1464">
        <v>47.93</v>
      </c>
      <c r="Z4" s="1464" t="s">
        <v>8843</v>
      </c>
      <c r="AA4" s="1464" t="s">
        <v>8844</v>
      </c>
      <c r="AB4" s="1464" t="s">
        <v>8845</v>
      </c>
      <c r="AC4" s="1464">
        <v>49.24</v>
      </c>
      <c r="AD4" s="1465" t="s">
        <v>8846</v>
      </c>
      <c r="AE4" s="1466" t="s">
        <v>5596</v>
      </c>
      <c r="AF4" s="1467" t="s">
        <v>2706</v>
      </c>
      <c r="AG4" s="1467" t="s">
        <v>4597</v>
      </c>
      <c r="AH4" s="1467" t="s">
        <v>5231</v>
      </c>
      <c r="AI4" s="1467" t="s">
        <v>8847</v>
      </c>
      <c r="AJ4" s="1467" t="s">
        <v>8848</v>
      </c>
      <c r="AK4" s="1467" t="s">
        <v>886</v>
      </c>
      <c r="AL4" s="1467" t="s">
        <v>8849</v>
      </c>
      <c r="AM4" s="1468" t="s">
        <v>8850</v>
      </c>
      <c r="AN4" s="1469" t="s">
        <v>8851</v>
      </c>
      <c r="AO4" s="1468" t="s">
        <v>8852</v>
      </c>
      <c r="AP4" s="1469" t="s">
        <v>8853</v>
      </c>
      <c r="AQ4" s="1468" t="s">
        <v>8854</v>
      </c>
      <c r="AR4" s="1468" t="s">
        <v>6655</v>
      </c>
      <c r="AS4" s="1468" t="s">
        <v>755</v>
      </c>
      <c r="AT4" s="1470" t="s">
        <v>8855</v>
      </c>
      <c r="AU4" s="1471" t="s">
        <v>8856</v>
      </c>
      <c r="AV4" s="1472" t="str">
        <f t="shared" si="1"/>
        <v>2:49</v>
      </c>
      <c r="AW4" s="1440"/>
    </row>
    <row r="5" ht="15.75" customHeight="1">
      <c r="A5" s="1473" t="s">
        <v>1059</v>
      </c>
      <c r="B5" s="1474" t="s">
        <v>8774</v>
      </c>
      <c r="C5" s="1475">
        <v>0.0490162037037037</v>
      </c>
      <c r="D5" s="1476" t="s">
        <v>8775</v>
      </c>
      <c r="E5" s="1476" t="s">
        <v>8776</v>
      </c>
      <c r="F5" s="1477" t="s">
        <v>8857</v>
      </c>
      <c r="G5" s="1478" t="s">
        <v>8778</v>
      </c>
      <c r="H5" s="1476" t="s">
        <v>6285</v>
      </c>
      <c r="I5" s="1476" t="s">
        <v>8779</v>
      </c>
      <c r="J5" s="1478" t="s">
        <v>5200</v>
      </c>
      <c r="K5" s="1479" t="s">
        <v>4363</v>
      </c>
      <c r="L5" s="1477" t="s">
        <v>2309</v>
      </c>
      <c r="M5" s="1479" t="s">
        <v>2564</v>
      </c>
      <c r="N5" s="1480" t="s">
        <v>4059</v>
      </c>
      <c r="O5" s="1481" t="s">
        <v>8858</v>
      </c>
      <c r="P5" s="1482" t="s">
        <v>4179</v>
      </c>
      <c r="Q5" s="1480" t="s">
        <v>8782</v>
      </c>
      <c r="R5" s="1478" t="s">
        <v>8783</v>
      </c>
      <c r="S5" s="1480" t="s">
        <v>6880</v>
      </c>
      <c r="T5" s="1478" t="s">
        <v>3266</v>
      </c>
      <c r="U5" s="1480" t="s">
        <v>7623</v>
      </c>
      <c r="V5" s="1483" t="s">
        <v>3765</v>
      </c>
      <c r="W5" s="1476" t="s">
        <v>8784</v>
      </c>
      <c r="X5" s="1478" t="s">
        <v>8785</v>
      </c>
      <c r="Y5" s="1478" t="s">
        <v>5853</v>
      </c>
      <c r="Z5" s="1481" t="s">
        <v>5057</v>
      </c>
      <c r="AA5" s="1478" t="s">
        <v>8786</v>
      </c>
      <c r="AB5" s="1477" t="s">
        <v>3286</v>
      </c>
      <c r="AC5" s="1480" t="s">
        <v>4085</v>
      </c>
      <c r="AD5" s="1478" t="s">
        <v>8788</v>
      </c>
      <c r="AE5" s="1479" t="s">
        <v>1097</v>
      </c>
      <c r="AF5" s="1393" t="s">
        <v>8859</v>
      </c>
      <c r="AG5" s="1265" t="s">
        <v>8860</v>
      </c>
      <c r="AH5" s="1477" t="s">
        <v>5558</v>
      </c>
      <c r="AI5" s="1480" t="s">
        <v>5408</v>
      </c>
      <c r="AJ5" s="1265" t="s">
        <v>8861</v>
      </c>
      <c r="AK5" s="1480" t="s">
        <v>8792</v>
      </c>
      <c r="AL5" s="1478" t="s">
        <v>5568</v>
      </c>
      <c r="AM5" s="1478" t="s">
        <v>8793</v>
      </c>
      <c r="AN5" s="1481" t="s">
        <v>5344</v>
      </c>
      <c r="AO5" s="1479" t="s">
        <v>7493</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781</v>
      </c>
      <c r="L6" s="1488" t="s">
        <v>8873</v>
      </c>
      <c r="M6" s="1488" t="s">
        <v>2564</v>
      </c>
      <c r="N6" s="1488" t="s">
        <v>8874</v>
      </c>
      <c r="O6" s="1488" t="s">
        <v>8875</v>
      </c>
      <c r="P6" s="1490" t="s">
        <v>1286</v>
      </c>
      <c r="Q6" s="1482" t="s">
        <v>1571</v>
      </c>
      <c r="R6" s="1488" t="s">
        <v>4443</v>
      </c>
      <c r="S6" s="1488" t="s">
        <v>8872</v>
      </c>
      <c r="T6" s="1488" t="s">
        <v>5272</v>
      </c>
      <c r="U6" s="1482" t="s">
        <v>8876</v>
      </c>
      <c r="V6" s="1491" t="s">
        <v>8612</v>
      </c>
      <c r="W6" s="1488" t="s">
        <v>8877</v>
      </c>
      <c r="X6" s="1488" t="s">
        <v>8878</v>
      </c>
      <c r="Y6" s="1492">
        <v>46.72</v>
      </c>
      <c r="Z6" s="1492" t="s">
        <v>3693</v>
      </c>
      <c r="AA6" s="1488" t="s">
        <v>3706</v>
      </c>
      <c r="AB6" s="1490" t="s">
        <v>8787</v>
      </c>
      <c r="AC6" s="1488" t="s">
        <v>5483</v>
      </c>
      <c r="AD6" s="1488" t="s">
        <v>7641</v>
      </c>
      <c r="AE6" s="1493" t="s">
        <v>4792</v>
      </c>
      <c r="AF6" s="1492" t="s">
        <v>8879</v>
      </c>
      <c r="AG6" s="1491" t="s">
        <v>6149</v>
      </c>
      <c r="AH6" s="1490" t="s">
        <v>3841</v>
      </c>
      <c r="AI6" s="1488" t="s">
        <v>6045</v>
      </c>
      <c r="AJ6" s="1492" t="s">
        <v>8880</v>
      </c>
      <c r="AK6" s="1492" t="s">
        <v>5957</v>
      </c>
      <c r="AL6" s="1491" t="s">
        <v>6272</v>
      </c>
      <c r="AM6" s="1488" t="s">
        <v>8881</v>
      </c>
      <c r="AN6" s="1491" t="s">
        <v>4234</v>
      </c>
      <c r="AO6" s="1491" t="s">
        <v>2810</v>
      </c>
      <c r="AP6" s="1491" t="s">
        <v>8882</v>
      </c>
      <c r="AQ6" s="1393" t="s">
        <v>8883</v>
      </c>
      <c r="AR6" s="1491" t="s">
        <v>8884</v>
      </c>
      <c r="AS6" s="1491" t="s">
        <v>8885</v>
      </c>
      <c r="AT6" s="1491" t="s">
        <v>8886</v>
      </c>
      <c r="AU6" s="1494" t="s">
        <v>8887</v>
      </c>
      <c r="AV6" s="1393" t="str">
        <f t="shared" si="1"/>
        <v>2:15</v>
      </c>
      <c r="AW6" s="1485"/>
    </row>
    <row r="7">
      <c r="A7" s="1495" t="s">
        <v>2539</v>
      </c>
      <c r="B7" s="1496" t="s">
        <v>8774</v>
      </c>
      <c r="C7" s="1497">
        <v>0.04939673611111111</v>
      </c>
      <c r="D7" s="1498" t="s">
        <v>8888</v>
      </c>
      <c r="E7" s="1499" t="s">
        <v>2682</v>
      </c>
      <c r="F7" s="1498" t="s">
        <v>8889</v>
      </c>
      <c r="G7" s="1500" t="s">
        <v>8890</v>
      </c>
      <c r="H7" s="1498" t="s">
        <v>5942</v>
      </c>
      <c r="I7" s="1499" t="s">
        <v>4274</v>
      </c>
      <c r="J7" s="1498" t="s">
        <v>8891</v>
      </c>
      <c r="K7" s="1498" t="s">
        <v>8892</v>
      </c>
      <c r="L7" s="1498" t="s">
        <v>8893</v>
      </c>
      <c r="M7" s="1501" t="s">
        <v>8894</v>
      </c>
      <c r="N7" s="1499" t="s">
        <v>3847</v>
      </c>
      <c r="O7" s="1500" t="s">
        <v>8895</v>
      </c>
      <c r="P7" s="1500" t="s">
        <v>6578</v>
      </c>
      <c r="Q7" s="1500" t="s">
        <v>5802</v>
      </c>
      <c r="R7" s="1498" t="s">
        <v>5608</v>
      </c>
      <c r="S7" s="1499" t="s">
        <v>7458</v>
      </c>
      <c r="T7" s="1498" t="s">
        <v>8896</v>
      </c>
      <c r="U7" s="1502" t="s">
        <v>8897</v>
      </c>
      <c r="V7" s="1498" t="s">
        <v>8898</v>
      </c>
      <c r="W7" s="1499" t="s">
        <v>8899</v>
      </c>
      <c r="X7" s="1499" t="s">
        <v>4779</v>
      </c>
      <c r="Y7" s="1498" t="s">
        <v>7224</v>
      </c>
      <c r="Z7" s="1501" t="s">
        <v>8900</v>
      </c>
      <c r="AA7" s="1501" t="s">
        <v>8901</v>
      </c>
      <c r="AB7" s="1498" t="s">
        <v>8902</v>
      </c>
      <c r="AC7" s="1498" t="s">
        <v>7213</v>
      </c>
      <c r="AD7" s="1499" t="s">
        <v>8903</v>
      </c>
      <c r="AE7" s="1500" t="s">
        <v>8904</v>
      </c>
      <c r="AF7" s="1500" t="s">
        <v>8905</v>
      </c>
      <c r="AG7" s="1498" t="s">
        <v>6009</v>
      </c>
      <c r="AH7" s="1499" t="s">
        <v>3259</v>
      </c>
      <c r="AI7" s="1498" t="s">
        <v>8906</v>
      </c>
      <c r="AJ7" s="1500" t="s">
        <v>8907</v>
      </c>
      <c r="AK7" s="1498" t="s">
        <v>8793</v>
      </c>
      <c r="AL7" s="1498" t="s">
        <v>8908</v>
      </c>
      <c r="AM7" s="1498" t="s">
        <v>5023</v>
      </c>
      <c r="AN7" s="1500" t="s">
        <v>6272</v>
      </c>
      <c r="AO7" s="1498" t="s">
        <v>8909</v>
      </c>
      <c r="AP7" s="1500" t="s">
        <v>8910</v>
      </c>
      <c r="AQ7" s="1498" t="s">
        <v>4734</v>
      </c>
      <c r="AR7" s="1499" t="s">
        <v>383</v>
      </c>
      <c r="AS7" s="1498" t="s">
        <v>2006</v>
      </c>
      <c r="AT7" s="1498" t="s">
        <v>8911</v>
      </c>
      <c r="AU7" s="1503" t="s">
        <v>8912</v>
      </c>
      <c r="AV7" s="1503" t="str">
        <f t="shared" si="1"/>
        <v>2:06</v>
      </c>
      <c r="AW7" s="1504"/>
    </row>
    <row r="8" ht="15.75" customHeight="1">
      <c r="A8" s="1473" t="s">
        <v>6627</v>
      </c>
      <c r="B8" s="1474" t="s">
        <v>8774</v>
      </c>
      <c r="C8" s="1475">
        <v>0.049444444444444444</v>
      </c>
      <c r="D8" s="1481" t="s">
        <v>8913</v>
      </c>
      <c r="E8" s="1481" t="s">
        <v>8914</v>
      </c>
      <c r="F8" s="1489" t="s">
        <v>8915</v>
      </c>
      <c r="G8" s="1479" t="s">
        <v>8916</v>
      </c>
      <c r="H8" s="1489" t="s">
        <v>8917</v>
      </c>
      <c r="I8" s="1489" t="s">
        <v>2947</v>
      </c>
      <c r="J8" s="1481" t="s">
        <v>8918</v>
      </c>
      <c r="K8" s="1489" t="s">
        <v>3557</v>
      </c>
      <c r="L8" s="1489" t="s">
        <v>4181</v>
      </c>
      <c r="M8" s="1489" t="s">
        <v>6574</v>
      </c>
      <c r="N8" s="1481" t="s">
        <v>8919</v>
      </c>
      <c r="O8" s="1489" t="s">
        <v>8920</v>
      </c>
      <c r="P8" s="1393" t="s">
        <v>7213</v>
      </c>
      <c r="Q8" s="1481" t="s">
        <v>8921</v>
      </c>
      <c r="R8" s="1489" t="s">
        <v>7484</v>
      </c>
      <c r="S8" s="1489" t="s">
        <v>3429</v>
      </c>
      <c r="T8" s="1393" t="s">
        <v>8922</v>
      </c>
      <c r="U8" s="1489" t="s">
        <v>8923</v>
      </c>
      <c r="V8" s="1489" t="s">
        <v>5208</v>
      </c>
      <c r="W8" s="1505" t="s">
        <v>8924</v>
      </c>
      <c r="X8" s="1393" t="s">
        <v>2563</v>
      </c>
      <c r="Y8" s="1506" t="s">
        <v>8925</v>
      </c>
      <c r="Z8" s="1489" t="s">
        <v>7903</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7486</v>
      </c>
      <c r="AL8" s="1489" t="s">
        <v>8930</v>
      </c>
      <c r="AM8" s="1481" t="s">
        <v>4535</v>
      </c>
      <c r="AN8" s="1481" t="s">
        <v>2686</v>
      </c>
      <c r="AO8" s="1481" t="s">
        <v>5733</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1810</v>
      </c>
      <c r="B9" s="1474" t="s">
        <v>8774</v>
      </c>
      <c r="C9" s="1475">
        <v>0.04949074074074074</v>
      </c>
      <c r="D9" s="1510" t="s">
        <v>8937</v>
      </c>
      <c r="E9" s="1506" t="s">
        <v>8938</v>
      </c>
      <c r="F9" s="1506" t="s">
        <v>2135</v>
      </c>
      <c r="G9" s="1506" t="s">
        <v>8939</v>
      </c>
      <c r="H9" s="1481" t="s">
        <v>8940</v>
      </c>
      <c r="I9" s="1488">
        <v>47.34</v>
      </c>
      <c r="J9" s="1506" t="s">
        <v>1728</v>
      </c>
      <c r="K9" s="1506" t="s">
        <v>8941</v>
      </c>
      <c r="L9" s="1506">
        <v>55.97</v>
      </c>
      <c r="M9" s="1506" t="s">
        <v>1984</v>
      </c>
      <c r="N9" s="1506" t="s">
        <v>8942</v>
      </c>
      <c r="O9" s="1511" t="s">
        <v>8781</v>
      </c>
      <c r="P9" s="1506">
        <v>47.49</v>
      </c>
      <c r="Q9" s="1506" t="s">
        <v>8943</v>
      </c>
      <c r="R9" s="1506" t="s">
        <v>1227</v>
      </c>
      <c r="S9" s="1512" t="s">
        <v>1833</v>
      </c>
      <c r="T9" s="1506" t="s">
        <v>8944</v>
      </c>
      <c r="U9" s="1481" t="s">
        <v>8945</v>
      </c>
      <c r="V9" s="1506">
        <v>59.32</v>
      </c>
      <c r="W9" s="1510" t="s">
        <v>8946</v>
      </c>
      <c r="X9" s="1513" t="s">
        <v>8947</v>
      </c>
      <c r="Y9" s="1506">
        <v>46.65</v>
      </c>
      <c r="Z9" s="1506" t="s">
        <v>8948</v>
      </c>
      <c r="AA9" s="1506" t="s">
        <v>2493</v>
      </c>
      <c r="AB9" s="1506" t="s">
        <v>8949</v>
      </c>
      <c r="AC9" s="1506">
        <v>47.89</v>
      </c>
      <c r="AD9" s="1506" t="s">
        <v>1832</v>
      </c>
      <c r="AE9" s="1506">
        <v>47.98</v>
      </c>
      <c r="AF9" s="1513" t="s">
        <v>8950</v>
      </c>
      <c r="AG9" s="1506" t="s">
        <v>8951</v>
      </c>
      <c r="AH9" s="1506">
        <v>57.45</v>
      </c>
      <c r="AI9" s="1492" t="s">
        <v>7415</v>
      </c>
      <c r="AJ9" s="1514" t="s">
        <v>8861</v>
      </c>
      <c r="AK9" s="1506" t="s">
        <v>5451</v>
      </c>
      <c r="AL9" s="1506">
        <v>56.23</v>
      </c>
      <c r="AM9" s="1510" t="s">
        <v>4014</v>
      </c>
      <c r="AN9" s="1510" t="s">
        <v>8952</v>
      </c>
      <c r="AO9" s="1506" t="s">
        <v>8953</v>
      </c>
      <c r="AP9" s="1506" t="s">
        <v>8954</v>
      </c>
      <c r="AQ9" s="1506" t="s">
        <v>8955</v>
      </c>
      <c r="AR9" s="1513" t="s">
        <v>3881</v>
      </c>
      <c r="AS9" s="1506">
        <v>46.19</v>
      </c>
      <c r="AT9" s="1515" t="s">
        <v>8798</v>
      </c>
      <c r="AU9" s="1393" t="s">
        <v>8956</v>
      </c>
      <c r="AV9" s="1393" t="str">
        <f t="shared" si="1"/>
        <v>1:33</v>
      </c>
      <c r="AW9" s="1509" t="s">
        <v>8957</v>
      </c>
    </row>
    <row r="10">
      <c r="A10" s="1516" t="s">
        <v>827</v>
      </c>
      <c r="B10" s="1517" t="s">
        <v>8774</v>
      </c>
      <c r="C10" s="1475">
        <v>0.04951388888888889</v>
      </c>
      <c r="D10" s="1491" t="s">
        <v>8913</v>
      </c>
      <c r="E10" s="1491" t="s">
        <v>255</v>
      </c>
      <c r="F10" s="1491" t="s">
        <v>8958</v>
      </c>
      <c r="G10" s="1492" t="s">
        <v>8959</v>
      </c>
      <c r="H10" s="1491" t="s">
        <v>8960</v>
      </c>
      <c r="I10" s="1491" t="s">
        <v>4543</v>
      </c>
      <c r="J10" s="1488" t="s">
        <v>1493</v>
      </c>
      <c r="K10" s="1491" t="s">
        <v>8961</v>
      </c>
      <c r="L10" s="1491" t="s">
        <v>8962</v>
      </c>
      <c r="M10" s="1493" t="s">
        <v>6259</v>
      </c>
      <c r="N10" s="1491" t="s">
        <v>5898</v>
      </c>
      <c r="O10" s="1491" t="s">
        <v>8963</v>
      </c>
      <c r="P10" s="1491" t="s">
        <v>6178</v>
      </c>
      <c r="Q10" s="1491" t="s">
        <v>4787</v>
      </c>
      <c r="R10" s="1491" t="s">
        <v>5746</v>
      </c>
      <c r="S10" s="1481" t="s">
        <v>2868</v>
      </c>
      <c r="T10" s="1491" t="s">
        <v>8964</v>
      </c>
      <c r="U10" s="1491" t="s">
        <v>8965</v>
      </c>
      <c r="V10" s="1491" t="s">
        <v>8966</v>
      </c>
      <c r="W10" s="1491" t="s">
        <v>8967</v>
      </c>
      <c r="X10" s="1481" t="s">
        <v>8968</v>
      </c>
      <c r="Y10" s="1491" t="s">
        <v>6178</v>
      </c>
      <c r="Z10" s="1511" t="s">
        <v>7546</v>
      </c>
      <c r="AA10" s="1481" t="s">
        <v>8818</v>
      </c>
      <c r="AB10" s="1491" t="s">
        <v>417</v>
      </c>
      <c r="AC10" s="1491" t="s">
        <v>3787</v>
      </c>
      <c r="AD10" s="1518" t="s">
        <v>3719</v>
      </c>
      <c r="AE10" s="1492">
        <v>47.81</v>
      </c>
      <c r="AF10" s="1491" t="s">
        <v>8969</v>
      </c>
      <c r="AG10" s="1491" t="s">
        <v>8970</v>
      </c>
      <c r="AH10" s="1491" t="s">
        <v>750</v>
      </c>
      <c r="AI10" s="1491" t="s">
        <v>8971</v>
      </c>
      <c r="AJ10" s="1491" t="s">
        <v>8972</v>
      </c>
      <c r="AK10" s="1491" t="s">
        <v>8973</v>
      </c>
      <c r="AL10" s="1491" t="s">
        <v>8974</v>
      </c>
      <c r="AM10" s="1491" t="s">
        <v>4535</v>
      </c>
      <c r="AN10" s="1511" t="s">
        <v>8794</v>
      </c>
      <c r="AO10" s="1511" t="s">
        <v>7756</v>
      </c>
      <c r="AP10" s="1491" t="s">
        <v>8975</v>
      </c>
      <c r="AQ10" s="1491" t="s">
        <v>8976</v>
      </c>
      <c r="AR10" s="1511" t="s">
        <v>8797</v>
      </c>
      <c r="AS10" s="1493" t="s">
        <v>1334</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5420</v>
      </c>
      <c r="I11" s="1491" t="s">
        <v>1389</v>
      </c>
      <c r="J11" s="812" t="s">
        <v>8983</v>
      </c>
      <c r="K11" s="1491" t="s">
        <v>6960</v>
      </c>
      <c r="L11" s="1490" t="s">
        <v>235</v>
      </c>
      <c r="M11" s="812" t="s">
        <v>8984</v>
      </c>
      <c r="N11" s="1488" t="s">
        <v>8985</v>
      </c>
      <c r="O11" s="812" t="s">
        <v>8986</v>
      </c>
      <c r="P11" s="1491" t="s">
        <v>6560</v>
      </c>
      <c r="Q11" s="1491" t="s">
        <v>8943</v>
      </c>
      <c r="R11" s="1491" t="s">
        <v>5643</v>
      </c>
      <c r="S11" s="1491" t="s">
        <v>8987</v>
      </c>
      <c r="T11" s="1491" t="s">
        <v>4068</v>
      </c>
      <c r="U11" s="1491" t="s">
        <v>6256</v>
      </c>
      <c r="V11" s="773" t="s">
        <v>8988</v>
      </c>
      <c r="W11" s="1524" t="s">
        <v>8989</v>
      </c>
      <c r="X11" s="1491" t="s">
        <v>8990</v>
      </c>
      <c r="Y11" s="1488">
        <v>46.63</v>
      </c>
      <c r="Z11" s="767" t="s">
        <v>308</v>
      </c>
      <c r="AA11" s="1488" t="s">
        <v>8991</v>
      </c>
      <c r="AB11" s="1490" t="s">
        <v>8787</v>
      </c>
      <c r="AC11" s="1491" t="s">
        <v>5481</v>
      </c>
      <c r="AD11" s="1491" t="s">
        <v>8992</v>
      </c>
      <c r="AE11" s="1492" t="s">
        <v>8993</v>
      </c>
      <c r="AF11" s="1488" t="s">
        <v>8994</v>
      </c>
      <c r="AG11" s="1506" t="s">
        <v>8995</v>
      </c>
      <c r="AH11" s="1491" t="s">
        <v>8996</v>
      </c>
      <c r="AI11" s="773" t="s">
        <v>8997</v>
      </c>
      <c r="AJ11" s="1492" t="s">
        <v>8998</v>
      </c>
      <c r="AK11" s="1491" t="s">
        <v>1299</v>
      </c>
      <c r="AL11" s="1491" t="s">
        <v>5181</v>
      </c>
      <c r="AM11" s="1491" t="s">
        <v>4068</v>
      </c>
      <c r="AN11" s="812" t="s">
        <v>8999</v>
      </c>
      <c r="AO11" s="1491" t="s">
        <v>8884</v>
      </c>
      <c r="AP11" s="1491" t="s">
        <v>9000</v>
      </c>
      <c r="AQ11" s="1491" t="s">
        <v>9001</v>
      </c>
      <c r="AR11" s="1491" t="s">
        <v>4622</v>
      </c>
      <c r="AS11" s="1491" t="s">
        <v>9002</v>
      </c>
      <c r="AT11" s="1525" t="s">
        <v>9003</v>
      </c>
      <c r="AU11" s="1519" t="s">
        <v>9004</v>
      </c>
      <c r="AV11" s="1393" t="str">
        <f t="shared" si="1"/>
        <v>2:59</v>
      </c>
      <c r="AW11" s="1526"/>
    </row>
    <row r="12">
      <c r="A12" s="1486" t="s">
        <v>6569</v>
      </c>
      <c r="B12" s="1527" t="s">
        <v>8774</v>
      </c>
      <c r="C12" s="1475">
        <v>0.04958333333333333</v>
      </c>
      <c r="D12" s="773" t="s">
        <v>9005</v>
      </c>
      <c r="E12" s="1506" t="s">
        <v>6525</v>
      </c>
      <c r="F12" s="1506" t="s">
        <v>9006</v>
      </c>
      <c r="G12" s="1506" t="s">
        <v>9007</v>
      </c>
      <c r="H12" s="1510" t="s">
        <v>9008</v>
      </c>
      <c r="I12" s="1510" t="s">
        <v>5759</v>
      </c>
      <c r="J12" s="1510" t="s">
        <v>151</v>
      </c>
      <c r="K12" s="1510" t="s">
        <v>7632</v>
      </c>
      <c r="L12" s="1506">
        <v>56.42</v>
      </c>
      <c r="M12" s="1506" t="s">
        <v>5215</v>
      </c>
      <c r="N12" s="1506" t="s">
        <v>9009</v>
      </c>
      <c r="O12" s="1510" t="s">
        <v>9010</v>
      </c>
      <c r="P12" s="1510" t="s">
        <v>282</v>
      </c>
      <c r="Q12" s="1510" t="s">
        <v>9011</v>
      </c>
      <c r="R12" s="1506" t="s">
        <v>9012</v>
      </c>
      <c r="S12" s="1510" t="s">
        <v>9013</v>
      </c>
      <c r="T12" s="1510" t="s">
        <v>5023</v>
      </c>
      <c r="U12" s="1510" t="s">
        <v>9014</v>
      </c>
      <c r="V12" s="1506">
        <v>59.45</v>
      </c>
      <c r="W12" s="1510" t="s">
        <v>9015</v>
      </c>
      <c r="X12" s="1510" t="s">
        <v>9016</v>
      </c>
      <c r="Y12" s="1510" t="s">
        <v>5133</v>
      </c>
      <c r="Z12" s="1506" t="s">
        <v>4175</v>
      </c>
      <c r="AA12" s="1506" t="s">
        <v>9017</v>
      </c>
      <c r="AB12" s="1506" t="s">
        <v>4590</v>
      </c>
      <c r="AC12" s="1510" t="s">
        <v>4886</v>
      </c>
      <c r="AD12" s="1510" t="s">
        <v>9018</v>
      </c>
      <c r="AE12" s="1506">
        <v>47.89</v>
      </c>
      <c r="AF12" s="1506" t="s">
        <v>9019</v>
      </c>
      <c r="AG12" s="1493" t="s">
        <v>8790</v>
      </c>
      <c r="AH12" s="1506">
        <v>57.71</v>
      </c>
      <c r="AI12" s="1510" t="s">
        <v>2229</v>
      </c>
      <c r="AJ12" s="1506" t="s">
        <v>9020</v>
      </c>
      <c r="AK12" s="1510" t="s">
        <v>7495</v>
      </c>
      <c r="AL12" s="1506">
        <v>56.69</v>
      </c>
      <c r="AM12" s="1510" t="s">
        <v>9021</v>
      </c>
      <c r="AN12" s="1510" t="s">
        <v>4136</v>
      </c>
      <c r="AO12" s="1510" t="s">
        <v>2931</v>
      </c>
      <c r="AP12" s="1506" t="s">
        <v>9022</v>
      </c>
      <c r="AQ12" s="1510" t="s">
        <v>9023</v>
      </c>
      <c r="AR12" s="1510" t="s">
        <v>9024</v>
      </c>
      <c r="AS12" s="1506">
        <v>43.65</v>
      </c>
      <c r="AT12" s="1510" t="s">
        <v>9025</v>
      </c>
      <c r="AU12" s="1494" t="s">
        <v>9026</v>
      </c>
      <c r="AV12" s="1393" t="str">
        <f t="shared" si="1"/>
        <v>1:34</v>
      </c>
      <c r="AW12" s="1528" t="s">
        <v>9027</v>
      </c>
    </row>
    <row r="13" ht="15.75" customHeight="1">
      <c r="A13" s="1529" t="s">
        <v>6625</v>
      </c>
      <c r="B13" s="1474" t="s">
        <v>8774</v>
      </c>
      <c r="C13" s="1475">
        <v>0.04967592592592593</v>
      </c>
      <c r="D13" s="773" t="s">
        <v>9028</v>
      </c>
      <c r="E13" s="1489" t="s">
        <v>957</v>
      </c>
      <c r="F13" s="1489" t="s">
        <v>9029</v>
      </c>
      <c r="G13" s="1489" t="s">
        <v>9030</v>
      </c>
      <c r="H13" s="773" t="s">
        <v>9031</v>
      </c>
      <c r="I13" s="1489" t="s">
        <v>9032</v>
      </c>
      <c r="J13" s="1489" t="s">
        <v>9033</v>
      </c>
      <c r="K13" s="1489" t="s">
        <v>6489</v>
      </c>
      <c r="L13" s="1489" t="s">
        <v>4497</v>
      </c>
      <c r="M13" s="1489" t="s">
        <v>8575</v>
      </c>
      <c r="N13" s="1489" t="s">
        <v>2225</v>
      </c>
      <c r="O13" s="1489" t="s">
        <v>3326</v>
      </c>
      <c r="P13" s="1489" t="s">
        <v>9032</v>
      </c>
      <c r="Q13" s="1489" t="s">
        <v>9034</v>
      </c>
      <c r="R13" s="1489" t="s">
        <v>1227</v>
      </c>
      <c r="S13" s="1530" t="s">
        <v>9035</v>
      </c>
      <c r="T13" s="1489" t="s">
        <v>4901</v>
      </c>
      <c r="U13" s="1489" t="s">
        <v>9036</v>
      </c>
      <c r="V13" s="1489" t="s">
        <v>9037</v>
      </c>
      <c r="W13" s="1489" t="s">
        <v>9038</v>
      </c>
      <c r="X13" s="1489" t="s">
        <v>1051</v>
      </c>
      <c r="Y13" s="1489" t="s">
        <v>4384</v>
      </c>
      <c r="Z13" s="1489" t="s">
        <v>9039</v>
      </c>
      <c r="AA13" s="1489" t="s">
        <v>9040</v>
      </c>
      <c r="AB13" s="1489" t="s">
        <v>1841</v>
      </c>
      <c r="AC13" s="1489" t="s">
        <v>760</v>
      </c>
      <c r="AD13" s="1489" t="s">
        <v>9041</v>
      </c>
      <c r="AE13" s="1489" t="s">
        <v>6578</v>
      </c>
      <c r="AF13" s="1481" t="s">
        <v>9042</v>
      </c>
      <c r="AG13" s="1489" t="s">
        <v>9043</v>
      </c>
      <c r="AH13" s="1489" t="s">
        <v>4812</v>
      </c>
      <c r="AI13" s="1489" t="s">
        <v>3012</v>
      </c>
      <c r="AJ13" s="1489" t="s">
        <v>9044</v>
      </c>
      <c r="AK13" s="1489" t="s">
        <v>4183</v>
      </c>
      <c r="AL13" s="1489" t="s">
        <v>9045</v>
      </c>
      <c r="AM13" s="1489" t="s">
        <v>9046</v>
      </c>
      <c r="AN13" s="773" t="s">
        <v>8873</v>
      </c>
      <c r="AO13" s="1489" t="s">
        <v>9047</v>
      </c>
      <c r="AP13" s="1489" t="s">
        <v>9048</v>
      </c>
      <c r="AQ13" s="1481" t="s">
        <v>9049</v>
      </c>
      <c r="AR13" s="1489" t="s">
        <v>1845</v>
      </c>
      <c r="AS13" s="1489" t="s">
        <v>1577</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3289</v>
      </c>
      <c r="F14" s="773" t="s">
        <v>9054</v>
      </c>
      <c r="G14" s="1533" t="s">
        <v>9055</v>
      </c>
      <c r="H14" s="1534" t="s">
        <v>8805</v>
      </c>
      <c r="I14" s="773" t="s">
        <v>9056</v>
      </c>
      <c r="J14" s="773" t="s">
        <v>9057</v>
      </c>
      <c r="K14" s="1535" t="s">
        <v>8807</v>
      </c>
      <c r="L14" s="1536" t="s">
        <v>4693</v>
      </c>
      <c r="M14" s="773" t="s">
        <v>6547</v>
      </c>
      <c r="N14" s="1537" t="s">
        <v>5241</v>
      </c>
      <c r="O14" s="773" t="s">
        <v>7613</v>
      </c>
      <c r="P14" s="1537" t="s">
        <v>5481</v>
      </c>
      <c r="Q14" s="773" t="s">
        <v>9058</v>
      </c>
      <c r="R14" s="1535" t="s">
        <v>8810</v>
      </c>
      <c r="S14" s="1538" t="s">
        <v>9059</v>
      </c>
      <c r="T14" s="1539" t="s">
        <v>4014</v>
      </c>
      <c r="U14" s="1540" t="s">
        <v>9060</v>
      </c>
      <c r="V14" s="1541" t="s">
        <v>9061</v>
      </c>
      <c r="W14" s="1542" t="s">
        <v>4141</v>
      </c>
      <c r="X14" s="1536" t="s">
        <v>5985</v>
      </c>
      <c r="Y14" s="1535" t="s">
        <v>8813</v>
      </c>
      <c r="Z14" s="1542" t="s">
        <v>1340</v>
      </c>
      <c r="AA14" s="1543" t="s">
        <v>5743</v>
      </c>
      <c r="AB14" s="1535" t="s">
        <v>7477</v>
      </c>
      <c r="AC14" s="1544" t="s">
        <v>8814</v>
      </c>
      <c r="AD14" s="773" t="s">
        <v>9062</v>
      </c>
      <c r="AE14" s="1545" t="s">
        <v>6853</v>
      </c>
      <c r="AF14" s="1265" t="s">
        <v>9063</v>
      </c>
      <c r="AG14" s="1542" t="s">
        <v>4602</v>
      </c>
      <c r="AH14" s="1546" t="s">
        <v>8817</v>
      </c>
      <c r="AI14" s="1546" t="s">
        <v>8818</v>
      </c>
      <c r="AJ14" s="773" t="s">
        <v>9064</v>
      </c>
      <c r="AK14" s="1536" t="s">
        <v>3368</v>
      </c>
      <c r="AL14" s="1536" t="s">
        <v>9065</v>
      </c>
      <c r="AM14" s="1535" t="s">
        <v>887</v>
      </c>
      <c r="AN14" s="1547" t="s">
        <v>4715</v>
      </c>
      <c r="AO14" s="1535" t="s">
        <v>7954</v>
      </c>
      <c r="AP14" s="1548" t="s">
        <v>8822</v>
      </c>
      <c r="AQ14" s="1549" t="s">
        <v>8823</v>
      </c>
      <c r="AR14" s="1549" t="s">
        <v>4066</v>
      </c>
      <c r="AS14" s="1550" t="s">
        <v>5229</v>
      </c>
      <c r="AT14" s="1535" t="s">
        <v>8824</v>
      </c>
      <c r="AU14" s="1519" t="s">
        <v>9066</v>
      </c>
      <c r="AV14" s="1393" t="str">
        <f t="shared" si="1"/>
        <v>4:01</v>
      </c>
      <c r="AW14" s="1520" t="s">
        <v>9067</v>
      </c>
    </row>
    <row r="15" ht="15.75" customHeight="1">
      <c r="A15" s="1551" t="s">
        <v>2673</v>
      </c>
      <c r="B15" s="1474" t="s">
        <v>8774</v>
      </c>
      <c r="C15" s="1552">
        <v>0.04971064814814815</v>
      </c>
      <c r="D15" s="1316" t="s">
        <v>9068</v>
      </c>
      <c r="E15" s="1553" t="s">
        <v>514</v>
      </c>
      <c r="F15" s="1553" t="s">
        <v>9069</v>
      </c>
      <c r="G15" s="1553" t="s">
        <v>9070</v>
      </c>
      <c r="H15" s="1481" t="s">
        <v>9071</v>
      </c>
      <c r="I15" s="1161" t="s">
        <v>5744</v>
      </c>
      <c r="J15" s="1537" t="s">
        <v>2542</v>
      </c>
      <c r="K15" s="1537" t="s">
        <v>4339</v>
      </c>
      <c r="L15" s="1537" t="s">
        <v>4693</v>
      </c>
      <c r="M15" s="1554" t="s">
        <v>6259</v>
      </c>
      <c r="N15" s="1537" t="s">
        <v>2657</v>
      </c>
      <c r="O15" s="1537" t="s">
        <v>9072</v>
      </c>
      <c r="P15" s="1537" t="s">
        <v>9073</v>
      </c>
      <c r="Q15" s="1481" t="s">
        <v>9074</v>
      </c>
      <c r="R15" s="1540" t="s">
        <v>9075</v>
      </c>
      <c r="S15" s="1481" t="s">
        <v>1833</v>
      </c>
      <c r="T15" s="1540" t="s">
        <v>9076</v>
      </c>
      <c r="U15" s="1481" t="s">
        <v>9077</v>
      </c>
      <c r="V15" s="1540" t="s">
        <v>3480</v>
      </c>
      <c r="W15" s="1555" t="s">
        <v>9078</v>
      </c>
      <c r="X15" s="1555" t="s">
        <v>4097</v>
      </c>
      <c r="Y15" s="1555" t="s">
        <v>7224</v>
      </c>
      <c r="Z15" s="1555" t="s">
        <v>9079</v>
      </c>
      <c r="AA15" s="1555" t="s">
        <v>6149</v>
      </c>
      <c r="AB15" s="1555" t="s">
        <v>4424</v>
      </c>
      <c r="AC15" s="1555" t="s">
        <v>1146</v>
      </c>
      <c r="AD15" s="1553" t="s">
        <v>9080</v>
      </c>
      <c r="AE15" s="1553" t="s">
        <v>5379</v>
      </c>
      <c r="AF15" s="1556" t="s">
        <v>9081</v>
      </c>
      <c r="AG15" s="1556" t="s">
        <v>8035</v>
      </c>
      <c r="AH15" s="1556" t="s">
        <v>5389</v>
      </c>
      <c r="AI15" s="1556" t="s">
        <v>9082</v>
      </c>
      <c r="AJ15" s="1556" t="s">
        <v>9083</v>
      </c>
      <c r="AK15" s="1556" t="s">
        <v>9084</v>
      </c>
      <c r="AL15" s="1556" t="s">
        <v>3573</v>
      </c>
      <c r="AM15" s="1557" t="s">
        <v>9085</v>
      </c>
      <c r="AN15" s="1558" t="s">
        <v>4693</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2023</v>
      </c>
      <c r="B16" s="1527" t="s">
        <v>8774</v>
      </c>
      <c r="C16" s="1560">
        <v>0.04976851851851852</v>
      </c>
      <c r="D16" s="1510" t="s">
        <v>9093</v>
      </c>
      <c r="E16" s="1510" t="s">
        <v>9094</v>
      </c>
      <c r="F16" s="1510" t="s">
        <v>9095</v>
      </c>
      <c r="G16" s="1513" t="s">
        <v>9096</v>
      </c>
      <c r="H16" s="1510" t="s">
        <v>9097</v>
      </c>
      <c r="I16" s="1510" t="s">
        <v>3747</v>
      </c>
      <c r="J16" s="1510" t="s">
        <v>9098</v>
      </c>
      <c r="K16" s="1515" t="s">
        <v>8780</v>
      </c>
      <c r="L16" s="1510" t="s">
        <v>9099</v>
      </c>
      <c r="M16" s="1510" t="s">
        <v>9100</v>
      </c>
      <c r="N16" s="1510" t="s">
        <v>688</v>
      </c>
      <c r="O16" s="1510" t="s">
        <v>9101</v>
      </c>
      <c r="P16" s="1510" t="s">
        <v>6560</v>
      </c>
      <c r="Q16" s="1510" t="s">
        <v>9102</v>
      </c>
      <c r="R16" s="1510" t="s">
        <v>7585</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3228</v>
      </c>
      <c r="AE16" s="1510" t="s">
        <v>5531</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839</v>
      </c>
      <c r="AT16" s="1510" t="s">
        <v>2408</v>
      </c>
      <c r="AU16" s="1489" t="s">
        <v>9119</v>
      </c>
      <c r="AV16" s="1393" t="str">
        <f t="shared" si="1"/>
        <v>2:14</v>
      </c>
      <c r="AW16" s="1562"/>
    </row>
    <row r="17" ht="15.75" customHeight="1">
      <c r="A17" s="1473" t="s">
        <v>6371</v>
      </c>
      <c r="B17" s="1563" t="s">
        <v>8774</v>
      </c>
      <c r="C17" s="1475">
        <v>0.04982638888888889</v>
      </c>
      <c r="D17" s="1316" t="s">
        <v>9120</v>
      </c>
      <c r="E17" s="1316" t="s">
        <v>4836</v>
      </c>
      <c r="F17" s="1316" t="s">
        <v>9121</v>
      </c>
      <c r="G17" s="1316" t="s">
        <v>9122</v>
      </c>
      <c r="H17" s="1316" t="s">
        <v>9123</v>
      </c>
      <c r="I17" s="1316" t="s">
        <v>5663</v>
      </c>
      <c r="J17" s="1316" t="s">
        <v>9124</v>
      </c>
      <c r="K17" s="773" t="s">
        <v>9125</v>
      </c>
      <c r="L17" s="1316" t="s">
        <v>9126</v>
      </c>
      <c r="M17" s="1316" t="s">
        <v>9127</v>
      </c>
      <c r="N17" s="1316" t="s">
        <v>2099</v>
      </c>
      <c r="O17" s="1316" t="s">
        <v>9128</v>
      </c>
      <c r="P17" s="773" t="s">
        <v>4472</v>
      </c>
      <c r="Q17" s="1316" t="s">
        <v>9129</v>
      </c>
      <c r="R17" s="1316" t="s">
        <v>1872</v>
      </c>
      <c r="S17" s="1316" t="s">
        <v>3429</v>
      </c>
      <c r="T17" s="1316" t="s">
        <v>9130</v>
      </c>
      <c r="U17" s="1316" t="s">
        <v>9131</v>
      </c>
      <c r="V17" s="1316" t="s">
        <v>6837</v>
      </c>
      <c r="W17" s="1316" t="s">
        <v>5469</v>
      </c>
      <c r="X17" s="1316" t="s">
        <v>8790</v>
      </c>
      <c r="Y17" s="1316" t="s">
        <v>8871</v>
      </c>
      <c r="Z17" s="1316" t="s">
        <v>6969</v>
      </c>
      <c r="AA17" s="1564" t="s">
        <v>9132</v>
      </c>
      <c r="AB17" s="1316" t="s">
        <v>5898</v>
      </c>
      <c r="AC17" s="1316" t="s">
        <v>1029</v>
      </c>
      <c r="AD17" s="1316" t="s">
        <v>7668</v>
      </c>
      <c r="AE17" s="1316" t="s">
        <v>4961</v>
      </c>
      <c r="AF17" s="1316" t="s">
        <v>9133</v>
      </c>
      <c r="AG17" s="1316" t="s">
        <v>1534</v>
      </c>
      <c r="AH17" s="773" t="s">
        <v>9134</v>
      </c>
      <c r="AI17" s="1316" t="s">
        <v>8454</v>
      </c>
      <c r="AJ17" s="1316" t="s">
        <v>9135</v>
      </c>
      <c r="AK17" s="1316" t="s">
        <v>9136</v>
      </c>
      <c r="AL17" s="1316" t="s">
        <v>4416</v>
      </c>
      <c r="AM17" s="1316" t="s">
        <v>3487</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957</v>
      </c>
      <c r="F18" s="1553" t="s">
        <v>9145</v>
      </c>
      <c r="G18" s="1566" t="s">
        <v>9146</v>
      </c>
      <c r="H18" s="1058" t="s">
        <v>9147</v>
      </c>
      <c r="I18" s="1161" t="s">
        <v>5533</v>
      </c>
      <c r="J18" s="1537" t="s">
        <v>9148</v>
      </c>
      <c r="K18" s="1567" t="s">
        <v>9149</v>
      </c>
      <c r="L18" s="1537" t="s">
        <v>8893</v>
      </c>
      <c r="M18" s="1537" t="s">
        <v>5059</v>
      </c>
      <c r="N18" s="1537" t="s">
        <v>9150</v>
      </c>
      <c r="O18" s="1567" t="s">
        <v>9151</v>
      </c>
      <c r="P18" s="773" t="s">
        <v>1071</v>
      </c>
      <c r="Q18" s="1540" t="s">
        <v>3540</v>
      </c>
      <c r="R18" s="1568" t="s">
        <v>6965</v>
      </c>
      <c r="S18" s="1568" t="s">
        <v>9152</v>
      </c>
      <c r="T18" s="1568" t="s">
        <v>9153</v>
      </c>
      <c r="U18" s="1568" t="s">
        <v>1830</v>
      </c>
      <c r="V18" s="1540" t="s">
        <v>4451</v>
      </c>
      <c r="W18" s="1555" t="s">
        <v>9154</v>
      </c>
      <c r="X18" s="1569" t="s">
        <v>9155</v>
      </c>
      <c r="Y18" s="1555" t="s">
        <v>9156</v>
      </c>
      <c r="Z18" s="1555" t="s">
        <v>9157</v>
      </c>
      <c r="AA18" s="1555" t="s">
        <v>3313</v>
      </c>
      <c r="AB18" s="1569" t="s">
        <v>8005</v>
      </c>
      <c r="AC18" s="1569" t="s">
        <v>1220</v>
      </c>
      <c r="AD18" s="1566" t="s">
        <v>9158</v>
      </c>
      <c r="AE18" s="1566" t="s">
        <v>9159</v>
      </c>
      <c r="AF18" s="1570" t="s">
        <v>9160</v>
      </c>
      <c r="AG18" s="1556" t="s">
        <v>9161</v>
      </c>
      <c r="AH18" s="1556" t="s">
        <v>9162</v>
      </c>
      <c r="AI18" s="1556" t="s">
        <v>9163</v>
      </c>
      <c r="AJ18" s="1570" t="s">
        <v>9164</v>
      </c>
      <c r="AK18" s="1570" t="s">
        <v>963</v>
      </c>
      <c r="AL18" s="1556" t="s">
        <v>9165</v>
      </c>
      <c r="AM18" s="1558" t="s">
        <v>9166</v>
      </c>
      <c r="AN18" s="1557" t="s">
        <v>3156</v>
      </c>
      <c r="AO18" s="1558" t="s">
        <v>7618</v>
      </c>
      <c r="AP18" s="1557" t="s">
        <v>5650</v>
      </c>
      <c r="AQ18" s="1558" t="s">
        <v>9167</v>
      </c>
      <c r="AR18" s="1557" t="s">
        <v>1162</v>
      </c>
      <c r="AS18" s="1557" t="s">
        <v>3909</v>
      </c>
      <c r="AT18" s="1567" t="s">
        <v>6545</v>
      </c>
      <c r="AU18" s="1571" t="s">
        <v>9168</v>
      </c>
      <c r="AV18" s="1393" t="str">
        <f t="shared" si="1"/>
        <v>2:22</v>
      </c>
      <c r="AW18" s="1526" t="s">
        <v>9169</v>
      </c>
    </row>
    <row r="19">
      <c r="A19" s="1529" t="s">
        <v>1556</v>
      </c>
      <c r="B19" s="1517" t="s">
        <v>8774</v>
      </c>
      <c r="C19" s="1475">
        <v>0.04991898148148148</v>
      </c>
      <c r="D19" s="1572" t="s">
        <v>9170</v>
      </c>
      <c r="E19" s="1573" t="s">
        <v>9171</v>
      </c>
      <c r="F19" s="1573" t="s">
        <v>9172</v>
      </c>
      <c r="G19" s="1573" t="s">
        <v>9173</v>
      </c>
      <c r="H19" s="1573" t="s">
        <v>9174</v>
      </c>
      <c r="I19" s="1573">
        <v>48.07</v>
      </c>
      <c r="J19" s="1573" t="s">
        <v>9175</v>
      </c>
      <c r="K19" s="1573" t="s">
        <v>1704</v>
      </c>
      <c r="L19" s="1573">
        <v>56.32</v>
      </c>
      <c r="M19" s="1573" t="s">
        <v>176</v>
      </c>
      <c r="N19" s="1573" t="s">
        <v>9176</v>
      </c>
      <c r="O19" s="1573" t="s">
        <v>9177</v>
      </c>
      <c r="P19" s="1573">
        <v>47.77</v>
      </c>
      <c r="Q19" s="1573" t="s">
        <v>9178</v>
      </c>
      <c r="R19" s="1573" t="s">
        <v>7521</v>
      </c>
      <c r="S19" s="1573" t="s">
        <v>9179</v>
      </c>
      <c r="T19" s="1573" t="s">
        <v>4581</v>
      </c>
      <c r="U19" s="1573" t="s">
        <v>9180</v>
      </c>
      <c r="V19" s="1573">
        <v>59.79</v>
      </c>
      <c r="W19" s="1573" t="s">
        <v>9181</v>
      </c>
      <c r="X19" s="1573" t="s">
        <v>2066</v>
      </c>
      <c r="Y19" s="1573">
        <v>47.0</v>
      </c>
      <c r="Z19" s="1573" t="s">
        <v>9182</v>
      </c>
      <c r="AA19" s="1573" t="s">
        <v>9183</v>
      </c>
      <c r="AB19" s="1573" t="s">
        <v>7477</v>
      </c>
      <c r="AC19" s="1573">
        <v>47.56</v>
      </c>
      <c r="AD19" s="1573" t="s">
        <v>8815</v>
      </c>
      <c r="AE19" s="1573">
        <v>47.95</v>
      </c>
      <c r="AF19" s="1573" t="s">
        <v>9184</v>
      </c>
      <c r="AG19" s="1573" t="s">
        <v>9185</v>
      </c>
      <c r="AH19" s="1573">
        <v>57.67</v>
      </c>
      <c r="AI19" s="1573" t="s">
        <v>1051</v>
      </c>
      <c r="AJ19" s="1573" t="s">
        <v>9186</v>
      </c>
      <c r="AK19" s="1573" t="s">
        <v>8029</v>
      </c>
      <c r="AL19" s="1573">
        <v>56.37</v>
      </c>
      <c r="AM19" s="1573" t="s">
        <v>9187</v>
      </c>
      <c r="AN19" s="1573">
        <v>55.92</v>
      </c>
      <c r="AO19" s="1573" t="s">
        <v>4502</v>
      </c>
      <c r="AP19" s="1573" t="s">
        <v>8683</v>
      </c>
      <c r="AQ19" s="1573" t="s">
        <v>9188</v>
      </c>
      <c r="AR19" s="1573" t="s">
        <v>6654</v>
      </c>
      <c r="AS19" s="1573">
        <v>46.83</v>
      </c>
      <c r="AT19" s="1574" t="s">
        <v>9189</v>
      </c>
      <c r="AU19" s="1510" t="s">
        <v>9190</v>
      </c>
      <c r="AV19" s="1393" t="str">
        <f t="shared" si="1"/>
        <v>1:53</v>
      </c>
      <c r="AW19" s="1520" t="s">
        <v>9191</v>
      </c>
    </row>
    <row r="20">
      <c r="A20" s="1529" t="s">
        <v>2106</v>
      </c>
      <c r="B20" s="1517" t="s">
        <v>8774</v>
      </c>
      <c r="C20" s="1575">
        <v>0.049930555555555554</v>
      </c>
      <c r="D20" s="1576" t="s">
        <v>9192</v>
      </c>
      <c r="E20" s="1510" t="s">
        <v>9193</v>
      </c>
      <c r="F20" s="1510" t="s">
        <v>4332</v>
      </c>
      <c r="G20" s="1510" t="s">
        <v>9194</v>
      </c>
      <c r="H20" s="1510" t="s">
        <v>9195</v>
      </c>
      <c r="I20" s="1510" t="s">
        <v>5759</v>
      </c>
      <c r="J20" s="1510" t="s">
        <v>6399</v>
      </c>
      <c r="K20" s="1510" t="s">
        <v>9196</v>
      </c>
      <c r="L20" s="1510" t="s">
        <v>3573</v>
      </c>
      <c r="M20" s="1510" t="s">
        <v>1090</v>
      </c>
      <c r="N20" s="1510" t="s">
        <v>9197</v>
      </c>
      <c r="O20" s="1510" t="s">
        <v>799</v>
      </c>
      <c r="P20" s="1506">
        <v>47.54</v>
      </c>
      <c r="Q20" s="1577" t="s">
        <v>5766</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2959</v>
      </c>
      <c r="AN20" s="1481" t="s">
        <v>5748</v>
      </c>
      <c r="AO20" s="1577" t="s">
        <v>6953</v>
      </c>
      <c r="AP20" s="1577" t="s">
        <v>9210</v>
      </c>
      <c r="AQ20" s="1577" t="s">
        <v>7640</v>
      </c>
      <c r="AR20" s="1577" t="s">
        <v>6492</v>
      </c>
      <c r="AS20" s="1578">
        <v>42.83</v>
      </c>
      <c r="AT20" s="1506" t="s">
        <v>8256</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1421</v>
      </c>
      <c r="K21" s="1489" t="s">
        <v>5198</v>
      </c>
      <c r="L21" s="1489" t="s">
        <v>9217</v>
      </c>
      <c r="M21" s="1489" t="s">
        <v>9218</v>
      </c>
      <c r="N21" s="1489" t="s">
        <v>9219</v>
      </c>
      <c r="O21" s="1489" t="s">
        <v>9220</v>
      </c>
      <c r="P21" s="1489" t="s">
        <v>6851</v>
      </c>
      <c r="Q21" s="1489" t="s">
        <v>4616</v>
      </c>
      <c r="R21" s="1540" t="s">
        <v>9221</v>
      </c>
      <c r="S21" s="1489" t="s">
        <v>4059</v>
      </c>
      <c r="T21" s="1489" t="s">
        <v>8968</v>
      </c>
      <c r="U21" s="1489" t="s">
        <v>9222</v>
      </c>
      <c r="V21" s="1489" t="s">
        <v>9223</v>
      </c>
      <c r="W21" s="1489" t="s">
        <v>9224</v>
      </c>
      <c r="X21" s="1489" t="s">
        <v>8006</v>
      </c>
      <c r="Y21" s="1489" t="s">
        <v>4344</v>
      </c>
      <c r="Z21" s="1489" t="s">
        <v>9225</v>
      </c>
      <c r="AA21" s="1489" t="s">
        <v>8006</v>
      </c>
      <c r="AB21" s="1489" t="s">
        <v>9226</v>
      </c>
      <c r="AC21" s="1489" t="s">
        <v>5612</v>
      </c>
      <c r="AD21" s="1489" t="s">
        <v>8046</v>
      </c>
      <c r="AE21" s="1489" t="s">
        <v>5938</v>
      </c>
      <c r="AF21" s="1489" t="s">
        <v>9227</v>
      </c>
      <c r="AG21" s="1489" t="s">
        <v>5064</v>
      </c>
      <c r="AH21" s="1489" t="s">
        <v>5217</v>
      </c>
      <c r="AI21" s="1489" t="s">
        <v>9228</v>
      </c>
      <c r="AJ21" s="1480" t="s">
        <v>8791</v>
      </c>
      <c r="AK21" s="1489" t="s">
        <v>2526</v>
      </c>
      <c r="AL21" s="1489" t="s">
        <v>9229</v>
      </c>
      <c r="AM21" s="1489" t="s">
        <v>8947</v>
      </c>
      <c r="AN21" s="1489" t="s">
        <v>559</v>
      </c>
      <c r="AO21" s="1489" t="s">
        <v>9230</v>
      </c>
      <c r="AP21" s="1489" t="s">
        <v>9231</v>
      </c>
      <c r="AQ21" s="1489" t="s">
        <v>4822</v>
      </c>
      <c r="AR21" s="1489" t="s">
        <v>6655</v>
      </c>
      <c r="AS21" s="1489" t="s">
        <v>2544</v>
      </c>
      <c r="AT21" s="1489" t="s">
        <v>3115</v>
      </c>
      <c r="AU21" s="1489" t="s">
        <v>9232</v>
      </c>
      <c r="AV21" s="1393" t="str">
        <f t="shared" si="1"/>
        <v>3:21</v>
      </c>
      <c r="AW21" s="1565" t="s">
        <v>9233</v>
      </c>
    </row>
    <row r="22" ht="15.75" customHeight="1">
      <c r="A22" s="1473" t="s">
        <v>9234</v>
      </c>
      <c r="B22" s="1474" t="s">
        <v>8774</v>
      </c>
      <c r="C22" s="1475">
        <v>0.049965277777777775</v>
      </c>
      <c r="D22" s="773" t="s">
        <v>9235</v>
      </c>
      <c r="E22" s="1489" t="s">
        <v>4366</v>
      </c>
      <c r="F22" s="1489" t="s">
        <v>9236</v>
      </c>
      <c r="G22" s="1489" t="s">
        <v>9237</v>
      </c>
      <c r="H22" s="1393" t="s">
        <v>2289</v>
      </c>
      <c r="I22" s="1489" t="s">
        <v>1389</v>
      </c>
      <c r="J22" s="1489" t="s">
        <v>383</v>
      </c>
      <c r="K22" s="1489" t="s">
        <v>9238</v>
      </c>
      <c r="L22" s="1489" t="s">
        <v>5425</v>
      </c>
      <c r="M22" s="1489" t="s">
        <v>6574</v>
      </c>
      <c r="N22" s="1489" t="s">
        <v>9239</v>
      </c>
      <c r="O22" s="1489" t="s">
        <v>2606</v>
      </c>
      <c r="P22" s="1393" t="s">
        <v>5244</v>
      </c>
      <c r="Q22" s="1489" t="s">
        <v>9240</v>
      </c>
      <c r="R22" s="1489" t="s">
        <v>3291</v>
      </c>
      <c r="S22" s="1489" t="s">
        <v>7913</v>
      </c>
      <c r="T22" s="1489" t="s">
        <v>8565</v>
      </c>
      <c r="U22" s="1489" t="s">
        <v>9241</v>
      </c>
      <c r="V22" s="1489" t="s">
        <v>5036</v>
      </c>
      <c r="W22" s="1489" t="s">
        <v>9242</v>
      </c>
      <c r="X22" s="1393" t="s">
        <v>6959</v>
      </c>
      <c r="Y22" s="1393" t="s">
        <v>5514</v>
      </c>
      <c r="Z22" s="1489" t="s">
        <v>8900</v>
      </c>
      <c r="AA22" s="1489" t="s">
        <v>2331</v>
      </c>
      <c r="AB22" s="1489" t="s">
        <v>9243</v>
      </c>
      <c r="AC22" s="1489" t="s">
        <v>785</v>
      </c>
      <c r="AD22" s="1489" t="s">
        <v>5255</v>
      </c>
      <c r="AE22" s="1489" t="s">
        <v>9244</v>
      </c>
      <c r="AF22" s="1489" t="s">
        <v>946</v>
      </c>
      <c r="AG22" s="1489" t="s">
        <v>9245</v>
      </c>
      <c r="AH22" s="1489" t="s">
        <v>6139</v>
      </c>
      <c r="AI22" s="1489" t="s">
        <v>690</v>
      </c>
      <c r="AJ22" s="1393" t="s">
        <v>9246</v>
      </c>
      <c r="AK22" s="1556" t="s">
        <v>6966</v>
      </c>
      <c r="AL22" s="1489" t="s">
        <v>4608</v>
      </c>
      <c r="AM22" s="1489" t="s">
        <v>3706</v>
      </c>
      <c r="AN22" s="1393" t="s">
        <v>6272</v>
      </c>
      <c r="AO22" s="1393" t="s">
        <v>6655</v>
      </c>
      <c r="AP22" s="1393" t="s">
        <v>9247</v>
      </c>
      <c r="AQ22" s="1393" t="s">
        <v>8883</v>
      </c>
      <c r="AR22" s="1393" t="s">
        <v>493</v>
      </c>
      <c r="AS22" s="1393" t="s">
        <v>5853</v>
      </c>
      <c r="AT22" s="1393" t="s">
        <v>9133</v>
      </c>
      <c r="AU22" s="1489" t="s">
        <v>9248</v>
      </c>
      <c r="AV22" s="1393" t="str">
        <f t="shared" si="1"/>
        <v>3:46</v>
      </c>
      <c r="AW22" s="1562" t="s">
        <v>8333</v>
      </c>
    </row>
    <row r="23" ht="15.75" customHeight="1">
      <c r="A23" s="1580" t="s">
        <v>6330</v>
      </c>
      <c r="B23" s="1474" t="s">
        <v>8774</v>
      </c>
      <c r="C23" s="1475">
        <v>0.05</v>
      </c>
      <c r="D23" s="773" t="s">
        <v>9249</v>
      </c>
      <c r="E23" s="1489" t="s">
        <v>8575</v>
      </c>
      <c r="F23" s="1489" t="s">
        <v>9214</v>
      </c>
      <c r="G23" s="1393" t="s">
        <v>9250</v>
      </c>
      <c r="H23" s="1489" t="s">
        <v>9251</v>
      </c>
      <c r="I23" s="1393" t="s">
        <v>1849</v>
      </c>
      <c r="J23" s="1489" t="s">
        <v>2833</v>
      </c>
      <c r="K23" s="1489" t="s">
        <v>9252</v>
      </c>
      <c r="L23" s="1489" t="s">
        <v>3311</v>
      </c>
      <c r="M23" s="1489" t="s">
        <v>9253</v>
      </c>
      <c r="N23" s="1489" t="s">
        <v>9254</v>
      </c>
      <c r="O23" s="1489" t="s">
        <v>9201</v>
      </c>
      <c r="P23" s="1393" t="s">
        <v>4008</v>
      </c>
      <c r="Q23" s="1489" t="s">
        <v>9255</v>
      </c>
      <c r="R23" s="1489" t="s">
        <v>6880</v>
      </c>
      <c r="S23" s="1489" t="s">
        <v>7141</v>
      </c>
      <c r="T23" s="1489" t="s">
        <v>7523</v>
      </c>
      <c r="U23" s="1489" t="s">
        <v>9256</v>
      </c>
      <c r="V23" s="1489" t="s">
        <v>9257</v>
      </c>
      <c r="W23" s="1489" t="s">
        <v>9258</v>
      </c>
      <c r="X23" s="1489" t="s">
        <v>9109</v>
      </c>
      <c r="Y23" s="1489" t="s">
        <v>9259</v>
      </c>
      <c r="Z23" s="1489" t="s">
        <v>9260</v>
      </c>
      <c r="AA23" s="1489" t="s">
        <v>9107</v>
      </c>
      <c r="AB23" s="1489" t="s">
        <v>9261</v>
      </c>
      <c r="AC23" s="1393" t="s">
        <v>4980</v>
      </c>
      <c r="AD23" s="1489" t="s">
        <v>9262</v>
      </c>
      <c r="AE23" s="1393" t="s">
        <v>5502</v>
      </c>
      <c r="AF23" s="1581" t="s">
        <v>8789</v>
      </c>
      <c r="AG23" s="1489" t="s">
        <v>609</v>
      </c>
      <c r="AH23" s="1489" t="s">
        <v>7124</v>
      </c>
      <c r="AI23" s="1489" t="s">
        <v>311</v>
      </c>
      <c r="AJ23" s="1393" t="s">
        <v>9263</v>
      </c>
      <c r="AK23" s="1489" t="s">
        <v>9264</v>
      </c>
      <c r="AL23" s="1393" t="s">
        <v>3259</v>
      </c>
      <c r="AM23" s="1489" t="s">
        <v>1992</v>
      </c>
      <c r="AN23" s="1393" t="s">
        <v>2624</v>
      </c>
      <c r="AO23" s="1489" t="s">
        <v>3514</v>
      </c>
      <c r="AP23" s="1489" t="s">
        <v>9265</v>
      </c>
      <c r="AQ23" s="1393" t="s">
        <v>9266</v>
      </c>
      <c r="AR23" s="1489" t="s">
        <v>1671</v>
      </c>
      <c r="AS23" s="1393" t="s">
        <v>9140</v>
      </c>
      <c r="AT23" s="1489" t="s">
        <v>9267</v>
      </c>
      <c r="AU23" s="1489" t="s">
        <v>9268</v>
      </c>
      <c r="AV23" s="1393" t="str">
        <f t="shared" si="1"/>
        <v>1:53</v>
      </c>
      <c r="AW23" s="1562"/>
    </row>
    <row r="24" ht="15.75" customHeight="1">
      <c r="A24" s="1529" t="s">
        <v>2640</v>
      </c>
      <c r="B24" s="1517" t="s">
        <v>8801</v>
      </c>
      <c r="C24" s="1475">
        <v>0.05008101851851852</v>
      </c>
      <c r="D24" s="773" t="s">
        <v>9269</v>
      </c>
      <c r="E24" s="773" t="s">
        <v>9270</v>
      </c>
      <c r="F24" s="773" t="s">
        <v>9180</v>
      </c>
      <c r="G24" s="773" t="s">
        <v>9271</v>
      </c>
      <c r="H24" s="773" t="s">
        <v>9272</v>
      </c>
      <c r="I24" s="773" t="s">
        <v>9273</v>
      </c>
      <c r="J24" s="1535" t="s">
        <v>1353</v>
      </c>
      <c r="K24" s="773" t="s">
        <v>1093</v>
      </c>
      <c r="L24" s="773" t="s">
        <v>9274</v>
      </c>
      <c r="M24" s="1537" t="s">
        <v>9127</v>
      </c>
      <c r="N24" s="1535" t="s">
        <v>2496</v>
      </c>
      <c r="O24" s="773" t="s">
        <v>9275</v>
      </c>
      <c r="P24" s="1535" t="s">
        <v>5502</v>
      </c>
      <c r="Q24" s="1535" t="s">
        <v>5841</v>
      </c>
      <c r="R24" s="773" t="s">
        <v>7451</v>
      </c>
      <c r="S24" s="1535" t="s">
        <v>337</v>
      </c>
      <c r="T24" s="1535" t="s">
        <v>8811</v>
      </c>
      <c r="U24" s="773" t="s">
        <v>9276</v>
      </c>
      <c r="V24" s="1535" t="s">
        <v>8812</v>
      </c>
      <c r="W24" s="773" t="s">
        <v>7420</v>
      </c>
      <c r="X24" s="773" t="s">
        <v>5862</v>
      </c>
      <c r="Y24" s="773" t="s">
        <v>5133</v>
      </c>
      <c r="Z24" s="773" t="s">
        <v>1131</v>
      </c>
      <c r="AA24" s="773" t="s">
        <v>9277</v>
      </c>
      <c r="AB24" s="773" t="s">
        <v>2514</v>
      </c>
      <c r="AC24" s="773" t="s">
        <v>1834</v>
      </c>
      <c r="AD24" s="773" t="s">
        <v>6285</v>
      </c>
      <c r="AE24" s="773" t="s">
        <v>3305</v>
      </c>
      <c r="AF24" s="773" t="s">
        <v>8819</v>
      </c>
      <c r="AG24" s="773" t="s">
        <v>9278</v>
      </c>
      <c r="AH24" s="773" t="s">
        <v>5019</v>
      </c>
      <c r="AI24" s="773" t="s">
        <v>3414</v>
      </c>
      <c r="AJ24" s="773" t="s">
        <v>9279</v>
      </c>
      <c r="AK24" s="773" t="s">
        <v>9280</v>
      </c>
      <c r="AL24" s="773" t="s">
        <v>9281</v>
      </c>
      <c r="AM24" s="773" t="s">
        <v>9282</v>
      </c>
      <c r="AN24" s="773" t="s">
        <v>4407</v>
      </c>
      <c r="AO24" s="773" t="s">
        <v>7572</v>
      </c>
      <c r="AP24" s="773" t="s">
        <v>9283</v>
      </c>
      <c r="AQ24" s="773" t="s">
        <v>9284</v>
      </c>
      <c r="AR24" s="773" t="s">
        <v>9285</v>
      </c>
      <c r="AS24" s="773" t="s">
        <v>4660</v>
      </c>
      <c r="AT24" s="773" t="s">
        <v>2742</v>
      </c>
      <c r="AU24" s="1556" t="s">
        <v>8825</v>
      </c>
      <c r="AV24" s="1393" t="str">
        <f t="shared" si="1"/>
        <v>2:51</v>
      </c>
      <c r="AW24" s="1582"/>
    </row>
    <row r="25">
      <c r="A25" s="1529" t="s">
        <v>6629</v>
      </c>
      <c r="B25" s="1527" t="s">
        <v>8801</v>
      </c>
      <c r="C25" s="1475">
        <v>0.05016203703703704</v>
      </c>
      <c r="D25" s="1506" t="s">
        <v>9286</v>
      </c>
      <c r="E25" s="1583" t="s">
        <v>7393</v>
      </c>
      <c r="F25" s="1506" t="s">
        <v>9287</v>
      </c>
      <c r="G25" s="1506" t="s">
        <v>9288</v>
      </c>
      <c r="H25" s="1506" t="s">
        <v>9289</v>
      </c>
      <c r="I25" s="1506" t="s">
        <v>5347</v>
      </c>
      <c r="J25" s="1506" t="s">
        <v>9290</v>
      </c>
      <c r="K25" s="1506" t="s">
        <v>9291</v>
      </c>
      <c r="L25" s="773" t="s">
        <v>5128</v>
      </c>
      <c r="M25" s="1535" t="s">
        <v>8808</v>
      </c>
      <c r="N25" s="1506" t="s">
        <v>9292</v>
      </c>
      <c r="O25" s="1506" t="s">
        <v>9293</v>
      </c>
      <c r="P25" s="1506" t="s">
        <v>5913</v>
      </c>
      <c r="Q25" s="1506" t="s">
        <v>2708</v>
      </c>
      <c r="R25" s="1506" t="s">
        <v>971</v>
      </c>
      <c r="S25" s="1506" t="s">
        <v>9294</v>
      </c>
      <c r="T25" s="1506" t="s">
        <v>1394</v>
      </c>
      <c r="U25" s="1506" t="s">
        <v>9295</v>
      </c>
      <c r="V25" s="1506" t="s">
        <v>9296</v>
      </c>
      <c r="W25" s="1506" t="s">
        <v>9297</v>
      </c>
      <c r="X25" s="1506" t="s">
        <v>1302</v>
      </c>
      <c r="Y25" s="1506" t="s">
        <v>1094</v>
      </c>
      <c r="Z25" s="1506" t="s">
        <v>9203</v>
      </c>
      <c r="AA25" s="1506" t="s">
        <v>9298</v>
      </c>
      <c r="AB25" s="1506" t="s">
        <v>9299</v>
      </c>
      <c r="AC25" s="1506" t="s">
        <v>4792</v>
      </c>
      <c r="AD25" s="1506" t="s">
        <v>9300</v>
      </c>
      <c r="AE25" s="1506" t="s">
        <v>9301</v>
      </c>
      <c r="AF25" s="1506" t="s">
        <v>5770</v>
      </c>
      <c r="AG25" s="1506" t="s">
        <v>9302</v>
      </c>
      <c r="AH25" s="1506" t="s">
        <v>4275</v>
      </c>
      <c r="AI25" s="1489" t="s">
        <v>4153</v>
      </c>
      <c r="AJ25" s="1506" t="s">
        <v>9303</v>
      </c>
      <c r="AK25" s="1506" t="s">
        <v>9304</v>
      </c>
      <c r="AL25" s="1506" t="s">
        <v>2509</v>
      </c>
      <c r="AM25" s="1506" t="s">
        <v>4064</v>
      </c>
      <c r="AN25" s="1506" t="s">
        <v>6050</v>
      </c>
      <c r="AO25" s="1506" t="s">
        <v>9305</v>
      </c>
      <c r="AP25" s="1506" t="s">
        <v>9306</v>
      </c>
      <c r="AQ25" s="1506" t="s">
        <v>4049</v>
      </c>
      <c r="AR25" s="1506" t="s">
        <v>2757</v>
      </c>
      <c r="AS25" s="1506" t="s">
        <v>755</v>
      </c>
      <c r="AT25" s="1506" t="s">
        <v>9307</v>
      </c>
      <c r="AU25" s="1489" t="s">
        <v>9308</v>
      </c>
      <c r="AV25" s="1393" t="str">
        <f t="shared" si="1"/>
        <v>3:20</v>
      </c>
      <c r="AW25" s="756"/>
    </row>
    <row r="26" ht="15.75" customHeight="1">
      <c r="A26" s="1486" t="s">
        <v>1417</v>
      </c>
      <c r="B26" s="1474" t="s">
        <v>8774</v>
      </c>
      <c r="C26" s="1475">
        <v>0.05025462962962963</v>
      </c>
      <c r="D26" s="773" t="s">
        <v>9309</v>
      </c>
      <c r="E26" s="1553" t="s">
        <v>9310</v>
      </c>
      <c r="F26" s="1566" t="s">
        <v>9311</v>
      </c>
      <c r="G26" s="1481" t="s">
        <v>9312</v>
      </c>
      <c r="H26" s="1161" t="s">
        <v>9313</v>
      </c>
      <c r="I26" s="1161" t="s">
        <v>1046</v>
      </c>
      <c r="J26" s="1537" t="s">
        <v>8941</v>
      </c>
      <c r="K26" s="1567" t="s">
        <v>7253</v>
      </c>
      <c r="L26" s="1567" t="s">
        <v>5177</v>
      </c>
      <c r="M26" s="1584" t="str">
        <f>HYPERLINK("https://youtu.be/teAIifUZjFw","1:14.18")</f>
        <v>1:14.18</v>
      </c>
      <c r="N26" s="1567" t="s">
        <v>3768</v>
      </c>
      <c r="O26" s="1567" t="s">
        <v>9314</v>
      </c>
      <c r="P26" s="1567" t="s">
        <v>2097</v>
      </c>
      <c r="Q26" s="1568" t="s">
        <v>9315</v>
      </c>
      <c r="R26" s="1540" t="s">
        <v>9316</v>
      </c>
      <c r="S26" s="1540" t="s">
        <v>5460</v>
      </c>
      <c r="T26" s="1585" t="str">
        <f>HYPERLINK("https://youtu.be/AiXricVH5ss","1:24.99")</f>
        <v>1:24.99</v>
      </c>
      <c r="U26" s="1586" t="str">
        <f>HYPERLINK("https://www.twitch.tv/videos/450151935","2:00.31")</f>
        <v>2:00.31</v>
      </c>
      <c r="V26" s="1540" t="s">
        <v>9061</v>
      </c>
      <c r="W26" s="1587" t="str">
        <f>HYPERLINK("https://youtu.be/eafNhBoXVWA","1:46.09")</f>
        <v>1:46.09</v>
      </c>
      <c r="X26" s="1569" t="s">
        <v>4469</v>
      </c>
      <c r="Y26" s="1569" t="s">
        <v>9032</v>
      </c>
      <c r="Z26" s="1569" t="s">
        <v>9317</v>
      </c>
      <c r="AA26" s="1555" t="s">
        <v>8995</v>
      </c>
      <c r="AB26" s="1569" t="s">
        <v>7255</v>
      </c>
      <c r="AC26" s="1569" t="s">
        <v>7879</v>
      </c>
      <c r="AD26" s="1588" t="str">
        <f>HYPERLINK("https://youtu.be/8FEcTKESSh0","1:49.80")</f>
        <v>1:49.80</v>
      </c>
      <c r="AE26" s="1553" t="s">
        <v>6578</v>
      </c>
      <c r="AF26" s="1570" t="s">
        <v>9318</v>
      </c>
      <c r="AG26" s="1570" t="s">
        <v>9319</v>
      </c>
      <c r="AH26" s="1570" t="s">
        <v>9320</v>
      </c>
      <c r="AI26" s="1570" t="s">
        <v>4065</v>
      </c>
      <c r="AJ26" s="1570" t="s">
        <v>9321</v>
      </c>
      <c r="AK26" s="1556" t="s">
        <v>9199</v>
      </c>
      <c r="AL26" s="1570" t="s">
        <v>9322</v>
      </c>
      <c r="AM26" s="1558" t="s">
        <v>9166</v>
      </c>
      <c r="AN26" s="1558" t="s">
        <v>8566</v>
      </c>
      <c r="AO26" s="1558" t="s">
        <v>9285</v>
      </c>
      <c r="AP26" s="1557" t="s">
        <v>9323</v>
      </c>
      <c r="AQ26" s="1557" t="s">
        <v>9324</v>
      </c>
      <c r="AR26" s="1558" t="s">
        <v>9325</v>
      </c>
      <c r="AS26" s="1557" t="s">
        <v>5562</v>
      </c>
      <c r="AT26" s="1584" t="str">
        <f>HYPERLINK("https://youtu.be/xDirVtS1AZ4?t=4416","2:27.45")</f>
        <v>2:27.45</v>
      </c>
      <c r="AU26" s="1571" t="s">
        <v>9326</v>
      </c>
      <c r="AV26" s="1393" t="str">
        <f t="shared" si="1"/>
        <v>2:34</v>
      </c>
      <c r="AW26" s="1526" t="s">
        <v>9327</v>
      </c>
    </row>
    <row r="27">
      <c r="A27" s="1529" t="s">
        <v>6616</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3573</v>
      </c>
      <c r="M27" s="773" t="s">
        <v>2690</v>
      </c>
      <c r="N27" s="1489" t="s">
        <v>9332</v>
      </c>
      <c r="O27" s="1489" t="s">
        <v>9333</v>
      </c>
      <c r="P27" s="773" t="s">
        <v>9334</v>
      </c>
      <c r="Q27" s="1489" t="s">
        <v>9335</v>
      </c>
      <c r="R27" s="773" t="s">
        <v>9336</v>
      </c>
      <c r="S27" s="1489" t="s">
        <v>9337</v>
      </c>
      <c r="T27" s="773" t="s">
        <v>9338</v>
      </c>
      <c r="U27" s="1489" t="s">
        <v>1031</v>
      </c>
      <c r="V27" s="773" t="s">
        <v>5036</v>
      </c>
      <c r="W27" s="773" t="s">
        <v>7422</v>
      </c>
      <c r="X27" s="773" t="s">
        <v>6959</v>
      </c>
      <c r="Y27" s="773" t="s">
        <v>883</v>
      </c>
      <c r="Z27" s="773" t="s">
        <v>9339</v>
      </c>
      <c r="AA27" s="1489" t="s">
        <v>9340</v>
      </c>
      <c r="AB27" s="773" t="s">
        <v>7878</v>
      </c>
      <c r="AC27" s="1489" t="s">
        <v>9273</v>
      </c>
      <c r="AD27" s="773" t="s">
        <v>6311</v>
      </c>
      <c r="AE27" s="1489" t="s">
        <v>8904</v>
      </c>
      <c r="AF27" s="1489" t="s">
        <v>9341</v>
      </c>
      <c r="AG27" s="773" t="s">
        <v>2054</v>
      </c>
      <c r="AH27" s="773" t="s">
        <v>2631</v>
      </c>
      <c r="AI27" s="1489" t="s">
        <v>9342</v>
      </c>
      <c r="AJ27" s="773" t="s">
        <v>9343</v>
      </c>
      <c r="AK27" s="773" t="s">
        <v>8878</v>
      </c>
      <c r="AL27" s="773" t="s">
        <v>4608</v>
      </c>
      <c r="AM27" s="773" t="s">
        <v>9344</v>
      </c>
      <c r="AN27" s="773" t="s">
        <v>4608</v>
      </c>
      <c r="AO27" s="773" t="s">
        <v>1846</v>
      </c>
      <c r="AP27" s="1489" t="s">
        <v>9345</v>
      </c>
      <c r="AQ27" s="773" t="s">
        <v>2228</v>
      </c>
      <c r="AR27" s="1489" t="s">
        <v>8681</v>
      </c>
      <c r="AS27" s="773" t="s">
        <v>1905</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8368</v>
      </c>
      <c r="H28" s="1096" t="s">
        <v>9353</v>
      </c>
      <c r="I28" s="1096" t="s">
        <v>7223</v>
      </c>
      <c r="J28" s="1537" t="s">
        <v>1842</v>
      </c>
      <c r="K28" s="1537" t="s">
        <v>6070</v>
      </c>
      <c r="L28" s="1537" t="s">
        <v>3544</v>
      </c>
      <c r="M28" s="1537" t="s">
        <v>8894</v>
      </c>
      <c r="N28" s="1537" t="s">
        <v>7770</v>
      </c>
      <c r="O28" s="1537" t="s">
        <v>4141</v>
      </c>
      <c r="P28" s="1537" t="s">
        <v>4749</v>
      </c>
      <c r="Q28" s="1540" t="s">
        <v>9354</v>
      </c>
      <c r="R28" s="1540" t="s">
        <v>9355</v>
      </c>
      <c r="S28" s="1540" t="s">
        <v>551</v>
      </c>
      <c r="T28" s="1540" t="s">
        <v>9356</v>
      </c>
      <c r="U28" s="1540" t="s">
        <v>9357</v>
      </c>
      <c r="V28" s="1540" t="s">
        <v>9358</v>
      </c>
      <c r="W28" s="1555" t="s">
        <v>9359</v>
      </c>
      <c r="X28" s="1555" t="s">
        <v>4469</v>
      </c>
      <c r="Y28" s="1555" t="s">
        <v>1552</v>
      </c>
      <c r="Z28" s="1555" t="s">
        <v>2401</v>
      </c>
      <c r="AA28" s="1555" t="s">
        <v>9360</v>
      </c>
      <c r="AB28" s="1555" t="s">
        <v>3797</v>
      </c>
      <c r="AC28" s="1555" t="s">
        <v>9361</v>
      </c>
      <c r="AD28" s="1553" t="s">
        <v>9362</v>
      </c>
      <c r="AE28" s="1553" t="s">
        <v>5938</v>
      </c>
      <c r="AF28" s="1556" t="s">
        <v>9363</v>
      </c>
      <c r="AG28" s="1556" t="s">
        <v>8075</v>
      </c>
      <c r="AH28" s="1556" t="s">
        <v>9364</v>
      </c>
      <c r="AI28" s="1556" t="s">
        <v>5148</v>
      </c>
      <c r="AJ28" s="1556" t="s">
        <v>9365</v>
      </c>
      <c r="AK28" s="1556" t="s">
        <v>9366</v>
      </c>
      <c r="AL28" s="1556" t="s">
        <v>9367</v>
      </c>
      <c r="AM28" s="1558" t="s">
        <v>9082</v>
      </c>
      <c r="AN28" s="1558" t="s">
        <v>9368</v>
      </c>
      <c r="AO28" s="1558" t="s">
        <v>3207</v>
      </c>
      <c r="AP28" s="1558" t="s">
        <v>9369</v>
      </c>
      <c r="AQ28" s="1558" t="s">
        <v>9370</v>
      </c>
      <c r="AR28" s="1558" t="s">
        <v>3010</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7759</v>
      </c>
      <c r="F29" s="1553" t="s">
        <v>1148</v>
      </c>
      <c r="G29" s="1553" t="s">
        <v>9375</v>
      </c>
      <c r="H29" s="773" t="s">
        <v>1658</v>
      </c>
      <c r="I29" s="1096" t="s">
        <v>1352</v>
      </c>
      <c r="J29" s="1537" t="s">
        <v>9376</v>
      </c>
      <c r="K29" s="1537" t="s">
        <v>9377</v>
      </c>
      <c r="L29" s="1537" t="s">
        <v>9378</v>
      </c>
      <c r="M29" s="1537" t="s">
        <v>9379</v>
      </c>
      <c r="N29" s="1537" t="s">
        <v>3644</v>
      </c>
      <c r="O29" s="1537" t="s">
        <v>9275</v>
      </c>
      <c r="P29" s="1537" t="s">
        <v>1863</v>
      </c>
      <c r="Q29" s="1540" t="s">
        <v>6258</v>
      </c>
      <c r="R29" s="1540" t="s">
        <v>2672</v>
      </c>
      <c r="S29" s="1540" t="s">
        <v>2643</v>
      </c>
      <c r="T29" s="1592" t="s">
        <v>9380</v>
      </c>
      <c r="U29" s="1592" t="s">
        <v>8007</v>
      </c>
      <c r="V29" s="1592" t="s">
        <v>7517</v>
      </c>
      <c r="W29" s="816" t="s">
        <v>9381</v>
      </c>
      <c r="X29" s="1555" t="s">
        <v>1187</v>
      </c>
      <c r="Y29" s="1555" t="s">
        <v>8301</v>
      </c>
      <c r="Z29" s="1555" t="s">
        <v>1594</v>
      </c>
      <c r="AA29" s="1489" t="s">
        <v>9382</v>
      </c>
      <c r="AB29" s="1555" t="s">
        <v>9383</v>
      </c>
      <c r="AC29" s="1555" t="s">
        <v>1834</v>
      </c>
      <c r="AD29" s="1553" t="s">
        <v>9384</v>
      </c>
      <c r="AE29" s="1553" t="s">
        <v>9385</v>
      </c>
      <c r="AF29" s="1556" t="s">
        <v>9386</v>
      </c>
      <c r="AG29" s="1556" t="s">
        <v>2922</v>
      </c>
      <c r="AH29" s="913" t="s">
        <v>9387</v>
      </c>
      <c r="AI29" s="1556" t="s">
        <v>509</v>
      </c>
      <c r="AJ29" s="1556" t="s">
        <v>9388</v>
      </c>
      <c r="AK29" s="1556" t="s">
        <v>9389</v>
      </c>
      <c r="AL29" s="1556" t="s">
        <v>4556</v>
      </c>
      <c r="AM29" s="1558" t="s">
        <v>9390</v>
      </c>
      <c r="AN29" s="1558" t="s">
        <v>4135</v>
      </c>
      <c r="AO29" s="1558" t="s">
        <v>9391</v>
      </c>
      <c r="AP29" s="1558" t="s">
        <v>9392</v>
      </c>
      <c r="AQ29" s="1558" t="s">
        <v>9284</v>
      </c>
      <c r="AR29" s="1558" t="s">
        <v>3010</v>
      </c>
      <c r="AS29" s="1558" t="s">
        <v>1142</v>
      </c>
      <c r="AT29" s="1537" t="s">
        <v>2663</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3357</v>
      </c>
      <c r="J30" s="1537" t="s">
        <v>4856</v>
      </c>
      <c r="K30" s="1537" t="s">
        <v>9291</v>
      </c>
      <c r="L30" s="1537" t="s">
        <v>2471</v>
      </c>
      <c r="M30" s="1537" t="s">
        <v>2042</v>
      </c>
      <c r="N30" s="1537" t="s">
        <v>4184</v>
      </c>
      <c r="O30" s="1537" t="s">
        <v>9398</v>
      </c>
      <c r="P30" s="1567" t="s">
        <v>760</v>
      </c>
      <c r="Q30" s="1540" t="s">
        <v>9399</v>
      </c>
      <c r="R30" s="1540" t="s">
        <v>3429</v>
      </c>
      <c r="S30" s="1540" t="s">
        <v>7838</v>
      </c>
      <c r="T30" s="1568" t="s">
        <v>9017</v>
      </c>
      <c r="U30" s="1540" t="s">
        <v>8945</v>
      </c>
      <c r="V30" s="1568" t="s">
        <v>5003</v>
      </c>
      <c r="W30" s="1569" t="s">
        <v>7605</v>
      </c>
      <c r="X30" s="1555" t="s">
        <v>2603</v>
      </c>
      <c r="Y30" s="1569" t="s">
        <v>9400</v>
      </c>
      <c r="Z30" s="1555" t="s">
        <v>9401</v>
      </c>
      <c r="AA30" s="1569" t="s">
        <v>9402</v>
      </c>
      <c r="AB30" s="773" t="s">
        <v>7681</v>
      </c>
      <c r="AC30" s="1569" t="s">
        <v>3683</v>
      </c>
      <c r="AD30" s="1545" t="s">
        <v>8815</v>
      </c>
      <c r="AE30" s="1553" t="s">
        <v>3305</v>
      </c>
      <c r="AF30" s="1556" t="s">
        <v>9403</v>
      </c>
      <c r="AG30" s="1570" t="s">
        <v>3988</v>
      </c>
      <c r="AH30" s="1570" t="s">
        <v>6135</v>
      </c>
      <c r="AI30" s="1393" t="s">
        <v>9340</v>
      </c>
      <c r="AJ30" s="1570" t="s">
        <v>9404</v>
      </c>
      <c r="AK30" s="1596" t="s">
        <v>8820</v>
      </c>
      <c r="AL30" s="1570" t="s">
        <v>3688</v>
      </c>
      <c r="AM30" s="1558" t="s">
        <v>9405</v>
      </c>
      <c r="AN30" s="1558" t="s">
        <v>5115</v>
      </c>
      <c r="AO30" s="1558" t="s">
        <v>2078</v>
      </c>
      <c r="AP30" s="1558" t="s">
        <v>9406</v>
      </c>
      <c r="AQ30" s="1557" t="s">
        <v>9407</v>
      </c>
      <c r="AR30" s="1557" t="s">
        <v>3733</v>
      </c>
      <c r="AS30" s="1557" t="s">
        <v>5214</v>
      </c>
      <c r="AT30" s="1537" t="s">
        <v>9408</v>
      </c>
      <c r="AU30" s="1519" t="s">
        <v>9409</v>
      </c>
      <c r="AV30" s="1393" t="str">
        <f t="shared" si="1"/>
        <v>2:55</v>
      </c>
      <c r="AW30" s="1595"/>
    </row>
    <row r="31" ht="15.75" customHeight="1">
      <c r="A31" s="1473" t="s">
        <v>4337</v>
      </c>
      <c r="B31" s="1474" t="s">
        <v>8774</v>
      </c>
      <c r="C31" s="1597">
        <v>0.05043981481481481</v>
      </c>
      <c r="D31" s="773" t="s">
        <v>9410</v>
      </c>
      <c r="E31" s="1393" t="s">
        <v>7577</v>
      </c>
      <c r="F31" s="1393" t="s">
        <v>1579</v>
      </c>
      <c r="G31" s="1393" t="s">
        <v>9411</v>
      </c>
      <c r="H31" s="1393" t="s">
        <v>9008</v>
      </c>
      <c r="I31" s="1393" t="s">
        <v>4713</v>
      </c>
      <c r="J31" s="1393" t="s">
        <v>4479</v>
      </c>
      <c r="K31" s="1393" t="s">
        <v>9238</v>
      </c>
      <c r="L31" s="1393" t="s">
        <v>3937</v>
      </c>
      <c r="M31" s="1393" t="s">
        <v>9412</v>
      </c>
      <c r="N31" s="1393" t="s">
        <v>8811</v>
      </c>
      <c r="O31" s="1393" t="s">
        <v>9413</v>
      </c>
      <c r="P31" s="1393" t="s">
        <v>5379</v>
      </c>
      <c r="Q31" s="1393" t="s">
        <v>9414</v>
      </c>
      <c r="R31" s="1393" t="s">
        <v>9415</v>
      </c>
      <c r="S31" s="1393" t="s">
        <v>9416</v>
      </c>
      <c r="T31" s="1393" t="s">
        <v>9417</v>
      </c>
      <c r="U31" s="1393" t="s">
        <v>9418</v>
      </c>
      <c r="V31" s="1393" t="s">
        <v>2285</v>
      </c>
      <c r="W31" s="1393" t="s">
        <v>9419</v>
      </c>
      <c r="X31" s="1393" t="s">
        <v>9420</v>
      </c>
      <c r="Y31" s="1393" t="s">
        <v>9259</v>
      </c>
      <c r="Z31" s="1393" t="s">
        <v>1131</v>
      </c>
      <c r="AA31" s="1393" t="s">
        <v>3414</v>
      </c>
      <c r="AB31" s="1393" t="s">
        <v>4856</v>
      </c>
      <c r="AC31" s="1393" t="s">
        <v>7879</v>
      </c>
      <c r="AD31" s="1393" t="s">
        <v>6285</v>
      </c>
      <c r="AE31" s="1393" t="s">
        <v>5531</v>
      </c>
      <c r="AF31" s="1393" t="s">
        <v>9421</v>
      </c>
      <c r="AG31" s="1393" t="s">
        <v>5928</v>
      </c>
      <c r="AH31" s="1393" t="s">
        <v>4093</v>
      </c>
      <c r="AI31" s="1393" t="s">
        <v>5148</v>
      </c>
      <c r="AJ31" s="1393" t="s">
        <v>9422</v>
      </c>
      <c r="AK31" s="1393" t="s">
        <v>9423</v>
      </c>
      <c r="AL31" s="1393" t="s">
        <v>6007</v>
      </c>
      <c r="AM31" s="1393" t="s">
        <v>1232</v>
      </c>
      <c r="AN31" s="1393" t="s">
        <v>4187</v>
      </c>
      <c r="AO31" s="1393" t="s">
        <v>9424</v>
      </c>
      <c r="AP31" s="1508" t="str">
        <f>HYPERLINK("https://www.twitch.tv/videos/511415405","2:00.79")</f>
        <v>2:00.79</v>
      </c>
      <c r="AQ31" s="1393" t="s">
        <v>3598</v>
      </c>
      <c r="AR31" s="1393" t="s">
        <v>7572</v>
      </c>
      <c r="AS31" s="1393" t="s">
        <v>9425</v>
      </c>
      <c r="AT31" s="1393" t="s">
        <v>9426</v>
      </c>
      <c r="AU31" s="1393" t="s">
        <v>9427</v>
      </c>
      <c r="AV31" s="1393" t="str">
        <f t="shared" si="1"/>
        <v>2:36</v>
      </c>
      <c r="AW31" s="1509" t="s">
        <v>6705</v>
      </c>
    </row>
    <row r="32">
      <c r="A32" s="1529" t="s">
        <v>1197</v>
      </c>
      <c r="B32" s="1517" t="s">
        <v>8774</v>
      </c>
      <c r="C32" s="1475">
        <v>0.050486111111111114</v>
      </c>
      <c r="D32" s="1553" t="s">
        <v>9428</v>
      </c>
      <c r="E32" s="1553" t="s">
        <v>4250</v>
      </c>
      <c r="F32" s="1553" t="s">
        <v>9429</v>
      </c>
      <c r="G32" s="1553" t="s">
        <v>9430</v>
      </c>
      <c r="H32" s="773" t="s">
        <v>9431</v>
      </c>
      <c r="I32" s="1096" t="s">
        <v>928</v>
      </c>
      <c r="J32" s="1537" t="s">
        <v>5891</v>
      </c>
      <c r="K32" s="1537" t="s">
        <v>8092</v>
      </c>
      <c r="L32" s="1537" t="s">
        <v>6531</v>
      </c>
      <c r="M32" s="1537" t="s">
        <v>5027</v>
      </c>
      <c r="N32" s="1537" t="s">
        <v>9432</v>
      </c>
      <c r="O32" s="1537" t="s">
        <v>9433</v>
      </c>
      <c r="P32" s="1537" t="s">
        <v>9159</v>
      </c>
      <c r="Q32" s="1540" t="s">
        <v>171</v>
      </c>
      <c r="R32" s="1540" t="s">
        <v>4802</v>
      </c>
      <c r="S32" s="1540" t="s">
        <v>9304</v>
      </c>
      <c r="T32" s="1540" t="s">
        <v>9434</v>
      </c>
      <c r="U32" s="1540" t="s">
        <v>9435</v>
      </c>
      <c r="V32" s="1540" t="s">
        <v>9436</v>
      </c>
      <c r="W32" s="1555" t="s">
        <v>9437</v>
      </c>
      <c r="X32" s="1555" t="s">
        <v>9438</v>
      </c>
      <c r="Y32" s="1555" t="s">
        <v>7186</v>
      </c>
      <c r="Z32" s="1555" t="s">
        <v>9439</v>
      </c>
      <c r="AA32" s="1489" t="s">
        <v>9440</v>
      </c>
      <c r="AB32" s="1555" t="s">
        <v>3396</v>
      </c>
      <c r="AC32" s="1555" t="s">
        <v>1046</v>
      </c>
      <c r="AD32" s="1553" t="s">
        <v>9441</v>
      </c>
      <c r="AE32" s="1553" t="s">
        <v>2224</v>
      </c>
      <c r="AF32" s="1556" t="s">
        <v>9442</v>
      </c>
      <c r="AG32" s="1556" t="s">
        <v>530</v>
      </c>
      <c r="AH32" s="1556" t="s">
        <v>9443</v>
      </c>
      <c r="AI32" s="1556" t="s">
        <v>2667</v>
      </c>
      <c r="AJ32" s="1556" t="s">
        <v>9444</v>
      </c>
      <c r="AK32" s="1556" t="s">
        <v>7656</v>
      </c>
      <c r="AL32" s="1556" t="s">
        <v>2854</v>
      </c>
      <c r="AM32" s="1558" t="s">
        <v>9445</v>
      </c>
      <c r="AN32" s="1558" t="s">
        <v>9274</v>
      </c>
      <c r="AO32" s="1558" t="s">
        <v>9446</v>
      </c>
      <c r="AP32" s="1558" t="s">
        <v>9447</v>
      </c>
      <c r="AQ32" s="1558" t="s">
        <v>9448</v>
      </c>
      <c r="AR32" s="1558" t="s">
        <v>1159</v>
      </c>
      <c r="AS32" s="1558" t="s">
        <v>1552</v>
      </c>
      <c r="AT32" s="1537" t="s">
        <v>9449</v>
      </c>
      <c r="AU32" s="1519" t="s">
        <v>9450</v>
      </c>
      <c r="AV32" s="1393" t="str">
        <f t="shared" si="1"/>
        <v>3:47</v>
      </c>
      <c r="AW32" s="1520"/>
    </row>
    <row r="33" ht="15.75" customHeight="1">
      <c r="A33" s="1529" t="s">
        <v>1635</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6492</v>
      </c>
      <c r="K33" s="1537" t="s">
        <v>6653</v>
      </c>
      <c r="L33" s="1584" t="str">
        <f>HYPERLINK("https://www.youtube.com/watch?v=tJdjPKdAbw4","57.01")</f>
        <v>57.01</v>
      </c>
      <c r="M33" s="1567" t="s">
        <v>7484</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3303</v>
      </c>
      <c r="X33" s="1569" t="s">
        <v>7656</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7879</v>
      </c>
      <c r="AD33" s="1588" t="str">
        <f>HYPERLINK("https://www.youtube.com/watch?v=ikF77QyREZg","1:50.30")</f>
        <v>1:50.30</v>
      </c>
      <c r="AE33" s="1566" t="s">
        <v>9159</v>
      </c>
      <c r="AF33" s="1570" t="s">
        <v>9457</v>
      </c>
      <c r="AG33" s="1599" t="str">
        <f>HYPERLINK("https://www.youtube.com/watch?v=KXwTRrVVluY","1:30.62")</f>
        <v>1:30.62</v>
      </c>
      <c r="AH33" s="1570" t="s">
        <v>3047</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5553</v>
      </c>
      <c r="AT33" s="1584" t="str">
        <f>HYPERLINK("https://www.youtube.com/watch?v=H67SXBLcISI","2:29.09")</f>
        <v>2:29.09</v>
      </c>
      <c r="AU33" s="1571" t="s">
        <v>9464</v>
      </c>
      <c r="AV33" s="1393" t="str">
        <f t="shared" si="1"/>
        <v>2:03</v>
      </c>
      <c r="AW33" s="1601" t="s">
        <v>9465</v>
      </c>
    </row>
    <row r="34">
      <c r="A34" s="1529" t="s">
        <v>3090</v>
      </c>
      <c r="B34" s="1517" t="s">
        <v>8801</v>
      </c>
      <c r="C34" s="1475">
        <v>0.050520833333333334</v>
      </c>
      <c r="D34" s="1553" t="s">
        <v>9466</v>
      </c>
      <c r="E34" s="1576" t="s">
        <v>4594</v>
      </c>
      <c r="F34" s="1576" t="s">
        <v>8822</v>
      </c>
      <c r="G34" s="1553" t="s">
        <v>9467</v>
      </c>
      <c r="H34" s="1576" t="s">
        <v>9468</v>
      </c>
      <c r="I34" s="1576" t="s">
        <v>3114</v>
      </c>
      <c r="J34" s="1537" t="s">
        <v>9469</v>
      </c>
      <c r="K34" s="1602" t="s">
        <v>9470</v>
      </c>
      <c r="L34" s="1537" t="s">
        <v>9471</v>
      </c>
      <c r="M34" s="1481" t="s">
        <v>5788</v>
      </c>
      <c r="N34" s="1537" t="s">
        <v>887</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858</v>
      </c>
      <c r="Y34" s="1555" t="s">
        <v>6851</v>
      </c>
      <c r="Z34" s="1555" t="s">
        <v>8942</v>
      </c>
      <c r="AA34" s="1489" t="s">
        <v>9477</v>
      </c>
      <c r="AB34" s="1555" t="s">
        <v>4137</v>
      </c>
      <c r="AC34" s="1555" t="s">
        <v>943</v>
      </c>
      <c r="AD34" s="1553" t="s">
        <v>3916</v>
      </c>
      <c r="AE34" s="1553" t="s">
        <v>5913</v>
      </c>
      <c r="AF34" s="1556" t="s">
        <v>9478</v>
      </c>
      <c r="AG34" s="1576" t="s">
        <v>4630</v>
      </c>
      <c r="AH34" s="1556" t="s">
        <v>9479</v>
      </c>
      <c r="AI34" s="1556" t="s">
        <v>6954</v>
      </c>
      <c r="AJ34" s="1556" t="s">
        <v>9480</v>
      </c>
      <c r="AK34" s="1556" t="s">
        <v>9481</v>
      </c>
      <c r="AL34" s="1556" t="s">
        <v>9482</v>
      </c>
      <c r="AM34" s="1558" t="s">
        <v>9017</v>
      </c>
      <c r="AN34" s="1558" t="s">
        <v>9162</v>
      </c>
      <c r="AO34" s="1558" t="s">
        <v>3010</v>
      </c>
      <c r="AP34" s="1558" t="s">
        <v>9483</v>
      </c>
      <c r="AQ34" s="759" t="str">
        <f>HYPERLINK("https://www.twitch.tv/planktonsecretformula/v/1678454360?sr=a&amp;t=0s", "1:37.46")</f>
        <v>1:37.46</v>
      </c>
      <c r="AR34" s="1558" t="s">
        <v>9484</v>
      </c>
      <c r="AS34" s="1558" t="s">
        <v>718</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3201</v>
      </c>
      <c r="N35" s="1537" t="s">
        <v>9498</v>
      </c>
      <c r="O35" s="1537" t="s">
        <v>9398</v>
      </c>
      <c r="P35" s="1537" t="s">
        <v>4886</v>
      </c>
      <c r="Q35" s="1540" t="s">
        <v>9499</v>
      </c>
      <c r="R35" s="1540" t="s">
        <v>2672</v>
      </c>
      <c r="S35" s="1540" t="s">
        <v>9500</v>
      </c>
      <c r="T35" s="1540" t="s">
        <v>9390</v>
      </c>
      <c r="U35" s="1540" t="s">
        <v>9501</v>
      </c>
      <c r="V35" s="1540" t="s">
        <v>9061</v>
      </c>
      <c r="W35" s="1555" t="s">
        <v>9502</v>
      </c>
      <c r="X35" s="1555" t="s">
        <v>9503</v>
      </c>
      <c r="Y35" s="1555" t="s">
        <v>9504</v>
      </c>
      <c r="Z35" s="1555" t="s">
        <v>1385</v>
      </c>
      <c r="AA35" s="1555" t="s">
        <v>9505</v>
      </c>
      <c r="AB35" s="1555" t="s">
        <v>6652</v>
      </c>
      <c r="AC35" s="1569" t="s">
        <v>2174</v>
      </c>
      <c r="AD35" s="1553" t="s">
        <v>9506</v>
      </c>
      <c r="AE35" s="1553" t="s">
        <v>9159</v>
      </c>
      <c r="AF35" s="1556" t="s">
        <v>9507</v>
      </c>
      <c r="AG35" s="1556" t="s">
        <v>9508</v>
      </c>
      <c r="AH35" s="1556" t="s">
        <v>5613</v>
      </c>
      <c r="AI35" s="1556" t="s">
        <v>9509</v>
      </c>
      <c r="AJ35" s="1556" t="s">
        <v>9510</v>
      </c>
      <c r="AK35" s="1556" t="s">
        <v>4469</v>
      </c>
      <c r="AL35" s="1556" t="s">
        <v>5718</v>
      </c>
      <c r="AM35" s="1558" t="s">
        <v>2066</v>
      </c>
      <c r="AN35" s="1558" t="s">
        <v>4615</v>
      </c>
      <c r="AO35" s="1558" t="s">
        <v>9511</v>
      </c>
      <c r="AP35" s="1558" t="s">
        <v>9512</v>
      </c>
      <c r="AQ35" s="1558" t="s">
        <v>9513</v>
      </c>
      <c r="AR35" s="1558" t="s">
        <v>9176</v>
      </c>
      <c r="AS35" s="1558" t="s">
        <v>883</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2551</v>
      </c>
      <c r="J36" s="773" t="s">
        <v>1303</v>
      </c>
      <c r="K36" s="773" t="s">
        <v>9521</v>
      </c>
      <c r="L36" s="773" t="s">
        <v>4244</v>
      </c>
      <c r="M36" s="773" t="s">
        <v>4164</v>
      </c>
      <c r="N36" s="773" t="s">
        <v>9522</v>
      </c>
      <c r="O36" s="773" t="s">
        <v>9523</v>
      </c>
      <c r="P36" s="773" t="s">
        <v>9385</v>
      </c>
      <c r="Q36" s="773" t="s">
        <v>9524</v>
      </c>
      <c r="R36" s="773" t="s">
        <v>2079</v>
      </c>
      <c r="S36" s="773" t="s">
        <v>9525</v>
      </c>
      <c r="T36" s="773" t="s">
        <v>9366</v>
      </c>
      <c r="U36" s="773" t="s">
        <v>9526</v>
      </c>
      <c r="V36" s="773" t="s">
        <v>9527</v>
      </c>
      <c r="W36" s="773" t="s">
        <v>4722</v>
      </c>
      <c r="X36" s="773" t="s">
        <v>9528</v>
      </c>
      <c r="Y36" s="773" t="s">
        <v>5133</v>
      </c>
      <c r="Z36" s="773" t="s">
        <v>9529</v>
      </c>
      <c r="AA36" s="773" t="s">
        <v>9530</v>
      </c>
      <c r="AB36" s="773" t="s">
        <v>9531</v>
      </c>
      <c r="AC36" s="773" t="s">
        <v>7879</v>
      </c>
      <c r="AD36" s="773" t="s">
        <v>9532</v>
      </c>
      <c r="AE36" s="773" t="s">
        <v>8993</v>
      </c>
      <c r="AF36" s="773" t="s">
        <v>9533</v>
      </c>
      <c r="AG36" s="773" t="s">
        <v>5129</v>
      </c>
      <c r="AH36" s="773" t="s">
        <v>4439</v>
      </c>
      <c r="AI36" s="773" t="s">
        <v>9534</v>
      </c>
      <c r="AJ36" s="773" t="s">
        <v>9535</v>
      </c>
      <c r="AK36" s="773" t="s">
        <v>1762</v>
      </c>
      <c r="AL36" s="773" t="s">
        <v>9536</v>
      </c>
      <c r="AM36" s="773" t="s">
        <v>4034</v>
      </c>
      <c r="AN36" s="773" t="s">
        <v>4071</v>
      </c>
      <c r="AO36" s="773" t="s">
        <v>6348</v>
      </c>
      <c r="AP36" s="773" t="s">
        <v>9537</v>
      </c>
      <c r="AQ36" s="773" t="s">
        <v>9538</v>
      </c>
      <c r="AR36" s="773" t="s">
        <v>9086</v>
      </c>
      <c r="AS36" s="773" t="s">
        <v>839</v>
      </c>
      <c r="AT36" s="773" t="s">
        <v>9539</v>
      </c>
      <c r="AU36" s="1519" t="s">
        <v>9427</v>
      </c>
      <c r="AV36" s="1393" t="str">
        <f t="shared" si="1"/>
        <v>2:26</v>
      </c>
      <c r="AW36" s="1520" t="s">
        <v>9540</v>
      </c>
    </row>
    <row r="37" ht="15.75" customHeight="1">
      <c r="A37" s="1473" t="s">
        <v>740</v>
      </c>
      <c r="B37" s="1563" t="s">
        <v>8801</v>
      </c>
      <c r="C37" s="1475">
        <v>0.05056712962962963</v>
      </c>
      <c r="D37" s="1535" t="s">
        <v>8802</v>
      </c>
      <c r="E37" s="1566" t="s">
        <v>9310</v>
      </c>
      <c r="F37" s="1583" t="s">
        <v>8803</v>
      </c>
      <c r="G37" s="1489" t="s">
        <v>9541</v>
      </c>
      <c r="H37" s="1489" t="s">
        <v>9542</v>
      </c>
      <c r="I37" s="1583" t="s">
        <v>8806</v>
      </c>
      <c r="J37" s="1489" t="s">
        <v>1105</v>
      </c>
      <c r="K37" s="1489" t="s">
        <v>4901</v>
      </c>
      <c r="L37" s="1489" t="s">
        <v>2291</v>
      </c>
      <c r="M37" s="1489" t="s">
        <v>2244</v>
      </c>
      <c r="N37" s="1489" t="s">
        <v>9264</v>
      </c>
      <c r="O37" s="1489" t="s">
        <v>9543</v>
      </c>
      <c r="P37" s="1489" t="s">
        <v>4008</v>
      </c>
      <c r="Q37" s="1489" t="s">
        <v>9544</v>
      </c>
      <c r="R37" s="1489" t="s">
        <v>3111</v>
      </c>
      <c r="S37" s="1489" t="s">
        <v>8909</v>
      </c>
      <c r="T37" s="1489" t="s">
        <v>2359</v>
      </c>
      <c r="U37" s="1489" t="s">
        <v>9029</v>
      </c>
      <c r="V37" s="1489" t="s">
        <v>2848</v>
      </c>
      <c r="W37" s="1489" t="s">
        <v>9545</v>
      </c>
      <c r="X37" s="1489" t="s">
        <v>9546</v>
      </c>
      <c r="Y37" s="1489" t="s">
        <v>863</v>
      </c>
      <c r="Z37" s="1489" t="s">
        <v>9182</v>
      </c>
      <c r="AA37" s="1489" t="s">
        <v>7656</v>
      </c>
      <c r="AB37" s="1489" t="s">
        <v>6148</v>
      </c>
      <c r="AC37" s="1393" t="s">
        <v>538</v>
      </c>
      <c r="AD37" s="1489" t="s">
        <v>9547</v>
      </c>
      <c r="AE37" s="1489" t="s">
        <v>9301</v>
      </c>
      <c r="AF37" s="1489" t="s">
        <v>9548</v>
      </c>
      <c r="AG37" s="1489" t="s">
        <v>9366</v>
      </c>
      <c r="AH37" s="1489" t="s">
        <v>2955</v>
      </c>
      <c r="AI37" s="1489" t="s">
        <v>9549</v>
      </c>
      <c r="AJ37" s="1489" t="s">
        <v>3218</v>
      </c>
      <c r="AK37" s="1489" t="s">
        <v>5279</v>
      </c>
      <c r="AL37" s="1489" t="s">
        <v>4187</v>
      </c>
      <c r="AM37" s="1489" t="s">
        <v>3313</v>
      </c>
      <c r="AN37" s="1489" t="s">
        <v>345</v>
      </c>
      <c r="AO37" s="1489" t="s">
        <v>9550</v>
      </c>
      <c r="AP37" s="1489" t="s">
        <v>9551</v>
      </c>
      <c r="AQ37" s="1489" t="s">
        <v>7589</v>
      </c>
      <c r="AR37" s="1489" t="s">
        <v>2657</v>
      </c>
      <c r="AS37" s="1489" t="s">
        <v>4085</v>
      </c>
      <c r="AT37" s="1489" t="s">
        <v>5578</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4442</v>
      </c>
      <c r="I38" s="1393" t="s">
        <v>1182</v>
      </c>
      <c r="J38" s="1489" t="s">
        <v>3501</v>
      </c>
      <c r="K38" s="1489" t="s">
        <v>3501</v>
      </c>
      <c r="L38" s="1393" t="s">
        <v>9556</v>
      </c>
      <c r="M38" s="1393" t="s">
        <v>9557</v>
      </c>
      <c r="N38" s="1393" t="s">
        <v>9187</v>
      </c>
      <c r="O38" s="1583" t="s">
        <v>8809</v>
      </c>
      <c r="P38" s="1393" t="s">
        <v>7220</v>
      </c>
      <c r="Q38" s="1393" t="s">
        <v>786</v>
      </c>
      <c r="R38" s="1489" t="s">
        <v>3501</v>
      </c>
      <c r="S38" s="1393" t="s">
        <v>9558</v>
      </c>
      <c r="T38" s="1393" t="s">
        <v>156</v>
      </c>
      <c r="U38" s="1393" t="s">
        <v>9559</v>
      </c>
      <c r="V38" s="1393" t="s">
        <v>9560</v>
      </c>
      <c r="W38" s="1393" t="s">
        <v>9561</v>
      </c>
      <c r="X38" s="1393" t="s">
        <v>9360</v>
      </c>
      <c r="Y38" s="1393" t="s">
        <v>9361</v>
      </c>
      <c r="Z38" s="1393" t="s">
        <v>151</v>
      </c>
      <c r="AA38" s="1393" t="s">
        <v>9562</v>
      </c>
      <c r="AB38" s="1393" t="s">
        <v>9047</v>
      </c>
      <c r="AC38" s="1393" t="s">
        <v>4472</v>
      </c>
      <c r="AD38" s="1393" t="s">
        <v>2323</v>
      </c>
      <c r="AE38" s="1393" t="s">
        <v>9504</v>
      </c>
      <c r="AF38" s="1393" t="s">
        <v>9563</v>
      </c>
      <c r="AG38" s="1393" t="s">
        <v>9564</v>
      </c>
      <c r="AH38" s="1393" t="s">
        <v>4459</v>
      </c>
      <c r="AI38" s="1393" t="s">
        <v>3794</v>
      </c>
      <c r="AJ38" s="1393" t="s">
        <v>9565</v>
      </c>
      <c r="AK38" s="1393" t="s">
        <v>1162</v>
      </c>
      <c r="AL38" s="1393" t="s">
        <v>9364</v>
      </c>
      <c r="AM38" s="1393" t="s">
        <v>874</v>
      </c>
      <c r="AN38" s="1489" t="s">
        <v>9378</v>
      </c>
      <c r="AO38" s="1489" t="s">
        <v>3501</v>
      </c>
      <c r="AP38" s="1393" t="s">
        <v>5400</v>
      </c>
      <c r="AQ38" s="1393" t="s">
        <v>254</v>
      </c>
      <c r="AR38" s="1393" t="s">
        <v>9566</v>
      </c>
      <c r="AS38" s="1393" t="s">
        <v>9567</v>
      </c>
      <c r="AT38" s="1393" t="s">
        <v>9568</v>
      </c>
      <c r="AU38" s="1489" t="s">
        <v>9569</v>
      </c>
      <c r="AV38" s="1393" t="str">
        <f t="shared" si="1"/>
        <v>3:07</v>
      </c>
      <c r="AW38" s="1562" t="s">
        <v>9570</v>
      </c>
    </row>
    <row r="39" ht="15.75" customHeight="1">
      <c r="A39" s="1473" t="s">
        <v>4240</v>
      </c>
      <c r="B39" s="1474" t="s">
        <v>8774</v>
      </c>
      <c r="C39" s="1597">
        <v>0.05060185185185185</v>
      </c>
      <c r="D39" s="773" t="s">
        <v>9571</v>
      </c>
      <c r="E39" s="1566" t="s">
        <v>3289</v>
      </c>
      <c r="F39" s="1566" t="s">
        <v>6088</v>
      </c>
      <c r="G39" s="1566" t="s">
        <v>9572</v>
      </c>
      <c r="H39" s="1161" t="s">
        <v>9573</v>
      </c>
      <c r="I39" s="1161" t="s">
        <v>4776</v>
      </c>
      <c r="J39" s="1567" t="s">
        <v>9009</v>
      </c>
      <c r="K39" s="1567" t="s">
        <v>8092</v>
      </c>
      <c r="L39" s="1567" t="s">
        <v>5532</v>
      </c>
      <c r="M39" s="1567" t="s">
        <v>9574</v>
      </c>
      <c r="N39" s="1567" t="s">
        <v>5318</v>
      </c>
      <c r="O39" s="1567" t="s">
        <v>9575</v>
      </c>
      <c r="P39" s="1567" t="s">
        <v>5938</v>
      </c>
      <c r="Q39" s="1568" t="s">
        <v>9576</v>
      </c>
      <c r="R39" s="1568" t="s">
        <v>5478</v>
      </c>
      <c r="S39" s="1568" t="s">
        <v>6652</v>
      </c>
      <c r="T39" s="1568" t="s">
        <v>9577</v>
      </c>
      <c r="U39" s="1568" t="s">
        <v>6221</v>
      </c>
      <c r="V39" s="1568" t="s">
        <v>3879</v>
      </c>
      <c r="W39" s="1569" t="s">
        <v>9578</v>
      </c>
      <c r="X39" s="1569" t="s">
        <v>8078</v>
      </c>
      <c r="Y39" s="1569" t="s">
        <v>5090</v>
      </c>
      <c r="Z39" s="1569" t="s">
        <v>1842</v>
      </c>
      <c r="AA39" s="1569" t="s">
        <v>9579</v>
      </c>
      <c r="AB39" s="1569" t="s">
        <v>9047</v>
      </c>
      <c r="AC39" s="1569" t="s">
        <v>5533</v>
      </c>
      <c r="AD39" s="1566" t="s">
        <v>6555</v>
      </c>
      <c r="AE39" s="1566" t="s">
        <v>6851</v>
      </c>
      <c r="AF39" s="1570" t="s">
        <v>9580</v>
      </c>
      <c r="AG39" s="1570" t="s">
        <v>9508</v>
      </c>
      <c r="AH39" s="1570" t="s">
        <v>7306</v>
      </c>
      <c r="AI39" s="1570" t="s">
        <v>5528</v>
      </c>
      <c r="AJ39" s="1570" t="s">
        <v>9581</v>
      </c>
      <c r="AK39" s="1570" t="s">
        <v>9582</v>
      </c>
      <c r="AL39" s="1570" t="s">
        <v>9583</v>
      </c>
      <c r="AM39" s="1557" t="s">
        <v>9584</v>
      </c>
      <c r="AN39" s="1557" t="s">
        <v>9585</v>
      </c>
      <c r="AO39" s="1557" t="s">
        <v>9586</v>
      </c>
      <c r="AP39" s="1557" t="s">
        <v>9587</v>
      </c>
      <c r="AQ39" s="1557" t="s">
        <v>9448</v>
      </c>
      <c r="AR39" s="1557" t="s">
        <v>9588</v>
      </c>
      <c r="AS39" s="1557" t="s">
        <v>4384</v>
      </c>
      <c r="AT39" s="1567" t="s">
        <v>9589</v>
      </c>
      <c r="AU39" s="1571" t="s">
        <v>9590</v>
      </c>
      <c r="AV39" s="1393" t="str">
        <f t="shared" si="1"/>
        <v>1:56</v>
      </c>
      <c r="AW39" s="1595"/>
    </row>
    <row r="40" ht="15.75" customHeight="1">
      <c r="A40" s="1486" t="s">
        <v>900</v>
      </c>
      <c r="B40" s="1474" t="s">
        <v>8774</v>
      </c>
      <c r="C40" s="1475">
        <v>0.05061342592592592</v>
      </c>
      <c r="D40" s="773" t="s">
        <v>9591</v>
      </c>
      <c r="E40" s="1489" t="s">
        <v>8984</v>
      </c>
      <c r="F40" s="1489" t="s">
        <v>5438</v>
      </c>
      <c r="G40" s="1393" t="s">
        <v>9592</v>
      </c>
      <c r="H40" s="1489" t="s">
        <v>9593</v>
      </c>
      <c r="I40" s="1489" t="s">
        <v>389</v>
      </c>
      <c r="J40" s="1489" t="s">
        <v>6956</v>
      </c>
      <c r="K40" s="1393" t="s">
        <v>9238</v>
      </c>
      <c r="L40" s="1489" t="s">
        <v>9594</v>
      </c>
      <c r="M40" s="1489" t="s">
        <v>9595</v>
      </c>
      <c r="N40" s="1489" t="s">
        <v>4391</v>
      </c>
      <c r="O40" s="1489" t="s">
        <v>9596</v>
      </c>
      <c r="P40" s="1489" t="s">
        <v>1591</v>
      </c>
      <c r="Q40" s="1479" t="s">
        <v>9597</v>
      </c>
      <c r="R40" s="1489" t="s">
        <v>9598</v>
      </c>
      <c r="S40" s="1393" t="s">
        <v>9599</v>
      </c>
      <c r="T40" s="1489" t="s">
        <v>9344</v>
      </c>
      <c r="U40" s="1489" t="s">
        <v>7396</v>
      </c>
      <c r="V40" s="1489" t="s">
        <v>2476</v>
      </c>
      <c r="W40" s="1507" t="str">
        <f>HYPERLINK("https://www.youtube.com/watch?v=nn1ub1z3NYM","1:45.96")</f>
        <v>1:45.96</v>
      </c>
      <c r="X40" s="1489" t="s">
        <v>5716</v>
      </c>
      <c r="Y40" s="1393" t="s">
        <v>5514</v>
      </c>
      <c r="Z40" s="1489" t="s">
        <v>1505</v>
      </c>
      <c r="AA40" s="1489" t="s">
        <v>9600</v>
      </c>
      <c r="AB40" s="1489" t="s">
        <v>9601</v>
      </c>
      <c r="AC40" s="1489" t="s">
        <v>1046</v>
      </c>
      <c r="AD40" s="1489" t="s">
        <v>9602</v>
      </c>
      <c r="AE40" s="1479" t="s">
        <v>4613</v>
      </c>
      <c r="AF40" s="1393" t="s">
        <v>9603</v>
      </c>
      <c r="AG40" s="1489" t="s">
        <v>2077</v>
      </c>
      <c r="AH40" s="1489" t="s">
        <v>3047</v>
      </c>
      <c r="AI40" s="1489" t="s">
        <v>9604</v>
      </c>
      <c r="AJ40" s="1393" t="s">
        <v>8342</v>
      </c>
      <c r="AK40" s="1489" t="s">
        <v>9605</v>
      </c>
      <c r="AL40" s="1393" t="s">
        <v>4345</v>
      </c>
      <c r="AM40" s="1393" t="s">
        <v>9606</v>
      </c>
      <c r="AN40" s="1393" t="s">
        <v>2509</v>
      </c>
      <c r="AO40" s="1489" t="s">
        <v>3599</v>
      </c>
      <c r="AP40" s="1489" t="s">
        <v>9607</v>
      </c>
      <c r="AQ40" s="1489" t="s">
        <v>9608</v>
      </c>
      <c r="AR40" s="1489" t="s">
        <v>1303</v>
      </c>
      <c r="AS40" s="1489" t="s">
        <v>4745</v>
      </c>
      <c r="AT40" s="1489" t="s">
        <v>9609</v>
      </c>
      <c r="AU40" s="1489" t="s">
        <v>9610</v>
      </c>
      <c r="AV40" s="1393" t="str">
        <f t="shared" si="1"/>
        <v>2:25</v>
      </c>
      <c r="AW40" s="1528"/>
    </row>
    <row r="41">
      <c r="A41" s="1486" t="s">
        <v>9611</v>
      </c>
      <c r="B41" s="1527" t="s">
        <v>8774</v>
      </c>
      <c r="C41" s="1475">
        <v>0.050625</v>
      </c>
      <c r="D41" s="1604" t="s">
        <v>9612</v>
      </c>
      <c r="E41" s="1489" t="s">
        <v>4699</v>
      </c>
      <c r="F41" s="1489" t="s">
        <v>9613</v>
      </c>
      <c r="G41" s="1489" t="s">
        <v>9614</v>
      </c>
      <c r="H41" s="1489" t="s">
        <v>1658</v>
      </c>
      <c r="I41" s="1489" t="s">
        <v>1834</v>
      </c>
      <c r="J41" s="1489" t="s">
        <v>9615</v>
      </c>
      <c r="K41" s="1489" t="s">
        <v>3620</v>
      </c>
      <c r="L41" s="1489" t="s">
        <v>9616</v>
      </c>
      <c r="M41" s="1489" t="s">
        <v>9617</v>
      </c>
      <c r="N41" s="1489" t="s">
        <v>9618</v>
      </c>
      <c r="O41" s="1489" t="s">
        <v>9619</v>
      </c>
      <c r="P41" s="1489" t="s">
        <v>9504</v>
      </c>
      <c r="Q41" s="1489" t="s">
        <v>4634</v>
      </c>
      <c r="R41" s="1489" t="s">
        <v>4005</v>
      </c>
      <c r="S41" s="1489" t="s">
        <v>2643</v>
      </c>
      <c r="T41" s="1489" t="s">
        <v>2359</v>
      </c>
      <c r="U41" s="1489" t="s">
        <v>9620</v>
      </c>
      <c r="V41" s="1489" t="s">
        <v>2215</v>
      </c>
      <c r="W41" s="1489" t="s">
        <v>7787</v>
      </c>
      <c r="X41" s="1489" t="s">
        <v>9621</v>
      </c>
      <c r="Y41" s="1489" t="s">
        <v>9622</v>
      </c>
      <c r="Z41" s="1489" t="s">
        <v>9623</v>
      </c>
      <c r="AA41" s="1489" t="s">
        <v>9624</v>
      </c>
      <c r="AB41" s="1489"/>
      <c r="AC41" s="1489" t="s">
        <v>9625</v>
      </c>
      <c r="AD41" s="1489" t="s">
        <v>9626</v>
      </c>
      <c r="AE41" s="1489" t="s">
        <v>4961</v>
      </c>
      <c r="AF41" s="1489" t="s">
        <v>9627</v>
      </c>
      <c r="AG41" s="1489" t="s">
        <v>9628</v>
      </c>
      <c r="AH41" s="1489" t="s">
        <v>9629</v>
      </c>
      <c r="AI41" s="1489" t="s">
        <v>727</v>
      </c>
      <c r="AJ41" s="1489" t="s">
        <v>9630</v>
      </c>
      <c r="AK41" s="1489" t="s">
        <v>8785</v>
      </c>
      <c r="AL41" s="1489" t="s">
        <v>9631</v>
      </c>
      <c r="AM41" s="1489" t="s">
        <v>9632</v>
      </c>
      <c r="AN41" s="1489" t="s">
        <v>8851</v>
      </c>
      <c r="AO41" s="1489" t="s">
        <v>9633</v>
      </c>
      <c r="AP41" s="1489" t="s">
        <v>9634</v>
      </c>
      <c r="AQ41" s="1489" t="s">
        <v>9635</v>
      </c>
      <c r="AR41" s="1489" t="s">
        <v>6657</v>
      </c>
      <c r="AS41" s="1489" t="s">
        <v>5849</v>
      </c>
      <c r="AT41" s="1489" t="s">
        <v>8444</v>
      </c>
      <c r="AU41" s="1489" t="s">
        <v>9636</v>
      </c>
      <c r="AV41" s="1393" t="str">
        <f t="shared" si="1"/>
        <v>2:05</v>
      </c>
      <c r="AW41" s="1562"/>
    </row>
    <row r="42">
      <c r="A42" s="1486" t="s">
        <v>9637</v>
      </c>
      <c r="B42" s="1517" t="s">
        <v>8774</v>
      </c>
      <c r="C42" s="1475">
        <v>0.0506712962962963</v>
      </c>
      <c r="D42" s="1604" t="s">
        <v>9638</v>
      </c>
      <c r="E42" s="1553" t="s">
        <v>3289</v>
      </c>
      <c r="F42" s="1553" t="s">
        <v>9131</v>
      </c>
      <c r="G42" s="1553" t="s">
        <v>9639</v>
      </c>
      <c r="H42" s="1096" t="s">
        <v>9640</v>
      </c>
      <c r="I42" s="1096" t="s">
        <v>9641</v>
      </c>
      <c r="J42" s="1537" t="s">
        <v>9642</v>
      </c>
      <c r="K42" s="1537" t="s">
        <v>7261</v>
      </c>
      <c r="L42" s="1537" t="s">
        <v>4307</v>
      </c>
      <c r="M42" s="1537" t="s">
        <v>7262</v>
      </c>
      <c r="N42" s="1537" t="s">
        <v>9643</v>
      </c>
      <c r="O42" s="1537" t="s">
        <v>2248</v>
      </c>
      <c r="P42" s="1537" t="s">
        <v>7223</v>
      </c>
      <c r="Q42" s="1540" t="s">
        <v>7996</v>
      </c>
      <c r="R42" s="1540" t="s">
        <v>9644</v>
      </c>
      <c r="S42" s="1540" t="s">
        <v>9645</v>
      </c>
      <c r="T42" s="1540" t="s">
        <v>9646</v>
      </c>
      <c r="U42" s="1540" t="s">
        <v>9647</v>
      </c>
      <c r="V42" s="1540" t="s">
        <v>9648</v>
      </c>
      <c r="W42" s="1555" t="s">
        <v>9649</v>
      </c>
      <c r="X42" s="1555" t="s">
        <v>9650</v>
      </c>
      <c r="Y42" s="1555" t="s">
        <v>6276</v>
      </c>
      <c r="Z42" s="1555" t="s">
        <v>9651</v>
      </c>
      <c r="AA42" s="1489" t="s">
        <v>1767</v>
      </c>
      <c r="AB42" s="1555" t="s">
        <v>9376</v>
      </c>
      <c r="AC42" s="1555" t="s">
        <v>7879</v>
      </c>
      <c r="AD42" s="1553" t="s">
        <v>9652</v>
      </c>
      <c r="AE42" s="1553" t="s">
        <v>538</v>
      </c>
      <c r="AF42" s="1556" t="s">
        <v>9653</v>
      </c>
      <c r="AG42" s="1556" t="s">
        <v>3988</v>
      </c>
      <c r="AH42" s="1556" t="s">
        <v>5217</v>
      </c>
      <c r="AI42" s="1556" t="s">
        <v>9654</v>
      </c>
      <c r="AJ42" s="1556" t="s">
        <v>9655</v>
      </c>
      <c r="AK42" s="1556" t="s">
        <v>402</v>
      </c>
      <c r="AL42" s="1556" t="s">
        <v>2615</v>
      </c>
      <c r="AM42" s="1558" t="s">
        <v>9132</v>
      </c>
      <c r="AN42" s="1558" t="s">
        <v>9367</v>
      </c>
      <c r="AO42" s="1558" t="s">
        <v>9305</v>
      </c>
      <c r="AP42" s="1558" t="s">
        <v>9656</v>
      </c>
      <c r="AQ42" s="1558" t="s">
        <v>9657</v>
      </c>
      <c r="AR42" s="1558" t="s">
        <v>4910</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3193</v>
      </c>
      <c r="F43" s="1566" t="s">
        <v>8975</v>
      </c>
      <c r="G43" s="1566" t="s">
        <v>9662</v>
      </c>
      <c r="H43" s="1161" t="s">
        <v>9663</v>
      </c>
      <c r="I43" s="1161" t="s">
        <v>389</v>
      </c>
      <c r="J43" s="1567" t="s">
        <v>2074</v>
      </c>
      <c r="K43" s="1567" t="s">
        <v>3445</v>
      </c>
      <c r="L43" s="1567" t="s">
        <v>5447</v>
      </c>
      <c r="M43" s="1567" t="s">
        <v>9664</v>
      </c>
      <c r="N43" s="1567" t="s">
        <v>9390</v>
      </c>
      <c r="O43" s="1567" t="s">
        <v>9665</v>
      </c>
      <c r="P43" s="1567" t="s">
        <v>5493</v>
      </c>
      <c r="Q43" s="1568" t="s">
        <v>9666</v>
      </c>
      <c r="R43" s="1568" t="s">
        <v>731</v>
      </c>
      <c r="S43" s="1568" t="s">
        <v>9633</v>
      </c>
      <c r="T43" s="1568" t="s">
        <v>9503</v>
      </c>
      <c r="U43" s="1568" t="s">
        <v>9667</v>
      </c>
      <c r="V43" s="1568" t="s">
        <v>2476</v>
      </c>
      <c r="W43" s="1569" t="s">
        <v>9668</v>
      </c>
      <c r="X43" s="1569" t="s">
        <v>6149</v>
      </c>
      <c r="Y43" s="1569" t="s">
        <v>8130</v>
      </c>
      <c r="Z43" s="1569" t="s">
        <v>8862</v>
      </c>
      <c r="AA43" s="1569" t="s">
        <v>9669</v>
      </c>
      <c r="AB43" s="1569" t="s">
        <v>2634</v>
      </c>
      <c r="AC43" s="1569" t="s">
        <v>3107</v>
      </c>
      <c r="AD43" s="1566" t="s">
        <v>9670</v>
      </c>
      <c r="AE43" s="1566" t="s">
        <v>6278</v>
      </c>
      <c r="AF43" s="1570" t="s">
        <v>8927</v>
      </c>
      <c r="AG43" s="1570" t="s">
        <v>9671</v>
      </c>
      <c r="AH43" s="1570" t="s">
        <v>2257</v>
      </c>
      <c r="AI43" s="1570" t="s">
        <v>9672</v>
      </c>
      <c r="AJ43" s="1570" t="s">
        <v>9673</v>
      </c>
      <c r="AK43" s="1570" t="s">
        <v>9674</v>
      </c>
      <c r="AL43" s="1570" t="s">
        <v>5416</v>
      </c>
      <c r="AM43" s="1557" t="s">
        <v>9528</v>
      </c>
      <c r="AN43" s="1557" t="s">
        <v>5416</v>
      </c>
      <c r="AO43" s="1557" t="s">
        <v>2304</v>
      </c>
      <c r="AP43" s="1557" t="s">
        <v>9675</v>
      </c>
      <c r="AQ43" s="1557" t="s">
        <v>9676</v>
      </c>
      <c r="AR43" s="1557" t="s">
        <v>4682</v>
      </c>
      <c r="AS43" s="1557" t="s">
        <v>4387</v>
      </c>
      <c r="AT43" s="1567" t="s">
        <v>9677</v>
      </c>
      <c r="AU43" s="1571" t="s">
        <v>9678</v>
      </c>
      <c r="AV43" s="1393" t="str">
        <f t="shared" si="1"/>
        <v>2:54</v>
      </c>
      <c r="AW43" s="1595"/>
    </row>
    <row r="44">
      <c r="A44" s="1529" t="s">
        <v>2789</v>
      </c>
      <c r="B44" s="1527" t="s">
        <v>8774</v>
      </c>
      <c r="C44" s="1475">
        <v>0.050826388888888886</v>
      </c>
      <c r="D44" s="1489" t="s">
        <v>9679</v>
      </c>
      <c r="E44" s="1489" t="s">
        <v>7620</v>
      </c>
      <c r="F44" s="1553" t="s">
        <v>9680</v>
      </c>
      <c r="G44" s="1489" t="s">
        <v>9681</v>
      </c>
      <c r="H44" s="1489" t="s">
        <v>6541</v>
      </c>
      <c r="I44" s="1489" t="s">
        <v>1293</v>
      </c>
      <c r="J44" s="1489" t="s">
        <v>9682</v>
      </c>
      <c r="K44" s="1489" t="s">
        <v>3962</v>
      </c>
      <c r="L44" s="1489" t="s">
        <v>5926</v>
      </c>
      <c r="M44" s="1489" t="s">
        <v>9683</v>
      </c>
      <c r="N44" s="1489" t="s">
        <v>7512</v>
      </c>
      <c r="O44" s="1489" t="s">
        <v>9684</v>
      </c>
      <c r="P44" s="1489" t="s">
        <v>9244</v>
      </c>
      <c r="Q44" s="1489" t="s">
        <v>9685</v>
      </c>
      <c r="R44" s="1489" t="s">
        <v>9686</v>
      </c>
      <c r="S44" s="1489" t="s">
        <v>9687</v>
      </c>
      <c r="T44" s="1489" t="s">
        <v>1795</v>
      </c>
      <c r="U44" s="1489" t="s">
        <v>9688</v>
      </c>
      <c r="V44" s="1489" t="s">
        <v>7308</v>
      </c>
      <c r="W44" s="1489" t="s">
        <v>5477</v>
      </c>
      <c r="X44" s="1489" t="s">
        <v>9689</v>
      </c>
      <c r="Y44" s="1489" t="s">
        <v>7214</v>
      </c>
      <c r="Z44" s="1489" t="s">
        <v>9690</v>
      </c>
      <c r="AA44" s="1555" t="s">
        <v>9691</v>
      </c>
      <c r="AB44" s="1489" t="s">
        <v>1842</v>
      </c>
      <c r="AC44" s="1489" t="s">
        <v>7879</v>
      </c>
      <c r="AD44" s="1489" t="s">
        <v>9692</v>
      </c>
      <c r="AE44" s="1489" t="s">
        <v>4961</v>
      </c>
      <c r="AF44" s="1489" t="s">
        <v>9693</v>
      </c>
      <c r="AG44" s="1489" t="s">
        <v>1176</v>
      </c>
      <c r="AH44" s="1489" t="s">
        <v>3954</v>
      </c>
      <c r="AI44" s="1489" t="s">
        <v>9694</v>
      </c>
      <c r="AJ44" s="1489" t="s">
        <v>9695</v>
      </c>
      <c r="AK44" s="1489" t="s">
        <v>9605</v>
      </c>
      <c r="AL44" s="1489" t="s">
        <v>4350</v>
      </c>
      <c r="AM44" s="1489" t="s">
        <v>9605</v>
      </c>
      <c r="AN44" s="1489" t="s">
        <v>8851</v>
      </c>
      <c r="AO44" s="1489" t="s">
        <v>7572</v>
      </c>
      <c r="AP44" s="1489" t="s">
        <v>9696</v>
      </c>
      <c r="AQ44" s="1489" t="s">
        <v>9697</v>
      </c>
      <c r="AR44" s="1489" t="s">
        <v>5155</v>
      </c>
      <c r="AS44" s="1489" t="s">
        <v>6117</v>
      </c>
      <c r="AT44" s="1489" t="s">
        <v>9698</v>
      </c>
      <c r="AU44" s="1489" t="s">
        <v>9699</v>
      </c>
      <c r="AV44" s="1393" t="str">
        <f t="shared" si="1"/>
        <v>2:25</v>
      </c>
      <c r="AW44" s="1562"/>
    </row>
    <row r="45" ht="15.75" customHeight="1">
      <c r="A45" s="1529" t="s">
        <v>4635</v>
      </c>
      <c r="B45" s="1474" t="s">
        <v>8774</v>
      </c>
      <c r="C45" s="1597">
        <v>0.050868055555555555</v>
      </c>
      <c r="D45" s="773" t="s">
        <v>9700</v>
      </c>
      <c r="E45" s="1393" t="s">
        <v>7830</v>
      </c>
      <c r="F45" s="1393" t="s">
        <v>9701</v>
      </c>
      <c r="G45" s="1393" t="s">
        <v>9702</v>
      </c>
      <c r="H45" s="1393" t="s">
        <v>9542</v>
      </c>
      <c r="I45" s="1393" t="s">
        <v>1293</v>
      </c>
      <c r="J45" s="1393" t="s">
        <v>4910</v>
      </c>
      <c r="K45" s="1393" t="s">
        <v>9252</v>
      </c>
      <c r="L45" s="1393" t="s">
        <v>9134</v>
      </c>
      <c r="M45" s="1393" t="s">
        <v>5377</v>
      </c>
      <c r="N45" s="1393" t="s">
        <v>8300</v>
      </c>
      <c r="O45" s="1393" t="s">
        <v>9703</v>
      </c>
      <c r="P45" s="1393" t="s">
        <v>4274</v>
      </c>
      <c r="Q45" s="1393" t="s">
        <v>9704</v>
      </c>
      <c r="R45" s="1393" t="s">
        <v>7529</v>
      </c>
      <c r="S45" s="1393" t="s">
        <v>9089</v>
      </c>
      <c r="T45" s="1393" t="s">
        <v>4602</v>
      </c>
      <c r="U45" s="1393" t="s">
        <v>9705</v>
      </c>
      <c r="V45" s="1393" t="s">
        <v>9296</v>
      </c>
      <c r="W45" s="1393" t="s">
        <v>9706</v>
      </c>
      <c r="X45" s="1393" t="s">
        <v>9302</v>
      </c>
      <c r="Y45" s="1393" t="s">
        <v>3627</v>
      </c>
      <c r="Z45" s="1393" t="s">
        <v>9707</v>
      </c>
      <c r="AA45" s="1393" t="s">
        <v>9708</v>
      </c>
      <c r="AB45" s="1393" t="s">
        <v>195</v>
      </c>
      <c r="AC45" s="1393" t="s">
        <v>3009</v>
      </c>
      <c r="AD45" s="1393" t="s">
        <v>9709</v>
      </c>
      <c r="AE45" s="1393" t="s">
        <v>620</v>
      </c>
      <c r="AF45" s="1393" t="s">
        <v>9710</v>
      </c>
      <c r="AG45" s="1393" t="s">
        <v>6015</v>
      </c>
      <c r="AH45" s="1393" t="s">
        <v>9711</v>
      </c>
      <c r="AI45" s="1393" t="s">
        <v>7677</v>
      </c>
      <c r="AJ45" s="1393" t="s">
        <v>9712</v>
      </c>
      <c r="AK45" s="1393" t="s">
        <v>5405</v>
      </c>
      <c r="AL45" s="1393" t="s">
        <v>9713</v>
      </c>
      <c r="AM45" s="1393" t="s">
        <v>9714</v>
      </c>
      <c r="AN45" s="1393" t="s">
        <v>3333</v>
      </c>
      <c r="AO45" s="1393" t="s">
        <v>9238</v>
      </c>
      <c r="AP45" s="1393" t="s">
        <v>9715</v>
      </c>
      <c r="AQ45" s="1393" t="s">
        <v>9716</v>
      </c>
      <c r="AR45" s="1393" t="s">
        <v>9125</v>
      </c>
      <c r="AS45" s="1393" t="s">
        <v>5118</v>
      </c>
      <c r="AT45" s="1393" t="s">
        <v>9717</v>
      </c>
      <c r="AU45" s="1393" t="s">
        <v>9718</v>
      </c>
      <c r="AV45" s="1393" t="str">
        <f t="shared" si="1"/>
        <v>2:44</v>
      </c>
      <c r="AW45" s="1509"/>
    </row>
    <row r="46" ht="15.75" customHeight="1">
      <c r="A46" s="1529" t="s">
        <v>1810</v>
      </c>
      <c r="B46" s="1605" t="s">
        <v>8827</v>
      </c>
      <c r="C46" s="1606">
        <v>0.05092592592592592</v>
      </c>
      <c r="D46" s="1607" t="s">
        <v>8828</v>
      </c>
      <c r="E46" s="1608" t="s">
        <v>8829</v>
      </c>
      <c r="F46" s="1607" t="s">
        <v>8830</v>
      </c>
      <c r="G46" s="1489" t="s">
        <v>9719</v>
      </c>
      <c r="H46" s="1607" t="s">
        <v>8832</v>
      </c>
      <c r="I46" s="1393" t="s">
        <v>1412</v>
      </c>
      <c r="J46" s="1566" t="s">
        <v>9720</v>
      </c>
      <c r="K46" s="1393" t="s">
        <v>9390</v>
      </c>
      <c r="L46" s="1566" t="s">
        <v>2329</v>
      </c>
      <c r="M46" s="1393" t="s">
        <v>2672</v>
      </c>
      <c r="N46" s="1607" t="s">
        <v>8793</v>
      </c>
      <c r="O46" s="1393" t="s">
        <v>9721</v>
      </c>
      <c r="P46" s="1566" t="s">
        <v>638</v>
      </c>
      <c r="Q46" s="1608" t="s">
        <v>8837</v>
      </c>
      <c r="R46" s="1607" t="s">
        <v>8838</v>
      </c>
      <c r="S46" s="1393" t="s">
        <v>1162</v>
      </c>
      <c r="T46" s="1566" t="s">
        <v>7916</v>
      </c>
      <c r="U46" s="1608" t="s">
        <v>8840</v>
      </c>
      <c r="V46" s="1607" t="s">
        <v>4269</v>
      </c>
      <c r="W46" s="1393" t="s">
        <v>9722</v>
      </c>
      <c r="X46" s="1607" t="s">
        <v>8842</v>
      </c>
      <c r="Y46" s="1393" t="s">
        <v>5647</v>
      </c>
      <c r="Z46" s="1553" t="s">
        <v>9723</v>
      </c>
      <c r="AA46" s="1393" t="s">
        <v>2306</v>
      </c>
      <c r="AB46" s="1566" t="s">
        <v>9724</v>
      </c>
      <c r="AC46" s="1489" t="s">
        <v>9725</v>
      </c>
      <c r="AD46" s="1566" t="s">
        <v>9726</v>
      </c>
      <c r="AE46" s="1489" t="s">
        <v>9727</v>
      </c>
      <c r="AF46" s="1566" t="s">
        <v>9728</v>
      </c>
      <c r="AG46" s="1393" t="s">
        <v>7130</v>
      </c>
      <c r="AH46" s="1553" t="s">
        <v>9616</v>
      </c>
      <c r="AI46" s="1608" t="s">
        <v>8847</v>
      </c>
      <c r="AJ46" s="1566" t="s">
        <v>9729</v>
      </c>
      <c r="AK46" s="1393" t="s">
        <v>5898</v>
      </c>
      <c r="AL46" s="1607" t="s">
        <v>8849</v>
      </c>
      <c r="AM46" s="1393" t="s">
        <v>9204</v>
      </c>
      <c r="AN46" s="1566" t="s">
        <v>3874</v>
      </c>
      <c r="AO46" s="1489" t="s">
        <v>4862</v>
      </c>
      <c r="AP46" s="1553" t="s">
        <v>9730</v>
      </c>
      <c r="AQ46" s="1489" t="s">
        <v>9731</v>
      </c>
      <c r="AR46" s="1553" t="s">
        <v>9732</v>
      </c>
      <c r="AS46" s="1393" t="s">
        <v>975</v>
      </c>
      <c r="AT46" s="1607" t="s">
        <v>8855</v>
      </c>
      <c r="AU46" s="1608" t="s">
        <v>8856</v>
      </c>
      <c r="AV46" s="1393" t="str">
        <f t="shared" si="1"/>
        <v>2:24</v>
      </c>
      <c r="AW46" s="1528"/>
    </row>
    <row r="47">
      <c r="A47" s="1529" t="s">
        <v>2571</v>
      </c>
      <c r="B47" s="1531" t="s">
        <v>8801</v>
      </c>
      <c r="C47" s="1475">
        <v>0.05092592592592592</v>
      </c>
      <c r="D47" s="773" t="s">
        <v>9733</v>
      </c>
      <c r="E47" s="1553" t="s">
        <v>9734</v>
      </c>
      <c r="F47" s="1553" t="s">
        <v>9735</v>
      </c>
      <c r="G47" s="1553" t="s">
        <v>9736</v>
      </c>
      <c r="H47" s="1096" t="s">
        <v>9737</v>
      </c>
      <c r="I47" s="1096" t="s">
        <v>2953</v>
      </c>
      <c r="J47" s="1537" t="s">
        <v>8944</v>
      </c>
      <c r="K47" s="1537" t="s">
        <v>3585</v>
      </c>
      <c r="L47" s="1537" t="s">
        <v>5781</v>
      </c>
      <c r="M47" s="1537" t="s">
        <v>3125</v>
      </c>
      <c r="N47" s="1537" t="s">
        <v>874</v>
      </c>
      <c r="O47" s="1537" t="s">
        <v>9738</v>
      </c>
      <c r="P47" s="1537" t="s">
        <v>773</v>
      </c>
      <c r="Q47" s="1540" t="s">
        <v>7905</v>
      </c>
      <c r="R47" s="1540" t="s">
        <v>7598</v>
      </c>
      <c r="S47" s="1540" t="s">
        <v>6653</v>
      </c>
      <c r="T47" s="1540" t="s">
        <v>9739</v>
      </c>
      <c r="U47" s="1609" t="s">
        <v>8064</v>
      </c>
      <c r="V47" s="1540" t="s">
        <v>9740</v>
      </c>
      <c r="W47" s="1555" t="s">
        <v>6875</v>
      </c>
      <c r="X47" s="1555" t="s">
        <v>9741</v>
      </c>
      <c r="Y47" s="1555" t="s">
        <v>9742</v>
      </c>
      <c r="Z47" s="1555" t="s">
        <v>7838</v>
      </c>
      <c r="AA47" s="1555" t="s">
        <v>1869</v>
      </c>
      <c r="AB47" s="1555" t="s">
        <v>9743</v>
      </c>
      <c r="AC47" s="1555" t="s">
        <v>2445</v>
      </c>
      <c r="AD47" s="1553" t="s">
        <v>9744</v>
      </c>
      <c r="AE47" s="1553" t="s">
        <v>5223</v>
      </c>
      <c r="AF47" s="1556" t="s">
        <v>9745</v>
      </c>
      <c r="AG47" s="1556" t="s">
        <v>5277</v>
      </c>
      <c r="AH47" s="1556" t="s">
        <v>4459</v>
      </c>
      <c r="AI47" s="1556" t="s">
        <v>9746</v>
      </c>
      <c r="AJ47" s="1546" t="s">
        <v>8819</v>
      </c>
      <c r="AK47" s="1556" t="s">
        <v>195</v>
      </c>
      <c r="AL47" s="1556" t="s">
        <v>5899</v>
      </c>
      <c r="AM47" s="1558" t="s">
        <v>4065</v>
      </c>
      <c r="AN47" s="1558" t="s">
        <v>3724</v>
      </c>
      <c r="AO47" s="1558" t="s">
        <v>2399</v>
      </c>
      <c r="AP47" s="1558" t="s">
        <v>9747</v>
      </c>
      <c r="AQ47" s="1558" t="s">
        <v>4290</v>
      </c>
      <c r="AR47" s="1558" t="s">
        <v>7895</v>
      </c>
      <c r="AS47" s="1558" t="s">
        <v>6560</v>
      </c>
      <c r="AT47" s="1537" t="s">
        <v>9748</v>
      </c>
      <c r="AU47" s="721" t="s">
        <v>9749</v>
      </c>
      <c r="AV47" s="1393" t="str">
        <f t="shared" si="1"/>
        <v>4:25</v>
      </c>
      <c r="AW47" s="1526"/>
    </row>
    <row r="48" ht="15.75" customHeight="1">
      <c r="A48" s="1473" t="s">
        <v>4489</v>
      </c>
      <c r="B48" s="1563" t="s">
        <v>8801</v>
      </c>
      <c r="C48" s="1475">
        <v>0.05100810185185185</v>
      </c>
      <c r="D48" s="773" t="s">
        <v>9750</v>
      </c>
      <c r="E48" s="1553" t="s">
        <v>9751</v>
      </c>
      <c r="F48" s="1553" t="s">
        <v>9752</v>
      </c>
      <c r="G48" s="1566" t="s">
        <v>9753</v>
      </c>
      <c r="H48" s="1096" t="s">
        <v>9754</v>
      </c>
      <c r="I48" s="1096" t="s">
        <v>1412</v>
      </c>
      <c r="J48" s="1537" t="s">
        <v>5155</v>
      </c>
      <c r="K48" s="1537" t="s">
        <v>9498</v>
      </c>
      <c r="L48" s="1537" t="s">
        <v>4403</v>
      </c>
      <c r="M48" s="1537" t="s">
        <v>1455</v>
      </c>
      <c r="N48" s="1537" t="s">
        <v>9755</v>
      </c>
      <c r="O48" s="1537" t="s">
        <v>8989</v>
      </c>
      <c r="P48" s="1537" t="s">
        <v>9756</v>
      </c>
      <c r="Q48" s="1540" t="s">
        <v>9757</v>
      </c>
      <c r="R48" s="1540" t="s">
        <v>3429</v>
      </c>
      <c r="S48" s="1540" t="s">
        <v>7255</v>
      </c>
      <c r="T48" s="1540" t="s">
        <v>9758</v>
      </c>
      <c r="U48" s="1540" t="s">
        <v>9759</v>
      </c>
      <c r="V48" s="1568" t="s">
        <v>1365</v>
      </c>
      <c r="W48" s="1555" t="s">
        <v>9760</v>
      </c>
      <c r="X48" s="1555" t="s">
        <v>9549</v>
      </c>
      <c r="Y48" s="1555" t="s">
        <v>4008</v>
      </c>
      <c r="Z48" s="1555" t="s">
        <v>7786</v>
      </c>
      <c r="AA48" s="1555" t="s">
        <v>1024</v>
      </c>
      <c r="AB48" s="1555" t="s">
        <v>3904</v>
      </c>
      <c r="AC48" s="1569" t="s">
        <v>6817</v>
      </c>
      <c r="AD48" s="1553" t="s">
        <v>9761</v>
      </c>
      <c r="AE48" s="1566" t="s">
        <v>4949</v>
      </c>
      <c r="AF48" s="1556" t="s">
        <v>9762</v>
      </c>
      <c r="AG48" s="1556" t="s">
        <v>9763</v>
      </c>
      <c r="AH48" s="1556" t="s">
        <v>9764</v>
      </c>
      <c r="AI48" s="1556" t="s">
        <v>9185</v>
      </c>
      <c r="AJ48" s="1556" t="s">
        <v>9765</v>
      </c>
      <c r="AK48" s="1556" t="s">
        <v>9766</v>
      </c>
      <c r="AL48" s="1556" t="s">
        <v>4521</v>
      </c>
      <c r="AM48" s="1558" t="s">
        <v>9767</v>
      </c>
      <c r="AN48" s="1558" t="s">
        <v>3404</v>
      </c>
      <c r="AO48" s="1558" t="s">
        <v>9768</v>
      </c>
      <c r="AP48" s="1558" t="s">
        <v>9769</v>
      </c>
      <c r="AQ48" s="1558" t="s">
        <v>4290</v>
      </c>
      <c r="AR48" s="1558" t="s">
        <v>9770</v>
      </c>
      <c r="AS48" s="1558" t="s">
        <v>4543</v>
      </c>
      <c r="AT48" s="1537" t="s">
        <v>9771</v>
      </c>
      <c r="AU48" s="1519" t="s">
        <v>9772</v>
      </c>
      <c r="AV48" s="1393" t="str">
        <f t="shared" si="1"/>
        <v>3:17</v>
      </c>
      <c r="AW48" s="1520" t="s">
        <v>9773</v>
      </c>
    </row>
    <row r="49" ht="15.75" customHeight="1">
      <c r="A49" s="1529" t="s">
        <v>983</v>
      </c>
      <c r="B49" s="1517" t="s">
        <v>8801</v>
      </c>
      <c r="C49" s="1475">
        <v>0.05112268518518519</v>
      </c>
      <c r="D49" s="1553" t="s">
        <v>9774</v>
      </c>
      <c r="E49" s="1553" t="s">
        <v>4647</v>
      </c>
      <c r="F49" s="1553" t="s">
        <v>9775</v>
      </c>
      <c r="G49" s="1553" t="s">
        <v>9776</v>
      </c>
      <c r="H49" s="773" t="s">
        <v>9777</v>
      </c>
      <c r="I49" s="1096" t="s">
        <v>5347</v>
      </c>
      <c r="J49" s="1537" t="s">
        <v>4068</v>
      </c>
      <c r="K49" s="1537" t="s">
        <v>9778</v>
      </c>
      <c r="L49" s="1481" t="s">
        <v>3642</v>
      </c>
      <c r="M49" s="1537" t="s">
        <v>4443</v>
      </c>
      <c r="N49" s="1537" t="s">
        <v>9528</v>
      </c>
      <c r="O49" s="1537" t="s">
        <v>9779</v>
      </c>
      <c r="P49" s="1537" t="s">
        <v>1529</v>
      </c>
      <c r="Q49" s="1540" t="s">
        <v>9780</v>
      </c>
      <c r="R49" s="1610" t="s">
        <v>6125</v>
      </c>
      <c r="S49" s="1540" t="s">
        <v>417</v>
      </c>
      <c r="T49" s="1540" t="s">
        <v>9781</v>
      </c>
      <c r="U49" s="1540" t="s">
        <v>9782</v>
      </c>
      <c r="V49" s="1540" t="s">
        <v>9783</v>
      </c>
      <c r="W49" s="1555" t="s">
        <v>9784</v>
      </c>
      <c r="X49" s="1555" t="s">
        <v>9785</v>
      </c>
      <c r="Y49" s="1611" t="s">
        <v>975</v>
      </c>
      <c r="Z49" s="1555" t="s">
        <v>9786</v>
      </c>
      <c r="AA49" s="1489" t="s">
        <v>9787</v>
      </c>
      <c r="AB49" s="1555" t="s">
        <v>2810</v>
      </c>
      <c r="AC49" s="1555" t="s">
        <v>5055</v>
      </c>
      <c r="AD49" s="1553" t="s">
        <v>9788</v>
      </c>
      <c r="AE49" s="1553" t="s">
        <v>5596</v>
      </c>
      <c r="AF49" s="1556" t="s">
        <v>9007</v>
      </c>
      <c r="AG49" s="1556" t="s">
        <v>276</v>
      </c>
      <c r="AH49" s="1556" t="s">
        <v>466</v>
      </c>
      <c r="AI49" s="1556" t="s">
        <v>9789</v>
      </c>
      <c r="AJ49" s="1556" t="s">
        <v>9790</v>
      </c>
      <c r="AK49" s="1556" t="s">
        <v>4140</v>
      </c>
      <c r="AL49" s="1556" t="s">
        <v>9791</v>
      </c>
      <c r="AM49" s="1558" t="s">
        <v>9792</v>
      </c>
      <c r="AN49" s="1549" t="s">
        <v>3209</v>
      </c>
      <c r="AO49" s="1558" t="s">
        <v>7261</v>
      </c>
      <c r="AP49" s="1558" t="s">
        <v>9793</v>
      </c>
      <c r="AQ49" s="1558" t="s">
        <v>9794</v>
      </c>
      <c r="AR49" s="1558" t="s">
        <v>9795</v>
      </c>
      <c r="AS49" s="1558" t="s">
        <v>8732</v>
      </c>
      <c r="AT49" s="1537" t="s">
        <v>9796</v>
      </c>
      <c r="AU49" s="1519" t="s">
        <v>9797</v>
      </c>
      <c r="AV49" s="1393" t="str">
        <f t="shared" si="1"/>
        <v>4:57</v>
      </c>
      <c r="AW49" s="1595"/>
    </row>
    <row r="50">
      <c r="A50" s="1529" t="s">
        <v>2372</v>
      </c>
      <c r="B50" s="1527" t="s">
        <v>8801</v>
      </c>
      <c r="C50" s="1475">
        <v>0.05112268518518519</v>
      </c>
      <c r="D50" s="1489" t="s">
        <v>9798</v>
      </c>
      <c r="E50" s="1489" t="s">
        <v>4508</v>
      </c>
      <c r="F50" s="1489" t="s">
        <v>6128</v>
      </c>
      <c r="G50" s="1583" t="s">
        <v>8804</v>
      </c>
      <c r="H50" s="773" t="s">
        <v>9799</v>
      </c>
      <c r="I50" s="1489" t="s">
        <v>766</v>
      </c>
      <c r="J50" s="1489" t="s">
        <v>6656</v>
      </c>
      <c r="K50" s="1489" t="s">
        <v>2497</v>
      </c>
      <c r="L50" s="1489" t="s">
        <v>1365</v>
      </c>
      <c r="M50" s="1489" t="s">
        <v>9800</v>
      </c>
      <c r="N50" s="1489" t="s">
        <v>9282</v>
      </c>
      <c r="O50" s="1489" t="s">
        <v>9801</v>
      </c>
      <c r="P50" s="1489" t="s">
        <v>3627</v>
      </c>
      <c r="Q50" s="1489" t="s">
        <v>9802</v>
      </c>
      <c r="R50" s="1489" t="s">
        <v>9803</v>
      </c>
      <c r="S50" s="1489" t="s">
        <v>3771</v>
      </c>
      <c r="T50" s="1489" t="s">
        <v>8078</v>
      </c>
      <c r="U50" s="1540" t="s">
        <v>9210</v>
      </c>
      <c r="V50" s="1489" t="s">
        <v>9804</v>
      </c>
      <c r="W50" s="1489" t="s">
        <v>9805</v>
      </c>
      <c r="X50" s="1489" t="s">
        <v>1489</v>
      </c>
      <c r="Y50" s="1489" t="s">
        <v>7220</v>
      </c>
      <c r="Z50" s="1489" t="s">
        <v>9033</v>
      </c>
      <c r="AA50" s="1555" t="s">
        <v>615</v>
      </c>
      <c r="AB50" s="1489" t="s">
        <v>9806</v>
      </c>
      <c r="AC50" s="1489" t="s">
        <v>5223</v>
      </c>
      <c r="AD50" s="1489" t="s">
        <v>9807</v>
      </c>
      <c r="AE50" s="1489" t="s">
        <v>3627</v>
      </c>
      <c r="AF50" s="1489" t="s">
        <v>9808</v>
      </c>
      <c r="AG50" s="1489" t="s">
        <v>9809</v>
      </c>
      <c r="AH50" s="1489" t="s">
        <v>2521</v>
      </c>
      <c r="AI50" s="1489" t="s">
        <v>6161</v>
      </c>
      <c r="AJ50" s="1489" t="s">
        <v>9810</v>
      </c>
      <c r="AK50" s="1489" t="s">
        <v>9305</v>
      </c>
      <c r="AL50" s="1489" t="s">
        <v>9811</v>
      </c>
      <c r="AM50" s="1489" t="s">
        <v>2667</v>
      </c>
      <c r="AN50" s="1489" t="s">
        <v>9812</v>
      </c>
      <c r="AO50" s="1489" t="s">
        <v>8941</v>
      </c>
      <c r="AP50" s="1489" t="s">
        <v>9813</v>
      </c>
      <c r="AQ50" s="1489" t="s">
        <v>9814</v>
      </c>
      <c r="AR50" s="1489" t="s">
        <v>2256</v>
      </c>
      <c r="AS50" s="1489" t="s">
        <v>7214</v>
      </c>
      <c r="AT50" s="1489" t="s">
        <v>9815</v>
      </c>
      <c r="AU50" s="1489" t="s">
        <v>9816</v>
      </c>
      <c r="AV50" s="1393" t="str">
        <f t="shared" si="1"/>
        <v>3:15</v>
      </c>
      <c r="AW50" s="731"/>
    </row>
    <row r="51">
      <c r="A51" s="1529" t="s">
        <v>2726</v>
      </c>
      <c r="B51" s="1527" t="s">
        <v>8774</v>
      </c>
      <c r="C51" s="1475">
        <v>0.051145833333333335</v>
      </c>
      <c r="D51" s="773" t="s">
        <v>9817</v>
      </c>
      <c r="E51" s="1579" t="s">
        <v>4126</v>
      </c>
      <c r="F51" s="1579" t="s">
        <v>1772</v>
      </c>
      <c r="G51" s="1579" t="s">
        <v>9818</v>
      </c>
      <c r="H51" s="773" t="s">
        <v>9819</v>
      </c>
      <c r="I51" s="1579" t="s">
        <v>9725</v>
      </c>
      <c r="J51" s="1579" t="s">
        <v>9820</v>
      </c>
      <c r="K51" s="1579" t="s">
        <v>9820</v>
      </c>
      <c r="L51" s="1579" t="s">
        <v>4130</v>
      </c>
      <c r="M51" s="1579" t="s">
        <v>3489</v>
      </c>
      <c r="N51" s="1579" t="s">
        <v>9821</v>
      </c>
      <c r="O51" s="1579" t="s">
        <v>9822</v>
      </c>
      <c r="P51" s="1579" t="s">
        <v>6853</v>
      </c>
      <c r="Q51" s="1579" t="s">
        <v>9823</v>
      </c>
      <c r="R51" s="1579" t="s">
        <v>9824</v>
      </c>
      <c r="S51" s="1477" t="s">
        <v>7458</v>
      </c>
      <c r="T51" s="1579" t="s">
        <v>9825</v>
      </c>
      <c r="U51" s="1579" t="s">
        <v>231</v>
      </c>
      <c r="V51" s="1579" t="s">
        <v>9826</v>
      </c>
      <c r="W51" s="1579" t="s">
        <v>9827</v>
      </c>
      <c r="X51" s="1579" t="s">
        <v>9828</v>
      </c>
      <c r="Y51" s="1579" t="s">
        <v>598</v>
      </c>
      <c r="Z51" s="1579" t="s">
        <v>9829</v>
      </c>
      <c r="AA51" s="1579" t="s">
        <v>9562</v>
      </c>
      <c r="AB51" s="1579" t="s">
        <v>5891</v>
      </c>
      <c r="AC51" s="1579" t="s">
        <v>1234</v>
      </c>
      <c r="AD51" s="1579" t="s">
        <v>9830</v>
      </c>
      <c r="AE51" s="1579" t="s">
        <v>9244</v>
      </c>
      <c r="AF51" s="1579" t="s">
        <v>9831</v>
      </c>
      <c r="AG51" s="1579" t="s">
        <v>9832</v>
      </c>
      <c r="AH51" s="1579" t="s">
        <v>3752</v>
      </c>
      <c r="AI51" s="1579" t="s">
        <v>9833</v>
      </c>
      <c r="AJ51" s="1579" t="s">
        <v>9834</v>
      </c>
      <c r="AK51" s="1579" t="s">
        <v>9835</v>
      </c>
      <c r="AL51" s="1579" t="s">
        <v>4970</v>
      </c>
      <c r="AM51" s="1579" t="s">
        <v>3610</v>
      </c>
      <c r="AN51" s="1579" t="s">
        <v>5558</v>
      </c>
      <c r="AO51" s="1579" t="s">
        <v>5155</v>
      </c>
      <c r="AP51" s="1579" t="s">
        <v>9836</v>
      </c>
      <c r="AQ51" s="1579" t="s">
        <v>3360</v>
      </c>
      <c r="AR51" s="1579" t="s">
        <v>9377</v>
      </c>
      <c r="AS51" s="1579" t="s">
        <v>1400</v>
      </c>
      <c r="AT51" s="1579" t="s">
        <v>699</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887</v>
      </c>
      <c r="K52" s="1489" t="s">
        <v>7770</v>
      </c>
      <c r="L52" s="1489" t="s">
        <v>8996</v>
      </c>
      <c r="M52" s="1489" t="s">
        <v>5940</v>
      </c>
      <c r="N52" s="1489" t="s">
        <v>9844</v>
      </c>
      <c r="O52" s="1489" t="s">
        <v>9845</v>
      </c>
      <c r="P52" s="1489" t="s">
        <v>5513</v>
      </c>
      <c r="Q52" s="1489" t="s">
        <v>7500</v>
      </c>
      <c r="R52" s="1489" t="s">
        <v>9846</v>
      </c>
      <c r="S52" s="1489" t="s">
        <v>8681</v>
      </c>
      <c r="T52" s="1393" t="s">
        <v>4185</v>
      </c>
      <c r="U52" s="1393" t="s">
        <v>9847</v>
      </c>
      <c r="V52" s="1489" t="s">
        <v>1899</v>
      </c>
      <c r="W52" s="1489" t="s">
        <v>9848</v>
      </c>
      <c r="X52" s="1489" t="s">
        <v>9849</v>
      </c>
      <c r="Y52" s="1489" t="s">
        <v>9244</v>
      </c>
      <c r="Z52" s="1489" t="s">
        <v>9850</v>
      </c>
      <c r="AA52" s="1489" t="s">
        <v>9851</v>
      </c>
      <c r="AB52" s="1489" t="s">
        <v>9852</v>
      </c>
      <c r="AC52" s="1489" t="s">
        <v>849</v>
      </c>
      <c r="AD52" s="1489" t="s">
        <v>9761</v>
      </c>
      <c r="AE52" s="1489" t="s">
        <v>3206</v>
      </c>
      <c r="AF52" s="1393" t="s">
        <v>9853</v>
      </c>
      <c r="AG52" s="1489" t="s">
        <v>388</v>
      </c>
      <c r="AH52" s="1489" t="s">
        <v>9854</v>
      </c>
      <c r="AI52" s="1489" t="s">
        <v>9855</v>
      </c>
      <c r="AJ52" s="1489" t="s">
        <v>9856</v>
      </c>
      <c r="AK52" s="1489" t="s">
        <v>9857</v>
      </c>
      <c r="AL52" s="1489" t="s">
        <v>4920</v>
      </c>
      <c r="AM52" s="1489" t="s">
        <v>7569</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3740</v>
      </c>
      <c r="B53" s="1605" t="s">
        <v>8774</v>
      </c>
      <c r="C53" s="1614">
        <v>0.05123738425925926</v>
      </c>
      <c r="D53" s="1553" t="s">
        <v>9864</v>
      </c>
      <c r="E53" s="1553" t="s">
        <v>3865</v>
      </c>
      <c r="F53" s="1553" t="s">
        <v>9865</v>
      </c>
      <c r="G53" s="1553" t="s">
        <v>9263</v>
      </c>
      <c r="H53" s="1096" t="s">
        <v>9866</v>
      </c>
      <c r="I53" s="1096" t="s">
        <v>2551</v>
      </c>
      <c r="J53" s="1537" t="s">
        <v>9498</v>
      </c>
      <c r="K53" s="1537" t="s">
        <v>7248</v>
      </c>
      <c r="L53" s="1537" t="s">
        <v>9867</v>
      </c>
      <c r="M53" s="1537" t="s">
        <v>9221</v>
      </c>
      <c r="N53" s="1615" t="s">
        <v>1161</v>
      </c>
      <c r="O53" s="1537" t="s">
        <v>3482</v>
      </c>
      <c r="P53" s="1537" t="s">
        <v>8926</v>
      </c>
      <c r="Q53" s="1540" t="s">
        <v>9868</v>
      </c>
      <c r="R53" s="1540" t="s">
        <v>9455</v>
      </c>
      <c r="S53" s="1540" t="s">
        <v>9869</v>
      </c>
      <c r="T53" s="1540" t="s">
        <v>9870</v>
      </c>
      <c r="U53" s="1540" t="s">
        <v>9871</v>
      </c>
      <c r="V53" s="1540" t="s">
        <v>4212</v>
      </c>
      <c r="W53" s="1555" t="s">
        <v>9872</v>
      </c>
      <c r="X53" s="1555" t="s">
        <v>9873</v>
      </c>
      <c r="Y53" s="1555" t="s">
        <v>9874</v>
      </c>
      <c r="Z53" s="1555" t="s">
        <v>1353</v>
      </c>
      <c r="AA53" s="1555" t="s">
        <v>9185</v>
      </c>
      <c r="AB53" s="1555" t="s">
        <v>9599</v>
      </c>
      <c r="AC53" s="1555" t="s">
        <v>485</v>
      </c>
      <c r="AD53" s="1553" t="s">
        <v>9875</v>
      </c>
      <c r="AE53" s="1553" t="s">
        <v>6578</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1635</v>
      </c>
      <c r="B54" s="1617" t="s">
        <v>8827</v>
      </c>
      <c r="C54" s="1597">
        <v>0.051319444444444445</v>
      </c>
      <c r="D54" s="773" t="s">
        <v>9889</v>
      </c>
      <c r="E54" s="1393" t="s">
        <v>9890</v>
      </c>
      <c r="F54" s="1393" t="s">
        <v>9891</v>
      </c>
      <c r="G54" s="1393" t="s">
        <v>9892</v>
      </c>
      <c r="H54" s="1393" t="s">
        <v>5069</v>
      </c>
      <c r="I54" s="1393" t="s">
        <v>6577</v>
      </c>
      <c r="J54" s="1393" t="s">
        <v>9893</v>
      </c>
      <c r="K54" s="1393" t="s">
        <v>8947</v>
      </c>
      <c r="L54" s="1393" t="s">
        <v>3955</v>
      </c>
      <c r="M54" s="1393" t="s">
        <v>9644</v>
      </c>
      <c r="N54" s="1393" t="s">
        <v>9438</v>
      </c>
      <c r="O54" s="1393" t="s">
        <v>9894</v>
      </c>
      <c r="P54" s="1618" t="s">
        <v>8836</v>
      </c>
      <c r="Q54" s="1393" t="s">
        <v>9895</v>
      </c>
      <c r="R54" s="1393" t="s">
        <v>5929</v>
      </c>
      <c r="S54" s="1393" t="s">
        <v>1159</v>
      </c>
      <c r="T54" s="1393" t="s">
        <v>9896</v>
      </c>
      <c r="U54" s="1393" t="s">
        <v>1006</v>
      </c>
      <c r="V54" s="1393" t="s">
        <v>454</v>
      </c>
      <c r="W54" s="1393" t="s">
        <v>9897</v>
      </c>
      <c r="X54" s="1393" t="s">
        <v>311</v>
      </c>
      <c r="Y54" s="1393" t="s">
        <v>9898</v>
      </c>
      <c r="Z54" s="1393" t="s">
        <v>7574</v>
      </c>
      <c r="AA54" s="1393" t="s">
        <v>9672</v>
      </c>
      <c r="AB54" s="1393" t="s">
        <v>4502</v>
      </c>
      <c r="AC54" s="1393" t="s">
        <v>6118</v>
      </c>
      <c r="AD54" s="1393" t="s">
        <v>9899</v>
      </c>
      <c r="AE54" s="1618" t="s">
        <v>5596</v>
      </c>
      <c r="AF54" s="1618" t="s">
        <v>2706</v>
      </c>
      <c r="AG54" s="1393" t="s">
        <v>4584</v>
      </c>
      <c r="AH54" s="1393" t="s">
        <v>9900</v>
      </c>
      <c r="AI54" s="1393" t="s">
        <v>9901</v>
      </c>
      <c r="AJ54" s="1393" t="s">
        <v>9902</v>
      </c>
      <c r="AK54" s="1393" t="s">
        <v>6070</v>
      </c>
      <c r="AL54" s="1393" t="s">
        <v>6298</v>
      </c>
      <c r="AM54" s="1618" t="s">
        <v>8850</v>
      </c>
      <c r="AN54" s="1489" t="s">
        <v>2471</v>
      </c>
      <c r="AO54" s="1393" t="s">
        <v>4946</v>
      </c>
      <c r="AP54" s="1393" t="s">
        <v>9903</v>
      </c>
      <c r="AQ54" s="1393" t="s">
        <v>9904</v>
      </c>
      <c r="AR54" s="1393" t="s">
        <v>7253</v>
      </c>
      <c r="AS54" s="1393" t="s">
        <v>4432</v>
      </c>
      <c r="AT54" s="1393" t="s">
        <v>9905</v>
      </c>
      <c r="AU54" s="1393" t="s">
        <v>9906</v>
      </c>
      <c r="AV54" s="1393" t="str">
        <f t="shared" si="1"/>
        <v>3:15</v>
      </c>
      <c r="AW54" s="1562" t="s">
        <v>9907</v>
      </c>
    </row>
    <row r="55">
      <c r="A55" s="1529" t="s">
        <v>1880</v>
      </c>
      <c r="B55" s="1517" t="s">
        <v>8774</v>
      </c>
      <c r="C55" s="1475">
        <v>0.05133101851851852</v>
      </c>
      <c r="D55" s="1604" t="s">
        <v>9908</v>
      </c>
      <c r="E55" s="1553" t="s">
        <v>9909</v>
      </c>
      <c r="F55" s="1553" t="s">
        <v>9910</v>
      </c>
      <c r="G55" s="1553" t="s">
        <v>9911</v>
      </c>
      <c r="H55" s="1096" t="s">
        <v>9912</v>
      </c>
      <c r="I55" s="1096" t="s">
        <v>3107</v>
      </c>
      <c r="J55" s="1537" t="s">
        <v>1867</v>
      </c>
      <c r="K55" s="1537" t="s">
        <v>9913</v>
      </c>
      <c r="L55" s="1537" t="s">
        <v>4173</v>
      </c>
      <c r="M55" s="1537" t="s">
        <v>9914</v>
      </c>
      <c r="N55" s="1537" t="s">
        <v>9040</v>
      </c>
      <c r="O55" s="1537" t="s">
        <v>9915</v>
      </c>
      <c r="P55" s="1537" t="s">
        <v>8993</v>
      </c>
      <c r="Q55" s="1540" t="s">
        <v>9916</v>
      </c>
      <c r="R55" s="1540" t="s">
        <v>9686</v>
      </c>
      <c r="S55" s="1540" t="s">
        <v>8096</v>
      </c>
      <c r="T55" s="1540" t="s">
        <v>9691</v>
      </c>
      <c r="U55" s="1540" t="s">
        <v>9917</v>
      </c>
      <c r="V55" s="1540" t="s">
        <v>9475</v>
      </c>
      <c r="W55" s="1555" t="s">
        <v>9918</v>
      </c>
      <c r="X55" s="1555" t="s">
        <v>9919</v>
      </c>
      <c r="Y55" s="1555" t="s">
        <v>5481</v>
      </c>
      <c r="Z55" s="1555" t="s">
        <v>1505</v>
      </c>
      <c r="AA55" s="1555" t="s">
        <v>9920</v>
      </c>
      <c r="AB55" s="1555" t="s">
        <v>6364</v>
      </c>
      <c r="AC55" s="1555" t="s">
        <v>265</v>
      </c>
      <c r="AD55" s="1553" t="s">
        <v>9251</v>
      </c>
      <c r="AE55" s="1553" t="s">
        <v>5481</v>
      </c>
      <c r="AF55" s="1556" t="s">
        <v>9921</v>
      </c>
      <c r="AG55" s="1556" t="s">
        <v>5860</v>
      </c>
      <c r="AH55" s="1556" t="s">
        <v>4054</v>
      </c>
      <c r="AI55" s="1556" t="s">
        <v>9922</v>
      </c>
      <c r="AJ55" s="1556" t="s">
        <v>9923</v>
      </c>
      <c r="AK55" s="1556" t="s">
        <v>9849</v>
      </c>
      <c r="AL55" s="1556" t="s">
        <v>4057</v>
      </c>
      <c r="AM55" s="1558" t="s">
        <v>9278</v>
      </c>
      <c r="AN55" s="1558" t="s">
        <v>4063</v>
      </c>
      <c r="AO55" s="1558" t="s">
        <v>9924</v>
      </c>
      <c r="AP55" s="1558" t="s">
        <v>9925</v>
      </c>
      <c r="AQ55" s="1558" t="s">
        <v>9513</v>
      </c>
      <c r="AR55" s="1558" t="s">
        <v>9926</v>
      </c>
      <c r="AS55" s="1558" t="s">
        <v>9927</v>
      </c>
      <c r="AT55" s="1537" t="s">
        <v>9928</v>
      </c>
      <c r="AU55" s="1519" t="s">
        <v>9929</v>
      </c>
      <c r="AV55" s="1393" t="str">
        <f t="shared" si="1"/>
        <v>1:34</v>
      </c>
      <c r="AW55" s="1595"/>
    </row>
    <row r="56">
      <c r="A56" s="1529" t="s">
        <v>2985</v>
      </c>
      <c r="B56" s="1517" t="s">
        <v>8774</v>
      </c>
      <c r="C56" s="1475">
        <v>0.05134259259259259</v>
      </c>
      <c r="D56" s="1553" t="s">
        <v>9930</v>
      </c>
      <c r="E56" s="1553" t="s">
        <v>6574</v>
      </c>
      <c r="F56" s="1553" t="s">
        <v>9931</v>
      </c>
      <c r="G56" s="1553" t="s">
        <v>9932</v>
      </c>
      <c r="H56" s="1553" t="s">
        <v>9933</v>
      </c>
      <c r="I56" s="1553" t="s">
        <v>1293</v>
      </c>
      <c r="J56" s="1537" t="s">
        <v>5023</v>
      </c>
      <c r="K56" s="1537" t="s">
        <v>7495</v>
      </c>
      <c r="L56" s="1537" t="s">
        <v>4867</v>
      </c>
      <c r="M56" s="1537" t="s">
        <v>3634</v>
      </c>
      <c r="N56" s="1537" t="s">
        <v>2011</v>
      </c>
      <c r="O56" s="1537" t="s">
        <v>9934</v>
      </c>
      <c r="P56" s="1537" t="s">
        <v>4541</v>
      </c>
      <c r="Q56" s="1540" t="s">
        <v>9935</v>
      </c>
      <c r="R56" s="1540" t="s">
        <v>2590</v>
      </c>
      <c r="S56" s="1540" t="s">
        <v>9936</v>
      </c>
      <c r="T56" s="1540" t="s">
        <v>9937</v>
      </c>
      <c r="U56" s="1540" t="s">
        <v>9782</v>
      </c>
      <c r="V56" s="1540" t="s">
        <v>9938</v>
      </c>
      <c r="W56" s="1555" t="s">
        <v>9939</v>
      </c>
      <c r="X56" s="1555" t="s">
        <v>8847</v>
      </c>
      <c r="Y56" s="1555" t="s">
        <v>9385</v>
      </c>
      <c r="Z56" s="1555" t="s">
        <v>3030</v>
      </c>
      <c r="AA56" s="1489" t="s">
        <v>593</v>
      </c>
      <c r="AB56" s="1555" t="s">
        <v>9115</v>
      </c>
      <c r="AC56" s="1555" t="s">
        <v>9400</v>
      </c>
      <c r="AD56" s="1553" t="s">
        <v>9940</v>
      </c>
      <c r="AE56" s="1553" t="s">
        <v>9941</v>
      </c>
      <c r="AF56" s="1556" t="s">
        <v>9942</v>
      </c>
      <c r="AG56" s="1556" t="s">
        <v>9943</v>
      </c>
      <c r="AH56" s="1556" t="s">
        <v>1906</v>
      </c>
      <c r="AI56" s="1556" t="s">
        <v>421</v>
      </c>
      <c r="AJ56" s="1556" t="s">
        <v>9944</v>
      </c>
      <c r="AK56" s="1556" t="s">
        <v>9945</v>
      </c>
      <c r="AL56" s="1556" t="s">
        <v>5686</v>
      </c>
      <c r="AM56" s="1558" t="s">
        <v>9946</v>
      </c>
      <c r="AN56" s="1558" t="s">
        <v>6531</v>
      </c>
      <c r="AO56" s="1558" t="s">
        <v>9947</v>
      </c>
      <c r="AP56" s="1558" t="s">
        <v>9948</v>
      </c>
      <c r="AQ56" s="1558" t="s">
        <v>9513</v>
      </c>
      <c r="AR56" s="1558" t="s">
        <v>9949</v>
      </c>
      <c r="AS56" s="1558" t="s">
        <v>1905</v>
      </c>
      <c r="AT56" s="1537" t="s">
        <v>9950</v>
      </c>
      <c r="AU56" s="1519" t="s">
        <v>9816</v>
      </c>
      <c r="AV56" s="1393" t="str">
        <f t="shared" si="1"/>
        <v>2:56</v>
      </c>
      <c r="AW56" s="1520" t="s">
        <v>9951</v>
      </c>
    </row>
    <row r="57" ht="15.75" customHeight="1">
      <c r="A57" s="1486" t="s">
        <v>1417</v>
      </c>
      <c r="B57" s="1617" t="s">
        <v>8827</v>
      </c>
      <c r="C57" s="1597">
        <v>0.05134259259259259</v>
      </c>
      <c r="D57" s="773" t="s">
        <v>9952</v>
      </c>
      <c r="E57" s="1566" t="s">
        <v>5995</v>
      </c>
      <c r="F57" s="1566" t="s">
        <v>9931</v>
      </c>
      <c r="G57" s="1566" t="s">
        <v>9953</v>
      </c>
      <c r="H57" s="1161" t="s">
        <v>9954</v>
      </c>
      <c r="I57" s="1619" t="s">
        <v>351</v>
      </c>
      <c r="J57" s="1567" t="s">
        <v>9955</v>
      </c>
      <c r="K57" s="1567" t="s">
        <v>4034</v>
      </c>
      <c r="L57" s="1620" t="s">
        <v>3799</v>
      </c>
      <c r="M57" s="1567" t="s">
        <v>5643</v>
      </c>
      <c r="N57" s="1567" t="s">
        <v>9956</v>
      </c>
      <c r="O57" s="1620" t="s">
        <v>8835</v>
      </c>
      <c r="P57" s="1567" t="s">
        <v>389</v>
      </c>
      <c r="Q57" s="1568" t="s">
        <v>9957</v>
      </c>
      <c r="R57" s="1568" t="s">
        <v>1626</v>
      </c>
      <c r="S57" s="1568" t="s">
        <v>9958</v>
      </c>
      <c r="T57" s="1621" t="s">
        <v>8839</v>
      </c>
      <c r="U57" s="1568" t="s">
        <v>9959</v>
      </c>
      <c r="V57" s="1568" t="s">
        <v>4056</v>
      </c>
      <c r="W57" s="1622" t="s">
        <v>8841</v>
      </c>
      <c r="X57" s="1569" t="s">
        <v>4358</v>
      </c>
      <c r="Y57" s="1569" t="s">
        <v>6577</v>
      </c>
      <c r="Z57" s="1569" t="s">
        <v>7863</v>
      </c>
      <c r="AA57" s="1569" t="s">
        <v>9342</v>
      </c>
      <c r="AB57" s="1622" t="s">
        <v>8845</v>
      </c>
      <c r="AC57" s="1569" t="s">
        <v>6669</v>
      </c>
      <c r="AD57" s="1558" t="s">
        <v>9960</v>
      </c>
      <c r="AE57" s="1566" t="s">
        <v>9961</v>
      </c>
      <c r="AF57" s="1570" t="s">
        <v>9962</v>
      </c>
      <c r="AG57" s="1570" t="s">
        <v>9963</v>
      </c>
      <c r="AH57" s="1570" t="s">
        <v>9964</v>
      </c>
      <c r="AI57" s="1570" t="s">
        <v>9965</v>
      </c>
      <c r="AJ57" s="1570" t="s">
        <v>9966</v>
      </c>
      <c r="AK57" s="1623" t="s">
        <v>886</v>
      </c>
      <c r="AL57" s="1570" t="s">
        <v>1569</v>
      </c>
      <c r="AM57" s="1557" t="s">
        <v>9809</v>
      </c>
      <c r="AN57" s="1558" t="s">
        <v>4674</v>
      </c>
      <c r="AO57" s="1557" t="s">
        <v>9967</v>
      </c>
      <c r="AP57" s="1557" t="s">
        <v>9968</v>
      </c>
      <c r="AQ57" s="1557" t="s">
        <v>9969</v>
      </c>
      <c r="AR57" s="1557" t="s">
        <v>9970</v>
      </c>
      <c r="AS57" s="1557" t="s">
        <v>4613</v>
      </c>
      <c r="AT57" s="1567" t="s">
        <v>9971</v>
      </c>
      <c r="AU57" s="1571" t="s">
        <v>9972</v>
      </c>
      <c r="AV57" s="1393" t="str">
        <f t="shared" si="1"/>
        <v>1:58</v>
      </c>
      <c r="AW57" s="1595"/>
    </row>
    <row r="58" ht="15.75" customHeight="1">
      <c r="A58" s="1473" t="s">
        <v>3369</v>
      </c>
      <c r="B58" s="1474" t="s">
        <v>8774</v>
      </c>
      <c r="C58" s="1597">
        <v>0.05134259259259259</v>
      </c>
      <c r="D58" s="773" t="s">
        <v>9973</v>
      </c>
      <c r="E58" s="1393" t="s">
        <v>9974</v>
      </c>
      <c r="F58" s="1393" t="s">
        <v>9975</v>
      </c>
      <c r="G58" s="1393" t="s">
        <v>7891</v>
      </c>
      <c r="H58" s="1393" t="s">
        <v>9029</v>
      </c>
      <c r="I58" s="1393" t="s">
        <v>6301</v>
      </c>
      <c r="J58" s="1393" t="s">
        <v>9976</v>
      </c>
      <c r="K58" s="1393" t="s">
        <v>3962</v>
      </c>
      <c r="L58" s="1393" t="s">
        <v>9977</v>
      </c>
      <c r="M58" s="1393" t="s">
        <v>9978</v>
      </c>
      <c r="N58" s="1393" t="s">
        <v>2891</v>
      </c>
      <c r="O58" s="1393" t="s">
        <v>9979</v>
      </c>
      <c r="P58" s="1393" t="s">
        <v>1084</v>
      </c>
      <c r="Q58" s="1393" t="s">
        <v>2462</v>
      </c>
      <c r="R58" s="1393" t="s">
        <v>9686</v>
      </c>
      <c r="S58" s="1393" t="s">
        <v>9558</v>
      </c>
      <c r="T58" s="1393" t="s">
        <v>9980</v>
      </c>
      <c r="U58" s="1393" t="s">
        <v>9981</v>
      </c>
      <c r="V58" s="1393" t="s">
        <v>8812</v>
      </c>
      <c r="W58" s="1393" t="s">
        <v>9982</v>
      </c>
      <c r="X58" s="1393" t="s">
        <v>9983</v>
      </c>
      <c r="Y58" s="1393" t="s">
        <v>389</v>
      </c>
      <c r="Z58" s="1393" t="s">
        <v>7255</v>
      </c>
      <c r="AA58" s="1393" t="s">
        <v>9508</v>
      </c>
      <c r="AB58" s="1393" t="s">
        <v>8884</v>
      </c>
      <c r="AC58" s="1393" t="s">
        <v>849</v>
      </c>
      <c r="AD58" s="1393" t="s">
        <v>9984</v>
      </c>
      <c r="AE58" s="1393" t="s">
        <v>389</v>
      </c>
      <c r="AF58" s="1393" t="s">
        <v>9985</v>
      </c>
      <c r="AG58" s="1393" t="s">
        <v>9986</v>
      </c>
      <c r="AH58" s="1393" t="s">
        <v>5209</v>
      </c>
      <c r="AI58" s="1393" t="s">
        <v>9987</v>
      </c>
      <c r="AJ58" s="1393" t="s">
        <v>9923</v>
      </c>
      <c r="AK58" s="1393" t="s">
        <v>7595</v>
      </c>
      <c r="AL58" s="1393" t="s">
        <v>3307</v>
      </c>
      <c r="AM58" s="1393" t="s">
        <v>4138</v>
      </c>
      <c r="AN58" s="1393" t="s">
        <v>5812</v>
      </c>
      <c r="AO58" s="1393" t="s">
        <v>6489</v>
      </c>
      <c r="AP58" s="1393" t="s">
        <v>9988</v>
      </c>
      <c r="AQ58" s="1393" t="s">
        <v>9989</v>
      </c>
      <c r="AR58" s="1393" t="s">
        <v>9990</v>
      </c>
      <c r="AS58" s="1557" t="s">
        <v>4420</v>
      </c>
      <c r="AT58" s="1393" t="s">
        <v>9991</v>
      </c>
      <c r="AU58" s="1393" t="s">
        <v>9211</v>
      </c>
      <c r="AV58" s="1393" t="str">
        <f t="shared" si="1"/>
        <v>2:27</v>
      </c>
      <c r="AW58" s="1562"/>
    </row>
    <row r="59" ht="15.75" customHeight="1">
      <c r="A59" s="1529" t="s">
        <v>1348</v>
      </c>
      <c r="B59" s="1527" t="s">
        <v>8827</v>
      </c>
      <c r="C59" s="1475">
        <v>0.05140046296296296</v>
      </c>
      <c r="D59" s="1489" t="s">
        <v>9992</v>
      </c>
      <c r="E59" s="1489" t="s">
        <v>1659</v>
      </c>
      <c r="F59" s="1489" t="s">
        <v>9993</v>
      </c>
      <c r="G59" s="1608" t="s">
        <v>8831</v>
      </c>
      <c r="H59" s="773" t="s">
        <v>9994</v>
      </c>
      <c r="I59" s="1489" t="s">
        <v>1759</v>
      </c>
      <c r="J59" s="1608" t="s">
        <v>8833</v>
      </c>
      <c r="K59" s="1489" t="s">
        <v>7791</v>
      </c>
      <c r="L59" s="1489" t="s">
        <v>9995</v>
      </c>
      <c r="M59" s="1608" t="s">
        <v>8834</v>
      </c>
      <c r="N59" s="1489" t="s">
        <v>9996</v>
      </c>
      <c r="O59" s="1489" t="s">
        <v>9997</v>
      </c>
      <c r="P59" s="1489" t="s">
        <v>1046</v>
      </c>
      <c r="Q59" s="1489" t="s">
        <v>9780</v>
      </c>
      <c r="R59" s="1489" t="s">
        <v>9998</v>
      </c>
      <c r="S59" s="1489" t="s">
        <v>8896</v>
      </c>
      <c r="T59" s="1489" t="s">
        <v>3208</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2596</v>
      </c>
      <c r="AF59" s="1489" t="s">
        <v>10003</v>
      </c>
      <c r="AG59" s="1608" t="s">
        <v>4597</v>
      </c>
      <c r="AH59" s="1608" t="s">
        <v>5231</v>
      </c>
      <c r="AI59" s="1489" t="s">
        <v>10004</v>
      </c>
      <c r="AJ59" s="1489" t="s">
        <v>10005</v>
      </c>
      <c r="AK59" s="1489" t="s">
        <v>6966</v>
      </c>
      <c r="AL59" s="1489" t="s">
        <v>3954</v>
      </c>
      <c r="AM59" s="1489" t="s">
        <v>10006</v>
      </c>
      <c r="AN59" s="1489" t="s">
        <v>3810</v>
      </c>
      <c r="AO59" s="1608" t="s">
        <v>8852</v>
      </c>
      <c r="AP59" s="1625" t="s">
        <v>8853</v>
      </c>
      <c r="AQ59" s="1489" t="s">
        <v>3234</v>
      </c>
      <c r="AR59" s="1489" t="s">
        <v>1622</v>
      </c>
      <c r="AS59" s="1489" t="s">
        <v>4749</v>
      </c>
      <c r="AT59" s="1489" t="s">
        <v>10007</v>
      </c>
      <c r="AU59" s="1489" t="s">
        <v>9211</v>
      </c>
      <c r="AV59" s="1393" t="str">
        <f t="shared" si="1"/>
        <v>2:22</v>
      </c>
      <c r="AW59" s="1528" t="s">
        <v>10008</v>
      </c>
    </row>
    <row r="60" ht="15.75" customHeight="1">
      <c r="A60" s="1529" t="s">
        <v>4040</v>
      </c>
      <c r="B60" s="1517" t="s">
        <v>8774</v>
      </c>
      <c r="C60" s="1475">
        <v>0.05153935185185185</v>
      </c>
      <c r="D60" s="1579" t="s">
        <v>10009</v>
      </c>
      <c r="E60" s="1579" t="s">
        <v>6881</v>
      </c>
      <c r="F60" s="1579" t="s">
        <v>10010</v>
      </c>
      <c r="G60" s="1579" t="s">
        <v>4954</v>
      </c>
      <c r="H60" s="773" t="s">
        <v>10011</v>
      </c>
      <c r="I60" s="1579" t="s">
        <v>1293</v>
      </c>
      <c r="J60" s="1579" t="s">
        <v>10012</v>
      </c>
      <c r="K60" s="1579" t="s">
        <v>3669</v>
      </c>
      <c r="L60" s="1579" t="s">
        <v>4212</v>
      </c>
      <c r="M60" s="1579" t="s">
        <v>7413</v>
      </c>
      <c r="N60" s="1579" t="s">
        <v>10013</v>
      </c>
      <c r="O60" s="1579" t="s">
        <v>3792</v>
      </c>
      <c r="P60" s="1579" t="s">
        <v>7220</v>
      </c>
      <c r="Q60" s="1579" t="s">
        <v>10014</v>
      </c>
      <c r="R60" s="1579" t="s">
        <v>3429</v>
      </c>
      <c r="S60" s="1626" t="s">
        <v>9642</v>
      </c>
      <c r="T60" s="1579" t="s">
        <v>9459</v>
      </c>
      <c r="U60" s="1579" t="s">
        <v>10015</v>
      </c>
      <c r="V60" s="1579" t="s">
        <v>1792</v>
      </c>
      <c r="W60" s="1579" t="s">
        <v>10016</v>
      </c>
      <c r="X60" s="1579" t="s">
        <v>1676</v>
      </c>
      <c r="Y60" s="1579" t="s">
        <v>3683</v>
      </c>
      <c r="Z60" s="1579" t="s">
        <v>7565</v>
      </c>
      <c r="AA60" s="1579" t="s">
        <v>965</v>
      </c>
      <c r="AB60" s="1579" t="s">
        <v>10017</v>
      </c>
      <c r="AC60" s="1579" t="s">
        <v>10002</v>
      </c>
      <c r="AD60" s="1579" t="s">
        <v>10018</v>
      </c>
      <c r="AE60" s="1579" t="s">
        <v>4961</v>
      </c>
      <c r="AF60" s="1481" t="s">
        <v>10019</v>
      </c>
      <c r="AG60" s="1579" t="s">
        <v>10020</v>
      </c>
      <c r="AH60" s="1579" t="s">
        <v>10021</v>
      </c>
      <c r="AI60" s="1579" t="s">
        <v>10022</v>
      </c>
      <c r="AJ60" s="1579" t="s">
        <v>10023</v>
      </c>
      <c r="AK60" s="1579" t="s">
        <v>5129</v>
      </c>
      <c r="AL60" s="1579" t="s">
        <v>9811</v>
      </c>
      <c r="AM60" s="1579" t="s">
        <v>10004</v>
      </c>
      <c r="AN60" s="1579" t="s">
        <v>2585</v>
      </c>
      <c r="AO60" s="1579" t="s">
        <v>5758</v>
      </c>
      <c r="AP60" s="1626" t="s">
        <v>9747</v>
      </c>
      <c r="AQ60" s="1579" t="s">
        <v>10024</v>
      </c>
      <c r="AR60" s="1579" t="s">
        <v>5023</v>
      </c>
      <c r="AS60" s="1579" t="s">
        <v>9425</v>
      </c>
      <c r="AT60" s="1579" t="s">
        <v>10025</v>
      </c>
      <c r="AU60" s="1579" t="s">
        <v>10026</v>
      </c>
      <c r="AV60" s="1393" t="str">
        <f t="shared" si="1"/>
        <v>2:41</v>
      </c>
      <c r="AW60" s="1627" t="s">
        <v>10027</v>
      </c>
    </row>
    <row r="61" ht="15.75" customHeight="1">
      <c r="A61" s="1473" t="s">
        <v>1961</v>
      </c>
      <c r="B61" s="1474" t="s">
        <v>8774</v>
      </c>
      <c r="C61" s="1475">
        <v>0.05157407407407407</v>
      </c>
      <c r="D61" s="773" t="s">
        <v>10028</v>
      </c>
      <c r="E61" s="1553" t="s">
        <v>10029</v>
      </c>
      <c r="F61" s="1553" t="s">
        <v>10030</v>
      </c>
      <c r="G61" s="1566" t="s">
        <v>9519</v>
      </c>
      <c r="H61" s="1161" t="s">
        <v>10031</v>
      </c>
      <c r="I61" s="1161" t="s">
        <v>2100</v>
      </c>
      <c r="J61" s="1567" t="s">
        <v>5451</v>
      </c>
      <c r="K61" s="1567" t="s">
        <v>3445</v>
      </c>
      <c r="L61" s="1567" t="s">
        <v>10032</v>
      </c>
      <c r="M61" s="1567" t="s">
        <v>9683</v>
      </c>
      <c r="N61" s="1567" t="s">
        <v>1230</v>
      </c>
      <c r="O61" s="1567" t="s">
        <v>9999</v>
      </c>
      <c r="P61" s="1567" t="s">
        <v>10033</v>
      </c>
      <c r="Q61" s="1568" t="s">
        <v>10034</v>
      </c>
      <c r="R61" s="1568" t="s">
        <v>10035</v>
      </c>
      <c r="S61" s="1568" t="s">
        <v>10036</v>
      </c>
      <c r="T61" s="1568" t="s">
        <v>7569</v>
      </c>
      <c r="U61" s="1568" t="s">
        <v>2764</v>
      </c>
      <c r="V61" s="1568" t="s">
        <v>5098</v>
      </c>
      <c r="W61" s="1569" t="s">
        <v>10037</v>
      </c>
      <c r="X61" s="1569" t="s">
        <v>10038</v>
      </c>
      <c r="Y61" s="1569" t="s">
        <v>9898</v>
      </c>
      <c r="Z61" s="1569" t="s">
        <v>8845</v>
      </c>
      <c r="AA61" s="1569" t="s">
        <v>6161</v>
      </c>
      <c r="AB61" s="1569" t="s">
        <v>5891</v>
      </c>
      <c r="AC61" s="1569" t="s">
        <v>6442</v>
      </c>
      <c r="AD61" s="1553" t="s">
        <v>10039</v>
      </c>
      <c r="AE61" s="1566" t="s">
        <v>5502</v>
      </c>
      <c r="AF61" s="1570" t="s">
        <v>10040</v>
      </c>
      <c r="AG61" s="1570" t="s">
        <v>10041</v>
      </c>
      <c r="AH61" s="1570" t="s">
        <v>10042</v>
      </c>
      <c r="AI61" s="1570" t="s">
        <v>1037</v>
      </c>
      <c r="AJ61" s="1570" t="s">
        <v>10043</v>
      </c>
      <c r="AK61" s="1556" t="s">
        <v>630</v>
      </c>
      <c r="AL61" s="1556" t="s">
        <v>10044</v>
      </c>
      <c r="AM61" s="1557" t="s">
        <v>3723</v>
      </c>
      <c r="AN61" s="1557" t="s">
        <v>10045</v>
      </c>
      <c r="AO61" s="1557" t="s">
        <v>10046</v>
      </c>
      <c r="AP61" s="1557" t="s">
        <v>10047</v>
      </c>
      <c r="AQ61" s="1557" t="s">
        <v>10048</v>
      </c>
      <c r="AR61" s="1558" t="s">
        <v>8092</v>
      </c>
      <c r="AS61" s="1557" t="s">
        <v>4420</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6724</v>
      </c>
      <c r="F62" s="1553" t="s">
        <v>8975</v>
      </c>
      <c r="G62" s="1553" t="s">
        <v>10054</v>
      </c>
      <c r="H62" s="1096" t="s">
        <v>10055</v>
      </c>
      <c r="I62" s="1096" t="s">
        <v>10056</v>
      </c>
      <c r="J62" s="1537" t="s">
        <v>10057</v>
      </c>
      <c r="K62" s="1537" t="s">
        <v>6966</v>
      </c>
      <c r="L62" s="1537" t="s">
        <v>4451</v>
      </c>
      <c r="M62" s="1537" t="s">
        <v>2926</v>
      </c>
      <c r="N62" s="1537" t="s">
        <v>9456</v>
      </c>
      <c r="O62" s="1537" t="s">
        <v>10058</v>
      </c>
      <c r="P62" s="1537" t="s">
        <v>2174</v>
      </c>
      <c r="Q62" s="1540" t="s">
        <v>10059</v>
      </c>
      <c r="R62" s="1540" t="s">
        <v>5929</v>
      </c>
      <c r="S62" s="1540" t="s">
        <v>5606</v>
      </c>
      <c r="T62" s="1540" t="s">
        <v>6282</v>
      </c>
      <c r="U62" s="1540" t="s">
        <v>10060</v>
      </c>
      <c r="V62" s="1540" t="s">
        <v>10061</v>
      </c>
      <c r="W62" s="1555" t="s">
        <v>10062</v>
      </c>
      <c r="X62" s="1555" t="s">
        <v>630</v>
      </c>
      <c r="Y62" s="1555" t="s">
        <v>5088</v>
      </c>
      <c r="Z62" s="1555" t="s">
        <v>10063</v>
      </c>
      <c r="AA62" s="1489" t="s">
        <v>10064</v>
      </c>
      <c r="AB62" s="1555" t="s">
        <v>9376</v>
      </c>
      <c r="AC62" s="1555" t="s">
        <v>4713</v>
      </c>
      <c r="AD62" s="1553" t="s">
        <v>10065</v>
      </c>
      <c r="AE62" s="1553" t="s">
        <v>9334</v>
      </c>
      <c r="AF62" s="1628" t="s">
        <v>10066</v>
      </c>
      <c r="AG62" s="1556" t="s">
        <v>6848</v>
      </c>
      <c r="AH62" s="1556" t="s">
        <v>10042</v>
      </c>
      <c r="AI62" s="1556" t="s">
        <v>4112</v>
      </c>
      <c r="AJ62" s="1556" t="s">
        <v>10067</v>
      </c>
      <c r="AK62" s="1556" t="s">
        <v>1526</v>
      </c>
      <c r="AL62" s="1556" t="s">
        <v>3510</v>
      </c>
      <c r="AM62" s="1558" t="s">
        <v>6161</v>
      </c>
      <c r="AN62" s="1558" t="s">
        <v>5686</v>
      </c>
      <c r="AO62" s="1558" t="s">
        <v>6655</v>
      </c>
      <c r="AP62" s="1558" t="s">
        <v>10068</v>
      </c>
      <c r="AQ62" s="1558" t="s">
        <v>3453</v>
      </c>
      <c r="AR62" s="1558" t="s">
        <v>9618</v>
      </c>
      <c r="AS62" s="1558" t="s">
        <v>4085</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3446</v>
      </c>
      <c r="K63" s="361" t="s">
        <v>10077</v>
      </c>
      <c r="L63" s="361" t="s">
        <v>5276</v>
      </c>
      <c r="M63" s="361" t="s">
        <v>712</v>
      </c>
      <c r="N63" s="361" t="s">
        <v>10078</v>
      </c>
      <c r="O63" s="361" t="s">
        <v>4722</v>
      </c>
      <c r="P63" s="361" t="s">
        <v>8806</v>
      </c>
      <c r="Q63" s="361" t="s">
        <v>2779</v>
      </c>
      <c r="R63" s="361" t="s">
        <v>10079</v>
      </c>
      <c r="S63" s="361" t="s">
        <v>9860</v>
      </c>
      <c r="T63" s="361" t="s">
        <v>9278</v>
      </c>
      <c r="U63" s="361" t="s">
        <v>10080</v>
      </c>
      <c r="V63" s="361" t="s">
        <v>10081</v>
      </c>
      <c r="W63" s="361" t="s">
        <v>10082</v>
      </c>
      <c r="X63" s="361" t="s">
        <v>10004</v>
      </c>
      <c r="Y63" s="361" t="s">
        <v>4713</v>
      </c>
      <c r="Z63" s="361" t="s">
        <v>7459</v>
      </c>
      <c r="AA63" s="361" t="s">
        <v>5928</v>
      </c>
      <c r="AB63" s="361" t="s">
        <v>10083</v>
      </c>
      <c r="AC63" s="361" t="s">
        <v>389</v>
      </c>
      <c r="AD63" s="361" t="s">
        <v>6102</v>
      </c>
      <c r="AE63" s="361" t="s">
        <v>3107</v>
      </c>
      <c r="AF63" s="361" t="s">
        <v>9753</v>
      </c>
      <c r="AG63" s="361" t="s">
        <v>10084</v>
      </c>
      <c r="AH63" s="361" t="s">
        <v>5418</v>
      </c>
      <c r="AI63" s="361" t="s">
        <v>3574</v>
      </c>
      <c r="AJ63" s="361" t="s">
        <v>10085</v>
      </c>
      <c r="AK63" s="361" t="s">
        <v>9920</v>
      </c>
      <c r="AL63" s="361" t="s">
        <v>5202</v>
      </c>
      <c r="AM63" s="361" t="s">
        <v>10086</v>
      </c>
      <c r="AN63" s="361" t="s">
        <v>8622</v>
      </c>
      <c r="AO63" s="361" t="s">
        <v>5141</v>
      </c>
      <c r="AP63" s="361" t="s">
        <v>10087</v>
      </c>
      <c r="AQ63" s="361" t="s">
        <v>3689</v>
      </c>
      <c r="AR63" s="361" t="s">
        <v>9440</v>
      </c>
      <c r="AS63" s="361" t="s">
        <v>4700</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6881</v>
      </c>
      <c r="F64" s="361" t="s">
        <v>10091</v>
      </c>
      <c r="G64" s="361" t="s">
        <v>5351</v>
      </c>
      <c r="H64" s="361" t="s">
        <v>9663</v>
      </c>
      <c r="I64" s="361" t="s">
        <v>4713</v>
      </c>
      <c r="J64" s="361" t="s">
        <v>8964</v>
      </c>
      <c r="K64" s="361" t="s">
        <v>8634</v>
      </c>
      <c r="L64" s="361" t="s">
        <v>5874</v>
      </c>
      <c r="M64" s="361" t="s">
        <v>938</v>
      </c>
      <c r="N64" s="361" t="s">
        <v>10092</v>
      </c>
      <c r="O64" s="361" t="s">
        <v>9894</v>
      </c>
      <c r="P64" s="361" t="s">
        <v>9756</v>
      </c>
      <c r="Q64" s="361" t="s">
        <v>10093</v>
      </c>
      <c r="R64" s="361" t="s">
        <v>10035</v>
      </c>
      <c r="S64" s="361" t="s">
        <v>7486</v>
      </c>
      <c r="T64" s="361" t="s">
        <v>10094</v>
      </c>
      <c r="U64" s="361" t="s">
        <v>10095</v>
      </c>
      <c r="V64" s="361" t="s">
        <v>10096</v>
      </c>
      <c r="W64" s="361" t="s">
        <v>10097</v>
      </c>
      <c r="X64" s="361" t="s">
        <v>10098</v>
      </c>
      <c r="Y64" s="361" t="s">
        <v>1164</v>
      </c>
      <c r="Z64" s="361" t="s">
        <v>4856</v>
      </c>
      <c r="AA64" s="361" t="s">
        <v>10099</v>
      </c>
      <c r="AB64" s="361" t="s">
        <v>7542</v>
      </c>
      <c r="AC64" s="361" t="s">
        <v>10100</v>
      </c>
      <c r="AD64" s="361" t="s">
        <v>10101</v>
      </c>
      <c r="AE64" s="1579" t="s">
        <v>5481</v>
      </c>
      <c r="AF64" s="361" t="s">
        <v>10102</v>
      </c>
      <c r="AG64" s="361" t="s">
        <v>10103</v>
      </c>
      <c r="AH64" s="361" t="s">
        <v>2254</v>
      </c>
      <c r="AI64" s="361" t="s">
        <v>5232</v>
      </c>
      <c r="AJ64" s="361" t="s">
        <v>8439</v>
      </c>
      <c r="AK64" s="361" t="s">
        <v>1707</v>
      </c>
      <c r="AL64" s="361" t="s">
        <v>5686</v>
      </c>
      <c r="AM64" s="361" t="s">
        <v>10104</v>
      </c>
      <c r="AN64" s="361" t="s">
        <v>10105</v>
      </c>
      <c r="AO64" s="361" t="s">
        <v>9076</v>
      </c>
      <c r="AP64" s="361" t="s">
        <v>4916</v>
      </c>
      <c r="AQ64" s="361" t="s">
        <v>10106</v>
      </c>
      <c r="AR64" s="361" t="s">
        <v>4843</v>
      </c>
      <c r="AS64" s="361" t="s">
        <v>3034</v>
      </c>
      <c r="AT64" s="361" t="s">
        <v>10107</v>
      </c>
      <c r="AU64" s="361" t="s">
        <v>10108</v>
      </c>
      <c r="AV64" s="1393" t="str">
        <f t="shared" si="1"/>
        <v>3:33</v>
      </c>
      <c r="AW64" s="1630"/>
    </row>
    <row r="65" ht="15.75" customHeight="1">
      <c r="A65" s="1473" t="s">
        <v>4217</v>
      </c>
      <c r="B65" s="1474" t="s">
        <v>8774</v>
      </c>
      <c r="C65" s="1597">
        <v>0.05164351851851852</v>
      </c>
      <c r="D65" s="773" t="s">
        <v>10109</v>
      </c>
      <c r="E65" s="361" t="s">
        <v>8984</v>
      </c>
      <c r="F65" s="361" t="s">
        <v>10110</v>
      </c>
      <c r="G65" s="361" t="s">
        <v>8831</v>
      </c>
      <c r="H65" s="361" t="s">
        <v>10111</v>
      </c>
      <c r="I65" s="361" t="s">
        <v>1293</v>
      </c>
      <c r="J65" s="361" t="s">
        <v>805</v>
      </c>
      <c r="K65" s="361" t="s">
        <v>7437</v>
      </c>
      <c r="L65" s="361" t="s">
        <v>3724</v>
      </c>
      <c r="M65" s="361" t="s">
        <v>2926</v>
      </c>
      <c r="N65" s="361" t="s">
        <v>9155</v>
      </c>
      <c r="O65" s="361" t="s">
        <v>9760</v>
      </c>
      <c r="P65" s="361" t="s">
        <v>5187</v>
      </c>
      <c r="Q65" s="361" t="s">
        <v>10112</v>
      </c>
      <c r="R65" s="361" t="s">
        <v>8714</v>
      </c>
      <c r="S65" s="361" t="s">
        <v>10113</v>
      </c>
      <c r="T65" s="361" t="s">
        <v>10114</v>
      </c>
      <c r="U65" s="361" t="s">
        <v>10115</v>
      </c>
      <c r="V65" s="361" t="s">
        <v>10116</v>
      </c>
      <c r="W65" s="361" t="s">
        <v>10117</v>
      </c>
      <c r="X65" s="361" t="s">
        <v>609</v>
      </c>
      <c r="Y65" s="361" t="s">
        <v>10118</v>
      </c>
      <c r="Z65" s="361" t="s">
        <v>7863</v>
      </c>
      <c r="AA65" s="361" t="s">
        <v>5610</v>
      </c>
      <c r="AB65" s="361" t="s">
        <v>6656</v>
      </c>
      <c r="AC65" s="361" t="s">
        <v>6817</v>
      </c>
      <c r="AD65" s="361" t="s">
        <v>10119</v>
      </c>
      <c r="AE65" s="361" t="s">
        <v>1849</v>
      </c>
      <c r="AF65" s="361" t="s">
        <v>10120</v>
      </c>
      <c r="AG65" s="361" t="s">
        <v>529</v>
      </c>
      <c r="AH65" s="361" t="s">
        <v>5418</v>
      </c>
      <c r="AI65" s="361" t="s">
        <v>10121</v>
      </c>
      <c r="AJ65" s="361" t="s">
        <v>10122</v>
      </c>
      <c r="AK65" s="361" t="s">
        <v>10123</v>
      </c>
      <c r="AL65" s="361" t="s">
        <v>5184</v>
      </c>
      <c r="AM65" s="361" t="s">
        <v>9562</v>
      </c>
      <c r="AN65" s="361" t="s">
        <v>9217</v>
      </c>
      <c r="AO65" s="361" t="s">
        <v>9970</v>
      </c>
      <c r="AP65" s="361" t="s">
        <v>10124</v>
      </c>
      <c r="AQ65" s="361" t="s">
        <v>10125</v>
      </c>
      <c r="AR65" s="361" t="s">
        <v>3620</v>
      </c>
      <c r="AS65" s="361" t="s">
        <v>10126</v>
      </c>
      <c r="AT65" s="361" t="s">
        <v>9921</v>
      </c>
      <c r="AU65" s="361" t="s">
        <v>10127</v>
      </c>
      <c r="AV65" s="1393" t="str">
        <f t="shared" si="1"/>
        <v>3:13</v>
      </c>
      <c r="AW65" s="1630" t="s">
        <v>10128</v>
      </c>
    </row>
    <row r="66" ht="15.75" customHeight="1">
      <c r="A66" s="1486" t="s">
        <v>900</v>
      </c>
      <c r="B66" s="1617" t="s">
        <v>8827</v>
      </c>
      <c r="C66" s="1597">
        <v>0.05167824074074074</v>
      </c>
      <c r="D66" s="773" t="s">
        <v>10129</v>
      </c>
      <c r="E66" s="361" t="s">
        <v>10130</v>
      </c>
      <c r="F66" s="361" t="s">
        <v>5934</v>
      </c>
      <c r="G66" s="361" t="s">
        <v>10131</v>
      </c>
      <c r="H66" s="361" t="s">
        <v>10132</v>
      </c>
      <c r="I66" s="361" t="s">
        <v>1838</v>
      </c>
      <c r="J66" s="361" t="s">
        <v>9996</v>
      </c>
      <c r="K66" s="361" t="s">
        <v>9136</v>
      </c>
      <c r="L66" s="361" t="s">
        <v>1899</v>
      </c>
      <c r="M66" s="361" t="s">
        <v>7529</v>
      </c>
      <c r="N66" s="361" t="s">
        <v>10133</v>
      </c>
      <c r="O66" s="361" t="s">
        <v>10134</v>
      </c>
      <c r="P66" s="361" t="s">
        <v>2382</v>
      </c>
      <c r="Q66" s="361" t="s">
        <v>720</v>
      </c>
      <c r="R66" s="361" t="s">
        <v>10135</v>
      </c>
      <c r="S66" s="361" t="s">
        <v>10136</v>
      </c>
      <c r="T66" s="361" t="s">
        <v>10137</v>
      </c>
      <c r="U66" s="361" t="s">
        <v>9715</v>
      </c>
      <c r="V66" s="361" t="s">
        <v>490</v>
      </c>
      <c r="W66" s="361" t="s">
        <v>5968</v>
      </c>
      <c r="X66" s="361" t="s">
        <v>10138</v>
      </c>
      <c r="Y66" s="361" t="s">
        <v>943</v>
      </c>
      <c r="Z66" s="361" t="s">
        <v>3904</v>
      </c>
      <c r="AA66" s="361" t="s">
        <v>1623</v>
      </c>
      <c r="AB66" s="361" t="s">
        <v>10139</v>
      </c>
      <c r="AC66" s="361" t="s">
        <v>9056</v>
      </c>
      <c r="AD66" s="1579" t="s">
        <v>10140</v>
      </c>
      <c r="AE66" s="361" t="s">
        <v>1863</v>
      </c>
      <c r="AF66" s="361" t="s">
        <v>9603</v>
      </c>
      <c r="AG66" s="361" t="s">
        <v>6963</v>
      </c>
      <c r="AH66" s="361" t="s">
        <v>4451</v>
      </c>
      <c r="AI66" s="361" t="s">
        <v>6404</v>
      </c>
      <c r="AJ66" s="361" t="s">
        <v>10141</v>
      </c>
      <c r="AK66" s="361" t="s">
        <v>8922</v>
      </c>
      <c r="AL66" s="361" t="s">
        <v>5231</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4635</v>
      </c>
      <c r="B67" s="1563" t="s">
        <v>8801</v>
      </c>
      <c r="C67" s="1597">
        <v>0.05170138888888889</v>
      </c>
      <c r="D67" s="773" t="s">
        <v>10150</v>
      </c>
      <c r="E67" s="361" t="s">
        <v>4255</v>
      </c>
      <c r="F67" s="361" t="s">
        <v>9705</v>
      </c>
      <c r="G67" s="361" t="s">
        <v>9614</v>
      </c>
      <c r="H67" s="361" t="s">
        <v>10151</v>
      </c>
      <c r="I67" s="361" t="s">
        <v>10152</v>
      </c>
      <c r="J67" s="361" t="s">
        <v>9720</v>
      </c>
      <c r="K67" s="361" t="s">
        <v>9076</v>
      </c>
      <c r="L67" s="361" t="s">
        <v>4088</v>
      </c>
      <c r="M67" s="361" t="s">
        <v>7761</v>
      </c>
      <c r="N67" s="361" t="s">
        <v>6177</v>
      </c>
      <c r="O67" s="361" t="s">
        <v>9845</v>
      </c>
      <c r="P67" s="361" t="s">
        <v>485</v>
      </c>
      <c r="Q67" s="361" t="s">
        <v>2794</v>
      </c>
      <c r="R67" s="361" t="s">
        <v>8891</v>
      </c>
      <c r="S67" s="361" t="s">
        <v>10046</v>
      </c>
      <c r="T67" s="361" t="s">
        <v>2891</v>
      </c>
      <c r="U67" s="361" t="s">
        <v>10153</v>
      </c>
      <c r="V67" s="361" t="s">
        <v>10154</v>
      </c>
      <c r="W67" s="361" t="s">
        <v>10082</v>
      </c>
      <c r="X67" s="361" t="s">
        <v>3723</v>
      </c>
      <c r="Y67" s="361" t="s">
        <v>2445</v>
      </c>
      <c r="Z67" s="361" t="s">
        <v>493</v>
      </c>
      <c r="AA67" s="361" t="s">
        <v>630</v>
      </c>
      <c r="AB67" s="361" t="s">
        <v>10155</v>
      </c>
      <c r="AC67" s="361" t="s">
        <v>5772</v>
      </c>
      <c r="AD67" s="361" t="s">
        <v>9777</v>
      </c>
      <c r="AE67" s="361" t="s">
        <v>143</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3320</v>
      </c>
      <c r="AQ67" s="361" t="s">
        <v>10163</v>
      </c>
      <c r="AR67" s="361" t="s">
        <v>10164</v>
      </c>
      <c r="AS67" s="361" t="s">
        <v>6560</v>
      </c>
      <c r="AT67" s="361" t="s">
        <v>10165</v>
      </c>
      <c r="AU67" s="361" t="s">
        <v>10166</v>
      </c>
      <c r="AV67" s="1393" t="str">
        <f t="shared" si="1"/>
        <v>2:37</v>
      </c>
      <c r="AW67" s="1631" t="s">
        <v>10167</v>
      </c>
    </row>
    <row r="68" ht="15.75" customHeight="1">
      <c r="A68" s="1529" t="s">
        <v>5103</v>
      </c>
      <c r="B68" s="1527" t="s">
        <v>8801</v>
      </c>
      <c r="C68" s="1475">
        <v>0.05171296296296296</v>
      </c>
      <c r="D68" s="1604" t="s">
        <v>10168</v>
      </c>
      <c r="E68" s="1579" t="s">
        <v>10169</v>
      </c>
      <c r="F68" s="1579" t="s">
        <v>1471</v>
      </c>
      <c r="G68" s="1579" t="s">
        <v>10170</v>
      </c>
      <c r="H68" s="1579" t="s">
        <v>8897</v>
      </c>
      <c r="I68" s="1579" t="s">
        <v>10171</v>
      </c>
      <c r="J68" s="1579" t="s">
        <v>887</v>
      </c>
      <c r="K68" s="1579" t="s">
        <v>4901</v>
      </c>
      <c r="L68" s="1579" t="s">
        <v>1889</v>
      </c>
      <c r="M68" s="1632" t="s">
        <v>10172</v>
      </c>
      <c r="N68" s="1579" t="s">
        <v>10173</v>
      </c>
      <c r="O68" s="1579" t="s">
        <v>1785</v>
      </c>
      <c r="P68" s="1579" t="s">
        <v>5088</v>
      </c>
      <c r="Q68" s="1579" t="s">
        <v>2925</v>
      </c>
      <c r="R68" s="1579" t="s">
        <v>10174</v>
      </c>
      <c r="S68" s="1579" t="s">
        <v>8881</v>
      </c>
      <c r="T68" s="1579" t="s">
        <v>10175</v>
      </c>
      <c r="U68" s="1579" t="s">
        <v>9975</v>
      </c>
      <c r="V68" s="1632" t="s">
        <v>10176</v>
      </c>
      <c r="W68" s="1632" t="s">
        <v>10177</v>
      </c>
      <c r="X68" s="1579" t="s">
        <v>9851</v>
      </c>
      <c r="Y68" s="773" t="s">
        <v>2551</v>
      </c>
      <c r="Z68" s="1579" t="s">
        <v>1524</v>
      </c>
      <c r="AA68" s="1579" t="s">
        <v>201</v>
      </c>
      <c r="AB68" s="1632" t="s">
        <v>10178</v>
      </c>
      <c r="AC68" s="1579" t="s">
        <v>1849</v>
      </c>
      <c r="AD68" s="1579" t="s">
        <v>10179</v>
      </c>
      <c r="AE68" s="1579" t="s">
        <v>3844</v>
      </c>
      <c r="AF68" s="1579" t="s">
        <v>10180</v>
      </c>
      <c r="AG68" s="1579" t="s">
        <v>529</v>
      </c>
      <c r="AH68" s="1579" t="s">
        <v>10181</v>
      </c>
      <c r="AI68" s="1579" t="s">
        <v>5444</v>
      </c>
      <c r="AJ68" s="1579" t="s">
        <v>10182</v>
      </c>
      <c r="AK68" s="1579" t="s">
        <v>10183</v>
      </c>
      <c r="AL68" s="1579" t="s">
        <v>1662</v>
      </c>
      <c r="AM68" s="1579" t="s">
        <v>10013</v>
      </c>
      <c r="AN68" s="1579" t="s">
        <v>10184</v>
      </c>
      <c r="AO68" s="1579" t="s">
        <v>2866</v>
      </c>
      <c r="AP68" s="1579" t="s">
        <v>2009</v>
      </c>
      <c r="AQ68" s="1579" t="s">
        <v>758</v>
      </c>
      <c r="AR68" s="1579" t="s">
        <v>9795</v>
      </c>
      <c r="AS68" s="1579" t="s">
        <v>7224</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7696</v>
      </c>
      <c r="I69" s="1579" t="s">
        <v>498</v>
      </c>
      <c r="J69" s="1579" t="s">
        <v>9199</v>
      </c>
      <c r="K69" s="1579" t="s">
        <v>8786</v>
      </c>
      <c r="L69" s="1579" t="s">
        <v>7304</v>
      </c>
      <c r="M69" s="1579" t="s">
        <v>3637</v>
      </c>
      <c r="N69" s="1579" t="s">
        <v>10192</v>
      </c>
      <c r="O69" s="1579" t="s">
        <v>10193</v>
      </c>
      <c r="P69" s="1579" t="s">
        <v>3747</v>
      </c>
      <c r="Q69" s="1579" t="s">
        <v>10194</v>
      </c>
      <c r="R69" s="1579" t="s">
        <v>10135</v>
      </c>
      <c r="S69" s="1579" t="s">
        <v>5551</v>
      </c>
      <c r="T69" s="1579" t="s">
        <v>10195</v>
      </c>
      <c r="U69" s="1579" t="s">
        <v>10196</v>
      </c>
      <c r="V69" s="1579" t="s">
        <v>361</v>
      </c>
      <c r="W69" s="1579" t="s">
        <v>5614</v>
      </c>
      <c r="X69" s="1579" t="s">
        <v>10041</v>
      </c>
      <c r="Y69" s="1579" t="s">
        <v>1164</v>
      </c>
      <c r="Z69" s="1579" t="s">
        <v>10197</v>
      </c>
      <c r="AA69" s="1579" t="s">
        <v>5928</v>
      </c>
      <c r="AB69" s="1579" t="s">
        <v>6654</v>
      </c>
      <c r="AC69" s="1579" t="s">
        <v>162</v>
      </c>
      <c r="AD69" s="1579" t="s">
        <v>10065</v>
      </c>
      <c r="AE69" s="1579" t="s">
        <v>9494</v>
      </c>
      <c r="AF69" s="1579" t="s">
        <v>9507</v>
      </c>
      <c r="AG69" s="1579" t="s">
        <v>10198</v>
      </c>
      <c r="AH69" s="1579" t="s">
        <v>10199</v>
      </c>
      <c r="AI69" s="1579" t="s">
        <v>10200</v>
      </c>
      <c r="AJ69" s="1579" t="s">
        <v>6133</v>
      </c>
      <c r="AK69" s="1579" t="s">
        <v>7618</v>
      </c>
      <c r="AL69" s="1579" t="s">
        <v>10201</v>
      </c>
      <c r="AM69" s="1579" t="s">
        <v>2974</v>
      </c>
      <c r="AN69" s="1579" t="s">
        <v>5184</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8136</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7605</v>
      </c>
      <c r="P70" s="1491" t="s">
        <v>10216</v>
      </c>
      <c r="Q70" s="1491" t="s">
        <v>10217</v>
      </c>
      <c r="R70" s="1492" t="s">
        <v>10218</v>
      </c>
      <c r="S70" s="1492" t="s">
        <v>9860</v>
      </c>
      <c r="T70" s="1492" t="s">
        <v>10219</v>
      </c>
      <c r="U70" s="1492" t="s">
        <v>10220</v>
      </c>
      <c r="V70" s="1492" t="s">
        <v>4303</v>
      </c>
      <c r="W70" s="1492" t="s">
        <v>10221</v>
      </c>
      <c r="X70" s="1492" t="s">
        <v>10222</v>
      </c>
      <c r="Y70" s="1491" t="s">
        <v>9725</v>
      </c>
      <c r="Z70" s="1633" t="s">
        <v>8843</v>
      </c>
      <c r="AA70" s="1492" t="s">
        <v>968</v>
      </c>
      <c r="AB70" s="1491" t="s">
        <v>4339</v>
      </c>
      <c r="AC70" s="1492">
        <v>49.53</v>
      </c>
      <c r="AD70" s="1492" t="s">
        <v>1939</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7915</v>
      </c>
      <c r="AP70" s="1492" t="s">
        <v>4915</v>
      </c>
      <c r="AQ70" s="1492" t="s">
        <v>9731</v>
      </c>
      <c r="AR70" s="1492" t="s">
        <v>6234</v>
      </c>
      <c r="AS70" s="1492">
        <v>47.67</v>
      </c>
      <c r="AT70" s="1579" t="s">
        <v>10227</v>
      </c>
      <c r="AU70" s="1579" t="s">
        <v>10228</v>
      </c>
      <c r="AV70" s="1393" t="str">
        <f t="shared" si="1"/>
        <v>2:57</v>
      </c>
      <c r="AW70" s="1612" t="s">
        <v>10229</v>
      </c>
    </row>
    <row r="71">
      <c r="A71" s="1215" t="s">
        <v>1257</v>
      </c>
      <c r="B71" s="1527" t="s">
        <v>8801</v>
      </c>
      <c r="C71" s="1634">
        <v>0.05181712962962963</v>
      </c>
      <c r="D71" s="1481" t="s">
        <v>10230</v>
      </c>
      <c r="E71" s="1481" t="s">
        <v>6730</v>
      </c>
      <c r="F71" s="1481" t="s">
        <v>10231</v>
      </c>
      <c r="G71" s="1481" t="s">
        <v>10232</v>
      </c>
      <c r="H71" s="1481" t="s">
        <v>10233</v>
      </c>
      <c r="I71" s="1481" t="s">
        <v>5045</v>
      </c>
      <c r="J71" s="1481" t="s">
        <v>9183</v>
      </c>
      <c r="K71" s="1481" t="s">
        <v>8811</v>
      </c>
      <c r="L71" s="1481" t="s">
        <v>10199</v>
      </c>
      <c r="M71" s="1481" t="s">
        <v>1456</v>
      </c>
      <c r="N71" s="1481" t="s">
        <v>9694</v>
      </c>
      <c r="O71" s="1481" t="s">
        <v>7668</v>
      </c>
      <c r="P71" s="1481" t="s">
        <v>9273</v>
      </c>
      <c r="Q71" s="1481" t="s">
        <v>10234</v>
      </c>
      <c r="R71" s="1481" t="s">
        <v>7546</v>
      </c>
      <c r="S71" s="1481" t="s">
        <v>3644</v>
      </c>
      <c r="T71" s="1481" t="s">
        <v>10235</v>
      </c>
      <c r="U71" s="1481" t="s">
        <v>10236</v>
      </c>
      <c r="V71" s="1481" t="s">
        <v>10154</v>
      </c>
      <c r="W71" s="1481" t="s">
        <v>8903</v>
      </c>
      <c r="X71" s="1481" t="s">
        <v>9785</v>
      </c>
      <c r="Y71" s="1481" t="s">
        <v>10237</v>
      </c>
      <c r="Z71" s="1481" t="s">
        <v>6385</v>
      </c>
      <c r="AA71" s="1481" t="s">
        <v>958</v>
      </c>
      <c r="AB71" s="1481" t="s">
        <v>10238</v>
      </c>
      <c r="AC71" s="1481" t="s">
        <v>2100</v>
      </c>
      <c r="AD71" s="1481" t="s">
        <v>10239</v>
      </c>
      <c r="AE71" s="1481" t="s">
        <v>2174</v>
      </c>
      <c r="AF71" s="1481" t="s">
        <v>9921</v>
      </c>
      <c r="AG71" s="1481" t="s">
        <v>402</v>
      </c>
      <c r="AH71" s="1481" t="s">
        <v>10240</v>
      </c>
      <c r="AI71" s="1481" t="s">
        <v>248</v>
      </c>
      <c r="AJ71" s="1481" t="s">
        <v>10241</v>
      </c>
      <c r="AK71" s="1481" t="s">
        <v>9511</v>
      </c>
      <c r="AL71" s="1481" t="s">
        <v>4727</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3126</v>
      </c>
      <c r="B72" s="1563" t="s">
        <v>8801</v>
      </c>
      <c r="C72" s="1597">
        <v>0.051863425925925924</v>
      </c>
      <c r="D72" s="773" t="s">
        <v>10250</v>
      </c>
      <c r="E72" s="361" t="s">
        <v>6547</v>
      </c>
      <c r="F72" s="361" t="s">
        <v>10251</v>
      </c>
      <c r="G72" s="361" t="s">
        <v>10252</v>
      </c>
      <c r="H72" s="361" t="s">
        <v>10253</v>
      </c>
      <c r="I72" s="361" t="s">
        <v>2032</v>
      </c>
      <c r="J72" s="361" t="s">
        <v>1762</v>
      </c>
      <c r="K72" s="361" t="s">
        <v>1596</v>
      </c>
      <c r="L72" s="361" t="s">
        <v>3134</v>
      </c>
      <c r="M72" s="361" t="s">
        <v>10035</v>
      </c>
      <c r="N72" s="361" t="s">
        <v>5129</v>
      </c>
      <c r="O72" s="361" t="s">
        <v>10254</v>
      </c>
      <c r="P72" s="361" t="s">
        <v>1234</v>
      </c>
      <c r="Q72" s="361" t="s">
        <v>10255</v>
      </c>
      <c r="R72" s="361" t="s">
        <v>5834</v>
      </c>
      <c r="S72" s="361" t="s">
        <v>10256</v>
      </c>
      <c r="T72" s="361" t="s">
        <v>10257</v>
      </c>
      <c r="U72" s="361" t="s">
        <v>10258</v>
      </c>
      <c r="V72" s="361" t="s">
        <v>9804</v>
      </c>
      <c r="W72" s="361" t="s">
        <v>10259</v>
      </c>
      <c r="X72" s="361" t="s">
        <v>10159</v>
      </c>
      <c r="Y72" s="361" t="s">
        <v>3357</v>
      </c>
      <c r="Z72" s="361" t="s">
        <v>10260</v>
      </c>
      <c r="AA72" s="361" t="s">
        <v>10261</v>
      </c>
      <c r="AB72" s="361" t="s">
        <v>8681</v>
      </c>
      <c r="AC72" s="361" t="s">
        <v>5772</v>
      </c>
      <c r="AD72" s="361" t="s">
        <v>10262</v>
      </c>
      <c r="AE72" s="361" t="s">
        <v>1182</v>
      </c>
      <c r="AF72" s="361" t="s">
        <v>10263</v>
      </c>
      <c r="AG72" s="361" t="s">
        <v>10264</v>
      </c>
      <c r="AH72" s="361" t="s">
        <v>5276</v>
      </c>
      <c r="AI72" s="361" t="s">
        <v>10200</v>
      </c>
      <c r="AJ72" s="361" t="s">
        <v>10265</v>
      </c>
      <c r="AK72" s="361" t="s">
        <v>1842</v>
      </c>
      <c r="AL72" s="361" t="s">
        <v>10240</v>
      </c>
      <c r="AM72" s="361" t="s">
        <v>10266</v>
      </c>
      <c r="AN72" s="361" t="s">
        <v>9713</v>
      </c>
      <c r="AO72" s="361" t="s">
        <v>8968</v>
      </c>
      <c r="AP72" s="361" t="s">
        <v>10267</v>
      </c>
      <c r="AQ72" s="361" t="s">
        <v>10268</v>
      </c>
      <c r="AR72" s="361" t="s">
        <v>2229</v>
      </c>
      <c r="AS72" s="361" t="s">
        <v>4834</v>
      </c>
      <c r="AT72" s="361" t="s">
        <v>10269</v>
      </c>
      <c r="AU72" s="361" t="s">
        <v>10270</v>
      </c>
      <c r="AV72" s="1393" t="str">
        <f t="shared" si="1"/>
        <v>2:06</v>
      </c>
      <c r="AW72" s="1627" t="s">
        <v>10271</v>
      </c>
    </row>
    <row r="73" ht="15.75" customHeight="1">
      <c r="A73" s="1473" t="s">
        <v>1127</v>
      </c>
      <c r="B73" s="1474" t="s">
        <v>8774</v>
      </c>
      <c r="C73" s="1597">
        <v>0.051875</v>
      </c>
      <c r="D73" s="773" t="s">
        <v>10272</v>
      </c>
      <c r="E73" s="361" t="s">
        <v>3202</v>
      </c>
      <c r="F73" s="361" t="s">
        <v>10273</v>
      </c>
      <c r="G73" s="361" t="s">
        <v>10274</v>
      </c>
      <c r="H73" s="361" t="s">
        <v>10275</v>
      </c>
      <c r="I73" s="361" t="s">
        <v>10276</v>
      </c>
      <c r="J73" s="361" t="s">
        <v>2526</v>
      </c>
      <c r="K73" s="361" t="s">
        <v>10277</v>
      </c>
      <c r="L73" s="361" t="s">
        <v>9037</v>
      </c>
      <c r="M73" s="361" t="s">
        <v>7808</v>
      </c>
      <c r="N73" s="361" t="s">
        <v>9278</v>
      </c>
      <c r="O73" s="361" t="s">
        <v>4465</v>
      </c>
      <c r="P73" s="361" t="s">
        <v>1529</v>
      </c>
      <c r="Q73" s="361" t="s">
        <v>10278</v>
      </c>
      <c r="R73" s="361" t="s">
        <v>2079</v>
      </c>
      <c r="S73" s="361" t="s">
        <v>4430</v>
      </c>
      <c r="T73" s="361" t="s">
        <v>10279</v>
      </c>
      <c r="U73" s="361" t="s">
        <v>10080</v>
      </c>
      <c r="V73" s="361" t="s">
        <v>6556</v>
      </c>
      <c r="W73" s="361" t="s">
        <v>4465</v>
      </c>
      <c r="X73" s="361" t="s">
        <v>9694</v>
      </c>
      <c r="Y73" s="361" t="s">
        <v>9727</v>
      </c>
      <c r="Z73" s="361" t="s">
        <v>6503</v>
      </c>
      <c r="AA73" s="361" t="s">
        <v>421</v>
      </c>
      <c r="AB73" s="361" t="s">
        <v>624</v>
      </c>
      <c r="AC73" s="361" t="s">
        <v>10280</v>
      </c>
      <c r="AD73" s="361" t="s">
        <v>10119</v>
      </c>
      <c r="AE73" s="361" t="s">
        <v>849</v>
      </c>
      <c r="AF73" s="361" t="s">
        <v>10281</v>
      </c>
      <c r="AG73" s="361" t="s">
        <v>10282</v>
      </c>
      <c r="AH73" s="361" t="s">
        <v>10032</v>
      </c>
      <c r="AI73" s="361" t="s">
        <v>10283</v>
      </c>
      <c r="AJ73" s="361" t="s">
        <v>10284</v>
      </c>
      <c r="AK73" s="361" t="s">
        <v>10285</v>
      </c>
      <c r="AL73" s="361" t="s">
        <v>5613</v>
      </c>
      <c r="AM73" s="361" t="s">
        <v>10286</v>
      </c>
      <c r="AN73" s="361" t="s">
        <v>6369</v>
      </c>
      <c r="AO73" s="1579" t="s">
        <v>9884</v>
      </c>
      <c r="AP73" s="361" t="s">
        <v>10287</v>
      </c>
      <c r="AQ73" s="361" t="s">
        <v>10288</v>
      </c>
      <c r="AR73" s="361" t="s">
        <v>9546</v>
      </c>
      <c r="AS73" s="361" t="s">
        <v>4745</v>
      </c>
      <c r="AT73" s="361" t="s">
        <v>10289</v>
      </c>
      <c r="AU73" s="1579" t="s">
        <v>10290</v>
      </c>
      <c r="AV73" s="1393" t="str">
        <f t="shared" si="1"/>
        <v>0:37</v>
      </c>
      <c r="AW73" s="1631" t="s">
        <v>10291</v>
      </c>
    </row>
    <row r="74">
      <c r="A74" s="1529" t="s">
        <v>8102</v>
      </c>
      <c r="B74" s="1527" t="s">
        <v>8774</v>
      </c>
      <c r="C74" s="1475">
        <v>0.05188657407407407</v>
      </c>
      <c r="D74" s="1579" t="s">
        <v>10292</v>
      </c>
      <c r="E74" s="773" t="s">
        <v>176</v>
      </c>
      <c r="F74" s="773" t="s">
        <v>10293</v>
      </c>
      <c r="G74" s="773" t="s">
        <v>10294</v>
      </c>
      <c r="H74" s="773" t="s">
        <v>10295</v>
      </c>
      <c r="I74" s="773" t="s">
        <v>143</v>
      </c>
      <c r="J74" s="773" t="s">
        <v>4140</v>
      </c>
      <c r="K74" s="773" t="s">
        <v>9521</v>
      </c>
      <c r="L74" s="773" t="s">
        <v>2847</v>
      </c>
      <c r="M74" s="773" t="s">
        <v>10296</v>
      </c>
      <c r="N74" s="773" t="s">
        <v>4065</v>
      </c>
      <c r="O74" s="773" t="s">
        <v>10297</v>
      </c>
      <c r="P74" s="773" t="s">
        <v>5188</v>
      </c>
      <c r="Q74" s="773" t="s">
        <v>10298</v>
      </c>
      <c r="R74" s="773" t="s">
        <v>5534</v>
      </c>
      <c r="S74" s="773" t="s">
        <v>10299</v>
      </c>
      <c r="T74" s="773" t="s">
        <v>8847</v>
      </c>
      <c r="U74" s="773" t="s">
        <v>10300</v>
      </c>
      <c r="V74" s="773" t="s">
        <v>5260</v>
      </c>
      <c r="W74" s="773" t="s">
        <v>10301</v>
      </c>
      <c r="X74" s="773" t="s">
        <v>10302</v>
      </c>
      <c r="Y74" s="773" t="s">
        <v>10303</v>
      </c>
      <c r="Z74" s="773" t="s">
        <v>9531</v>
      </c>
      <c r="AA74" s="773" t="s">
        <v>5148</v>
      </c>
      <c r="AB74" s="773" t="s">
        <v>688</v>
      </c>
      <c r="AC74" s="773" t="s">
        <v>10304</v>
      </c>
      <c r="AD74" s="773" t="s">
        <v>2744</v>
      </c>
      <c r="AE74" s="773" t="s">
        <v>5913</v>
      </c>
      <c r="AF74" s="773" t="s">
        <v>10305</v>
      </c>
      <c r="AG74" s="773" t="s">
        <v>2412</v>
      </c>
      <c r="AH74" s="773" t="s">
        <v>2847</v>
      </c>
      <c r="AI74" s="773" t="s">
        <v>200</v>
      </c>
      <c r="AJ74" s="773" t="s">
        <v>10306</v>
      </c>
      <c r="AK74" s="773" t="s">
        <v>9538</v>
      </c>
      <c r="AL74" s="773" t="s">
        <v>9995</v>
      </c>
      <c r="AM74" s="773" t="s">
        <v>9509</v>
      </c>
      <c r="AN74" s="773" t="s">
        <v>3631</v>
      </c>
      <c r="AO74" s="773" t="s">
        <v>10307</v>
      </c>
      <c r="AP74" s="773" t="s">
        <v>9948</v>
      </c>
      <c r="AQ74" s="773" t="s">
        <v>10288</v>
      </c>
      <c r="AR74" s="773" t="s">
        <v>10308</v>
      </c>
      <c r="AS74" s="773" t="s">
        <v>6560</v>
      </c>
      <c r="AT74" s="773" t="s">
        <v>9055</v>
      </c>
      <c r="AU74" s="1579" t="s">
        <v>10309</v>
      </c>
      <c r="AV74" s="1393" t="str">
        <f t="shared" si="1"/>
        <v>4:21</v>
      </c>
      <c r="AW74" s="1627" t="s">
        <v>10310</v>
      </c>
    </row>
    <row r="75">
      <c r="A75" s="1529" t="s">
        <v>8718</v>
      </c>
      <c r="B75" s="1517" t="s">
        <v>8774</v>
      </c>
      <c r="C75" s="1475">
        <v>0.05193287037037037</v>
      </c>
      <c r="D75" s="1604" t="s">
        <v>10311</v>
      </c>
      <c r="E75" s="1579" t="s">
        <v>7830</v>
      </c>
      <c r="F75" s="1579" t="s">
        <v>10312</v>
      </c>
      <c r="G75" s="1579" t="s">
        <v>10313</v>
      </c>
      <c r="H75" s="1579" t="s">
        <v>10314</v>
      </c>
      <c r="I75" s="1579" t="s">
        <v>2382</v>
      </c>
      <c r="J75" s="1579" t="s">
        <v>4239</v>
      </c>
      <c r="K75" s="1579" t="s">
        <v>9461</v>
      </c>
      <c r="L75" s="1579"/>
      <c r="M75" s="1579" t="s">
        <v>7443</v>
      </c>
      <c r="N75" s="1579" t="s">
        <v>4682</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7927</v>
      </c>
      <c r="AB75" s="1579" t="s">
        <v>9949</v>
      </c>
      <c r="AC75" s="1579" t="s">
        <v>3009</v>
      </c>
      <c r="AD75" s="1579" t="s">
        <v>10317</v>
      </c>
      <c r="AE75" s="1579" t="s">
        <v>10318</v>
      </c>
      <c r="AF75" s="1579" t="s">
        <v>10319</v>
      </c>
      <c r="AG75" s="1579" t="s">
        <v>10084</v>
      </c>
      <c r="AH75" s="1579" t="s">
        <v>10320</v>
      </c>
      <c r="AI75" s="1579" t="s">
        <v>10321</v>
      </c>
      <c r="AJ75" s="1579" t="s">
        <v>10322</v>
      </c>
      <c r="AK75" s="1579" t="s">
        <v>10323</v>
      </c>
      <c r="AL75" s="1579" t="s">
        <v>3353</v>
      </c>
      <c r="AM75" s="1579" t="s">
        <v>10324</v>
      </c>
      <c r="AN75" s="1579" t="s">
        <v>3642</v>
      </c>
      <c r="AO75" s="1579" t="s">
        <v>10325</v>
      </c>
      <c r="AP75" s="1579" t="s">
        <v>10326</v>
      </c>
      <c r="AQ75" s="1579" t="s">
        <v>10327</v>
      </c>
      <c r="AR75" s="1579" t="s">
        <v>10328</v>
      </c>
      <c r="AS75" s="1579" t="s">
        <v>3787</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7722</v>
      </c>
      <c r="I76" s="361" t="s">
        <v>9898</v>
      </c>
      <c r="J76" s="361" t="s">
        <v>10336</v>
      </c>
      <c r="K76" s="361" t="s">
        <v>10337</v>
      </c>
      <c r="L76" s="361" t="s">
        <v>3134</v>
      </c>
      <c r="M76" s="361" t="s">
        <v>10338</v>
      </c>
      <c r="N76" s="361" t="s">
        <v>9605</v>
      </c>
      <c r="O76" s="361" t="s">
        <v>10339</v>
      </c>
      <c r="P76" s="361" t="s">
        <v>2435</v>
      </c>
      <c r="Q76" s="361" t="s">
        <v>5106</v>
      </c>
      <c r="R76" s="361" t="s">
        <v>5342</v>
      </c>
      <c r="S76" s="361" t="s">
        <v>10340</v>
      </c>
      <c r="T76" s="361" t="s">
        <v>5860</v>
      </c>
      <c r="U76" s="361" t="s">
        <v>10341</v>
      </c>
      <c r="V76" s="361" t="s">
        <v>6556</v>
      </c>
      <c r="W76" s="361" t="s">
        <v>8108</v>
      </c>
      <c r="X76" s="361" t="s">
        <v>10342</v>
      </c>
      <c r="Y76" s="361" t="s">
        <v>2100</v>
      </c>
      <c r="Z76" s="361" t="s">
        <v>10343</v>
      </c>
      <c r="AA76" s="361" t="s">
        <v>10038</v>
      </c>
      <c r="AB76" s="361" t="s">
        <v>10344</v>
      </c>
      <c r="AC76" s="361" t="s">
        <v>5596</v>
      </c>
      <c r="AD76" s="361" t="s">
        <v>10345</v>
      </c>
      <c r="AE76" s="361" t="s">
        <v>6817</v>
      </c>
      <c r="AF76" s="361" t="s">
        <v>10346</v>
      </c>
      <c r="AG76" s="361" t="s">
        <v>10285</v>
      </c>
      <c r="AH76" s="361" t="s">
        <v>10347</v>
      </c>
      <c r="AI76" s="361" t="s">
        <v>10348</v>
      </c>
      <c r="AJ76" s="361" t="s">
        <v>10349</v>
      </c>
      <c r="AK76" s="361" t="s">
        <v>810</v>
      </c>
      <c r="AL76" s="361" t="s">
        <v>3333</v>
      </c>
      <c r="AM76" s="361" t="s">
        <v>9789</v>
      </c>
      <c r="AN76" s="361" t="s">
        <v>10350</v>
      </c>
      <c r="AO76" s="1579" t="s">
        <v>7682</v>
      </c>
      <c r="AP76" s="1579" t="s">
        <v>10351</v>
      </c>
      <c r="AQ76" s="361" t="s">
        <v>5381</v>
      </c>
      <c r="AR76" s="361" t="s">
        <v>9825</v>
      </c>
      <c r="AS76" s="361" t="s">
        <v>1088</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3643</v>
      </c>
      <c r="J77" s="361" t="s">
        <v>9498</v>
      </c>
      <c r="K77" s="361" t="s">
        <v>4430</v>
      </c>
      <c r="L77" s="361" t="s">
        <v>3439</v>
      </c>
      <c r="M77" s="361" t="s">
        <v>10079</v>
      </c>
      <c r="N77" s="361" t="s">
        <v>4469</v>
      </c>
      <c r="O77" s="361" t="s">
        <v>10358</v>
      </c>
      <c r="P77" s="361" t="s">
        <v>10359</v>
      </c>
      <c r="Q77" s="361" t="s">
        <v>4927</v>
      </c>
      <c r="R77" s="361" t="s">
        <v>1456</v>
      </c>
      <c r="S77" s="361" t="s">
        <v>9577</v>
      </c>
      <c r="T77" s="361" t="s">
        <v>530</v>
      </c>
      <c r="U77" s="361" t="s">
        <v>1925</v>
      </c>
      <c r="V77" s="361" t="s">
        <v>467</v>
      </c>
      <c r="W77" s="361" t="s">
        <v>5763</v>
      </c>
      <c r="X77" s="361" t="s">
        <v>9855</v>
      </c>
      <c r="Y77" s="361" t="s">
        <v>2445</v>
      </c>
      <c r="Z77" s="361" t="s">
        <v>5241</v>
      </c>
      <c r="AA77" s="361" t="s">
        <v>9605</v>
      </c>
      <c r="AB77" s="361" t="s">
        <v>10360</v>
      </c>
      <c r="AC77" s="361" t="s">
        <v>3107</v>
      </c>
      <c r="AD77" s="361" t="s">
        <v>10361</v>
      </c>
      <c r="AE77" s="361" t="s">
        <v>5188</v>
      </c>
      <c r="AF77" s="361" t="s">
        <v>10362</v>
      </c>
      <c r="AG77" s="361" t="s">
        <v>10363</v>
      </c>
      <c r="AH77" s="361" t="s">
        <v>2254</v>
      </c>
      <c r="AI77" s="361" t="s">
        <v>10364</v>
      </c>
      <c r="AJ77" s="361" t="s">
        <v>10365</v>
      </c>
      <c r="AK77" s="361" t="s">
        <v>4630</v>
      </c>
      <c r="AL77" s="361" t="s">
        <v>6139</v>
      </c>
      <c r="AM77" s="361" t="s">
        <v>1461</v>
      </c>
      <c r="AN77" s="361" t="s">
        <v>8988</v>
      </c>
      <c r="AO77" s="361" t="s">
        <v>9291</v>
      </c>
      <c r="AP77" s="361" t="s">
        <v>4677</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7598</v>
      </c>
      <c r="S78" s="361" t="s">
        <v>10384</v>
      </c>
      <c r="T78" s="361" t="s">
        <v>10385</v>
      </c>
      <c r="U78" s="361" t="s">
        <v>10386</v>
      </c>
      <c r="V78" s="361" t="s">
        <v>8375</v>
      </c>
      <c r="W78" s="361" t="s">
        <v>10387</v>
      </c>
      <c r="X78" s="361" t="s">
        <v>9855</v>
      </c>
      <c r="Y78" s="361" t="s">
        <v>210</v>
      </c>
      <c r="Z78" s="361" t="s">
        <v>2376</v>
      </c>
      <c r="AA78" s="361" t="s">
        <v>5901</v>
      </c>
      <c r="AB78" s="361" t="s">
        <v>9150</v>
      </c>
      <c r="AC78" s="361" t="s">
        <v>928</v>
      </c>
      <c r="AD78" s="361" t="s">
        <v>10388</v>
      </c>
      <c r="AE78" s="361" t="s">
        <v>1164</v>
      </c>
      <c r="AF78" s="361" t="s">
        <v>10389</v>
      </c>
      <c r="AG78" s="361" t="s">
        <v>2974</v>
      </c>
      <c r="AH78" s="361" t="s">
        <v>6180</v>
      </c>
      <c r="AI78" s="361" t="s">
        <v>1575</v>
      </c>
      <c r="AJ78" s="361" t="s">
        <v>10390</v>
      </c>
      <c r="AK78" s="361" t="s">
        <v>3620</v>
      </c>
      <c r="AL78" s="361" t="s">
        <v>3955</v>
      </c>
      <c r="AM78" s="361" t="s">
        <v>841</v>
      </c>
      <c r="AN78" s="361" t="s">
        <v>10161</v>
      </c>
      <c r="AO78" s="361" t="s">
        <v>2256</v>
      </c>
      <c r="AP78" s="361" t="s">
        <v>10391</v>
      </c>
      <c r="AQ78" s="361" t="s">
        <v>1003</v>
      </c>
      <c r="AR78" s="361" t="s">
        <v>8842</v>
      </c>
      <c r="AS78" s="361" t="s">
        <v>9927</v>
      </c>
      <c r="AT78" s="361" t="s">
        <v>10392</v>
      </c>
      <c r="AU78" s="361" t="s">
        <v>10393</v>
      </c>
      <c r="AV78" s="1393" t="str">
        <f t="shared" si="1"/>
        <v>2:58</v>
      </c>
      <c r="AW78" s="1631" t="s">
        <v>10394</v>
      </c>
    </row>
    <row r="79" ht="15.75" customHeight="1">
      <c r="A79" s="1473" t="s">
        <v>6625</v>
      </c>
      <c r="B79" s="1563" t="s">
        <v>8801</v>
      </c>
      <c r="C79" s="1597">
        <v>0.05207175925925926</v>
      </c>
      <c r="D79" s="773" t="s">
        <v>10395</v>
      </c>
      <c r="E79" s="361" t="s">
        <v>10396</v>
      </c>
      <c r="F79" s="361" t="s">
        <v>10397</v>
      </c>
      <c r="G79" s="361" t="s">
        <v>10398</v>
      </c>
      <c r="H79" s="361" t="s">
        <v>9054</v>
      </c>
      <c r="I79" s="361" t="s">
        <v>4899</v>
      </c>
      <c r="J79" s="361" t="s">
        <v>9405</v>
      </c>
      <c r="K79" s="361" t="s">
        <v>10046</v>
      </c>
      <c r="L79" s="361" t="s">
        <v>10399</v>
      </c>
      <c r="M79" s="361" t="s">
        <v>2722</v>
      </c>
      <c r="N79" s="361" t="s">
        <v>10400</v>
      </c>
      <c r="O79" s="361" t="s">
        <v>10401</v>
      </c>
      <c r="P79" s="361" t="s">
        <v>766</v>
      </c>
      <c r="Q79" s="361" t="s">
        <v>10402</v>
      </c>
      <c r="R79" s="361" t="s">
        <v>4945</v>
      </c>
      <c r="S79" s="361" t="s">
        <v>6157</v>
      </c>
      <c r="T79" s="361" t="s">
        <v>5860</v>
      </c>
      <c r="U79" s="361" t="s">
        <v>10403</v>
      </c>
      <c r="V79" s="361" t="s">
        <v>2418</v>
      </c>
      <c r="W79" s="361" t="s">
        <v>8846</v>
      </c>
      <c r="X79" s="361" t="s">
        <v>10404</v>
      </c>
      <c r="Y79" s="361" t="s">
        <v>1412</v>
      </c>
      <c r="Z79" s="361" t="s">
        <v>7520</v>
      </c>
      <c r="AA79" s="361" t="s">
        <v>1488</v>
      </c>
      <c r="AB79" s="361" t="s">
        <v>10405</v>
      </c>
      <c r="AC79" s="361" t="s">
        <v>241</v>
      </c>
      <c r="AD79" s="361" t="s">
        <v>4246</v>
      </c>
      <c r="AE79" s="361" t="s">
        <v>6118</v>
      </c>
      <c r="AF79" s="361" t="s">
        <v>10406</v>
      </c>
      <c r="AG79" s="361" t="s">
        <v>9855</v>
      </c>
      <c r="AH79" s="361" t="s">
        <v>7307</v>
      </c>
      <c r="AI79" s="361" t="s">
        <v>10200</v>
      </c>
      <c r="AJ79" s="361" t="s">
        <v>10407</v>
      </c>
      <c r="AK79" s="361" t="s">
        <v>10408</v>
      </c>
      <c r="AL79" s="361" t="s">
        <v>4351</v>
      </c>
      <c r="AM79" s="361" t="s">
        <v>9965</v>
      </c>
      <c r="AN79" s="361" t="s">
        <v>3955</v>
      </c>
      <c r="AO79" s="361" t="s">
        <v>4207</v>
      </c>
      <c r="AP79" s="361" t="s">
        <v>9685</v>
      </c>
      <c r="AQ79" s="361" t="s">
        <v>10409</v>
      </c>
      <c r="AR79" s="361" t="s">
        <v>1487</v>
      </c>
      <c r="AS79" s="361" t="s">
        <v>6276</v>
      </c>
      <c r="AT79" s="361" t="s">
        <v>7891</v>
      </c>
      <c r="AU79" s="361" t="s">
        <v>10410</v>
      </c>
      <c r="AV79" s="1393" t="str">
        <f t="shared" si="1"/>
        <v>3:10</v>
      </c>
      <c r="AW79" s="1631" t="s">
        <v>10411</v>
      </c>
    </row>
    <row r="80">
      <c r="A80" s="1215" t="s">
        <v>3860</v>
      </c>
      <c r="B80" s="1617" t="s">
        <v>8827</v>
      </c>
      <c r="C80" s="1636">
        <v>0.052141203703703703</v>
      </c>
      <c r="D80" s="773" t="s">
        <v>10412</v>
      </c>
      <c r="E80" s="1553" t="s">
        <v>3001</v>
      </c>
      <c r="F80" s="1553" t="s">
        <v>10413</v>
      </c>
      <c r="G80" s="1576" t="s">
        <v>10414</v>
      </c>
      <c r="H80" s="1576" t="s">
        <v>10415</v>
      </c>
      <c r="I80" s="1576" t="s">
        <v>2430</v>
      </c>
      <c r="J80" s="1576" t="s">
        <v>7137</v>
      </c>
      <c r="K80" s="1637" t="s">
        <v>6307</v>
      </c>
      <c r="L80" s="1638" t="s">
        <v>7304</v>
      </c>
      <c r="M80" s="1576" t="s">
        <v>5728</v>
      </c>
      <c r="N80" s="1576" t="s">
        <v>5860</v>
      </c>
      <c r="O80" s="1576" t="s">
        <v>5537</v>
      </c>
      <c r="P80" s="1576" t="s">
        <v>1849</v>
      </c>
      <c r="Q80" s="1576" t="s">
        <v>10416</v>
      </c>
      <c r="R80" s="1576" t="s">
        <v>10417</v>
      </c>
      <c r="S80" s="1639" t="s">
        <v>2268</v>
      </c>
      <c r="T80" s="1576" t="s">
        <v>9107</v>
      </c>
      <c r="U80" s="1576" t="s">
        <v>3540</v>
      </c>
      <c r="V80" s="1576" t="s">
        <v>10418</v>
      </c>
      <c r="W80" s="1576" t="s">
        <v>10419</v>
      </c>
      <c r="X80" s="1576" t="s">
        <v>4454</v>
      </c>
      <c r="Y80" s="1576" t="s">
        <v>3683</v>
      </c>
      <c r="Z80" s="1576" t="s">
        <v>4176</v>
      </c>
      <c r="AA80" s="1576" t="s">
        <v>402</v>
      </c>
      <c r="AB80" s="1576" t="s">
        <v>627</v>
      </c>
      <c r="AC80" s="1576" t="s">
        <v>6118</v>
      </c>
      <c r="AD80" s="1481" t="s">
        <v>9216</v>
      </c>
      <c r="AE80" s="1576" t="s">
        <v>481</v>
      </c>
      <c r="AF80" s="1576" t="s">
        <v>10420</v>
      </c>
      <c r="AG80" s="1576" t="s">
        <v>10421</v>
      </c>
      <c r="AH80" s="1576" t="s">
        <v>4571</v>
      </c>
      <c r="AI80" s="1576" t="s">
        <v>10422</v>
      </c>
      <c r="AJ80" s="1576" t="s">
        <v>10423</v>
      </c>
      <c r="AK80" s="1576" t="s">
        <v>10424</v>
      </c>
      <c r="AL80" s="1576" t="s">
        <v>5108</v>
      </c>
      <c r="AM80" s="1576" t="s">
        <v>10086</v>
      </c>
      <c r="AN80" s="1576" t="s">
        <v>4307</v>
      </c>
      <c r="AO80" s="1576" t="s">
        <v>9199</v>
      </c>
      <c r="AP80" s="1576" t="s">
        <v>10425</v>
      </c>
      <c r="AQ80" s="1637" t="s">
        <v>8854</v>
      </c>
      <c r="AR80" s="1576" t="s">
        <v>10426</v>
      </c>
      <c r="AS80" s="1640" t="s">
        <v>755</v>
      </c>
      <c r="AT80" s="1576" t="s">
        <v>10427</v>
      </c>
      <c r="AU80" s="1519" t="s">
        <v>10428</v>
      </c>
      <c r="AV80" s="1393" t="str">
        <f t="shared" si="1"/>
        <v>4:08</v>
      </c>
      <c r="AW80" s="1593" t="s">
        <v>10429</v>
      </c>
    </row>
    <row r="81">
      <c r="A81" s="1529" t="s">
        <v>3960</v>
      </c>
      <c r="B81" s="1517" t="s">
        <v>8774</v>
      </c>
      <c r="C81" s="1475">
        <v>0.0522337962962963</v>
      </c>
      <c r="D81" s="1604" t="s">
        <v>10430</v>
      </c>
      <c r="E81" s="1579" t="s">
        <v>10431</v>
      </c>
      <c r="F81" s="1579" t="s">
        <v>10432</v>
      </c>
      <c r="G81" s="1579" t="s">
        <v>10433</v>
      </c>
      <c r="H81" s="1579" t="s">
        <v>10434</v>
      </c>
      <c r="I81" s="1579" t="s">
        <v>1910</v>
      </c>
      <c r="J81" s="1579" t="s">
        <v>8454</v>
      </c>
      <c r="K81" s="1579" t="s">
        <v>4430</v>
      </c>
      <c r="L81" s="1579" t="s">
        <v>6318</v>
      </c>
      <c r="M81" s="1579" t="s">
        <v>10435</v>
      </c>
      <c r="N81" s="1579" t="s">
        <v>9833</v>
      </c>
      <c r="O81" s="1579" t="s">
        <v>10436</v>
      </c>
      <c r="P81" s="1579" t="s">
        <v>5188</v>
      </c>
      <c r="Q81" s="1579" t="s">
        <v>10437</v>
      </c>
      <c r="R81" s="1579" t="s">
        <v>6305</v>
      </c>
      <c r="S81" s="1579" t="s">
        <v>609</v>
      </c>
      <c r="T81" s="1579" t="s">
        <v>10242</v>
      </c>
      <c r="U81" s="1579" t="s">
        <v>9240</v>
      </c>
      <c r="V81" s="1579" t="s">
        <v>10438</v>
      </c>
      <c r="W81" s="1579" t="s">
        <v>10439</v>
      </c>
      <c r="X81" s="1579" t="s">
        <v>10440</v>
      </c>
      <c r="Y81" s="1579" t="s">
        <v>760</v>
      </c>
      <c r="Z81" s="1579" t="s">
        <v>10441</v>
      </c>
      <c r="AA81" s="773" t="s">
        <v>10442</v>
      </c>
      <c r="AB81" s="1579" t="s">
        <v>7248</v>
      </c>
      <c r="AC81" s="1579" t="s">
        <v>10223</v>
      </c>
      <c r="AD81" s="1579" t="s">
        <v>7719</v>
      </c>
      <c r="AE81" s="1579" t="s">
        <v>4949</v>
      </c>
      <c r="AF81" s="1265" t="s">
        <v>10443</v>
      </c>
      <c r="AG81" s="1579" t="s">
        <v>10444</v>
      </c>
      <c r="AH81" s="1579" t="s">
        <v>5063</v>
      </c>
      <c r="AI81" s="1579" t="s">
        <v>6842</v>
      </c>
      <c r="AJ81" s="1579" t="s">
        <v>10445</v>
      </c>
      <c r="AK81" s="1579" t="s">
        <v>10446</v>
      </c>
      <c r="AL81" s="1579" t="s">
        <v>10162</v>
      </c>
      <c r="AM81" s="1579" t="s">
        <v>9835</v>
      </c>
      <c r="AN81" s="1579" t="s">
        <v>1078</v>
      </c>
      <c r="AO81" s="1579" t="s">
        <v>6475</v>
      </c>
      <c r="AP81" s="1579" t="s">
        <v>5616</v>
      </c>
      <c r="AQ81" s="1579" t="s">
        <v>10447</v>
      </c>
      <c r="AR81" s="1579" t="s">
        <v>691</v>
      </c>
      <c r="AS81" s="1265" t="s">
        <v>2793</v>
      </c>
      <c r="AT81" s="1579" t="s">
        <v>10448</v>
      </c>
      <c r="AU81" s="1579" t="s">
        <v>10449</v>
      </c>
      <c r="AV81" s="1393" t="str">
        <f t="shared" si="1"/>
        <v>4:32</v>
      </c>
      <c r="AW81" s="1627" t="s">
        <v>10450</v>
      </c>
    </row>
    <row r="82">
      <c r="A82" s="1529" t="s">
        <v>5196</v>
      </c>
      <c r="B82" s="1527" t="s">
        <v>8801</v>
      </c>
      <c r="C82" s="1475">
        <v>0.05232638888888889</v>
      </c>
      <c r="D82" s="1604" t="s">
        <v>10451</v>
      </c>
      <c r="E82" s="1579" t="s">
        <v>1231</v>
      </c>
      <c r="F82" s="1579" t="s">
        <v>10452</v>
      </c>
      <c r="G82" s="1579" t="s">
        <v>10453</v>
      </c>
      <c r="H82" s="1579" t="s">
        <v>10454</v>
      </c>
      <c r="I82" s="1579" t="s">
        <v>1352</v>
      </c>
      <c r="J82" s="1579" t="s">
        <v>8029</v>
      </c>
      <c r="K82" s="1579" t="s">
        <v>10057</v>
      </c>
      <c r="L82" s="1579" t="s">
        <v>10455</v>
      </c>
      <c r="M82" s="1579" t="s">
        <v>7747</v>
      </c>
      <c r="N82" s="1579" t="s">
        <v>10456</v>
      </c>
      <c r="O82" s="1579" t="s">
        <v>10457</v>
      </c>
      <c r="P82" s="1579" t="s">
        <v>522</v>
      </c>
      <c r="Q82" s="1579" t="s">
        <v>9895</v>
      </c>
      <c r="R82" s="1579" t="s">
        <v>5273</v>
      </c>
      <c r="S82" s="1579" t="s">
        <v>9694</v>
      </c>
      <c r="T82" s="1579" t="s">
        <v>10458</v>
      </c>
      <c r="U82" s="1579" t="s">
        <v>10459</v>
      </c>
      <c r="V82" s="1579" t="s">
        <v>10460</v>
      </c>
      <c r="W82" s="1579" t="s">
        <v>6393</v>
      </c>
      <c r="X82" s="1579" t="s">
        <v>314</v>
      </c>
      <c r="Y82" s="1579" t="s">
        <v>6670</v>
      </c>
      <c r="Z82" s="1579" t="s">
        <v>781</v>
      </c>
      <c r="AA82" s="361" t="s">
        <v>9694</v>
      </c>
      <c r="AB82" s="1579" t="s">
        <v>10461</v>
      </c>
      <c r="AC82" s="1579" t="s">
        <v>6301</v>
      </c>
      <c r="AD82" s="1579" t="s">
        <v>10462</v>
      </c>
      <c r="AE82" s="1579" t="s">
        <v>226</v>
      </c>
      <c r="AF82" s="1579" t="s">
        <v>8368</v>
      </c>
      <c r="AG82" s="1579" t="s">
        <v>4070</v>
      </c>
      <c r="AH82" s="1579" t="s">
        <v>1889</v>
      </c>
      <c r="AI82" s="1579" t="s">
        <v>420</v>
      </c>
      <c r="AJ82" s="1579" t="s">
        <v>10463</v>
      </c>
      <c r="AK82" s="1579" t="s">
        <v>10464</v>
      </c>
      <c r="AL82" s="1579" t="s">
        <v>10201</v>
      </c>
      <c r="AM82" s="1579" t="s">
        <v>2974</v>
      </c>
      <c r="AN82" s="1579" t="s">
        <v>6031</v>
      </c>
      <c r="AO82" s="1579" t="s">
        <v>3717</v>
      </c>
      <c r="AP82" s="1579" t="s">
        <v>10465</v>
      </c>
      <c r="AQ82" s="1579" t="s">
        <v>7746</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1659</v>
      </c>
      <c r="F83" s="361" t="s">
        <v>8019</v>
      </c>
      <c r="G83" s="361" t="s">
        <v>10182</v>
      </c>
      <c r="H83" s="361" t="s">
        <v>10471</v>
      </c>
      <c r="I83" s="361" t="s">
        <v>10472</v>
      </c>
      <c r="J83" s="361" t="s">
        <v>10473</v>
      </c>
      <c r="K83" s="361" t="s">
        <v>10474</v>
      </c>
      <c r="L83" s="361" t="s">
        <v>4459</v>
      </c>
      <c r="M83" s="361" t="s">
        <v>3291</v>
      </c>
      <c r="N83" s="361" t="s">
        <v>4853</v>
      </c>
      <c r="O83" s="361" t="s">
        <v>10475</v>
      </c>
      <c r="P83" s="361" t="s">
        <v>10476</v>
      </c>
      <c r="Q83" s="361" t="s">
        <v>4221</v>
      </c>
      <c r="R83" s="361" t="s">
        <v>9803</v>
      </c>
      <c r="S83" s="361" t="s">
        <v>9967</v>
      </c>
      <c r="T83" s="361" t="s">
        <v>5064</v>
      </c>
      <c r="U83" s="361" t="s">
        <v>10477</v>
      </c>
      <c r="V83" s="361" t="s">
        <v>10478</v>
      </c>
      <c r="W83" s="361" t="s">
        <v>10479</v>
      </c>
      <c r="X83" s="361" t="s">
        <v>10480</v>
      </c>
      <c r="Y83" s="361" t="s">
        <v>6577</v>
      </c>
      <c r="Z83" s="361" t="s">
        <v>10343</v>
      </c>
      <c r="AA83" s="361" t="s">
        <v>1869</v>
      </c>
      <c r="AB83" s="361" t="s">
        <v>10481</v>
      </c>
      <c r="AC83" s="361" t="s">
        <v>1543</v>
      </c>
      <c r="AD83" s="361" t="s">
        <v>10482</v>
      </c>
      <c r="AE83" s="361" t="s">
        <v>1543</v>
      </c>
      <c r="AF83" s="361" t="s">
        <v>10483</v>
      </c>
      <c r="AG83" s="361" t="s">
        <v>10121</v>
      </c>
      <c r="AH83" s="361" t="s">
        <v>2114</v>
      </c>
      <c r="AI83" s="361" t="s">
        <v>3360</v>
      </c>
      <c r="AJ83" s="361" t="s">
        <v>10484</v>
      </c>
      <c r="AK83" s="361" t="s">
        <v>7249</v>
      </c>
      <c r="AL83" s="361" t="s">
        <v>10485</v>
      </c>
      <c r="AM83" s="361" t="s">
        <v>1189</v>
      </c>
      <c r="AN83" s="361" t="s">
        <v>3002</v>
      </c>
      <c r="AO83" s="361" t="s">
        <v>10486</v>
      </c>
      <c r="AP83" s="361" t="s">
        <v>3652</v>
      </c>
      <c r="AQ83" s="361" t="s">
        <v>10487</v>
      </c>
      <c r="AR83" s="361" t="s">
        <v>5693</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6730</v>
      </c>
      <c r="F84" s="361" t="s">
        <v>10492</v>
      </c>
      <c r="G84" s="361" t="s">
        <v>10493</v>
      </c>
      <c r="H84" s="361" t="s">
        <v>10494</v>
      </c>
      <c r="I84" s="361" t="s">
        <v>10495</v>
      </c>
      <c r="J84" s="361" t="s">
        <v>9380</v>
      </c>
      <c r="K84" s="361" t="s">
        <v>4140</v>
      </c>
      <c r="L84" s="361" t="s">
        <v>4212</v>
      </c>
      <c r="M84" s="361" t="s">
        <v>9529</v>
      </c>
      <c r="N84" s="361" t="s">
        <v>10496</v>
      </c>
      <c r="O84" s="361" t="s">
        <v>8815</v>
      </c>
      <c r="P84" s="361" t="s">
        <v>485</v>
      </c>
      <c r="Q84" s="361" t="s">
        <v>10497</v>
      </c>
      <c r="R84" s="361" t="s">
        <v>5534</v>
      </c>
      <c r="S84" s="361" t="s">
        <v>6526</v>
      </c>
      <c r="T84" s="361" t="s">
        <v>10498</v>
      </c>
      <c r="U84" s="361" t="s">
        <v>10499</v>
      </c>
      <c r="V84" s="361" t="s">
        <v>10500</v>
      </c>
      <c r="W84" s="361" t="s">
        <v>10501</v>
      </c>
      <c r="X84" s="361" t="s">
        <v>5855</v>
      </c>
      <c r="Y84" s="361" t="s">
        <v>1543</v>
      </c>
      <c r="Z84" s="361" t="s">
        <v>6656</v>
      </c>
      <c r="AA84" s="1579" t="s">
        <v>6471</v>
      </c>
      <c r="AB84" s="361" t="s">
        <v>9424</v>
      </c>
      <c r="AC84" s="361" t="s">
        <v>10237</v>
      </c>
      <c r="AD84" s="361" t="s">
        <v>3039</v>
      </c>
      <c r="AE84" s="361" t="s">
        <v>4776</v>
      </c>
      <c r="AF84" s="361" t="s">
        <v>10502</v>
      </c>
      <c r="AG84" s="361" t="s">
        <v>2855</v>
      </c>
      <c r="AH84" s="361" t="s">
        <v>6837</v>
      </c>
      <c r="AI84" s="361" t="s">
        <v>10503</v>
      </c>
      <c r="AJ84" s="361" t="s">
        <v>10504</v>
      </c>
      <c r="AK84" s="361" t="s">
        <v>9851</v>
      </c>
      <c r="AL84" s="361" t="s">
        <v>10505</v>
      </c>
      <c r="AM84" s="361" t="s">
        <v>10506</v>
      </c>
      <c r="AN84" s="361" t="s">
        <v>3954</v>
      </c>
      <c r="AO84" s="361" t="s">
        <v>9199</v>
      </c>
      <c r="AP84" s="361" t="s">
        <v>10507</v>
      </c>
      <c r="AQ84" s="361" t="s">
        <v>10508</v>
      </c>
      <c r="AR84" s="361" t="s">
        <v>1384</v>
      </c>
      <c r="AS84" s="361" t="s">
        <v>1088</v>
      </c>
      <c r="AT84" s="361" t="s">
        <v>10509</v>
      </c>
      <c r="AU84" s="361" t="s">
        <v>10510</v>
      </c>
      <c r="AV84" s="1393" t="str">
        <f t="shared" si="1"/>
        <v>4:28</v>
      </c>
      <c r="AW84" s="1630" t="s">
        <v>10511</v>
      </c>
    </row>
    <row r="85">
      <c r="A85" s="1529" t="s">
        <v>3616</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2057</v>
      </c>
      <c r="Q85" s="773" t="s">
        <v>3498</v>
      </c>
      <c r="R85" s="773" t="s">
        <v>10518</v>
      </c>
      <c r="S85" s="773" t="s">
        <v>6116</v>
      </c>
      <c r="T85" s="773" t="s">
        <v>10519</v>
      </c>
      <c r="U85" s="773" t="s">
        <v>10520</v>
      </c>
      <c r="V85" s="773" t="s">
        <v>10521</v>
      </c>
      <c r="W85" s="773" t="s">
        <v>10522</v>
      </c>
      <c r="X85" s="773" t="s">
        <v>2710</v>
      </c>
      <c r="Y85" s="773" t="s">
        <v>2806</v>
      </c>
      <c r="Z85" s="773" t="s">
        <v>6399</v>
      </c>
      <c r="AA85" s="1579" t="s">
        <v>10523</v>
      </c>
      <c r="AB85" s="773" t="s">
        <v>10524</v>
      </c>
      <c r="AC85" s="773" t="s">
        <v>6669</v>
      </c>
      <c r="AD85" s="1641" t="s">
        <v>8846</v>
      </c>
      <c r="AE85" s="773" t="s">
        <v>336</v>
      </c>
      <c r="AF85" s="773" t="s">
        <v>10525</v>
      </c>
      <c r="AG85" s="773" t="s">
        <v>7670</v>
      </c>
      <c r="AH85" s="773" t="s">
        <v>3820</v>
      </c>
      <c r="AI85" s="773" t="s">
        <v>10526</v>
      </c>
      <c r="AJ85" s="773" t="s">
        <v>10527</v>
      </c>
      <c r="AK85" s="773" t="s">
        <v>10528</v>
      </c>
      <c r="AL85" s="773" t="s">
        <v>4596</v>
      </c>
      <c r="AM85" s="773" t="s">
        <v>5762</v>
      </c>
      <c r="AN85" s="1641" t="s">
        <v>8851</v>
      </c>
      <c r="AO85" s="773" t="s">
        <v>10529</v>
      </c>
      <c r="AP85" s="773" t="s">
        <v>10530</v>
      </c>
      <c r="AQ85" s="773" t="s">
        <v>10531</v>
      </c>
      <c r="AR85" s="773" t="s">
        <v>6070</v>
      </c>
      <c r="AS85" s="773" t="s">
        <v>7186</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7695</v>
      </c>
      <c r="G86" s="1579" t="s">
        <v>10536</v>
      </c>
      <c r="H86" s="1579" t="s">
        <v>10537</v>
      </c>
      <c r="I86" s="1579" t="s">
        <v>5609</v>
      </c>
      <c r="J86" s="773" t="s">
        <v>10538</v>
      </c>
      <c r="K86" s="1579" t="s">
        <v>10539</v>
      </c>
      <c r="L86" s="1579" t="s">
        <v>3820</v>
      </c>
      <c r="M86" s="1579" t="s">
        <v>7652</v>
      </c>
      <c r="N86" s="1579" t="s">
        <v>10540</v>
      </c>
      <c r="O86" s="1579" t="s">
        <v>10541</v>
      </c>
      <c r="P86" s="1579" t="s">
        <v>9898</v>
      </c>
      <c r="Q86" s="1579" t="s">
        <v>10542</v>
      </c>
      <c r="R86" s="1579" t="s">
        <v>5626</v>
      </c>
      <c r="S86" s="1579" t="s">
        <v>7688</v>
      </c>
      <c r="T86" s="1579" t="s">
        <v>10543</v>
      </c>
      <c r="U86" s="1579" t="s">
        <v>10544</v>
      </c>
      <c r="V86" s="1579" t="s">
        <v>3879</v>
      </c>
      <c r="W86" s="1579" t="s">
        <v>10545</v>
      </c>
      <c r="X86" s="1579" t="s">
        <v>2412</v>
      </c>
      <c r="Y86" s="1579" t="s">
        <v>9494</v>
      </c>
      <c r="Z86" s="1579" t="s">
        <v>9009</v>
      </c>
      <c r="AA86" s="1579" t="s">
        <v>10546</v>
      </c>
      <c r="AB86" s="1579" t="s">
        <v>10113</v>
      </c>
      <c r="AC86" s="1579" t="s">
        <v>9361</v>
      </c>
      <c r="AD86" s="1579" t="s">
        <v>10547</v>
      </c>
      <c r="AE86" s="1579" t="s">
        <v>2382</v>
      </c>
      <c r="AF86" s="1579" t="s">
        <v>10548</v>
      </c>
      <c r="AG86" s="1579" t="s">
        <v>10549</v>
      </c>
      <c r="AH86" s="1579" t="s">
        <v>4212</v>
      </c>
      <c r="AI86" s="1579" t="s">
        <v>10550</v>
      </c>
      <c r="AJ86" s="1579" t="s">
        <v>10551</v>
      </c>
      <c r="AK86" s="1579" t="s">
        <v>1689</v>
      </c>
      <c r="AL86" s="1579" t="s">
        <v>2600</v>
      </c>
      <c r="AM86" s="1579" t="s">
        <v>1689</v>
      </c>
      <c r="AN86" s="1579" t="s">
        <v>2600</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7481</v>
      </c>
      <c r="I87" s="361" t="s">
        <v>2284</v>
      </c>
      <c r="J87" s="361" t="s">
        <v>4153</v>
      </c>
      <c r="K87" s="361" t="s">
        <v>10256</v>
      </c>
      <c r="L87" s="361" t="s">
        <v>5321</v>
      </c>
      <c r="M87" s="361" t="s">
        <v>4139</v>
      </c>
      <c r="N87" s="361" t="s">
        <v>10559</v>
      </c>
      <c r="O87" s="361" t="s">
        <v>10560</v>
      </c>
      <c r="P87" s="361" t="s">
        <v>6352</v>
      </c>
      <c r="Q87" s="361" t="s">
        <v>10561</v>
      </c>
      <c r="R87" s="361" t="s">
        <v>10562</v>
      </c>
      <c r="S87" s="361" t="s">
        <v>8790</v>
      </c>
      <c r="T87" s="361" t="s">
        <v>2605</v>
      </c>
      <c r="U87" s="361" t="s">
        <v>500</v>
      </c>
      <c r="V87" s="361" t="s">
        <v>10563</v>
      </c>
      <c r="W87" s="361" t="s">
        <v>10564</v>
      </c>
      <c r="X87" s="361" t="s">
        <v>8976</v>
      </c>
      <c r="Y87" s="361" t="s">
        <v>5775</v>
      </c>
      <c r="Z87" s="361" t="s">
        <v>9150</v>
      </c>
      <c r="AA87" s="361" t="s">
        <v>10565</v>
      </c>
      <c r="AB87" s="361" t="s">
        <v>493</v>
      </c>
      <c r="AC87" s="361" t="s">
        <v>9056</v>
      </c>
      <c r="AD87" s="361" t="s">
        <v>10566</v>
      </c>
      <c r="AE87" s="361" t="s">
        <v>10567</v>
      </c>
      <c r="AF87" s="361" t="s">
        <v>9655</v>
      </c>
      <c r="AG87" s="361" t="s">
        <v>7131</v>
      </c>
      <c r="AH87" s="361" t="s">
        <v>723</v>
      </c>
      <c r="AI87" s="361" t="s">
        <v>5350</v>
      </c>
      <c r="AJ87" s="361" t="s">
        <v>10568</v>
      </c>
      <c r="AK87" s="361" t="s">
        <v>9114</v>
      </c>
      <c r="AL87" s="361" t="s">
        <v>5282</v>
      </c>
      <c r="AM87" s="361" t="s">
        <v>2739</v>
      </c>
      <c r="AN87" s="361" t="s">
        <v>6539</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3114</v>
      </c>
      <c r="J88" s="361" t="s">
        <v>10577</v>
      </c>
      <c r="K88" s="361" t="s">
        <v>5446</v>
      </c>
      <c r="L88" s="361" t="s">
        <v>7994</v>
      </c>
      <c r="M88" s="361" t="s">
        <v>10578</v>
      </c>
      <c r="N88" s="361" t="s">
        <v>10579</v>
      </c>
      <c r="O88" s="361" t="s">
        <v>10580</v>
      </c>
      <c r="P88" s="361" t="s">
        <v>10002</v>
      </c>
      <c r="Q88" s="361" t="s">
        <v>10581</v>
      </c>
      <c r="R88" s="361" t="s">
        <v>5929</v>
      </c>
      <c r="S88" s="361" t="s">
        <v>4581</v>
      </c>
      <c r="T88" s="361" t="s">
        <v>9163</v>
      </c>
      <c r="U88" s="361" t="s">
        <v>5521</v>
      </c>
      <c r="V88" s="361" t="s">
        <v>1147</v>
      </c>
      <c r="W88" s="361" t="s">
        <v>1832</v>
      </c>
      <c r="X88" s="361" t="s">
        <v>3354</v>
      </c>
      <c r="Y88" s="361" t="s">
        <v>660</v>
      </c>
      <c r="Z88" s="361" t="s">
        <v>10582</v>
      </c>
      <c r="AA88" s="1579" t="s">
        <v>7922</v>
      </c>
      <c r="AB88" s="361" t="s">
        <v>3669</v>
      </c>
      <c r="AC88" s="361" t="s">
        <v>2445</v>
      </c>
      <c r="AD88" s="361" t="s">
        <v>10583</v>
      </c>
      <c r="AE88" s="361" t="s">
        <v>10584</v>
      </c>
      <c r="AF88" s="361" t="s">
        <v>10585</v>
      </c>
      <c r="AG88" s="361" t="s">
        <v>2772</v>
      </c>
      <c r="AH88" s="361" t="s">
        <v>9826</v>
      </c>
      <c r="AI88" s="361" t="s">
        <v>10586</v>
      </c>
      <c r="AJ88" s="361" t="s">
        <v>10587</v>
      </c>
      <c r="AK88" s="361" t="s">
        <v>10588</v>
      </c>
      <c r="AL88" s="361" t="s">
        <v>1662</v>
      </c>
      <c r="AM88" s="361" t="s">
        <v>2549</v>
      </c>
      <c r="AN88" s="361" t="s">
        <v>8898</v>
      </c>
      <c r="AO88" s="361" t="s">
        <v>10589</v>
      </c>
      <c r="AP88" s="361" t="s">
        <v>8611</v>
      </c>
      <c r="AQ88" s="361" t="s">
        <v>10590</v>
      </c>
      <c r="AR88" s="361" t="s">
        <v>10498</v>
      </c>
      <c r="AS88" s="361" t="s">
        <v>4359</v>
      </c>
      <c r="AT88" s="361" t="s">
        <v>10591</v>
      </c>
      <c r="AU88" s="361" t="s">
        <v>10592</v>
      </c>
      <c r="AV88" s="1393" t="str">
        <f t="shared" si="1"/>
        <v>2:38</v>
      </c>
      <c r="AW88" s="1631"/>
    </row>
    <row r="89" ht="15.75" customHeight="1">
      <c r="A89" s="1529" t="s">
        <v>6418</v>
      </c>
      <c r="B89" s="1517" t="s">
        <v>8774</v>
      </c>
      <c r="C89" s="1475">
        <v>0.05324074074074074</v>
      </c>
      <c r="D89" s="773" t="s">
        <v>10593</v>
      </c>
      <c r="E89" s="773" t="s">
        <v>10594</v>
      </c>
      <c r="F89" s="773" t="s">
        <v>10595</v>
      </c>
      <c r="G89" s="773" t="s">
        <v>9535</v>
      </c>
      <c r="H89" s="773" t="s">
        <v>10596</v>
      </c>
      <c r="I89" s="773" t="s">
        <v>6118</v>
      </c>
      <c r="J89" s="773" t="s">
        <v>1795</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5609</v>
      </c>
      <c r="Z89" s="773" t="s">
        <v>3565</v>
      </c>
      <c r="AA89" s="1579" t="s">
        <v>10608</v>
      </c>
      <c r="AB89" s="773" t="s">
        <v>9936</v>
      </c>
      <c r="AC89" s="773" t="s">
        <v>5533</v>
      </c>
      <c r="AD89" s="773" t="s">
        <v>10609</v>
      </c>
      <c r="AE89" s="773" t="s">
        <v>9727</v>
      </c>
      <c r="AF89" s="773" t="s">
        <v>10610</v>
      </c>
      <c r="AG89" s="773" t="s">
        <v>10421</v>
      </c>
      <c r="AH89" s="773" t="s">
        <v>5765</v>
      </c>
      <c r="AI89" s="773" t="s">
        <v>10611</v>
      </c>
      <c r="AJ89" s="773" t="s">
        <v>10612</v>
      </c>
      <c r="AK89" s="1579" t="s">
        <v>10613</v>
      </c>
      <c r="AL89" s="773" t="s">
        <v>10240</v>
      </c>
      <c r="AM89" s="773" t="s">
        <v>10614</v>
      </c>
      <c r="AN89" s="773" t="s">
        <v>10081</v>
      </c>
      <c r="AO89" s="773" t="s">
        <v>4530</v>
      </c>
      <c r="AP89" s="773" t="s">
        <v>10615</v>
      </c>
      <c r="AQ89" s="773" t="s">
        <v>10616</v>
      </c>
      <c r="AR89" s="1579" t="s">
        <v>3819</v>
      </c>
      <c r="AS89" s="773" t="s">
        <v>10617</v>
      </c>
      <c r="AT89" s="773" t="s">
        <v>10618</v>
      </c>
      <c r="AU89" s="1579" t="s">
        <v>10533</v>
      </c>
      <c r="AV89" s="1393" t="str">
        <f t="shared" si="1"/>
        <v>3:53</v>
      </c>
      <c r="AW89" s="1627" t="s">
        <v>10619</v>
      </c>
    </row>
    <row r="90">
      <c r="A90" s="1529" t="s">
        <v>4789</v>
      </c>
      <c r="B90" s="1527" t="s">
        <v>8827</v>
      </c>
      <c r="C90" s="1475">
        <v>0.05331018518518518</v>
      </c>
      <c r="D90" s="1579" t="s">
        <v>10620</v>
      </c>
      <c r="E90" s="1579" t="s">
        <v>8093</v>
      </c>
      <c r="F90" s="1579" t="s">
        <v>10397</v>
      </c>
      <c r="G90" s="1579" t="s">
        <v>10621</v>
      </c>
      <c r="H90" s="773" t="s">
        <v>10622</v>
      </c>
      <c r="I90" s="1579" t="s">
        <v>10623</v>
      </c>
      <c r="J90" s="1579" t="s">
        <v>10173</v>
      </c>
      <c r="K90" s="1579" t="s">
        <v>8968</v>
      </c>
      <c r="L90" s="1579" t="s">
        <v>4466</v>
      </c>
      <c r="M90" s="1579" t="s">
        <v>10624</v>
      </c>
      <c r="N90" s="1579" t="s">
        <v>9965</v>
      </c>
      <c r="O90" s="1579" t="s">
        <v>10625</v>
      </c>
      <c r="P90" s="1579" t="s">
        <v>6301</v>
      </c>
      <c r="Q90" s="1579" t="s">
        <v>10626</v>
      </c>
      <c r="R90" s="1579" t="s">
        <v>2150</v>
      </c>
      <c r="S90" s="1579" t="s">
        <v>7957</v>
      </c>
      <c r="T90" s="1579" t="s">
        <v>7463</v>
      </c>
      <c r="U90" s="1579" t="s">
        <v>10627</v>
      </c>
      <c r="V90" s="1579" t="s">
        <v>10154</v>
      </c>
      <c r="W90" s="1579" t="s">
        <v>10628</v>
      </c>
      <c r="X90" s="1579" t="s">
        <v>7132</v>
      </c>
      <c r="Y90" s="1579" t="s">
        <v>5461</v>
      </c>
      <c r="Z90" s="1579" t="s">
        <v>9967</v>
      </c>
      <c r="AA90" s="1579" t="s">
        <v>10629</v>
      </c>
      <c r="AB90" s="1579" t="s">
        <v>3557</v>
      </c>
      <c r="AC90" s="1579" t="s">
        <v>10630</v>
      </c>
      <c r="AD90" s="1579" t="s">
        <v>10631</v>
      </c>
      <c r="AE90" s="1579" t="s">
        <v>5775</v>
      </c>
      <c r="AF90" s="1579" t="s">
        <v>10632</v>
      </c>
      <c r="AG90" s="1579" t="s">
        <v>9284</v>
      </c>
      <c r="AH90" s="1579" t="s">
        <v>10633</v>
      </c>
      <c r="AI90" s="1579" t="s">
        <v>10634</v>
      </c>
      <c r="AJ90" s="1579" t="s">
        <v>10635</v>
      </c>
      <c r="AK90" s="1579" t="s">
        <v>2229</v>
      </c>
      <c r="AL90" s="1579" t="s">
        <v>2198</v>
      </c>
      <c r="AM90" s="1579" t="s">
        <v>10636</v>
      </c>
      <c r="AN90" s="1579" t="s">
        <v>4671</v>
      </c>
      <c r="AO90" s="1579" t="s">
        <v>10637</v>
      </c>
      <c r="AP90" s="1579" t="s">
        <v>2716</v>
      </c>
      <c r="AQ90" s="1579" t="s">
        <v>10638</v>
      </c>
      <c r="AR90" s="1579" t="s">
        <v>1675</v>
      </c>
      <c r="AS90" s="1579" t="s">
        <v>975</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6538</v>
      </c>
      <c r="G91" s="361" t="s">
        <v>10643</v>
      </c>
      <c r="H91" s="361" t="s">
        <v>10644</v>
      </c>
      <c r="I91" s="361" t="s">
        <v>2350</v>
      </c>
      <c r="J91" s="361" t="s">
        <v>9338</v>
      </c>
      <c r="K91" s="361" t="s">
        <v>8839</v>
      </c>
      <c r="L91" s="361" t="s">
        <v>4851</v>
      </c>
      <c r="M91" s="361" t="s">
        <v>10645</v>
      </c>
      <c r="N91" s="361" t="s">
        <v>10646</v>
      </c>
      <c r="O91" s="361" t="s">
        <v>4309</v>
      </c>
      <c r="P91" s="361" t="s">
        <v>928</v>
      </c>
      <c r="Q91" s="1579" t="s">
        <v>10647</v>
      </c>
      <c r="R91" s="361" t="s">
        <v>10218</v>
      </c>
      <c r="S91" s="361" t="s">
        <v>9564</v>
      </c>
      <c r="T91" s="361" t="s">
        <v>10404</v>
      </c>
      <c r="U91" s="361" t="s">
        <v>10648</v>
      </c>
      <c r="V91" s="361" t="s">
        <v>3219</v>
      </c>
      <c r="W91" s="361" t="s">
        <v>2782</v>
      </c>
      <c r="X91" s="361" t="s">
        <v>3139</v>
      </c>
      <c r="Y91" s="361" t="s">
        <v>1430</v>
      </c>
      <c r="Z91" s="361" t="s">
        <v>9238</v>
      </c>
      <c r="AA91" s="1579" t="s">
        <v>10649</v>
      </c>
      <c r="AB91" s="361" t="s">
        <v>9976</v>
      </c>
      <c r="AC91" s="361" t="s">
        <v>1154</v>
      </c>
      <c r="AD91" s="361" t="s">
        <v>10650</v>
      </c>
      <c r="AE91" s="361" t="s">
        <v>587</v>
      </c>
      <c r="AF91" s="1579" t="s">
        <v>10651</v>
      </c>
      <c r="AG91" s="361" t="s">
        <v>5793</v>
      </c>
      <c r="AH91" s="361" t="s">
        <v>9436</v>
      </c>
      <c r="AI91" s="361" t="s">
        <v>2630</v>
      </c>
      <c r="AJ91" s="361" t="s">
        <v>10652</v>
      </c>
      <c r="AK91" s="361" t="s">
        <v>9252</v>
      </c>
      <c r="AL91" s="361" t="s">
        <v>10653</v>
      </c>
      <c r="AM91" s="361" t="s">
        <v>9023</v>
      </c>
      <c r="AN91" s="361" t="s">
        <v>10240</v>
      </c>
      <c r="AO91" s="361" t="s">
        <v>8947</v>
      </c>
      <c r="AP91" s="361" t="s">
        <v>10654</v>
      </c>
      <c r="AQ91" s="361" t="s">
        <v>4456</v>
      </c>
      <c r="AR91" s="361" t="s">
        <v>1384</v>
      </c>
      <c r="AS91" s="361" t="s">
        <v>9032</v>
      </c>
      <c r="AT91" s="361" t="s">
        <v>4701</v>
      </c>
      <c r="AU91" s="361" t="s">
        <v>10655</v>
      </c>
      <c r="AV91" s="1393" t="str">
        <f t="shared" si="1"/>
        <v>3:27</v>
      </c>
      <c r="AW91" s="1627" t="s">
        <v>10656</v>
      </c>
    </row>
    <row r="92">
      <c r="A92" s="1529" t="s">
        <v>5402</v>
      </c>
      <c r="B92" s="1517" t="s">
        <v>8774</v>
      </c>
      <c r="C92" s="1475">
        <v>0.05376157407407407</v>
      </c>
      <c r="D92" s="1579" t="s">
        <v>10657</v>
      </c>
      <c r="E92" s="1579" t="s">
        <v>5695</v>
      </c>
      <c r="F92" s="1579" t="s">
        <v>10658</v>
      </c>
      <c r="G92" s="1579" t="s">
        <v>10659</v>
      </c>
      <c r="H92" s="1643" t="s">
        <v>10660</v>
      </c>
      <c r="I92" s="773" t="s">
        <v>241</v>
      </c>
      <c r="J92" s="1579" t="s">
        <v>9851</v>
      </c>
      <c r="K92" s="1579" t="s">
        <v>10661</v>
      </c>
      <c r="L92" s="1579" t="s">
        <v>2515</v>
      </c>
      <c r="M92" s="1579" t="s">
        <v>1261</v>
      </c>
      <c r="N92" s="1579" t="s">
        <v>10662</v>
      </c>
      <c r="O92" s="1579" t="s">
        <v>10663</v>
      </c>
      <c r="P92" s="1579" t="s">
        <v>863</v>
      </c>
      <c r="Q92" s="1579" t="s">
        <v>4396</v>
      </c>
      <c r="R92" s="1579" t="s">
        <v>10664</v>
      </c>
      <c r="S92" s="1644" t="s">
        <v>10665</v>
      </c>
      <c r="T92" s="1644" t="s">
        <v>9402</v>
      </c>
      <c r="U92" s="1579" t="s">
        <v>10666</v>
      </c>
      <c r="V92" s="1579" t="s">
        <v>10667</v>
      </c>
      <c r="W92" s="1579" t="s">
        <v>7779</v>
      </c>
      <c r="X92" s="1579" t="s">
        <v>10668</v>
      </c>
      <c r="Y92" s="1579" t="s">
        <v>2125</v>
      </c>
      <c r="Z92" s="1579" t="s">
        <v>9976</v>
      </c>
      <c r="AA92" s="1579" t="s">
        <v>10669</v>
      </c>
      <c r="AB92" s="1579" t="s">
        <v>10670</v>
      </c>
      <c r="AC92" s="1579" t="s">
        <v>7879</v>
      </c>
      <c r="AD92" s="1579" t="s">
        <v>6061</v>
      </c>
      <c r="AE92" s="1579" t="s">
        <v>2445</v>
      </c>
      <c r="AF92" s="1579" t="s">
        <v>10671</v>
      </c>
      <c r="AG92" s="1579" t="s">
        <v>10672</v>
      </c>
      <c r="AH92" s="1579" t="s">
        <v>5003</v>
      </c>
      <c r="AI92" s="1579" t="s">
        <v>7739</v>
      </c>
      <c r="AJ92" s="1579" t="s">
        <v>10673</v>
      </c>
      <c r="AK92" s="1579" t="s">
        <v>4843</v>
      </c>
      <c r="AL92" s="1579" t="s">
        <v>10674</v>
      </c>
      <c r="AM92" s="1579" t="s">
        <v>4854</v>
      </c>
      <c r="AN92" s="1579" t="s">
        <v>10675</v>
      </c>
      <c r="AO92" s="1579" t="s">
        <v>8878</v>
      </c>
      <c r="AP92" s="1579" t="s">
        <v>10676</v>
      </c>
      <c r="AQ92" s="1579" t="s">
        <v>10677</v>
      </c>
      <c r="AR92" s="1579" t="s">
        <v>5185</v>
      </c>
      <c r="AS92" s="1579" t="s">
        <v>9002</v>
      </c>
      <c r="AT92" s="1579" t="s">
        <v>10678</v>
      </c>
      <c r="AU92" s="1579" t="s">
        <v>10679</v>
      </c>
      <c r="AV92" s="1393" t="str">
        <f t="shared" si="1"/>
        <v>4:58</v>
      </c>
      <c r="AW92" s="1645"/>
    </row>
    <row r="93" ht="15.75" customHeight="1">
      <c r="A93" s="1580" t="s">
        <v>6579</v>
      </c>
      <c r="B93" s="1617" t="s">
        <v>8827</v>
      </c>
      <c r="C93" s="1597">
        <v>0.05386574074074074</v>
      </c>
      <c r="D93" s="361" t="s">
        <v>10680</v>
      </c>
      <c r="E93" s="361" t="s">
        <v>7516</v>
      </c>
      <c r="F93" s="361" t="s">
        <v>10681</v>
      </c>
      <c r="G93" s="361" t="s">
        <v>4271</v>
      </c>
      <c r="H93" s="361" t="s">
        <v>10682</v>
      </c>
      <c r="I93" s="361" t="s">
        <v>10623</v>
      </c>
      <c r="J93" s="361" t="s">
        <v>10683</v>
      </c>
      <c r="K93" s="361" t="s">
        <v>10684</v>
      </c>
      <c r="L93" s="361" t="s">
        <v>1437</v>
      </c>
      <c r="M93" s="361" t="s">
        <v>4551</v>
      </c>
      <c r="N93" s="361" t="s">
        <v>7646</v>
      </c>
      <c r="O93" s="361" t="s">
        <v>10685</v>
      </c>
      <c r="P93" s="361" t="s">
        <v>6301</v>
      </c>
      <c r="Q93" s="361" t="s">
        <v>10686</v>
      </c>
      <c r="R93" s="361" t="s">
        <v>10687</v>
      </c>
      <c r="S93" s="361" t="s">
        <v>10688</v>
      </c>
      <c r="T93" s="361" t="s">
        <v>9956</v>
      </c>
      <c r="U93" s="361" t="s">
        <v>10689</v>
      </c>
      <c r="V93" s="361" t="s">
        <v>10690</v>
      </c>
      <c r="W93" s="361" t="s">
        <v>10691</v>
      </c>
      <c r="X93" s="361" t="s">
        <v>1333</v>
      </c>
      <c r="Y93" s="361" t="s">
        <v>1884</v>
      </c>
      <c r="Z93" s="361" t="s">
        <v>8811</v>
      </c>
      <c r="AA93" s="773" t="s">
        <v>10692</v>
      </c>
      <c r="AB93" s="361" t="s">
        <v>10693</v>
      </c>
      <c r="AC93" s="361" t="s">
        <v>7215</v>
      </c>
      <c r="AD93" s="361" t="s">
        <v>10694</v>
      </c>
      <c r="AE93" s="361" t="s">
        <v>10695</v>
      </c>
      <c r="AF93" s="361" t="s">
        <v>10284</v>
      </c>
      <c r="AG93" s="361" t="s">
        <v>10696</v>
      </c>
      <c r="AH93" s="361" t="s">
        <v>10697</v>
      </c>
      <c r="AI93" s="361" t="s">
        <v>3645</v>
      </c>
      <c r="AJ93" s="361" t="s">
        <v>10698</v>
      </c>
      <c r="AK93" s="361" t="s">
        <v>10699</v>
      </c>
      <c r="AL93" s="361" t="s">
        <v>4524</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5301</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1673</v>
      </c>
      <c r="N94" s="1579" t="s">
        <v>6480</v>
      </c>
      <c r="O94" s="1579" t="s">
        <v>10711</v>
      </c>
      <c r="P94" s="1579" t="s">
        <v>6577</v>
      </c>
      <c r="Q94" s="1579" t="s">
        <v>10712</v>
      </c>
      <c r="R94" s="1579" t="s">
        <v>8900</v>
      </c>
      <c r="S94" s="1579" t="s">
        <v>10713</v>
      </c>
      <c r="T94" s="1579" t="s">
        <v>10629</v>
      </c>
      <c r="U94" s="1579" t="s">
        <v>10714</v>
      </c>
      <c r="V94" s="1579" t="s">
        <v>842</v>
      </c>
      <c r="W94" s="1579" t="s">
        <v>6568</v>
      </c>
      <c r="X94" s="1579" t="s">
        <v>10715</v>
      </c>
      <c r="Y94" s="1579" t="s">
        <v>1768</v>
      </c>
      <c r="Z94" s="1579" t="s">
        <v>9996</v>
      </c>
      <c r="AA94" s="1579" t="s">
        <v>2388</v>
      </c>
      <c r="AB94" s="1579" t="s">
        <v>7625</v>
      </c>
      <c r="AC94" s="1579" t="s">
        <v>10716</v>
      </c>
      <c r="AD94" s="1579" t="s">
        <v>10717</v>
      </c>
      <c r="AE94" s="1579" t="s">
        <v>1543</v>
      </c>
      <c r="AF94" s="1579" t="s">
        <v>10718</v>
      </c>
      <c r="AG94" s="1579" t="s">
        <v>10719</v>
      </c>
      <c r="AH94" s="1579" t="s">
        <v>10720</v>
      </c>
      <c r="AI94" s="1579" t="s">
        <v>5838</v>
      </c>
      <c r="AJ94" s="1579" t="s">
        <v>10721</v>
      </c>
      <c r="AK94" s="1579" t="s">
        <v>248</v>
      </c>
      <c r="AL94" s="1579" t="s">
        <v>7304</v>
      </c>
      <c r="AM94" s="1579" t="s">
        <v>4276</v>
      </c>
      <c r="AN94" s="1579" t="s">
        <v>10722</v>
      </c>
      <c r="AO94" s="1579" t="s">
        <v>1795</v>
      </c>
      <c r="AP94" s="1579" t="s">
        <v>885</v>
      </c>
      <c r="AQ94" s="1579" t="s">
        <v>10723</v>
      </c>
      <c r="AR94" s="1579" t="s">
        <v>10724</v>
      </c>
      <c r="AS94" s="1579" t="s">
        <v>2224</v>
      </c>
      <c r="AT94" s="1579" t="s">
        <v>10725</v>
      </c>
      <c r="AU94" s="1579" t="s">
        <v>10726</v>
      </c>
      <c r="AV94" s="1393" t="str">
        <f t="shared" si="1"/>
        <v>3:40</v>
      </c>
      <c r="AW94" s="1627" t="s">
        <v>10727</v>
      </c>
    </row>
    <row r="95">
      <c r="A95" s="1529" t="s">
        <v>5238</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3392</v>
      </c>
      <c r="S95" s="1506" t="s">
        <v>10737</v>
      </c>
      <c r="T95" s="1506" t="s">
        <v>5064</v>
      </c>
      <c r="U95" s="1506" t="s">
        <v>3252</v>
      </c>
      <c r="V95" s="1506" t="s">
        <v>10738</v>
      </c>
      <c r="W95" s="1506" t="s">
        <v>10739</v>
      </c>
      <c r="X95" s="1506" t="s">
        <v>10740</v>
      </c>
      <c r="Y95" s="1506">
        <v>51.87</v>
      </c>
      <c r="Z95" s="1506" t="s">
        <v>6300</v>
      </c>
      <c r="AA95" s="1506" t="s">
        <v>6549</v>
      </c>
      <c r="AB95" s="1506" t="s">
        <v>6526</v>
      </c>
      <c r="AC95" s="1506">
        <v>49.75</v>
      </c>
      <c r="AD95" s="1506" t="s">
        <v>10741</v>
      </c>
      <c r="AE95" s="1506">
        <v>50.16</v>
      </c>
      <c r="AF95" s="1506" t="s">
        <v>10742</v>
      </c>
      <c r="AG95" s="1506" t="s">
        <v>10743</v>
      </c>
      <c r="AH95" s="1506" t="s">
        <v>6390</v>
      </c>
      <c r="AI95" s="1506" t="s">
        <v>7502</v>
      </c>
      <c r="AJ95" s="1506" t="s">
        <v>10744</v>
      </c>
      <c r="AK95" s="1506" t="s">
        <v>10662</v>
      </c>
      <c r="AL95" s="1506">
        <v>59.29</v>
      </c>
      <c r="AM95" s="1506" t="s">
        <v>4456</v>
      </c>
      <c r="AN95" s="1506" t="s">
        <v>625</v>
      </c>
      <c r="AO95" s="1506" t="s">
        <v>10745</v>
      </c>
      <c r="AP95" s="1506" t="s">
        <v>10746</v>
      </c>
      <c r="AQ95" s="1506" t="s">
        <v>10747</v>
      </c>
      <c r="AR95" s="1506" t="s">
        <v>7560</v>
      </c>
      <c r="AS95" s="1506">
        <v>47.7</v>
      </c>
      <c r="AT95" s="1506" t="s">
        <v>10748</v>
      </c>
      <c r="AU95" s="1510" t="s">
        <v>10749</v>
      </c>
      <c r="AV95" s="1393" t="str">
        <f t="shared" si="1"/>
        <v>5:51</v>
      </c>
      <c r="AW95" s="1612" t="s">
        <v>10750</v>
      </c>
    </row>
    <row r="96">
      <c r="A96" s="1529" t="s">
        <v>5490</v>
      </c>
      <c r="B96" s="1527" t="s">
        <v>8774</v>
      </c>
      <c r="C96" s="1475">
        <v>0.05559027777777778</v>
      </c>
      <c r="D96" s="1604" t="s">
        <v>10751</v>
      </c>
      <c r="E96" s="1579" t="s">
        <v>10752</v>
      </c>
      <c r="F96" s="1579" t="s">
        <v>10753</v>
      </c>
      <c r="G96" s="1579" t="s">
        <v>10754</v>
      </c>
      <c r="H96" s="1579" t="s">
        <v>5915</v>
      </c>
      <c r="I96" s="1579" t="s">
        <v>1847</v>
      </c>
      <c r="J96" s="1579" t="s">
        <v>10755</v>
      </c>
      <c r="K96" s="1579" t="s">
        <v>6304</v>
      </c>
      <c r="L96" s="1579" t="s">
        <v>8601</v>
      </c>
      <c r="M96" s="1579" t="s">
        <v>7520</v>
      </c>
      <c r="N96" s="1579" t="s">
        <v>10756</v>
      </c>
      <c r="O96" s="1579" t="s">
        <v>10757</v>
      </c>
      <c r="P96" s="1579" t="s">
        <v>191</v>
      </c>
      <c r="Q96" s="1579" t="s">
        <v>1758</v>
      </c>
      <c r="R96" s="1579" t="s">
        <v>10758</v>
      </c>
      <c r="S96" s="1579" t="s">
        <v>5218</v>
      </c>
      <c r="T96" s="1579" t="s">
        <v>10759</v>
      </c>
      <c r="U96" s="1579" t="s">
        <v>10760</v>
      </c>
      <c r="V96" s="1579" t="s">
        <v>6575</v>
      </c>
      <c r="W96" s="1579" t="s">
        <v>9542</v>
      </c>
      <c r="X96" s="1579" t="s">
        <v>5005</v>
      </c>
      <c r="Y96" s="1579" t="s">
        <v>101</v>
      </c>
      <c r="Z96" s="1579" t="s">
        <v>10761</v>
      </c>
      <c r="AA96" s="1579" t="s">
        <v>10526</v>
      </c>
      <c r="AB96" s="1579" t="s">
        <v>3445</v>
      </c>
      <c r="AC96" s="1579" t="s">
        <v>4713</v>
      </c>
      <c r="AD96" s="1579" t="s">
        <v>6128</v>
      </c>
      <c r="AE96" s="1579" t="s">
        <v>860</v>
      </c>
      <c r="AF96" s="1579" t="s">
        <v>10762</v>
      </c>
      <c r="AG96" s="1579" t="s">
        <v>10763</v>
      </c>
      <c r="AH96" s="1579" t="s">
        <v>4083</v>
      </c>
      <c r="AI96" s="1579" t="s">
        <v>10764</v>
      </c>
      <c r="AJ96" s="1579" t="s">
        <v>10765</v>
      </c>
      <c r="AK96" s="1579" t="s">
        <v>4545</v>
      </c>
      <c r="AL96" s="1579" t="s">
        <v>128</v>
      </c>
      <c r="AM96" s="1579" t="s">
        <v>10766</v>
      </c>
      <c r="AN96" s="1579" t="s">
        <v>10767</v>
      </c>
      <c r="AO96" s="1579" t="s">
        <v>1037</v>
      </c>
      <c r="AP96" s="1579" t="s">
        <v>10768</v>
      </c>
      <c r="AQ96" s="1579" t="s">
        <v>10769</v>
      </c>
      <c r="AR96" s="1579" t="s">
        <v>10770</v>
      </c>
      <c r="AS96" s="1579" t="s">
        <v>830</v>
      </c>
      <c r="AT96" s="1579" t="s">
        <v>10771</v>
      </c>
      <c r="AU96" s="1579" t="s">
        <v>10772</v>
      </c>
      <c r="AV96" s="1393" t="str">
        <f t="shared" si="1"/>
        <v>5:05</v>
      </c>
      <c r="AW96" s="1627" t="s">
        <v>10773</v>
      </c>
    </row>
    <row r="97">
      <c r="A97" s="1529" t="s">
        <v>4942</v>
      </c>
      <c r="B97" s="1527" t="s">
        <v>8801</v>
      </c>
      <c r="C97" s="1560">
        <v>0.05565972222222222</v>
      </c>
      <c r="D97" s="1579" t="s">
        <v>10774</v>
      </c>
      <c r="E97" s="1579" t="s">
        <v>3201</v>
      </c>
      <c r="F97" s="1579" t="s">
        <v>10775</v>
      </c>
      <c r="G97" s="1579" t="s">
        <v>10776</v>
      </c>
      <c r="H97" s="773" t="s">
        <v>9306</v>
      </c>
      <c r="I97" s="1579" t="s">
        <v>3442</v>
      </c>
      <c r="J97" s="1579" t="s">
        <v>9549</v>
      </c>
      <c r="K97" s="1579" t="s">
        <v>805</v>
      </c>
      <c r="L97" s="1579" t="s">
        <v>10777</v>
      </c>
      <c r="M97" s="1579" t="s">
        <v>10778</v>
      </c>
      <c r="N97" s="1579" t="s">
        <v>6410</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2445</v>
      </c>
      <c r="Z97" s="1579" t="s">
        <v>5368</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7463</v>
      </c>
      <c r="AL97" s="1579" t="s">
        <v>3752</v>
      </c>
      <c r="AM97" s="1579" t="s">
        <v>4854</v>
      </c>
      <c r="AN97" s="1579" t="s">
        <v>10793</v>
      </c>
      <c r="AO97" s="1579" t="s">
        <v>1992</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1366</v>
      </c>
      <c r="I98" s="756" t="s">
        <v>9504</v>
      </c>
      <c r="J98" s="756" t="s">
        <v>10803</v>
      </c>
      <c r="K98" s="756" t="s">
        <v>10804</v>
      </c>
      <c r="L98" s="756" t="s">
        <v>4757</v>
      </c>
      <c r="M98" s="756" t="s">
        <v>7863</v>
      </c>
      <c r="N98" s="756" t="s">
        <v>10055</v>
      </c>
      <c r="O98" s="756" t="s">
        <v>10805</v>
      </c>
      <c r="P98" s="756" t="s">
        <v>8926</v>
      </c>
      <c r="Q98" s="756" t="s">
        <v>10806</v>
      </c>
      <c r="R98" s="756" t="s">
        <v>4005</v>
      </c>
      <c r="S98" s="756" t="s">
        <v>5373</v>
      </c>
      <c r="T98" s="756" t="s">
        <v>1741</v>
      </c>
      <c r="U98" s="756" t="s">
        <v>9070</v>
      </c>
      <c r="V98" s="756" t="s">
        <v>2767</v>
      </c>
      <c r="W98" s="756" t="s">
        <v>10807</v>
      </c>
      <c r="X98" s="756" t="s">
        <v>10808</v>
      </c>
      <c r="Y98" s="756" t="s">
        <v>10809</v>
      </c>
      <c r="Z98" s="756" t="s">
        <v>10810</v>
      </c>
      <c r="AA98" s="816" t="s">
        <v>2131</v>
      </c>
      <c r="AB98" s="756" t="s">
        <v>10529</v>
      </c>
      <c r="AC98" s="756" t="s">
        <v>785</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1026</v>
      </c>
      <c r="J99" s="361" t="s">
        <v>10829</v>
      </c>
      <c r="K99" s="361" t="s">
        <v>3706</v>
      </c>
      <c r="L99" s="361" t="s">
        <v>10830</v>
      </c>
      <c r="M99" s="361" t="s">
        <v>6956</v>
      </c>
      <c r="N99" s="361" t="s">
        <v>10831</v>
      </c>
      <c r="O99" s="361" t="s">
        <v>10832</v>
      </c>
      <c r="P99" s="361" t="s">
        <v>3806</v>
      </c>
      <c r="Q99" s="361" t="s">
        <v>10833</v>
      </c>
      <c r="R99" s="361" t="s">
        <v>10834</v>
      </c>
      <c r="S99" s="361" t="s">
        <v>10835</v>
      </c>
      <c r="T99" s="361" t="s">
        <v>1766</v>
      </c>
      <c r="U99" s="361" t="s">
        <v>10836</v>
      </c>
      <c r="V99" s="361" t="s">
        <v>10837</v>
      </c>
      <c r="W99" s="361" t="s">
        <v>10838</v>
      </c>
      <c r="X99" s="361" t="s">
        <v>10839</v>
      </c>
      <c r="Y99" s="361" t="s">
        <v>2971</v>
      </c>
      <c r="Z99" s="361" t="s">
        <v>10840</v>
      </c>
      <c r="AA99" s="1579" t="s">
        <v>10841</v>
      </c>
      <c r="AB99" s="361" t="s">
        <v>9338</v>
      </c>
      <c r="AC99" s="361" t="s">
        <v>3495</v>
      </c>
      <c r="AD99" s="361" t="s">
        <v>5330</v>
      </c>
      <c r="AE99" s="361" t="s">
        <v>2607</v>
      </c>
      <c r="AF99" s="361" t="s">
        <v>10842</v>
      </c>
      <c r="AG99" s="361" t="s">
        <v>5796</v>
      </c>
      <c r="AH99" s="361" t="s">
        <v>10843</v>
      </c>
      <c r="AI99" s="361" t="s">
        <v>4875</v>
      </c>
      <c r="AJ99" s="361" t="s">
        <v>10844</v>
      </c>
      <c r="AK99" s="361" t="s">
        <v>10845</v>
      </c>
      <c r="AL99" s="361" t="s">
        <v>4020</v>
      </c>
      <c r="AM99" s="361" t="s">
        <v>4883</v>
      </c>
      <c r="AN99" s="361" t="s">
        <v>10846</v>
      </c>
      <c r="AO99" s="361" t="s">
        <v>10224</v>
      </c>
      <c r="AP99" s="361" t="s">
        <v>10847</v>
      </c>
      <c r="AQ99" s="361" t="s">
        <v>7480</v>
      </c>
      <c r="AR99" s="361" t="s">
        <v>10848</v>
      </c>
      <c r="AS99" s="361" t="s">
        <v>620</v>
      </c>
      <c r="AT99" s="361" t="s">
        <v>10849</v>
      </c>
      <c r="AU99" s="361" t="s">
        <v>10850</v>
      </c>
      <c r="AV99" s="1393" t="str">
        <f t="shared" si="1"/>
        <v>2:11</v>
      </c>
      <c r="AW99" s="1631" t="s">
        <v>10851</v>
      </c>
    </row>
    <row r="100">
      <c r="A100" s="1590" t="s">
        <v>6497</v>
      </c>
      <c r="B100" s="1649" t="s">
        <v>10799</v>
      </c>
      <c r="C100" s="1650">
        <v>0.0609375</v>
      </c>
      <c r="D100" s="1651" t="s">
        <v>10852</v>
      </c>
      <c r="E100" s="1652" t="s">
        <v>3577</v>
      </c>
      <c r="F100" s="1652" t="s">
        <v>10853</v>
      </c>
      <c r="G100" s="1652" t="s">
        <v>10854</v>
      </c>
      <c r="H100" s="1651" t="s">
        <v>10855</v>
      </c>
      <c r="I100" s="1653" t="s">
        <v>9056</v>
      </c>
      <c r="J100" s="1654" t="s">
        <v>10856</v>
      </c>
      <c r="K100" s="1654" t="s">
        <v>1762</v>
      </c>
      <c r="L100" s="1654" t="s">
        <v>7614</v>
      </c>
      <c r="M100" s="1654" t="s">
        <v>10857</v>
      </c>
      <c r="N100" s="1654" t="s">
        <v>7604</v>
      </c>
      <c r="O100" s="1654" t="s">
        <v>10858</v>
      </c>
      <c r="P100" s="1654" t="s">
        <v>5434</v>
      </c>
      <c r="Q100" s="1655" t="s">
        <v>10859</v>
      </c>
      <c r="R100" s="1655" t="s">
        <v>10860</v>
      </c>
      <c r="S100" s="1655" t="s">
        <v>10861</v>
      </c>
      <c r="T100" s="1655" t="s">
        <v>10862</v>
      </c>
      <c r="U100" s="1655" t="s">
        <v>10863</v>
      </c>
      <c r="V100" s="1655" t="s">
        <v>10864</v>
      </c>
      <c r="W100" s="1656" t="s">
        <v>10865</v>
      </c>
      <c r="X100" s="1656" t="s">
        <v>10841</v>
      </c>
      <c r="Y100" s="1656" t="s">
        <v>10567</v>
      </c>
      <c r="Z100" s="1656" t="s">
        <v>7634</v>
      </c>
      <c r="AA100" s="1657" t="s">
        <v>10770</v>
      </c>
      <c r="AB100" s="1656" t="s">
        <v>10866</v>
      </c>
      <c r="AC100" s="1656" t="s">
        <v>9134</v>
      </c>
      <c r="AD100" s="1652" t="s">
        <v>10867</v>
      </c>
      <c r="AE100" s="1652" t="s">
        <v>1375</v>
      </c>
      <c r="AF100" s="1658" t="s">
        <v>10868</v>
      </c>
      <c r="AG100" s="1658" t="s">
        <v>10869</v>
      </c>
      <c r="AH100" s="1658" t="s">
        <v>10870</v>
      </c>
      <c r="AI100" s="1658" t="s">
        <v>7498</v>
      </c>
      <c r="AJ100" s="1658" t="s">
        <v>10871</v>
      </c>
      <c r="AK100" s="1658" t="s">
        <v>10302</v>
      </c>
      <c r="AL100" s="1658" t="s">
        <v>1821</v>
      </c>
      <c r="AM100" s="1659" t="s">
        <v>8611</v>
      </c>
      <c r="AN100" s="1659" t="s">
        <v>10872</v>
      </c>
      <c r="AO100" s="1659" t="s">
        <v>4477</v>
      </c>
      <c r="AP100" s="1659" t="s">
        <v>10873</v>
      </c>
      <c r="AQ100" s="1659" t="s">
        <v>6407</v>
      </c>
      <c r="AR100" s="1659" t="s">
        <v>10874</v>
      </c>
      <c r="AS100" s="1659" t="s">
        <v>9560</v>
      </c>
      <c r="AT100" s="1654" t="s">
        <v>10875</v>
      </c>
      <c r="AU100" s="1660" t="s">
        <v>10876</v>
      </c>
      <c r="AV100" s="1393" t="str">
        <f t="shared" si="1"/>
        <v>7:58</v>
      </c>
      <c r="AW100" s="1520" t="s">
        <v>10877</v>
      </c>
    </row>
    <row r="101" ht="15.75" customHeight="1">
      <c r="A101" s="1529" t="s">
        <v>6375</v>
      </c>
      <c r="B101" s="1563" t="s">
        <v>8801</v>
      </c>
      <c r="C101" s="1475">
        <v>0.06635416666666667</v>
      </c>
      <c r="D101" s="773" t="s">
        <v>10878</v>
      </c>
      <c r="E101" s="773" t="s">
        <v>8634</v>
      </c>
      <c r="F101" s="773" t="s">
        <v>10879</v>
      </c>
      <c r="G101" s="773" t="s">
        <v>10880</v>
      </c>
      <c r="H101" s="773" t="s">
        <v>10881</v>
      </c>
      <c r="I101" s="773" t="s">
        <v>3504</v>
      </c>
      <c r="J101" s="773" t="s">
        <v>10882</v>
      </c>
      <c r="K101" s="773" t="s">
        <v>3989</v>
      </c>
      <c r="L101" s="773" t="s">
        <v>7521</v>
      </c>
      <c r="M101" s="773" t="s">
        <v>937</v>
      </c>
      <c r="N101" s="773" t="s">
        <v>10883</v>
      </c>
      <c r="O101" s="773" t="s">
        <v>10884</v>
      </c>
      <c r="P101" s="773" t="s">
        <v>10885</v>
      </c>
      <c r="Q101" s="773" t="s">
        <v>10886</v>
      </c>
      <c r="R101" s="773" t="s">
        <v>4561</v>
      </c>
      <c r="S101" s="773" t="s">
        <v>10887</v>
      </c>
      <c r="T101" s="773" t="s">
        <v>6568</v>
      </c>
      <c r="U101" s="773" t="s">
        <v>10888</v>
      </c>
      <c r="V101" s="773" t="s">
        <v>8093</v>
      </c>
      <c r="W101" s="773" t="s">
        <v>10889</v>
      </c>
      <c r="X101" s="773" t="s">
        <v>10890</v>
      </c>
      <c r="Y101" s="773" t="s">
        <v>757</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4071</v>
      </c>
      <c r="AT101" s="773" t="s">
        <v>10905</v>
      </c>
      <c r="AU101" s="1323" t="s">
        <v>10906</v>
      </c>
      <c r="AV101" s="1393" t="str">
        <f t="shared" si="1"/>
        <v>9:53</v>
      </c>
      <c r="AW101" s="1612" t="s">
        <v>10907</v>
      </c>
    </row>
    <row r="102">
      <c r="A102" s="1529" t="s">
        <v>6616</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6871</v>
      </c>
      <c r="F1" s="1671" t="s">
        <v>7182</v>
      </c>
      <c r="G1" s="1672" t="s">
        <v>38</v>
      </c>
      <c r="H1" s="1673" t="s">
        <v>36</v>
      </c>
      <c r="I1" s="1669" t="s">
        <v>10909</v>
      </c>
      <c r="J1" s="1674" t="s">
        <v>39</v>
      </c>
      <c r="K1" s="1675" t="s">
        <v>7120</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1059</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1810</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2539</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6569</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6627</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827</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3667</v>
      </c>
      <c r="M11" s="1715">
        <v>0.051076388888888886</v>
      </c>
      <c r="N11" s="1716" t="str">
        <f t="shared" si="1"/>
        <v>0:52</v>
      </c>
      <c r="O11" s="1559" t="s">
        <v>10985</v>
      </c>
    </row>
    <row r="12">
      <c r="A12" s="1590" t="s">
        <v>2023</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1556</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3452</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6545</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6490</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2673</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3115</v>
      </c>
      <c r="M18" s="1715">
        <v>0.05228009259259259</v>
      </c>
      <c r="N18" s="1716" t="str">
        <f t="shared" si="1"/>
        <v>1:38</v>
      </c>
      <c r="O18" s="1559" t="s">
        <v>11038</v>
      </c>
    </row>
    <row r="19" ht="15.75" customHeight="1">
      <c r="A19" s="1717" t="s">
        <v>1417</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1724</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6616</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900</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1810</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2106</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8256</v>
      </c>
      <c r="M27" s="1715">
        <v>0.054375</v>
      </c>
      <c r="N27" s="1716" t="str">
        <f t="shared" si="1"/>
        <v>3:50</v>
      </c>
      <c r="O27" s="1559" t="s">
        <v>11105</v>
      </c>
    </row>
    <row r="28" ht="15.75" customHeight="1">
      <c r="A28" s="1590" t="s">
        <v>3090</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1348</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2571</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2985</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740</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3090</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4040</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2726</v>
      </c>
      <c r="B35" s="1531" t="s">
        <v>8774</v>
      </c>
      <c r="C35" s="1714">
        <v>0.0525</v>
      </c>
      <c r="D35" s="756" t="s">
        <v>11166</v>
      </c>
      <c r="E35" s="1505" t="s">
        <v>11167</v>
      </c>
      <c r="F35" s="1494" t="s">
        <v>11168</v>
      </c>
      <c r="G35" s="1494" t="s">
        <v>11169</v>
      </c>
      <c r="H35" s="1494" t="s">
        <v>11170</v>
      </c>
      <c r="I35" s="1494" t="s">
        <v>11171</v>
      </c>
      <c r="J35" s="1494" t="s">
        <v>11172</v>
      </c>
      <c r="K35" s="1494" t="s">
        <v>11173</v>
      </c>
      <c r="L35" s="1494" t="s">
        <v>699</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8071</v>
      </c>
      <c r="J36" s="1494" t="s">
        <v>11180</v>
      </c>
      <c r="K36" s="1494" t="s">
        <v>11181</v>
      </c>
      <c r="L36" s="1494" t="s">
        <v>10069</v>
      </c>
      <c r="M36" s="1715">
        <v>0.05331018518518518</v>
      </c>
      <c r="N36" s="1716" t="str">
        <f t="shared" si="1"/>
        <v>0:54</v>
      </c>
      <c r="O36" s="1559" t="s">
        <v>11182</v>
      </c>
    </row>
    <row r="37" ht="15.75" customHeight="1">
      <c r="A37" s="1590" t="s">
        <v>3740</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3465</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983</v>
      </c>
      <c r="B39" s="1693" t="s">
        <v>8801</v>
      </c>
      <c r="C39" s="1714">
        <v>0.05378472222222222</v>
      </c>
      <c r="D39" s="756" t="s">
        <v>11201</v>
      </c>
      <c r="E39" s="1505" t="s">
        <v>11202</v>
      </c>
      <c r="F39" s="1494" t="s">
        <v>11203</v>
      </c>
      <c r="G39" s="1494" t="s">
        <v>11204</v>
      </c>
      <c r="H39" s="1494" t="s">
        <v>11205</v>
      </c>
      <c r="I39" s="1494" t="s">
        <v>8368</v>
      </c>
      <c r="J39" s="1494" t="s">
        <v>11206</v>
      </c>
      <c r="K39" s="1494" t="s">
        <v>11207</v>
      </c>
      <c r="L39" s="1494" t="s">
        <v>9796</v>
      </c>
      <c r="M39" s="1715">
        <v>0.054560185185185184</v>
      </c>
      <c r="N39" s="1716" t="str">
        <f t="shared" si="1"/>
        <v>1:07</v>
      </c>
      <c r="O39" s="1559"/>
    </row>
    <row r="40" ht="15.75" customHeight="1">
      <c r="A40" s="1215" t="s">
        <v>4942</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6497</v>
      </c>
      <c r="B41" s="1649" t="s">
        <v>10799</v>
      </c>
      <c r="C41" s="1746">
        <v>0.0609375</v>
      </c>
      <c r="D41" s="1657" t="s">
        <v>11216</v>
      </c>
      <c r="E41" s="1747" t="s">
        <v>8689</v>
      </c>
      <c r="F41" s="1747" t="s">
        <v>11217</v>
      </c>
      <c r="G41" s="1747" t="s">
        <v>11218</v>
      </c>
      <c r="H41" s="1747" t="s">
        <v>11219</v>
      </c>
      <c r="I41" s="1747" t="s">
        <v>8360</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6871</v>
      </c>
      <c r="E1" s="1776" t="s">
        <v>7182</v>
      </c>
      <c r="F1" s="1777" t="s">
        <v>38</v>
      </c>
      <c r="G1" s="1778" t="s">
        <v>36</v>
      </c>
      <c r="H1" s="1774" t="s">
        <v>10909</v>
      </c>
      <c r="I1" s="1779" t="s">
        <v>39</v>
      </c>
      <c r="J1" s="1675" t="s">
        <v>7120</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1059</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1810</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6569</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2539</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6627</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1556</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827</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2673</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1635</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6616</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1417</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900</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1724</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740</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1348</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2985</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3090</v>
      </c>
      <c r="B28" s="1726" t="s">
        <v>8801</v>
      </c>
      <c r="C28" s="1810" t="s">
        <v>11409</v>
      </c>
      <c r="D28" s="1494"/>
      <c r="E28" s="1494" t="s">
        <v>11410</v>
      </c>
      <c r="F28" s="1494" t="s">
        <v>11411</v>
      </c>
      <c r="G28" s="1081"/>
      <c r="H28" s="1790"/>
      <c r="I28" s="1796"/>
      <c r="J28" s="1797"/>
      <c r="K28" s="1494" t="s">
        <v>9906</v>
      </c>
      <c r="L28" s="1559"/>
    </row>
    <row r="29" ht="15.75" customHeight="1">
      <c r="A29" s="1590" t="s">
        <v>2726</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2571</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5238</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4942</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6497</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4337</v>
      </c>
      <c r="D6" s="1846" t="s">
        <v>11469</v>
      </c>
      <c r="E6" s="1845" t="s">
        <v>11470</v>
      </c>
      <c r="F6" s="1847">
        <v>44233.0</v>
      </c>
    </row>
    <row r="7">
      <c r="A7" s="1843" t="s">
        <v>11471</v>
      </c>
      <c r="B7" s="1848" t="s">
        <v>11472</v>
      </c>
      <c r="C7" s="1845" t="s">
        <v>900</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4040</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4337</v>
      </c>
      <c r="D13" s="1846" t="s">
        <v>11486</v>
      </c>
      <c r="E13" s="1845" t="s">
        <v>11470</v>
      </c>
      <c r="F13" s="1847">
        <v>44250.0</v>
      </c>
    </row>
    <row r="14" ht="15.75" customHeight="1">
      <c r="A14" s="1843" t="s">
        <v>11487</v>
      </c>
      <c r="B14" s="1848" t="s">
        <v>11472</v>
      </c>
      <c r="C14" s="1845" t="s">
        <v>4240</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5301</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5238</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1635</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1635</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7384</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4337</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6371</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4789</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5301</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5301</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983</v>
      </c>
      <c r="D126" s="1868">
        <v>0.06525462962962963</v>
      </c>
      <c r="E126" s="1845" t="s">
        <v>11480</v>
      </c>
      <c r="F126" s="1847">
        <v>44652.0</v>
      </c>
    </row>
    <row r="127">
      <c r="A127" s="1867"/>
      <c r="B127" s="1848" t="s">
        <v>11472</v>
      </c>
      <c r="C127" s="1845" t="s">
        <v>4121</v>
      </c>
      <c r="D127" s="1868">
        <v>0.06892361111111112</v>
      </c>
      <c r="E127" s="1845" t="s">
        <v>11480</v>
      </c>
      <c r="F127" s="1847">
        <v>44652.0</v>
      </c>
    </row>
    <row r="128">
      <c r="A128" s="1867"/>
      <c r="B128" s="1849" t="s">
        <v>11475</v>
      </c>
      <c r="C128" s="1854" t="s">
        <v>5402</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4240</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