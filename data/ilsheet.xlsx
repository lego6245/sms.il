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<sst xmlns="http://schemas.openxmlformats.org/spreadsheetml/2006/main" count="26738" uniqueCount="11104">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</sst>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302</v>
      </c>
      <c r="DU21" s="93" t="s">
        <v>1622</v>
      </c>
      <c r="DV21" s="93" t="s">
        <v>1623</v>
      </c>
      <c r="DW21" s="93" t="s">
        <v>1624</v>
      </c>
      <c r="DX21" s="93" t="s">
        <v>1625</v>
      </c>
      <c r="DY21" s="88" t="s">
        <v>1626</v>
      </c>
      <c r="DZ21" s="88" t="s">
        <v>694</v>
      </c>
      <c r="EA21" s="88" t="s">
        <v>1495</v>
      </c>
      <c r="EB21" s="326" t="s">
        <v>1627</v>
      </c>
    </row>
    <row r="22">
      <c r="A22" s="327" t="s">
        <v>1628</v>
      </c>
      <c r="B22" s="103" t="s">
        <v>1629</v>
      </c>
      <c r="C22" s="104" t="s">
        <v>738</v>
      </c>
      <c r="D22" s="105" t="s">
        <v>438</v>
      </c>
      <c r="E22" s="106" t="s">
        <v>1415</v>
      </c>
      <c r="F22" s="107" t="s">
        <v>1630</v>
      </c>
      <c r="G22" s="103" t="s">
        <v>1631</v>
      </c>
      <c r="H22" s="112" t="s">
        <v>1632</v>
      </c>
      <c r="I22" s="112" t="s">
        <v>1633</v>
      </c>
      <c r="J22" s="112" t="s">
        <v>1634</v>
      </c>
      <c r="K22" s="112" t="s">
        <v>1558</v>
      </c>
      <c r="L22" s="112" t="s">
        <v>1635</v>
      </c>
      <c r="M22" s="112" t="s">
        <v>1636</v>
      </c>
      <c r="N22" s="112" t="s">
        <v>1637</v>
      </c>
      <c r="O22" s="112" t="s">
        <v>1638</v>
      </c>
      <c r="P22" s="112" t="s">
        <v>1563</v>
      </c>
      <c r="Q22" s="112" t="s">
        <v>1639</v>
      </c>
      <c r="R22" s="112" t="s">
        <v>1640</v>
      </c>
      <c r="S22" s="112" t="s">
        <v>1348</v>
      </c>
      <c r="T22" s="112" t="s">
        <v>1641</v>
      </c>
      <c r="U22" s="112" t="s">
        <v>644</v>
      </c>
      <c r="V22" s="112" t="s">
        <v>1642</v>
      </c>
      <c r="W22" s="291"/>
      <c r="X22" s="116" t="s">
        <v>1643</v>
      </c>
      <c r="Y22" s="116" t="s">
        <v>1142</v>
      </c>
      <c r="Z22" s="116" t="s">
        <v>1268</v>
      </c>
      <c r="AA22" s="116" t="s">
        <v>252</v>
      </c>
      <c r="AB22" s="116" t="s">
        <v>1644</v>
      </c>
      <c r="AC22" s="116" t="s">
        <v>1645</v>
      </c>
      <c r="AD22" s="328" t="s">
        <v>1646</v>
      </c>
      <c r="AE22" s="116" t="s">
        <v>757</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768</v>
      </c>
      <c r="AV22" s="121" t="s">
        <v>633</v>
      </c>
      <c r="AW22" s="121" t="s">
        <v>1659</v>
      </c>
      <c r="AX22" s="121" t="s">
        <v>1660</v>
      </c>
      <c r="AY22" s="121" t="s">
        <v>1661</v>
      </c>
      <c r="AZ22" s="329"/>
      <c r="BA22" s="127" t="s">
        <v>1662</v>
      </c>
      <c r="BB22" s="127" t="s">
        <v>1663</v>
      </c>
      <c r="BC22" s="127" t="s">
        <v>1584</v>
      </c>
      <c r="BD22" s="127" t="s">
        <v>1664</v>
      </c>
      <c r="BE22" s="127" t="s">
        <v>369</v>
      </c>
      <c r="BF22" s="127" t="s">
        <v>1665</v>
      </c>
      <c r="BG22" s="127" t="s">
        <v>1180</v>
      </c>
      <c r="BH22" s="127" t="s">
        <v>432</v>
      </c>
      <c r="BI22" s="127" t="s">
        <v>1666</v>
      </c>
      <c r="BJ22" s="127" t="s">
        <v>1667</v>
      </c>
      <c r="BK22" s="127" t="s">
        <v>1668</v>
      </c>
      <c r="BL22" s="127" t="s">
        <v>1669</v>
      </c>
      <c r="BM22" s="127" t="s">
        <v>1366</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1206</v>
      </c>
      <c r="CY22" s="141" t="s">
        <v>889</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1715</v>
      </c>
      <c r="DW22" s="146" t="s">
        <v>1716</v>
      </c>
      <c r="DX22" s="146" t="s">
        <v>1717</v>
      </c>
      <c r="DY22" s="146" t="s">
        <v>1718</v>
      </c>
      <c r="DZ22" s="146" t="s">
        <v>694</v>
      </c>
      <c r="EA22" s="146" t="s">
        <v>1719</v>
      </c>
      <c r="EB22" s="143" t="s">
        <v>1412</v>
      </c>
    </row>
    <row r="23">
      <c r="A23" s="334" t="s">
        <v>1720</v>
      </c>
      <c r="B23" s="82" t="s">
        <v>1721</v>
      </c>
      <c r="C23" s="83" t="s">
        <v>1415</v>
      </c>
      <c r="D23" s="84" t="s">
        <v>738</v>
      </c>
      <c r="E23" s="85" t="s">
        <v>1415</v>
      </c>
      <c r="F23" s="86" t="s">
        <v>1722</v>
      </c>
      <c r="G23" s="82" t="s">
        <v>222</v>
      </c>
      <c r="H23" s="88" t="s">
        <v>1723</v>
      </c>
      <c r="I23" s="88" t="s">
        <v>645</v>
      </c>
      <c r="J23" s="93" t="s">
        <v>1724</v>
      </c>
      <c r="K23" s="88" t="s">
        <v>102</v>
      </c>
      <c r="L23" s="88" t="s">
        <v>1542</v>
      </c>
      <c r="M23" s="211" t="s">
        <v>1725</v>
      </c>
      <c r="N23" s="303" t="s">
        <v>1726</v>
      </c>
      <c r="O23" s="88" t="s">
        <v>1727</v>
      </c>
      <c r="P23" s="335" t="s">
        <v>649</v>
      </c>
      <c r="Q23" s="93" t="s">
        <v>1728</v>
      </c>
      <c r="R23" s="88" t="s">
        <v>995</v>
      </c>
      <c r="S23" s="93" t="s">
        <v>1334</v>
      </c>
      <c r="T23" s="93" t="s">
        <v>1729</v>
      </c>
      <c r="U23" s="93" t="s">
        <v>517</v>
      </c>
      <c r="V23" s="93" t="s">
        <v>1730</v>
      </c>
      <c r="W23" s="92"/>
      <c r="X23" s="94" t="s">
        <v>1731</v>
      </c>
      <c r="Y23" s="88" t="s">
        <v>1567</v>
      </c>
      <c r="Z23" s="161" t="s">
        <v>116</v>
      </c>
      <c r="AA23" s="303"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303" t="s">
        <v>1747</v>
      </c>
      <c r="AU23" s="301" t="s">
        <v>1748</v>
      </c>
      <c r="AV23" s="88" t="s">
        <v>1749</v>
      </c>
      <c r="AW23" s="88" t="s">
        <v>1265</v>
      </c>
      <c r="AX23" s="93" t="s">
        <v>1750</v>
      </c>
      <c r="AY23" s="93" t="s">
        <v>1751</v>
      </c>
      <c r="AZ23" s="96"/>
      <c r="BA23" s="93" t="s">
        <v>1752</v>
      </c>
      <c r="BB23" s="88" t="s">
        <v>1663</v>
      </c>
      <c r="BC23" s="93" t="s">
        <v>708</v>
      </c>
      <c r="BD23" s="88" t="s">
        <v>144</v>
      </c>
      <c r="BE23" s="88" t="s">
        <v>1279</v>
      </c>
      <c r="BF23" s="88" t="s">
        <v>686</v>
      </c>
      <c r="BG23" s="93" t="s">
        <v>374</v>
      </c>
      <c r="BH23" s="97" t="s">
        <v>1753</v>
      </c>
      <c r="BI23" s="93" t="s">
        <v>1754</v>
      </c>
      <c r="BJ23" s="97" t="s">
        <v>1418</v>
      </c>
      <c r="BK23" s="88" t="s">
        <v>1755</v>
      </c>
      <c r="BL23" s="93" t="s">
        <v>1756</v>
      </c>
      <c r="BM23" s="93" t="s">
        <v>1069</v>
      </c>
      <c r="BN23" s="93" t="s">
        <v>1757</v>
      </c>
      <c r="BO23" s="93" t="s">
        <v>1758</v>
      </c>
      <c r="BP23" s="96"/>
      <c r="BQ23" s="88" t="s">
        <v>1759</v>
      </c>
      <c r="BR23" s="93" t="s">
        <v>1760</v>
      </c>
      <c r="BS23" s="88" t="s">
        <v>1761</v>
      </c>
      <c r="BT23" s="88" t="s">
        <v>1762</v>
      </c>
      <c r="BU23" s="301" t="s">
        <v>1318</v>
      </c>
      <c r="BV23" s="88" t="s">
        <v>1763</v>
      </c>
      <c r="BW23" s="88" t="s">
        <v>1764</v>
      </c>
      <c r="BX23" s="93" t="s">
        <v>1765</v>
      </c>
      <c r="BY23" s="93" t="s">
        <v>1766</v>
      </c>
      <c r="BZ23" s="88" t="s">
        <v>1767</v>
      </c>
      <c r="CA23" s="88" t="s">
        <v>1525</v>
      </c>
      <c r="CB23" s="88" t="s">
        <v>1768</v>
      </c>
      <c r="CC23" s="93" t="s">
        <v>1218</v>
      </c>
      <c r="CD23" s="93" t="s">
        <v>1769</v>
      </c>
      <c r="CE23" s="96"/>
      <c r="CF23" s="88" t="s">
        <v>286</v>
      </c>
      <c r="CG23" s="301"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404</v>
      </c>
      <c r="CW23" s="97" t="s">
        <v>1778</v>
      </c>
      <c r="CX23" s="303" t="s">
        <v>236</v>
      </c>
      <c r="CY23" s="303"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1621</v>
      </c>
      <c r="DR23" s="93" t="s">
        <v>1790</v>
      </c>
      <c r="DS23" s="93" t="s">
        <v>1791</v>
      </c>
      <c r="DT23" s="93" t="s">
        <v>1792</v>
      </c>
      <c r="DU23" s="93" t="s">
        <v>1709</v>
      </c>
      <c r="DV23" s="93" t="s">
        <v>1548</v>
      </c>
      <c r="DW23" s="93" t="s">
        <v>1793</v>
      </c>
      <c r="DX23" s="93" t="s">
        <v>1794</v>
      </c>
      <c r="DY23" s="93" t="s">
        <v>1795</v>
      </c>
      <c r="DZ23" s="88" t="s">
        <v>1796</v>
      </c>
      <c r="EA23" s="93" t="s">
        <v>1797</v>
      </c>
      <c r="EB23" s="292" t="s">
        <v>1798</v>
      </c>
    </row>
    <row r="24">
      <c r="A24" s="167" t="s">
        <v>1799</v>
      </c>
      <c r="B24" s="103" t="s">
        <v>1800</v>
      </c>
      <c r="C24" s="104" t="s">
        <v>1415</v>
      </c>
      <c r="D24" s="105" t="s">
        <v>1415</v>
      </c>
      <c r="E24" s="106" t="s">
        <v>738</v>
      </c>
      <c r="F24" s="107" t="s">
        <v>218</v>
      </c>
      <c r="G24" s="103" t="s">
        <v>1801</v>
      </c>
      <c r="H24" s="168" t="s">
        <v>1802</v>
      </c>
      <c r="I24" s="168" t="s">
        <v>1803</v>
      </c>
      <c r="J24" s="112" t="s">
        <v>722</v>
      </c>
      <c r="K24" s="168" t="s">
        <v>1804</v>
      </c>
      <c r="L24" s="112" t="s">
        <v>1635</v>
      </c>
      <c r="M24" s="168" t="s">
        <v>104</v>
      </c>
      <c r="N24" s="168" t="s">
        <v>1304</v>
      </c>
      <c r="O24" s="168" t="s">
        <v>1805</v>
      </c>
      <c r="P24" s="168" t="s">
        <v>834</v>
      </c>
      <c r="Q24" s="112" t="s">
        <v>1806</v>
      </c>
      <c r="R24" s="168"/>
      <c r="S24" s="168" t="s">
        <v>450</v>
      </c>
      <c r="T24" s="168" t="s">
        <v>1807</v>
      </c>
      <c r="U24" s="168" t="s">
        <v>1407</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1441</v>
      </c>
      <c r="AR24" s="169" t="s">
        <v>632</v>
      </c>
      <c r="AS24" s="169" t="s">
        <v>1823</v>
      </c>
      <c r="AT24" s="121" t="s">
        <v>1013</v>
      </c>
      <c r="AU24" s="169" t="s">
        <v>1354</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1586</v>
      </c>
      <c r="BI24" s="175" t="s">
        <v>1832</v>
      </c>
      <c r="BJ24" s="175" t="s">
        <v>1833</v>
      </c>
      <c r="BK24" s="175" t="s">
        <v>799</v>
      </c>
      <c r="BL24" s="175" t="s">
        <v>1834</v>
      </c>
      <c r="BM24" s="338" t="s">
        <v>997</v>
      </c>
      <c r="BN24" s="175" t="s">
        <v>1835</v>
      </c>
      <c r="BO24" s="175" t="s">
        <v>1836</v>
      </c>
      <c r="BP24" s="330"/>
      <c r="BQ24" s="176"/>
      <c r="BR24" s="176" t="s">
        <v>1837</v>
      </c>
      <c r="BS24" s="176" t="s">
        <v>1838</v>
      </c>
      <c r="BT24" s="176" t="s">
        <v>692</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1598</v>
      </c>
      <c r="CG24" s="136" t="s">
        <v>1848</v>
      </c>
      <c r="CH24" s="178" t="s">
        <v>1849</v>
      </c>
      <c r="CI24" s="178" t="s">
        <v>1850</v>
      </c>
      <c r="CJ24" s="178" t="s">
        <v>1851</v>
      </c>
      <c r="CK24" s="178" t="s">
        <v>1852</v>
      </c>
      <c r="CL24" s="136" t="s">
        <v>1853</v>
      </c>
      <c r="CM24" s="178" t="s">
        <v>1772</v>
      </c>
      <c r="CN24" s="340" t="s">
        <v>1854</v>
      </c>
      <c r="CO24" s="136" t="s">
        <v>1055</v>
      </c>
      <c r="CP24" s="178"/>
      <c r="CQ24" s="178" t="s">
        <v>1855</v>
      </c>
      <c r="CR24" s="178" t="s">
        <v>1856</v>
      </c>
      <c r="CS24" s="101"/>
      <c r="CT24" s="207" t="s">
        <v>1857</v>
      </c>
      <c r="CU24" s="207" t="s">
        <v>1777</v>
      </c>
      <c r="CV24" s="141" t="s">
        <v>1181</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1544</v>
      </c>
      <c r="DP24" s="208" t="s">
        <v>1867</v>
      </c>
      <c r="DQ24" s="208"/>
      <c r="DR24" s="208" t="s">
        <v>1868</v>
      </c>
      <c r="DS24" s="208" t="s">
        <v>1869</v>
      </c>
      <c r="DT24" s="208" t="s">
        <v>1870</v>
      </c>
      <c r="DU24" s="208" t="s">
        <v>1871</v>
      </c>
      <c r="DV24" s="208" t="s">
        <v>1872</v>
      </c>
      <c r="DW24" s="208" t="s">
        <v>582</v>
      </c>
      <c r="DX24" s="208" t="s">
        <v>1873</v>
      </c>
      <c r="DY24" s="208" t="s">
        <v>1874</v>
      </c>
      <c r="DZ24" s="208" t="s">
        <v>1875</v>
      </c>
      <c r="EA24" s="208" t="s">
        <v>1514</v>
      </c>
      <c r="EB24" s="143" t="s">
        <v>1876</v>
      </c>
    </row>
    <row r="25">
      <c r="A25" s="81" t="s">
        <v>1877</v>
      </c>
      <c r="B25" s="82" t="s">
        <v>1878</v>
      </c>
      <c r="C25" s="83" t="s">
        <v>1415</v>
      </c>
      <c r="D25" s="84" t="s">
        <v>543</v>
      </c>
      <c r="E25" s="85" t="s">
        <v>1415</v>
      </c>
      <c r="F25" s="86" t="s">
        <v>1879</v>
      </c>
      <c r="G25" s="82" t="s">
        <v>916</v>
      </c>
      <c r="H25" s="88" t="s">
        <v>1880</v>
      </c>
      <c r="I25" s="88" t="s">
        <v>1881</v>
      </c>
      <c r="J25" s="88" t="s">
        <v>1882</v>
      </c>
      <c r="K25" s="88" t="s">
        <v>1262</v>
      </c>
      <c r="L25" s="88" t="s">
        <v>1883</v>
      </c>
      <c r="M25" s="93" t="s">
        <v>1884</v>
      </c>
      <c r="N25" s="88" t="s">
        <v>1885</v>
      </c>
      <c r="O25" s="88" t="s">
        <v>1886</v>
      </c>
      <c r="P25" s="88" t="s">
        <v>107</v>
      </c>
      <c r="Q25" s="265"/>
      <c r="R25" s="98"/>
      <c r="S25" s="98"/>
      <c r="T25" s="98"/>
      <c r="U25" s="98"/>
      <c r="V25" s="93" t="s">
        <v>1887</v>
      </c>
      <c r="W25" s="92"/>
      <c r="X25" s="93" t="s">
        <v>1888</v>
      </c>
      <c r="Y25" s="97" t="s">
        <v>115</v>
      </c>
      <c r="Z25" s="93" t="s">
        <v>1889</v>
      </c>
      <c r="AA25" s="93" t="s">
        <v>117</v>
      </c>
      <c r="AB25" s="88" t="s">
        <v>1890</v>
      </c>
      <c r="AC25" s="88" t="s">
        <v>848</v>
      </c>
      <c r="AD25" s="93"/>
      <c r="AE25" s="88" t="s">
        <v>1891</v>
      </c>
      <c r="AF25" s="292"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1" t="s">
        <v>1900</v>
      </c>
      <c r="AV25" s="93" t="s">
        <v>1097</v>
      </c>
      <c r="AW25" s="98"/>
      <c r="AX25" s="98"/>
      <c r="AY25" s="93" t="s">
        <v>1901</v>
      </c>
      <c r="AZ25" s="96"/>
      <c r="BA25" s="93" t="s">
        <v>1902</v>
      </c>
      <c r="BB25" s="93" t="s">
        <v>1663</v>
      </c>
      <c r="BC25" s="292" t="s">
        <v>1447</v>
      </c>
      <c r="BD25" s="211" t="s">
        <v>774</v>
      </c>
      <c r="BE25" s="303" t="s">
        <v>1903</v>
      </c>
      <c r="BF25" s="93" t="s">
        <v>1904</v>
      </c>
      <c r="BG25" s="98"/>
      <c r="BH25" s="93" t="s">
        <v>1354</v>
      </c>
      <c r="BI25" s="93" t="s">
        <v>1905</v>
      </c>
      <c r="BJ25" s="93" t="s">
        <v>1906</v>
      </c>
      <c r="BK25" s="93" t="s">
        <v>1907</v>
      </c>
      <c r="BL25" s="98"/>
      <c r="BM25" s="88" t="s">
        <v>1218</v>
      </c>
      <c r="BN25" s="93" t="s">
        <v>1908</v>
      </c>
      <c r="BO25" s="88" t="s">
        <v>1909</v>
      </c>
      <c r="BP25" s="266"/>
      <c r="BQ25" s="99" t="s">
        <v>1910</v>
      </c>
      <c r="BR25" s="88" t="s">
        <v>1911</v>
      </c>
      <c r="BS25" s="88" t="s">
        <v>1912</v>
      </c>
      <c r="BT25" s="341" t="s">
        <v>1913</v>
      </c>
      <c r="BU25" s="88" t="s">
        <v>1914</v>
      </c>
      <c r="BV25" s="211" t="s">
        <v>161</v>
      </c>
      <c r="BW25" s="98"/>
      <c r="BX25" s="98"/>
      <c r="BY25" s="303" t="s">
        <v>1915</v>
      </c>
      <c r="BZ25" s="93" t="s">
        <v>1708</v>
      </c>
      <c r="CA25" s="93" t="s">
        <v>1916</v>
      </c>
      <c r="CB25" s="88" t="s">
        <v>1917</v>
      </c>
      <c r="CC25" s="88" t="s">
        <v>1918</v>
      </c>
      <c r="CD25" s="93" t="s">
        <v>1202</v>
      </c>
      <c r="CE25" s="96"/>
      <c r="CF25" s="88" t="s">
        <v>1157</v>
      </c>
      <c r="CG25" s="88" t="s">
        <v>1919</v>
      </c>
      <c r="CH25" s="93" t="s">
        <v>1920</v>
      </c>
      <c r="CI25" s="88" t="s">
        <v>1921</v>
      </c>
      <c r="CJ25" s="211"/>
      <c r="CK25" s="93" t="s">
        <v>1673</v>
      </c>
      <c r="CL25" s="90" t="s">
        <v>410</v>
      </c>
      <c r="CM25" s="93" t="s">
        <v>1922</v>
      </c>
      <c r="CN25" s="98"/>
      <c r="CO25" s="93" t="s">
        <v>631</v>
      </c>
      <c r="CP25" s="93"/>
      <c r="CQ25" s="93" t="s">
        <v>1923</v>
      </c>
      <c r="CR25" s="93" t="s">
        <v>1924</v>
      </c>
      <c r="CS25" s="101"/>
      <c r="CT25" s="88" t="s">
        <v>1925</v>
      </c>
      <c r="CU25" s="93" t="s">
        <v>1926</v>
      </c>
      <c r="CV25" s="211" t="s">
        <v>1181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1937</v>
      </c>
      <c r="DR25" s="93" t="s">
        <v>1000</v>
      </c>
      <c r="DS25" s="265"/>
      <c r="DT25" s="98"/>
      <c r="DU25" s="93" t="s">
        <v>1938</v>
      </c>
      <c r="DV25" s="98"/>
      <c r="DW25" s="93" t="s">
        <v>1716</v>
      </c>
      <c r="DX25" s="98"/>
      <c r="DY25" s="93" t="s">
        <v>1939</v>
      </c>
      <c r="DZ25" s="88" t="s">
        <v>1940</v>
      </c>
      <c r="EA25" s="93" t="s">
        <v>1941</v>
      </c>
      <c r="EB25" s="292" t="s">
        <v>1942</v>
      </c>
    </row>
    <row r="26">
      <c r="A26" s="342" t="s">
        <v>1943</v>
      </c>
      <c r="B26" s="103" t="s">
        <v>1944</v>
      </c>
      <c r="C26" s="104" t="s">
        <v>1415</v>
      </c>
      <c r="D26" s="105" t="s">
        <v>1415</v>
      </c>
      <c r="E26" s="106" t="s">
        <v>738</v>
      </c>
      <c r="F26" s="107" t="s">
        <v>1945</v>
      </c>
      <c r="G26" s="103" t="s">
        <v>1946</v>
      </c>
      <c r="H26" s="343" t="s">
        <v>1602</v>
      </c>
      <c r="I26" s="344" t="s">
        <v>1947</v>
      </c>
      <c r="J26" s="344" t="s">
        <v>1948</v>
      </c>
      <c r="K26" s="344" t="s">
        <v>443</v>
      </c>
      <c r="L26" s="344" t="s">
        <v>195</v>
      </c>
      <c r="M26" s="345" t="s">
        <v>596</v>
      </c>
      <c r="N26" s="343" t="s">
        <v>1949</v>
      </c>
      <c r="O26" s="344" t="s">
        <v>1950</v>
      </c>
      <c r="P26" s="344" t="s">
        <v>107</v>
      </c>
      <c r="Q26" s="346" t="s">
        <v>1951</v>
      </c>
      <c r="R26" s="343" t="s">
        <v>1952</v>
      </c>
      <c r="S26" s="343" t="s">
        <v>770</v>
      </c>
      <c r="T26" s="344" t="s">
        <v>1953</v>
      </c>
      <c r="U26" s="344" t="s">
        <v>1954</v>
      </c>
      <c r="V26" s="345" t="s">
        <v>1955</v>
      </c>
      <c r="W26" s="347"/>
      <c r="X26" s="348" t="s">
        <v>1956</v>
      </c>
      <c r="Y26" s="349" t="s">
        <v>1957</v>
      </c>
      <c r="Z26" s="350" t="s">
        <v>1958</v>
      </c>
      <c r="AA26" s="350" t="s">
        <v>1959</v>
      </c>
      <c r="AB26" s="351" t="str">
        <f>HYPERLINK("https://youtu.be/uGMxtAWodvo","30.22")</f>
        <v>30.22</v>
      </c>
      <c r="AC26" s="351" t="s">
        <v>1960</v>
      </c>
      <c r="AD26" s="349"/>
      <c r="AE26" s="350" t="s">
        <v>896</v>
      </c>
      <c r="AF26" s="351" t="str">
        <f>HYPERLINK("https://www.youtube.com/watch?v=EdK5oJYC1tk","15.10")</f>
        <v>15.10</v>
      </c>
      <c r="AG26" s="350" t="s">
        <v>457</v>
      </c>
      <c r="AH26" s="350" t="s">
        <v>566</v>
      </c>
      <c r="AI26" s="351" t="str">
        <f>HYPERLINK("https://youtu.be/ZXRdUyO-EWA","1:01.11")</f>
        <v>1:01.11</v>
      </c>
      <c r="AJ26" s="348" t="s">
        <v>1961</v>
      </c>
      <c r="AK26" s="347"/>
      <c r="AL26" s="352" t="s">
        <v>1962</v>
      </c>
      <c r="AM26" s="353" t="s">
        <v>1963</v>
      </c>
      <c r="AN26" s="354" t="s">
        <v>1964</v>
      </c>
      <c r="AO26" s="353" t="s">
        <v>1965</v>
      </c>
      <c r="AP26" s="354"/>
      <c r="AQ26" s="354"/>
      <c r="AR26" s="353" t="s">
        <v>1966</v>
      </c>
      <c r="AS26" s="355" t="s">
        <v>1967</v>
      </c>
      <c r="AT26" s="353" t="s">
        <v>932</v>
      </c>
      <c r="AU26" s="353" t="s">
        <v>1968</v>
      </c>
      <c r="AV26" s="356" t="s">
        <v>143</v>
      </c>
      <c r="AW26" s="355" t="str">
        <f>HYPERLINK("https://youtu.be/LGq_coDO1t0","41.89")</f>
        <v>41.89</v>
      </c>
      <c r="AX26" s="353" t="s">
        <v>1282</v>
      </c>
      <c r="AY26" s="354" t="s">
        <v>1969</v>
      </c>
      <c r="AZ26" s="357"/>
      <c r="BA26" s="358" t="s">
        <v>1970</v>
      </c>
      <c r="BB26" s="359" t="s">
        <v>234</v>
      </c>
      <c r="BC26" s="359" t="s">
        <v>143</v>
      </c>
      <c r="BD26" s="358" t="s">
        <v>1971</v>
      </c>
      <c r="BE26" s="360" t="s">
        <v>791</v>
      </c>
      <c r="BF26" s="358" t="s">
        <v>474</v>
      </c>
      <c r="BG26" s="358" t="str">
        <f>HYPERLINK("https://youtu.be/SCwM4I4j6-A","50.19")</f>
        <v>50.19</v>
      </c>
      <c r="BH26" s="358" t="s">
        <v>1972</v>
      </c>
      <c r="BI26" s="360"/>
      <c r="BJ26" s="358" t="str">
        <f>HYPERLINK("https://youtu.be/1ecLZd2x6O4","1:28.27")</f>
        <v>1:28.27</v>
      </c>
      <c r="BK26" s="358" t="s">
        <v>1973</v>
      </c>
      <c r="BL26" s="360" t="s">
        <v>1974</v>
      </c>
      <c r="BM26" s="359" t="s">
        <v>153</v>
      </c>
      <c r="BN26" s="358" t="str">
        <f>HYPERLINK("https://youtu.be/tUFd3-e8u0s","1:27.08")</f>
        <v>1:27.08</v>
      </c>
      <c r="BO26" s="360" t="s">
        <v>1975</v>
      </c>
      <c r="BP26" s="361"/>
      <c r="BQ26" s="362" t="s">
        <v>1004</v>
      </c>
      <c r="BR26" s="363" t="str">
        <f>HYPERLINK("https://youtu.be/sYs50tvUHuo","52.01")</f>
        <v>52.01</v>
      </c>
      <c r="BS26" s="364" t="s">
        <v>1976</v>
      </c>
      <c r="BT26" s="363" t="s">
        <v>1122</v>
      </c>
      <c r="BU26" s="362" t="s">
        <v>1977</v>
      </c>
      <c r="BV26" s="363" t="str">
        <f>HYPERLINK("https://youtu.be/n7zdK3H7Bag","22.27")</f>
        <v>22.27</v>
      </c>
      <c r="BW26" s="362"/>
      <c r="BX26" s="362" t="s">
        <v>1978</v>
      </c>
      <c r="BY26" s="363" t="s">
        <v>1237</v>
      </c>
      <c r="BZ26" s="364" t="s">
        <v>955</v>
      </c>
      <c r="CA26" s="364" t="s">
        <v>1979</v>
      </c>
      <c r="CB26" s="364" t="s">
        <v>1980</v>
      </c>
      <c r="CC26" s="363" t="s">
        <v>1981</v>
      </c>
      <c r="CD26" s="362" t="s">
        <v>1982</v>
      </c>
      <c r="CE26" s="365"/>
      <c r="CF26" s="366" t="s">
        <v>1983</v>
      </c>
      <c r="CG26" s="366" t="s">
        <v>1468</v>
      </c>
      <c r="CH26" s="366" t="s">
        <v>1984</v>
      </c>
      <c r="CI26" s="367" t="s">
        <v>782</v>
      </c>
      <c r="CJ26" s="367" t="s">
        <v>1985</v>
      </c>
      <c r="CK26" s="366" t="s">
        <v>1986</v>
      </c>
      <c r="CL26" s="367" t="s">
        <v>176</v>
      </c>
      <c r="CM26" s="366" t="s">
        <v>1987</v>
      </c>
      <c r="CN26" s="368"/>
      <c r="CO26" s="368" t="s">
        <v>427</v>
      </c>
      <c r="CP26" s="368"/>
      <c r="CQ26" s="368" t="s">
        <v>1988</v>
      </c>
      <c r="CR26" s="368"/>
      <c r="CS26" s="164"/>
      <c r="CT26" s="369" t="s">
        <v>1989</v>
      </c>
      <c r="CU26" s="370" t="str">
        <f>HYPERLINK("https://www.youtube.com/watch?v=wOcz6idXkPk","13.28")</f>
        <v>13.28</v>
      </c>
      <c r="CV26" s="371" t="s">
        <v>714</v>
      </c>
      <c r="CW26" s="372" t="s">
        <v>1990</v>
      </c>
      <c r="CX26" s="370" t="s">
        <v>1991</v>
      </c>
      <c r="CY26" s="371" t="s">
        <v>859</v>
      </c>
      <c r="CZ26" s="371" t="s">
        <v>1992</v>
      </c>
      <c r="DA26" s="371" t="s">
        <v>1993</v>
      </c>
      <c r="DB26" s="372" t="s">
        <v>1994</v>
      </c>
      <c r="DC26" s="372" t="s">
        <v>1995</v>
      </c>
      <c r="DD26" s="371" t="s">
        <v>1996</v>
      </c>
      <c r="DE26" s="370" t="str">
        <f>HYPERLINK("https://youtu.be/1RIW6L86hD0","1:39.58")</f>
        <v>1:39.58</v>
      </c>
      <c r="DF26" s="373"/>
      <c r="DG26" s="374" t="s">
        <v>1918</v>
      </c>
      <c r="DH26" s="375" t="str">
        <f>HYPERLINK("https://youtu.be/0qbQjk4eFZ4","1:30.01")</f>
        <v>1:30.01</v>
      </c>
      <c r="DI26" s="375" t="str">
        <f>HYPERLINK("https://youtu.be/KytqO9xTGZE","1:28.71")</f>
        <v>1:28.71</v>
      </c>
      <c r="DJ26" s="374"/>
      <c r="DK26" s="374" t="s">
        <v>526</v>
      </c>
      <c r="DL26" s="374" t="s">
        <v>904</v>
      </c>
      <c r="DM26" s="375" t="s">
        <v>1997</v>
      </c>
      <c r="DN26" s="375" t="s">
        <v>1998</v>
      </c>
      <c r="DO26" s="375" t="s">
        <v>1999</v>
      </c>
      <c r="DP26" s="375" t="str">
        <f>HYPERLINK("https://youtu.be/ZcgmlQvaJlw","1:20.73")</f>
        <v>1:20.73</v>
      </c>
      <c r="DQ26" s="376" t="s">
        <v>2000</v>
      </c>
      <c r="DR26" s="375" t="str">
        <f>HYPERLINK("https://youtu.be/dmtW9oWPfEA","13.00")</f>
        <v>13.00</v>
      </c>
      <c r="DS26" s="377" t="s">
        <v>2001</v>
      </c>
      <c r="DT26" s="374" t="s">
        <v>1104</v>
      </c>
      <c r="DU26" s="377" t="s">
        <v>534</v>
      </c>
      <c r="DV26" s="374" t="s">
        <v>591</v>
      </c>
      <c r="DW26" s="374" t="s">
        <v>1042</v>
      </c>
      <c r="DX26" s="375" t="s">
        <v>2002</v>
      </c>
      <c r="DY26" s="375" t="s">
        <v>2003</v>
      </c>
      <c r="DZ26" s="374" t="s">
        <v>2004</v>
      </c>
      <c r="EA26" s="374" t="s">
        <v>2005</v>
      </c>
      <c r="EB26" s="375" t="str">
        <f>HYPERLINK("https://youtu.be/Oh1CRK6fpa4","6.59")</f>
        <v>6.59</v>
      </c>
    </row>
    <row r="27">
      <c r="A27" s="81" t="s">
        <v>2006</v>
      </c>
      <c r="B27" s="82" t="s">
        <v>2007</v>
      </c>
      <c r="C27" s="83" t="s">
        <v>738</v>
      </c>
      <c r="D27" s="84" t="s">
        <v>828</v>
      </c>
      <c r="E27" s="85" t="s">
        <v>438</v>
      </c>
      <c r="F27" s="86" t="s">
        <v>2008</v>
      </c>
      <c r="G27" s="82" t="s">
        <v>2009</v>
      </c>
      <c r="H27" s="93" t="s">
        <v>2010</v>
      </c>
      <c r="I27" s="292"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2021</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1415</v>
      </c>
      <c r="D28" s="105" t="s">
        <v>1415</v>
      </c>
      <c r="E28" s="106" t="s">
        <v>1415</v>
      </c>
      <c r="F28" s="107" t="s">
        <v>2027</v>
      </c>
      <c r="G28" s="103" t="s">
        <v>1257</v>
      </c>
      <c r="H28" s="112" t="s">
        <v>1880</v>
      </c>
      <c r="I28" s="112" t="s">
        <v>2028</v>
      </c>
      <c r="J28" s="112" t="s">
        <v>2029</v>
      </c>
      <c r="K28" s="112" t="s">
        <v>547</v>
      </c>
      <c r="L28" s="112" t="s">
        <v>2030</v>
      </c>
      <c r="M28" s="112" t="s">
        <v>2031</v>
      </c>
      <c r="N28" s="168" t="s">
        <v>2032</v>
      </c>
      <c r="O28" s="168" t="s">
        <v>2033</v>
      </c>
      <c r="P28" s="297" t="s">
        <v>1563</v>
      </c>
      <c r="Q28" s="168" t="s">
        <v>2034</v>
      </c>
      <c r="R28" s="224"/>
      <c r="S28" s="112" t="s">
        <v>2035</v>
      </c>
      <c r="T28" s="224"/>
      <c r="U28" s="168" t="s">
        <v>1538</v>
      </c>
      <c r="V28" s="224"/>
      <c r="W28" s="92"/>
      <c r="X28" s="116" t="s">
        <v>2036</v>
      </c>
      <c r="Y28" s="200" t="s">
        <v>2037</v>
      </c>
      <c r="Z28" s="380" t="s">
        <v>2038</v>
      </c>
      <c r="AA28" s="116" t="s">
        <v>2039</v>
      </c>
      <c r="AB28" s="380" t="s">
        <v>1733</v>
      </c>
      <c r="AC28" s="116" t="s">
        <v>2015</v>
      </c>
      <c r="AD28" s="116" t="s">
        <v>2040</v>
      </c>
      <c r="AE28" s="200" t="s">
        <v>896</v>
      </c>
      <c r="AF28" s="200" t="s">
        <v>2041</v>
      </c>
      <c r="AG28" s="200" t="s">
        <v>1977</v>
      </c>
      <c r="AH28" s="200"/>
      <c r="AI28" s="200" t="s">
        <v>1639</v>
      </c>
      <c r="AJ28" s="275"/>
      <c r="AK28" s="92"/>
      <c r="AL28" s="121" t="s">
        <v>2042</v>
      </c>
      <c r="AM28" s="169" t="s">
        <v>2043</v>
      </c>
      <c r="AN28" s="169" t="s">
        <v>2044</v>
      </c>
      <c r="AO28" s="169" t="s">
        <v>2045</v>
      </c>
      <c r="AP28" s="276"/>
      <c r="AQ28" s="121" t="s">
        <v>2046</v>
      </c>
      <c r="AR28" s="276"/>
      <c r="AS28" s="276"/>
      <c r="AT28" s="169" t="s">
        <v>2047</v>
      </c>
      <c r="AU28" s="312" t="s">
        <v>2048</v>
      </c>
      <c r="AV28" s="121" t="s">
        <v>2049</v>
      </c>
      <c r="AW28" s="276"/>
      <c r="AX28" s="121" t="s">
        <v>2033</v>
      </c>
      <c r="AY28" s="276"/>
      <c r="AZ28" s="277"/>
      <c r="BA28" s="175" t="s">
        <v>947</v>
      </c>
      <c r="BB28" s="338" t="s">
        <v>1446</v>
      </c>
      <c r="BC28" s="175" t="s">
        <v>2050</v>
      </c>
      <c r="BD28" s="175" t="s">
        <v>2051</v>
      </c>
      <c r="BE28" s="127" t="s">
        <v>2052</v>
      </c>
      <c r="BF28" s="175" t="s">
        <v>2053</v>
      </c>
      <c r="BG28" s="174"/>
      <c r="BH28" s="175" t="s">
        <v>1177</v>
      </c>
      <c r="BI28" s="174"/>
      <c r="BJ28" s="175" t="s">
        <v>2054</v>
      </c>
      <c r="BK28" s="127" t="s">
        <v>319</v>
      </c>
      <c r="BL28" s="174"/>
      <c r="BM28" s="174"/>
      <c r="BN28" s="127" t="s">
        <v>1367</v>
      </c>
      <c r="BO28" s="174"/>
      <c r="BP28" s="279"/>
      <c r="BQ28" s="381" t="s">
        <v>2055</v>
      </c>
      <c r="BR28" s="176" t="s">
        <v>2056</v>
      </c>
      <c r="BS28" s="176" t="s">
        <v>2057</v>
      </c>
      <c r="BT28" s="131" t="s">
        <v>1707</v>
      </c>
      <c r="BU28" s="131" t="s">
        <v>2058</v>
      </c>
      <c r="BV28" s="176" t="s">
        <v>2059</v>
      </c>
      <c r="BW28" s="381" t="s">
        <v>2060</v>
      </c>
      <c r="BX28" s="282"/>
      <c r="BY28" s="176" t="s">
        <v>2061</v>
      </c>
      <c r="BZ28" s="176" t="s">
        <v>2062</v>
      </c>
      <c r="CA28" s="176" t="s">
        <v>2063</v>
      </c>
      <c r="CB28" s="176" t="s">
        <v>2064</v>
      </c>
      <c r="CC28" s="131" t="s">
        <v>1778</v>
      </c>
      <c r="CD28" s="131" t="s">
        <v>2065</v>
      </c>
      <c r="CE28" s="283"/>
      <c r="CF28" s="136" t="s">
        <v>1176</v>
      </c>
      <c r="CG28" s="136" t="s">
        <v>2066</v>
      </c>
      <c r="CH28" s="178" t="s">
        <v>2067</v>
      </c>
      <c r="CI28" s="136" t="s">
        <v>2068</v>
      </c>
      <c r="CJ28" s="136" t="s">
        <v>1471</v>
      </c>
      <c r="CK28" s="136" t="s">
        <v>2069</v>
      </c>
      <c r="CL28" s="136" t="s">
        <v>2070</v>
      </c>
      <c r="CM28" s="178" t="s">
        <v>508</v>
      </c>
      <c r="CN28" s="286"/>
      <c r="CO28" s="286"/>
      <c r="CP28" s="286"/>
      <c r="CQ28" s="178" t="s">
        <v>2071</v>
      </c>
      <c r="CR28" s="286"/>
      <c r="CS28" s="101"/>
      <c r="CT28" s="141" t="s">
        <v>2072</v>
      </c>
      <c r="CU28" s="207" t="s">
        <v>2073</v>
      </c>
      <c r="CV28" s="207" t="s">
        <v>2074</v>
      </c>
      <c r="CW28" s="141" t="s">
        <v>2075</v>
      </c>
      <c r="CX28" s="207" t="s">
        <v>801</v>
      </c>
      <c r="CY28" s="382" t="s">
        <v>2076</v>
      </c>
      <c r="CZ28" s="141" t="s">
        <v>2077</v>
      </c>
      <c r="DA28" s="207" t="s">
        <v>1780</v>
      </c>
      <c r="DB28" s="141" t="s">
        <v>2078</v>
      </c>
      <c r="DC28" s="287"/>
      <c r="DD28" s="207" t="s">
        <v>2079</v>
      </c>
      <c r="DE28" s="287"/>
      <c r="DF28" s="288"/>
      <c r="DG28" s="208" t="s">
        <v>2080</v>
      </c>
      <c r="DH28" s="208"/>
      <c r="DI28" s="208" t="s">
        <v>2081</v>
      </c>
      <c r="DJ28" s="208" t="s">
        <v>2082</v>
      </c>
      <c r="DK28" s="208" t="s">
        <v>508</v>
      </c>
      <c r="DL28" s="146" t="s">
        <v>1031</v>
      </c>
      <c r="DM28" s="289"/>
      <c r="DN28" s="289"/>
      <c r="DO28" s="289"/>
      <c r="DP28" s="146" t="s">
        <v>2083</v>
      </c>
      <c r="DQ28" s="146" t="s">
        <v>2084</v>
      </c>
      <c r="DR28" s="146" t="s">
        <v>2085</v>
      </c>
      <c r="DS28" s="146" t="s">
        <v>206</v>
      </c>
      <c r="DT28" s="146" t="s">
        <v>1506</v>
      </c>
      <c r="DU28" s="146" t="s">
        <v>1714</v>
      </c>
      <c r="DV28" s="208" t="s">
        <v>2086</v>
      </c>
      <c r="DW28" s="146" t="s">
        <v>2087</v>
      </c>
      <c r="DX28" s="146" t="s">
        <v>2088</v>
      </c>
      <c r="DY28" s="208" t="s">
        <v>276</v>
      </c>
      <c r="DZ28" s="146" t="s">
        <v>2089</v>
      </c>
      <c r="EA28" s="146" t="s">
        <v>214</v>
      </c>
      <c r="EB28" s="383" t="s">
        <v>2090</v>
      </c>
    </row>
    <row r="29">
      <c r="A29" s="384" t="s">
        <v>2091</v>
      </c>
      <c r="B29" s="82" t="s">
        <v>2092</v>
      </c>
      <c r="C29" s="83" t="s">
        <v>1415</v>
      </c>
      <c r="D29" s="84" t="s">
        <v>543</v>
      </c>
      <c r="E29" s="85" t="s">
        <v>1415</v>
      </c>
      <c r="F29" s="86" t="s">
        <v>2093</v>
      </c>
      <c r="G29" s="82" t="s">
        <v>2094</v>
      </c>
      <c r="H29" s="385" t="s">
        <v>1880</v>
      </c>
      <c r="I29" s="386" t="s">
        <v>2095</v>
      </c>
      <c r="J29" s="386" t="s">
        <v>2096</v>
      </c>
      <c r="K29" s="386" t="s">
        <v>2097</v>
      </c>
      <c r="L29" s="386" t="s">
        <v>146</v>
      </c>
      <c r="M29" s="386" t="s">
        <v>2098</v>
      </c>
      <c r="N29" s="156" t="s">
        <v>2099</v>
      </c>
      <c r="O29" s="386" t="s">
        <v>1952</v>
      </c>
      <c r="P29" s="386" t="s">
        <v>343</v>
      </c>
      <c r="Q29" s="387" t="s">
        <v>2100</v>
      </c>
      <c r="R29" s="388"/>
      <c r="S29" s="387" t="s">
        <v>2101</v>
      </c>
      <c r="T29" s="388"/>
      <c r="U29" s="387" t="s">
        <v>223</v>
      </c>
      <c r="V29" s="93" t="s">
        <v>2102</v>
      </c>
      <c r="W29" s="155"/>
      <c r="X29" s="386" t="s">
        <v>223</v>
      </c>
      <c r="Y29" s="385" t="s">
        <v>1809</v>
      </c>
      <c r="Z29" s="385" t="s">
        <v>2103</v>
      </c>
      <c r="AA29" s="386" t="s">
        <v>2104</v>
      </c>
      <c r="AB29" s="386" t="s">
        <v>2105</v>
      </c>
      <c r="AC29" s="386" t="s">
        <v>2106</v>
      </c>
      <c r="AD29" s="387" t="s">
        <v>2107</v>
      </c>
      <c r="AE29" s="386" t="s">
        <v>896</v>
      </c>
      <c r="AF29" s="386" t="s">
        <v>1345</v>
      </c>
      <c r="AG29" s="389" t="s">
        <v>2105</v>
      </c>
      <c r="AH29" s="388"/>
      <c r="AI29" s="388"/>
      <c r="AJ29" s="388"/>
      <c r="AK29" s="155"/>
      <c r="AL29" s="386" t="s">
        <v>1223</v>
      </c>
      <c r="AM29" s="386" t="s">
        <v>846</v>
      </c>
      <c r="AN29" s="388"/>
      <c r="AO29" s="388"/>
      <c r="AP29" s="388"/>
      <c r="AQ29" s="388"/>
      <c r="AR29" s="386" t="s">
        <v>133</v>
      </c>
      <c r="AS29" s="388"/>
      <c r="AT29" s="386" t="s">
        <v>671</v>
      </c>
      <c r="AU29" s="386" t="s">
        <v>2108</v>
      </c>
      <c r="AV29" s="387" t="s">
        <v>2109</v>
      </c>
      <c r="AW29" s="388"/>
      <c r="AX29" s="386" t="s">
        <v>2110</v>
      </c>
      <c r="AY29" s="388"/>
      <c r="AZ29" s="390"/>
      <c r="BA29" s="386" t="s">
        <v>2111</v>
      </c>
      <c r="BB29" s="386" t="s">
        <v>142</v>
      </c>
      <c r="BC29" s="386" t="s">
        <v>143</v>
      </c>
      <c r="BD29" s="386" t="s">
        <v>1156</v>
      </c>
      <c r="BE29" s="386" t="s">
        <v>2112</v>
      </c>
      <c r="BF29" s="385" t="s">
        <v>2113</v>
      </c>
      <c r="BG29" s="388"/>
      <c r="BH29" s="386" t="s">
        <v>2114</v>
      </c>
      <c r="BI29" s="387"/>
      <c r="BJ29" s="385" t="s">
        <v>2115</v>
      </c>
      <c r="BK29" s="386" t="s">
        <v>2116</v>
      </c>
      <c r="BL29" s="388"/>
      <c r="BM29" s="388"/>
      <c r="BN29" s="388"/>
      <c r="BO29" s="388"/>
      <c r="BP29" s="390"/>
      <c r="BQ29" s="385" t="s">
        <v>2117</v>
      </c>
      <c r="BR29" s="385" t="s">
        <v>2118</v>
      </c>
      <c r="BS29" s="386" t="s">
        <v>2119</v>
      </c>
      <c r="BT29" s="386" t="s">
        <v>2120</v>
      </c>
      <c r="BU29" s="386" t="s">
        <v>1970</v>
      </c>
      <c r="BV29" s="385" t="s">
        <v>1373</v>
      </c>
      <c r="BW29" s="386" t="s">
        <v>2121</v>
      </c>
      <c r="BX29" s="387" t="s">
        <v>2122</v>
      </c>
      <c r="BY29" s="385" t="s">
        <v>2123</v>
      </c>
      <c r="BZ29" s="389" t="s">
        <v>2124</v>
      </c>
      <c r="CA29" s="388"/>
      <c r="CB29" s="388"/>
      <c r="CC29" s="388"/>
      <c r="CD29" s="388"/>
      <c r="CE29" s="390"/>
      <c r="CF29" s="386" t="s">
        <v>2125</v>
      </c>
      <c r="CG29" s="385" t="s">
        <v>2126</v>
      </c>
      <c r="CH29" s="386" t="s">
        <v>1038</v>
      </c>
      <c r="CI29" s="385" t="s">
        <v>2127</v>
      </c>
      <c r="CJ29" s="391" t="s">
        <v>174</v>
      </c>
      <c r="CK29" s="385" t="s">
        <v>1852</v>
      </c>
      <c r="CL29" s="385" t="s">
        <v>1145</v>
      </c>
      <c r="CM29" s="386" t="s">
        <v>2128</v>
      </c>
      <c r="CN29" s="388"/>
      <c r="CO29" s="385" t="s">
        <v>354</v>
      </c>
      <c r="CP29" s="388"/>
      <c r="CQ29" s="388"/>
      <c r="CR29" s="388"/>
      <c r="CS29" s="164"/>
      <c r="CT29" s="386" t="s">
        <v>937</v>
      </c>
      <c r="CU29" s="386" t="s">
        <v>2129</v>
      </c>
      <c r="CV29" s="386" t="s">
        <v>185</v>
      </c>
      <c r="CW29" s="386" t="s">
        <v>2130</v>
      </c>
      <c r="CX29" s="386" t="s">
        <v>2131</v>
      </c>
      <c r="CY29" s="385" t="s">
        <v>2132</v>
      </c>
      <c r="CZ29" s="156" t="s">
        <v>189</v>
      </c>
      <c r="DA29" s="389" t="s">
        <v>305</v>
      </c>
      <c r="DB29" s="388"/>
      <c r="DC29" s="388"/>
      <c r="DD29" s="388"/>
      <c r="DE29" s="388"/>
      <c r="DF29" s="390"/>
      <c r="DG29" s="385" t="s">
        <v>623</v>
      </c>
      <c r="DH29" s="388"/>
      <c r="DI29" s="388"/>
      <c r="DJ29" s="388"/>
      <c r="DK29" s="386" t="s">
        <v>526</v>
      </c>
      <c r="DL29" s="386" t="s">
        <v>2133</v>
      </c>
      <c r="DM29" s="386" t="s">
        <v>628</v>
      </c>
      <c r="DN29" s="386" t="s">
        <v>2134</v>
      </c>
      <c r="DO29" s="388"/>
      <c r="DP29" s="385" t="s">
        <v>2135</v>
      </c>
      <c r="DQ29" s="386" t="s">
        <v>1744</v>
      </c>
      <c r="DR29" s="388"/>
      <c r="DS29" s="386" t="s">
        <v>1018</v>
      </c>
      <c r="DT29" s="388"/>
      <c r="DU29" s="386" t="s">
        <v>636</v>
      </c>
      <c r="DV29" s="388"/>
      <c r="DW29" s="388"/>
      <c r="DX29" s="388"/>
      <c r="DY29" s="388"/>
      <c r="DZ29" s="388"/>
      <c r="EA29" s="388"/>
      <c r="EB29" s="156" t="s">
        <v>2136</v>
      </c>
    </row>
    <row r="30">
      <c r="A30" s="392" t="s">
        <v>2137</v>
      </c>
      <c r="B30" s="103" t="s">
        <v>2138</v>
      </c>
      <c r="C30" s="104" t="s">
        <v>1415</v>
      </c>
      <c r="D30" s="105" t="s">
        <v>1415</v>
      </c>
      <c r="E30" s="106" t="s">
        <v>1415</v>
      </c>
      <c r="F30" s="107" t="s">
        <v>2139</v>
      </c>
      <c r="G30" s="103" t="s">
        <v>440</v>
      </c>
      <c r="H30" s="112" t="s">
        <v>858</v>
      </c>
      <c r="I30" s="305" t="s">
        <v>2140</v>
      </c>
      <c r="J30" s="112" t="s">
        <v>2141</v>
      </c>
      <c r="K30" s="112" t="s">
        <v>1558</v>
      </c>
      <c r="L30" s="110" t="s">
        <v>2142</v>
      </c>
      <c r="M30" s="112" t="s">
        <v>2143</v>
      </c>
      <c r="N30" s="112" t="s">
        <v>2144</v>
      </c>
      <c r="O30" s="112" t="s">
        <v>2145</v>
      </c>
      <c r="P30" s="110" t="s">
        <v>107</v>
      </c>
      <c r="Q30" s="112" t="s">
        <v>2146</v>
      </c>
      <c r="R30" s="393" t="s">
        <v>2147</v>
      </c>
      <c r="S30" s="168" t="s">
        <v>2148</v>
      </c>
      <c r="T30" s="168" t="s">
        <v>2149</v>
      </c>
      <c r="U30" s="168" t="s">
        <v>1219</v>
      </c>
      <c r="V30" s="112" t="s">
        <v>2150</v>
      </c>
      <c r="W30" s="291"/>
      <c r="X30" s="116" t="s">
        <v>175</v>
      </c>
      <c r="Y30" s="116" t="s">
        <v>2151</v>
      </c>
      <c r="Z30" s="116" t="s">
        <v>2152</v>
      </c>
      <c r="AA30" s="380" t="s">
        <v>2153</v>
      </c>
      <c r="AB30" s="199" t="s">
        <v>1581</v>
      </c>
      <c r="AC30" s="116" t="s">
        <v>2154</v>
      </c>
      <c r="AD30" s="200" t="s">
        <v>2155</v>
      </c>
      <c r="AE30" s="116" t="s">
        <v>2156</v>
      </c>
      <c r="AF30" s="116" t="s">
        <v>564</v>
      </c>
      <c r="AG30" s="116" t="s">
        <v>2157</v>
      </c>
      <c r="AH30" s="200" t="s">
        <v>755</v>
      </c>
      <c r="AI30" s="116" t="s">
        <v>2158</v>
      </c>
      <c r="AJ30" s="116" t="s">
        <v>2159</v>
      </c>
      <c r="AK30" s="92"/>
      <c r="AL30" s="120" t="s">
        <v>2160</v>
      </c>
      <c r="AM30" s="169" t="s">
        <v>1658</v>
      </c>
      <c r="AN30" s="202" t="s">
        <v>2161</v>
      </c>
      <c r="AO30" s="121" t="s">
        <v>130</v>
      </c>
      <c r="AP30" s="121" t="s">
        <v>2162</v>
      </c>
      <c r="AQ30" s="121" t="s">
        <v>1620</v>
      </c>
      <c r="AR30" s="169" t="s">
        <v>402</v>
      </c>
      <c r="AS30" s="121" t="s">
        <v>2163</v>
      </c>
      <c r="AT30" s="121" t="s">
        <v>2164</v>
      </c>
      <c r="AU30" s="121" t="s">
        <v>2165</v>
      </c>
      <c r="AV30" s="121" t="s">
        <v>2166</v>
      </c>
      <c r="AW30" s="169" t="s">
        <v>2167</v>
      </c>
      <c r="AX30" s="169" t="s">
        <v>2168</v>
      </c>
      <c r="AY30" s="202" t="s">
        <v>2169</v>
      </c>
      <c r="AZ30" s="394"/>
      <c r="BA30" s="175" t="s">
        <v>2170</v>
      </c>
      <c r="BB30" s="127" t="s">
        <v>2171</v>
      </c>
      <c r="BC30" s="127" t="s">
        <v>2050</v>
      </c>
      <c r="BD30" s="127" t="s">
        <v>1360</v>
      </c>
      <c r="BE30" s="127" t="s">
        <v>1467</v>
      </c>
      <c r="BF30" s="175" t="s">
        <v>2172</v>
      </c>
      <c r="BG30" s="127" t="s">
        <v>1760</v>
      </c>
      <c r="BH30" s="127" t="s">
        <v>1848</v>
      </c>
      <c r="BI30" s="127" t="s">
        <v>2173</v>
      </c>
      <c r="BJ30" s="175"/>
      <c r="BK30" s="127" t="s">
        <v>1973</v>
      </c>
      <c r="BL30" s="175" t="s">
        <v>2174</v>
      </c>
      <c r="BM30" s="127" t="s">
        <v>863</v>
      </c>
      <c r="BN30" s="175" t="s">
        <v>2175</v>
      </c>
      <c r="BO30" s="175" t="s">
        <v>2176</v>
      </c>
      <c r="BP30" s="395"/>
      <c r="BQ30" s="131" t="s">
        <v>2177</v>
      </c>
      <c r="BR30" s="131" t="s">
        <v>236</v>
      </c>
      <c r="BS30" s="131" t="s">
        <v>2178</v>
      </c>
      <c r="BT30" s="131" t="s">
        <v>2179</v>
      </c>
      <c r="BU30" s="176" t="s">
        <v>2180</v>
      </c>
      <c r="BV30" s="131" t="s">
        <v>2181</v>
      </c>
      <c r="BW30" s="176" t="s">
        <v>2182</v>
      </c>
      <c r="BX30" s="131" t="s">
        <v>2183</v>
      </c>
      <c r="BY30" s="176"/>
      <c r="BZ30" s="176" t="s">
        <v>1938</v>
      </c>
      <c r="CA30" s="131" t="s">
        <v>2184</v>
      </c>
      <c r="CB30" s="131" t="s">
        <v>2185</v>
      </c>
      <c r="CC30" s="131" t="s">
        <v>258</v>
      </c>
      <c r="CD30" s="131" t="s">
        <v>1887</v>
      </c>
      <c r="CE30" s="396"/>
      <c r="CF30" s="316" t="s">
        <v>2186</v>
      </c>
      <c r="CG30" s="136" t="s">
        <v>2187</v>
      </c>
      <c r="CH30" s="136" t="s">
        <v>2188</v>
      </c>
      <c r="CI30" s="136" t="s">
        <v>2189</v>
      </c>
      <c r="CJ30" s="316" t="s">
        <v>1262</v>
      </c>
      <c r="CK30" s="136" t="s">
        <v>2190</v>
      </c>
      <c r="CL30" s="136" t="s">
        <v>816</v>
      </c>
      <c r="CM30" s="136" t="s">
        <v>2191</v>
      </c>
      <c r="CN30" s="178" t="s">
        <v>2192</v>
      </c>
      <c r="CO30" s="136" t="s">
        <v>2193</v>
      </c>
      <c r="CP30" s="178" t="s">
        <v>2194</v>
      </c>
      <c r="CQ30" s="178" t="s">
        <v>2195</v>
      </c>
      <c r="CR30" s="136" t="s">
        <v>2196</v>
      </c>
      <c r="CS30" s="397"/>
      <c r="CT30" s="141" t="s">
        <v>359</v>
      </c>
      <c r="CU30" s="207" t="s">
        <v>2197</v>
      </c>
      <c r="CV30" s="141" t="s">
        <v>176</v>
      </c>
      <c r="CW30" s="141" t="s">
        <v>941</v>
      </c>
      <c r="CX30" s="398" t="s">
        <v>2198</v>
      </c>
      <c r="CY30" s="141" t="s">
        <v>765</v>
      </c>
      <c r="CZ30" s="398" t="s">
        <v>2199</v>
      </c>
      <c r="DA30" s="398" t="s">
        <v>2200</v>
      </c>
      <c r="DB30" s="141" t="s">
        <v>2201</v>
      </c>
      <c r="DC30" s="207" t="s">
        <v>2202</v>
      </c>
      <c r="DD30" s="141" t="s">
        <v>2203</v>
      </c>
      <c r="DE30" s="141" t="s">
        <v>408</v>
      </c>
      <c r="DF30" s="141"/>
      <c r="DG30" s="146" t="s">
        <v>623</v>
      </c>
      <c r="DH30" s="208" t="s">
        <v>2204</v>
      </c>
      <c r="DI30" s="208" t="s">
        <v>2205</v>
      </c>
      <c r="DJ30" s="146" t="s">
        <v>2206</v>
      </c>
      <c r="DK30" s="146" t="s">
        <v>526</v>
      </c>
      <c r="DL30" s="146" t="s">
        <v>949</v>
      </c>
      <c r="DM30" s="208" t="s">
        <v>2207</v>
      </c>
      <c r="DN30" s="208" t="s">
        <v>1544</v>
      </c>
      <c r="DO30" s="208" t="s">
        <v>727</v>
      </c>
      <c r="DP30" s="146" t="s">
        <v>2011</v>
      </c>
      <c r="DQ30" s="146" t="s">
        <v>2208</v>
      </c>
      <c r="DR30" s="399" t="s">
        <v>184</v>
      </c>
      <c r="DS30" s="208" t="s">
        <v>2209</v>
      </c>
      <c r="DT30" s="146" t="s">
        <v>2210</v>
      </c>
      <c r="DU30" s="146" t="s">
        <v>1938</v>
      </c>
      <c r="DV30" s="208" t="s">
        <v>1380</v>
      </c>
      <c r="DW30" s="208" t="s">
        <v>2211</v>
      </c>
      <c r="DX30" s="146" t="s">
        <v>1272</v>
      </c>
      <c r="DY30" s="146" t="s">
        <v>2212</v>
      </c>
      <c r="DZ30" s="208" t="s">
        <v>1159</v>
      </c>
      <c r="EA30" s="208" t="s">
        <v>1280</v>
      </c>
      <c r="EB30" s="322" t="s">
        <v>2213</v>
      </c>
    </row>
    <row r="31">
      <c r="A31" s="400" t="s">
        <v>2214</v>
      </c>
      <c r="B31" s="82" t="s">
        <v>2215</v>
      </c>
      <c r="C31" s="83" t="s">
        <v>738</v>
      </c>
      <c r="D31" s="84" t="s">
        <v>1415</v>
      </c>
      <c r="E31" s="85" t="s">
        <v>738</v>
      </c>
      <c r="F31" s="86" t="s">
        <v>2093</v>
      </c>
      <c r="G31" s="82" t="s">
        <v>2216</v>
      </c>
      <c r="H31" s="88" t="s">
        <v>2217</v>
      </c>
      <c r="I31" s="88" t="s">
        <v>2218</v>
      </c>
      <c r="J31" s="88" t="s">
        <v>2219</v>
      </c>
      <c r="K31" s="88" t="s">
        <v>443</v>
      </c>
      <c r="L31" s="88" t="s">
        <v>195</v>
      </c>
      <c r="M31" s="93" t="s">
        <v>2220</v>
      </c>
      <c r="N31" s="88" t="s">
        <v>2221</v>
      </c>
      <c r="O31" s="88" t="s">
        <v>1332</v>
      </c>
      <c r="P31" s="88" t="s">
        <v>107</v>
      </c>
      <c r="Q31" s="98"/>
      <c r="R31" s="98"/>
      <c r="S31" s="98"/>
      <c r="T31" s="98"/>
      <c r="U31" s="98"/>
      <c r="V31" s="98"/>
      <c r="W31" s="92"/>
      <c r="X31" s="88" t="s">
        <v>223</v>
      </c>
      <c r="Y31" s="88" t="s">
        <v>1142</v>
      </c>
      <c r="Z31" s="303" t="s">
        <v>2222</v>
      </c>
      <c r="AA31" s="88" t="s">
        <v>2223</v>
      </c>
      <c r="AB31" s="88" t="s">
        <v>2070</v>
      </c>
      <c r="AC31" s="88" t="s">
        <v>2224</v>
      </c>
      <c r="AD31" s="93"/>
      <c r="AE31" s="88" t="s">
        <v>357</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1928</v>
      </c>
      <c r="BB31" s="88" t="s">
        <v>677</v>
      </c>
      <c r="BC31" s="88" t="s">
        <v>1380</v>
      </c>
      <c r="BD31" s="88" t="s">
        <v>1018</v>
      </c>
      <c r="BE31" s="88" t="s">
        <v>1286</v>
      </c>
      <c r="BF31" s="98"/>
      <c r="BG31" s="98"/>
      <c r="BH31" s="88" t="s">
        <v>2226</v>
      </c>
      <c r="BI31" s="88" t="s">
        <v>2227</v>
      </c>
      <c r="BJ31" s="93"/>
      <c r="BK31" s="88" t="s">
        <v>2228</v>
      </c>
      <c r="BL31" s="98"/>
      <c r="BM31" s="98"/>
      <c r="BN31" s="98"/>
      <c r="BO31" s="98"/>
      <c r="BP31" s="266"/>
      <c r="BQ31" s="88" t="s">
        <v>194</v>
      </c>
      <c r="BR31" s="87" t="s">
        <v>2229</v>
      </c>
      <c r="BS31" s="89" t="s">
        <v>2230</v>
      </c>
      <c r="BT31" s="88" t="s">
        <v>2231</v>
      </c>
      <c r="BU31" s="88" t="s">
        <v>785</v>
      </c>
      <c r="BV31" s="88" t="s">
        <v>1031</v>
      </c>
      <c r="BW31" s="88" t="s">
        <v>2232</v>
      </c>
      <c r="BX31" s="88" t="s">
        <v>2233</v>
      </c>
      <c r="BY31" s="98"/>
      <c r="BZ31" s="88" t="s">
        <v>1592</v>
      </c>
      <c r="CA31" s="98"/>
      <c r="CB31" s="98"/>
      <c r="CC31" s="98"/>
      <c r="CD31" s="98"/>
      <c r="CE31" s="266"/>
      <c r="CF31" s="88" t="s">
        <v>502</v>
      </c>
      <c r="CG31" s="88" t="s">
        <v>2234</v>
      </c>
      <c r="CH31" s="88" t="s">
        <v>2235</v>
      </c>
      <c r="CI31" s="88" t="s">
        <v>2236</v>
      </c>
      <c r="CJ31" s="211" t="s">
        <v>2237</v>
      </c>
      <c r="CK31" s="88" t="s">
        <v>2238</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1973</v>
      </c>
      <c r="BL32" s="174"/>
      <c r="BM32" s="175" t="s">
        <v>2035</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1777</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2016</v>
      </c>
      <c r="DR32" s="208" t="s">
        <v>2321</v>
      </c>
      <c r="DS32" s="208" t="s">
        <v>2322</v>
      </c>
      <c r="DT32" s="289"/>
      <c r="DU32" s="208" t="s">
        <v>1709</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2033</v>
      </c>
      <c r="P33" s="88" t="s">
        <v>107</v>
      </c>
      <c r="Q33" s="88" t="s">
        <v>2336</v>
      </c>
      <c r="R33" s="98"/>
      <c r="S33" s="88" t="s">
        <v>2101</v>
      </c>
      <c r="T33" s="98"/>
      <c r="U33" s="98"/>
      <c r="V33" s="98"/>
      <c r="W33" s="92"/>
      <c r="X33" s="88" t="s">
        <v>2337</v>
      </c>
      <c r="Y33" s="88" t="s">
        <v>115</v>
      </c>
      <c r="Z33" s="88" t="s">
        <v>2338</v>
      </c>
      <c r="AA33" s="88" t="s">
        <v>561</v>
      </c>
      <c r="AB33" s="88" t="s">
        <v>1824</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1760</v>
      </c>
      <c r="BS33" s="88" t="s">
        <v>2348</v>
      </c>
      <c r="BT33" s="88" t="s">
        <v>1762</v>
      </c>
      <c r="BU33" s="88" t="s">
        <v>1655</v>
      </c>
      <c r="BV33" s="88" t="s">
        <v>2349</v>
      </c>
      <c r="BW33" s="98"/>
      <c r="BX33" s="98"/>
      <c r="BY33" s="88" t="s">
        <v>2350</v>
      </c>
      <c r="BZ33" s="88" t="s">
        <v>1767</v>
      </c>
      <c r="CA33" s="88" t="s">
        <v>2351</v>
      </c>
      <c r="CB33" s="98"/>
      <c r="CC33" s="98"/>
      <c r="CD33" s="98"/>
      <c r="CE33" s="266"/>
      <c r="CF33" s="87" t="s">
        <v>2052</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1811</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1623</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1882</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1824</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2088</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2179</v>
      </c>
      <c r="BU34" s="131" t="s">
        <v>2382</v>
      </c>
      <c r="BV34" s="131" t="s">
        <v>2383</v>
      </c>
      <c r="BW34" s="176" t="s">
        <v>2384</v>
      </c>
      <c r="BX34" s="176" t="s">
        <v>2385</v>
      </c>
      <c r="BY34" s="131" t="s">
        <v>2386</v>
      </c>
      <c r="BZ34" s="131" t="s">
        <v>165</v>
      </c>
      <c r="CA34" s="282"/>
      <c r="CB34" s="282"/>
      <c r="CC34" s="282"/>
      <c r="CD34" s="282"/>
      <c r="CE34" s="283"/>
      <c r="CF34" s="136" t="s">
        <v>562</v>
      </c>
      <c r="CG34" s="136" t="s">
        <v>1919</v>
      </c>
      <c r="CH34" s="136" t="s">
        <v>2387</v>
      </c>
      <c r="CI34" s="178" t="s">
        <v>2388</v>
      </c>
      <c r="CJ34" s="178" t="s">
        <v>1390</v>
      </c>
      <c r="CK34" s="136" t="s">
        <v>849</v>
      </c>
      <c r="CL34" s="136" t="s">
        <v>2389</v>
      </c>
      <c r="CM34" s="136" t="s">
        <v>1532</v>
      </c>
      <c r="CN34" s="286"/>
      <c r="CO34" s="286"/>
      <c r="CP34" s="286"/>
      <c r="CQ34" s="286"/>
      <c r="CR34" s="286"/>
      <c r="CS34" s="101"/>
      <c r="CT34" s="141" t="s">
        <v>1732</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2033</v>
      </c>
      <c r="P35" s="88" t="s">
        <v>649</v>
      </c>
      <c r="Q35" s="98"/>
      <c r="R35" s="98"/>
      <c r="S35" s="88" t="s">
        <v>1204</v>
      </c>
      <c r="T35" s="88" t="s">
        <v>1863</v>
      </c>
      <c r="U35" s="93" t="s">
        <v>2405</v>
      </c>
      <c r="V35" s="98"/>
      <c r="W35" s="92"/>
      <c r="X35" s="88" t="s">
        <v>2406</v>
      </c>
      <c r="Y35" s="88" t="s">
        <v>2407</v>
      </c>
      <c r="Z35" s="88" t="s">
        <v>2408</v>
      </c>
      <c r="AA35" s="93" t="s">
        <v>2409</v>
      </c>
      <c r="AB35" s="88" t="s">
        <v>1824</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1838</v>
      </c>
      <c r="BE35" s="93" t="s">
        <v>243</v>
      </c>
      <c r="BF35" s="93" t="s">
        <v>186</v>
      </c>
      <c r="BG35" s="98"/>
      <c r="BH35" s="93" t="s">
        <v>2421</v>
      </c>
      <c r="BI35" s="93" t="s">
        <v>2422</v>
      </c>
      <c r="BJ35" s="93"/>
      <c r="BK35" s="93" t="s">
        <v>2423</v>
      </c>
      <c r="BL35" s="93" t="s">
        <v>2424</v>
      </c>
      <c r="BM35" s="88" t="s">
        <v>2425</v>
      </c>
      <c r="BN35" s="93" t="s">
        <v>2426</v>
      </c>
      <c r="BO35" s="93" t="s">
        <v>1975</v>
      </c>
      <c r="BP35" s="266"/>
      <c r="BQ35" s="93" t="s">
        <v>2427</v>
      </c>
      <c r="BR35" s="93" t="s">
        <v>2428</v>
      </c>
      <c r="BS35" s="88" t="s">
        <v>2119</v>
      </c>
      <c r="BT35" s="88" t="s">
        <v>905</v>
      </c>
      <c r="BU35" s="88" t="s">
        <v>2429</v>
      </c>
      <c r="BV35" s="88" t="s">
        <v>1376</v>
      </c>
      <c r="BW35" s="93" t="s">
        <v>2430</v>
      </c>
      <c r="BX35" s="93" t="s">
        <v>2431</v>
      </c>
      <c r="BY35" s="93" t="s">
        <v>2432</v>
      </c>
      <c r="BZ35" s="88" t="s">
        <v>1708</v>
      </c>
      <c r="CA35" s="93" t="s">
        <v>2433</v>
      </c>
      <c r="CB35" s="93" t="s">
        <v>2434</v>
      </c>
      <c r="CC35" s="88" t="s">
        <v>1443</v>
      </c>
      <c r="CD35" s="98"/>
      <c r="CE35" s="266"/>
      <c r="CF35" s="93" t="s">
        <v>2015</v>
      </c>
      <c r="CG35" s="93" t="s">
        <v>2303</v>
      </c>
      <c r="CH35" s="88" t="s">
        <v>1242</v>
      </c>
      <c r="CI35" s="88" t="s">
        <v>2435</v>
      </c>
      <c r="CJ35" s="211"/>
      <c r="CK35" s="88" t="s">
        <v>134</v>
      </c>
      <c r="CL35" s="88" t="s">
        <v>2436</v>
      </c>
      <c r="CM35" s="88" t="s">
        <v>2191</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1972</v>
      </c>
      <c r="DZ35" s="88" t="s">
        <v>2448</v>
      </c>
      <c r="EA35" s="88" t="s">
        <v>2449</v>
      </c>
      <c r="EB35" s="97" t="s">
        <v>1798</v>
      </c>
    </row>
    <row r="36">
      <c r="A36" s="167" t="s">
        <v>2450</v>
      </c>
      <c r="B36" s="103" t="s">
        <v>2451</v>
      </c>
      <c r="C36" s="104" t="s">
        <v>1415</v>
      </c>
      <c r="D36" s="105" t="s">
        <v>1415</v>
      </c>
      <c r="E36" s="106" t="s">
        <v>1415</v>
      </c>
      <c r="F36" s="107" t="s">
        <v>2331</v>
      </c>
      <c r="G36" s="103" t="s">
        <v>1631</v>
      </c>
      <c r="H36" s="112" t="s">
        <v>2452</v>
      </c>
      <c r="I36" s="307" t="s">
        <v>2453</v>
      </c>
      <c r="J36" s="112" t="s">
        <v>2454</v>
      </c>
      <c r="K36" s="112" t="s">
        <v>1804</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1852</v>
      </c>
      <c r="Y36" s="115" t="s">
        <v>1567</v>
      </c>
      <c r="Z36" s="199" t="s">
        <v>2463</v>
      </c>
      <c r="AA36" s="116" t="s">
        <v>1665</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1834</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1750</v>
      </c>
      <c r="BE36" s="175" t="s">
        <v>2484</v>
      </c>
      <c r="BF36" s="127" t="s">
        <v>2485</v>
      </c>
      <c r="BG36" s="175" t="s">
        <v>2486</v>
      </c>
      <c r="BH36" s="125" t="s">
        <v>602</v>
      </c>
      <c r="BI36" s="174" t="s">
        <v>2487</v>
      </c>
      <c r="BJ36" s="175" t="s">
        <v>2488</v>
      </c>
      <c r="BK36" s="175" t="s">
        <v>2489</v>
      </c>
      <c r="BL36" s="175" t="s">
        <v>2490</v>
      </c>
      <c r="BM36" s="127" t="s">
        <v>2035</v>
      </c>
      <c r="BN36" s="175" t="s">
        <v>2491</v>
      </c>
      <c r="BO36" s="175" t="s">
        <v>2492</v>
      </c>
      <c r="BP36" s="330"/>
      <c r="BQ36" s="130" t="s">
        <v>2493</v>
      </c>
      <c r="BR36" s="176" t="s">
        <v>2494</v>
      </c>
      <c r="BS36" s="131" t="s">
        <v>2495</v>
      </c>
      <c r="BT36" s="176" t="s">
        <v>2496</v>
      </c>
      <c r="BU36" s="177" t="s">
        <v>502</v>
      </c>
      <c r="BV36" s="131" t="s">
        <v>2059</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1985</v>
      </c>
      <c r="CK36" s="136" t="s">
        <v>2507</v>
      </c>
      <c r="CL36" s="136" t="s">
        <v>1603</v>
      </c>
      <c r="CM36" s="136" t="s">
        <v>1987</v>
      </c>
      <c r="CN36" s="317" t="s">
        <v>2508</v>
      </c>
      <c r="CO36" s="134" t="s">
        <v>1055</v>
      </c>
      <c r="CP36" s="136" t="s">
        <v>2509</v>
      </c>
      <c r="CQ36" s="136" t="s">
        <v>2510</v>
      </c>
      <c r="CR36" s="178" t="s">
        <v>2511</v>
      </c>
      <c r="CS36" s="101"/>
      <c r="CT36" s="411" t="s">
        <v>2512</v>
      </c>
      <c r="CU36" s="207" t="s">
        <v>1985</v>
      </c>
      <c r="CV36" s="138" t="s">
        <v>2513</v>
      </c>
      <c r="CW36" s="411" t="s">
        <v>2514</v>
      </c>
      <c r="CX36" s="411" t="s">
        <v>2515</v>
      </c>
      <c r="CY36" s="141" t="s">
        <v>2516</v>
      </c>
      <c r="CZ36" s="411" t="s">
        <v>786</v>
      </c>
      <c r="DA36" s="138" t="s">
        <v>1780</v>
      </c>
      <c r="DB36" s="319" t="s">
        <v>2517</v>
      </c>
      <c r="DC36" s="382" t="s">
        <v>2518</v>
      </c>
      <c r="DD36" s="138" t="s">
        <v>2387</v>
      </c>
      <c r="DE36" s="138" t="str">
        <f>HYPERLINK("https://www.twitch.tv/videos/445329616","1:59.77")</f>
        <v>1:59.77</v>
      </c>
      <c r="DF36" s="138"/>
      <c r="DG36" s="208" t="s">
        <v>2519</v>
      </c>
      <c r="DH36" s="146" t="s">
        <v>2520</v>
      </c>
      <c r="DI36" s="208" t="s">
        <v>1757</v>
      </c>
      <c r="DJ36" s="146" t="s">
        <v>2521</v>
      </c>
      <c r="DK36" s="146" t="s">
        <v>1689</v>
      </c>
      <c r="DL36" s="210" t="s">
        <v>2522</v>
      </c>
      <c r="DM36" s="210" t="s">
        <v>493</v>
      </c>
      <c r="DN36" s="146" t="s">
        <v>2523</v>
      </c>
      <c r="DO36" s="146" t="s">
        <v>1252</v>
      </c>
      <c r="DP36" s="208" t="s">
        <v>150</v>
      </c>
      <c r="DQ36" s="146" t="s">
        <v>2524</v>
      </c>
      <c r="DR36" s="146" t="s">
        <v>2525</v>
      </c>
      <c r="DS36" s="146" t="s">
        <v>2526</v>
      </c>
      <c r="DT36" s="146" t="s">
        <v>2527</v>
      </c>
      <c r="DU36" s="146" t="s">
        <v>1709</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2187</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1926</v>
      </c>
      <c r="CK37" s="93" t="s">
        <v>856</v>
      </c>
      <c r="CL37" s="93" t="s">
        <v>2311</v>
      </c>
      <c r="CM37" s="93" t="s">
        <v>1987</v>
      </c>
      <c r="CN37" s="98"/>
      <c r="CO37" s="98"/>
      <c r="CP37" s="98"/>
      <c r="CQ37" s="98"/>
      <c r="CR37" s="98"/>
      <c r="CS37" s="101"/>
      <c r="CT37" s="88" t="s">
        <v>2564</v>
      </c>
      <c r="CU37" s="93" t="s">
        <v>2565</v>
      </c>
      <c r="CV37" s="93" t="s">
        <v>242</v>
      </c>
      <c r="CW37" s="93" t="s">
        <v>2566</v>
      </c>
      <c r="CX37" s="93" t="s">
        <v>1478</v>
      </c>
      <c r="CY37" s="93" t="s">
        <v>1968</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1713</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2191</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2049</v>
      </c>
      <c r="CH38" s="178" t="s">
        <v>2612</v>
      </c>
      <c r="CI38" s="136" t="s">
        <v>2613</v>
      </c>
      <c r="CJ38" s="136" t="s">
        <v>2614</v>
      </c>
      <c r="CK38" s="136" t="s">
        <v>2106</v>
      </c>
      <c r="CL38" s="136" t="s">
        <v>2615</v>
      </c>
      <c r="CM38" s="136" t="s">
        <v>1940</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1791</v>
      </c>
      <c r="DR38" s="415" t="str">
        <f>HYPERLINK("https://twitter.com/Qbe_Root/status/1241798344797798402","11.27")</f>
        <v>11.27</v>
      </c>
      <c r="DS38" s="208" t="s">
        <v>2631</v>
      </c>
      <c r="DT38" s="146" t="s">
        <v>2632</v>
      </c>
      <c r="DU38" s="289"/>
      <c r="DV38" s="146" t="s">
        <v>1762</v>
      </c>
      <c r="DW38" s="208" t="s">
        <v>1919</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2094</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2152</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1750</v>
      </c>
      <c r="AY39" s="93" t="s">
        <v>2656</v>
      </c>
      <c r="AZ39" s="96"/>
      <c r="BA39" s="98"/>
      <c r="BB39" s="93"/>
      <c r="BC39" s="93" t="s">
        <v>2657</v>
      </c>
      <c r="BD39" s="93" t="s">
        <v>2658</v>
      </c>
      <c r="BE39" s="93" t="s">
        <v>2659</v>
      </c>
      <c r="BF39" s="93" t="s">
        <v>2660</v>
      </c>
      <c r="BG39" s="93"/>
      <c r="BH39" s="93" t="s">
        <v>2234</v>
      </c>
      <c r="BI39" s="98"/>
      <c r="BJ39" s="88" t="s">
        <v>2661</v>
      </c>
      <c r="BK39" s="93" t="s">
        <v>799</v>
      </c>
      <c r="BL39" s="93" t="s">
        <v>2205</v>
      </c>
      <c r="BM39" s="93" t="s">
        <v>2662</v>
      </c>
      <c r="BN39" s="93" t="s">
        <v>2663</v>
      </c>
      <c r="BO39" s="93" t="s">
        <v>2664</v>
      </c>
      <c r="BP39" s="96"/>
      <c r="BQ39" s="93" t="s">
        <v>2665</v>
      </c>
      <c r="BR39" s="93" t="s">
        <v>2162</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1812</v>
      </c>
      <c r="CM39" s="97" t="str">
        <f>HYPERLINK("https://www.youtube.com/watch?v=X66lFoaVyLY","15.60")</f>
        <v>15.60</v>
      </c>
      <c r="CN39" s="98"/>
      <c r="CO39" s="98"/>
      <c r="CP39" s="98"/>
      <c r="CQ39" s="98"/>
      <c r="CR39" s="93" t="s">
        <v>2673</v>
      </c>
      <c r="CS39" s="101"/>
      <c r="CT39" s="88" t="s">
        <v>2674</v>
      </c>
      <c r="CU39" s="93" t="s">
        <v>1777</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1778</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1645</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1868</v>
      </c>
      <c r="DS40" s="455" t="s">
        <v>2750</v>
      </c>
      <c r="DT40" s="456" t="s">
        <v>2751</v>
      </c>
      <c r="DU40" s="456" t="s">
        <v>2752</v>
      </c>
      <c r="DV40" s="374"/>
      <c r="DW40" s="455" t="s">
        <v>2753</v>
      </c>
      <c r="DX40" s="455" t="s">
        <v>2754</v>
      </c>
      <c r="DY40" s="455" t="s">
        <v>2755</v>
      </c>
      <c r="DZ40" s="455" t="s">
        <v>1934</v>
      </c>
      <c r="EA40" s="455" t="s">
        <v>1492</v>
      </c>
      <c r="EB40" s="322" t="s">
        <v>2756</v>
      </c>
    </row>
    <row r="41">
      <c r="A41" s="416" t="s">
        <v>2757</v>
      </c>
      <c r="B41" s="82" t="s">
        <v>2758</v>
      </c>
      <c r="C41" s="83" t="s">
        <v>438</v>
      </c>
      <c r="D41" s="84" t="s">
        <v>543</v>
      </c>
      <c r="E41" s="85" t="s">
        <v>543</v>
      </c>
      <c r="F41" s="86" t="s">
        <v>2759</v>
      </c>
      <c r="G41" s="82" t="s">
        <v>1257</v>
      </c>
      <c r="H41" s="93" t="s">
        <v>2010</v>
      </c>
      <c r="I41" s="93" t="s">
        <v>2760</v>
      </c>
      <c r="J41" s="93" t="s">
        <v>2761</v>
      </c>
      <c r="K41" s="93" t="s">
        <v>2762</v>
      </c>
      <c r="L41" s="211" t="s">
        <v>1918</v>
      </c>
      <c r="M41" s="98"/>
      <c r="N41" s="98"/>
      <c r="O41" s="211" t="s">
        <v>2763</v>
      </c>
      <c r="P41" s="93" t="s">
        <v>2764</v>
      </c>
      <c r="Q41" s="89" t="s">
        <v>2544</v>
      </c>
      <c r="R41" s="93"/>
      <c r="S41" s="93" t="s">
        <v>995</v>
      </c>
      <c r="T41" s="211"/>
      <c r="U41" s="211" t="s">
        <v>2765</v>
      </c>
      <c r="V41" s="87" t="s">
        <v>2766</v>
      </c>
      <c r="W41" s="212"/>
      <c r="X41" s="93" t="s">
        <v>2767</v>
      </c>
      <c r="Y41" s="93" t="s">
        <v>2768</v>
      </c>
      <c r="Z41" s="93" t="s">
        <v>1958</v>
      </c>
      <c r="AA41" s="93" t="s">
        <v>2769</v>
      </c>
      <c r="AB41" s="93" t="s">
        <v>2770</v>
      </c>
      <c r="AC41" s="93" t="s">
        <v>2771</v>
      </c>
      <c r="AD41" s="93"/>
      <c r="AE41" s="93" t="s">
        <v>809</v>
      </c>
      <c r="AF41" s="93" t="s">
        <v>2772</v>
      </c>
      <c r="AG41" s="93" t="s">
        <v>2773</v>
      </c>
      <c r="AH41" s="93"/>
      <c r="AI41" s="93" t="s">
        <v>2158</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1940</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1681</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1835</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1701</v>
      </c>
      <c r="AJ42" s="116" t="s">
        <v>2833</v>
      </c>
      <c r="AK42" s="92"/>
      <c r="AL42" s="276"/>
      <c r="AM42" s="121" t="s">
        <v>2834</v>
      </c>
      <c r="AN42" s="276"/>
      <c r="AO42" s="276"/>
      <c r="AP42" s="276"/>
      <c r="AQ42" s="276"/>
      <c r="AR42" s="276"/>
      <c r="AS42" s="276"/>
      <c r="AT42" s="121" t="s">
        <v>363</v>
      </c>
      <c r="AU42" s="121" t="s">
        <v>2835</v>
      </c>
      <c r="AV42" s="121" t="s">
        <v>2109</v>
      </c>
      <c r="AW42" s="276"/>
      <c r="AX42" s="121" t="s">
        <v>1424</v>
      </c>
      <c r="AY42" s="276"/>
      <c r="AZ42" s="277"/>
      <c r="BA42" s="127" t="s">
        <v>2836</v>
      </c>
      <c r="BB42" s="127" t="s">
        <v>2420</v>
      </c>
      <c r="BC42" s="127" t="s">
        <v>2837</v>
      </c>
      <c r="BD42" s="127" t="s">
        <v>1165</v>
      </c>
      <c r="BE42" s="127" t="s">
        <v>2838</v>
      </c>
      <c r="BF42" s="127" t="s">
        <v>258</v>
      </c>
      <c r="BG42" s="174"/>
      <c r="BH42" s="175" t="s">
        <v>2234</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1683</v>
      </c>
      <c r="CL42" s="136" t="s">
        <v>2853</v>
      </c>
      <c r="CM42" s="136" t="s">
        <v>2854</v>
      </c>
      <c r="CN42" s="286"/>
      <c r="CO42" s="136" t="s">
        <v>2394</v>
      </c>
      <c r="CP42" s="286"/>
      <c r="CQ42" s="136" t="s">
        <v>2855</v>
      </c>
      <c r="CR42" s="286"/>
      <c r="CS42" s="101"/>
      <c r="CT42" s="141" t="s">
        <v>2856</v>
      </c>
      <c r="CU42" s="141" t="s">
        <v>184</v>
      </c>
      <c r="CV42" s="318" t="s">
        <v>607</v>
      </c>
      <c r="CW42" s="141" t="s">
        <v>1389</v>
      </c>
      <c r="CX42" s="141" t="s">
        <v>2021</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2222</v>
      </c>
      <c r="AA43" s="88" t="s">
        <v>1959</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1940</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1632</v>
      </c>
      <c r="BS43" s="88" t="s">
        <v>123</v>
      </c>
      <c r="BT43" s="303" t="s">
        <v>1675</v>
      </c>
      <c r="BU43" s="211" t="s">
        <v>2886</v>
      </c>
      <c r="BV43" s="88" t="s">
        <v>1786</v>
      </c>
      <c r="BW43" s="98"/>
      <c r="BX43" s="88" t="s">
        <v>2887</v>
      </c>
      <c r="BY43" s="88" t="s">
        <v>2888</v>
      </c>
      <c r="BZ43" s="88" t="s">
        <v>2889</v>
      </c>
      <c r="CA43" s="98"/>
      <c r="CB43" s="98"/>
      <c r="CC43" s="98"/>
      <c r="CD43" s="98"/>
      <c r="CE43" s="266"/>
      <c r="CF43" s="460" t="s">
        <v>2064</v>
      </c>
      <c r="CG43" s="88" t="s">
        <v>1919</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2164</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1804</v>
      </c>
      <c r="L44" s="297" t="s">
        <v>345</v>
      </c>
      <c r="M44" s="112" t="s">
        <v>874</v>
      </c>
      <c r="N44" s="112" t="s">
        <v>2906</v>
      </c>
      <c r="O44" s="112" t="s">
        <v>2541</v>
      </c>
      <c r="P44" s="112" t="s">
        <v>1563</v>
      </c>
      <c r="Q44" s="462" t="s">
        <v>2907</v>
      </c>
      <c r="R44" s="463" t="s">
        <v>1371</v>
      </c>
      <c r="S44" s="112" t="s">
        <v>139</v>
      </c>
      <c r="T44" s="297" t="s">
        <v>1649</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2207</v>
      </c>
      <c r="BW44" s="282"/>
      <c r="BX44" s="176" t="s">
        <v>1843</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1691</v>
      </c>
      <c r="CM44" s="178" t="s">
        <v>2944</v>
      </c>
      <c r="CN44" s="178" t="s">
        <v>2945</v>
      </c>
      <c r="CO44" s="136" t="s">
        <v>2946</v>
      </c>
      <c r="CP44" s="286"/>
      <c r="CQ44" s="178" t="s">
        <v>2947</v>
      </c>
      <c r="CR44" s="178" t="s">
        <v>2948</v>
      </c>
      <c r="CS44" s="101"/>
      <c r="CT44" s="207" t="s">
        <v>2949</v>
      </c>
      <c r="CU44" s="207" t="s">
        <v>2197</v>
      </c>
      <c r="CV44" s="207" t="s">
        <v>900</v>
      </c>
      <c r="CW44" s="141" t="s">
        <v>600</v>
      </c>
      <c r="CX44" s="207" t="s">
        <v>2950</v>
      </c>
      <c r="CY44" s="207" t="s">
        <v>1046</v>
      </c>
      <c r="CZ44" s="141" t="s">
        <v>2951</v>
      </c>
      <c r="DA44" s="207" t="s">
        <v>2952</v>
      </c>
      <c r="DB44" s="207" t="s">
        <v>1685</v>
      </c>
      <c r="DC44" s="207" t="s">
        <v>1657</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1809</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1699</v>
      </c>
      <c r="AU45" s="386" t="s">
        <v>257</v>
      </c>
      <c r="AV45" s="388"/>
      <c r="AW45" s="388"/>
      <c r="AX45" s="388" t="s">
        <v>2980</v>
      </c>
      <c r="AY45" s="388"/>
      <c r="AZ45" s="466"/>
      <c r="BA45" s="388" t="s">
        <v>1195</v>
      </c>
      <c r="BB45" s="388" t="s">
        <v>2981</v>
      </c>
      <c r="BC45" s="386" t="s">
        <v>143</v>
      </c>
      <c r="BD45" s="386" t="s">
        <v>2982</v>
      </c>
      <c r="BE45" s="388" t="s">
        <v>1210</v>
      </c>
      <c r="BF45" s="388" t="s">
        <v>2035</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1831</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2180</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1699</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1804</v>
      </c>
      <c r="L46" s="307" t="s">
        <v>3010</v>
      </c>
      <c r="M46" s="168" t="s">
        <v>3011</v>
      </c>
      <c r="N46" s="168" t="s">
        <v>3012</v>
      </c>
      <c r="O46" s="168" t="s">
        <v>1740</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1687</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2165</v>
      </c>
      <c r="CH46" s="178" t="s">
        <v>3047</v>
      </c>
      <c r="CI46" s="178" t="s">
        <v>3048</v>
      </c>
      <c r="CJ46" s="178" t="s">
        <v>3049</v>
      </c>
      <c r="CK46" s="469" t="s">
        <v>3050</v>
      </c>
      <c r="CL46" s="316" t="s">
        <v>2464</v>
      </c>
      <c r="CM46" s="178" t="s">
        <v>2134</v>
      </c>
      <c r="CN46" s="286"/>
      <c r="CO46" s="178" t="s">
        <v>1691</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1791</v>
      </c>
      <c r="DT46" s="208" t="s">
        <v>3063</v>
      </c>
      <c r="DU46" s="208" t="s">
        <v>1709</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1804</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2224</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1840</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2047</v>
      </c>
      <c r="AU48" s="353" t="s">
        <v>1972</v>
      </c>
      <c r="AV48" s="479"/>
      <c r="AW48" s="478"/>
      <c r="AX48" s="479"/>
      <c r="AY48" s="479"/>
      <c r="AZ48" s="478"/>
      <c r="BA48" s="480" t="s">
        <v>2170</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1707</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2075</v>
      </c>
      <c r="CX48" s="371" t="s">
        <v>3115</v>
      </c>
      <c r="CY48" s="490" t="s">
        <v>880</v>
      </c>
      <c r="CZ48" s="371" t="s">
        <v>1884</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4"/>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2130</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1658</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2238</v>
      </c>
      <c r="BS49" s="88" t="s">
        <v>3140</v>
      </c>
      <c r="BT49" s="93" t="s">
        <v>3141</v>
      </c>
      <c r="BU49" s="88" t="s">
        <v>3142</v>
      </c>
      <c r="BV49" s="88" t="s">
        <v>1840</v>
      </c>
      <c r="BW49" s="98"/>
      <c r="BX49" s="93" t="s">
        <v>3143</v>
      </c>
      <c r="BY49" s="93" t="s">
        <v>3144</v>
      </c>
      <c r="BZ49" s="88" t="s">
        <v>3084</v>
      </c>
      <c r="CA49" s="98"/>
      <c r="CB49" s="98"/>
      <c r="CC49" s="98"/>
      <c r="CD49" s="98"/>
      <c r="CE49" s="266"/>
      <c r="CF49" s="88" t="s">
        <v>1003</v>
      </c>
      <c r="CG49" s="93" t="s">
        <v>1447</v>
      </c>
      <c r="CH49" s="88" t="s">
        <v>603</v>
      </c>
      <c r="CI49" s="93" t="s">
        <v>3145</v>
      </c>
      <c r="CJ49" s="93" t="s">
        <v>2197</v>
      </c>
      <c r="CK49" s="93" t="s">
        <v>3146</v>
      </c>
      <c r="CL49" s="88" t="s">
        <v>3147</v>
      </c>
      <c r="CM49" s="93" t="s">
        <v>1575</v>
      </c>
      <c r="CN49" s="98"/>
      <c r="CO49" s="98"/>
      <c r="CP49" s="98"/>
      <c r="CQ49" s="98"/>
      <c r="CR49" s="98"/>
      <c r="CS49" s="101"/>
      <c r="CT49" s="89" t="s">
        <v>2042</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1659</v>
      </c>
      <c r="K50" s="168" t="s">
        <v>1804</v>
      </c>
      <c r="L50" s="168" t="s">
        <v>3160</v>
      </c>
      <c r="M50" s="168" t="s">
        <v>3161</v>
      </c>
      <c r="N50" s="168" t="s">
        <v>3162</v>
      </c>
      <c r="O50" s="307" t="s">
        <v>555</v>
      </c>
      <c r="P50" s="168" t="s">
        <v>3163</v>
      </c>
      <c r="Q50" s="168" t="s">
        <v>3164</v>
      </c>
      <c r="R50" s="112" t="s">
        <v>1727</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1815</v>
      </c>
      <c r="AC50" s="200" t="s">
        <v>566</v>
      </c>
      <c r="AD50" s="116" t="s">
        <v>3169</v>
      </c>
      <c r="AE50" s="200" t="s">
        <v>3170</v>
      </c>
      <c r="AF50" s="200" t="s">
        <v>3171</v>
      </c>
      <c r="AG50" s="116" t="s">
        <v>1625</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2109</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1675</v>
      </c>
      <c r="CA50" s="282"/>
      <c r="CB50" s="282"/>
      <c r="CC50" s="130" t="str">
        <f>HYPERLINK("https://youtu.be/toUWVFNC1VQ","44.39")</f>
        <v>44.39</v>
      </c>
      <c r="CD50" s="282"/>
      <c r="CE50" s="283"/>
      <c r="CF50" s="178" t="s">
        <v>3196</v>
      </c>
      <c r="CG50" s="316" t="s">
        <v>3197</v>
      </c>
      <c r="CH50" s="178" t="s">
        <v>3198</v>
      </c>
      <c r="CI50" s="178" t="s">
        <v>3199</v>
      </c>
      <c r="CJ50" s="178" t="s">
        <v>3138</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2199</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2097</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2088</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2178</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1778</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3121</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1644</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2119</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1987</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1750</v>
      </c>
      <c r="P53" s="93" t="s">
        <v>1563</v>
      </c>
      <c r="Q53" s="93" t="s">
        <v>3305</v>
      </c>
      <c r="R53" s="98"/>
      <c r="S53" s="93" t="s">
        <v>2148</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2207</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2054</v>
      </c>
      <c r="J54" s="168" t="s">
        <v>447</v>
      </c>
      <c r="K54" s="112" t="s">
        <v>3336</v>
      </c>
      <c r="L54" s="168" t="s">
        <v>3337</v>
      </c>
      <c r="M54" s="168" t="s">
        <v>3338</v>
      </c>
      <c r="N54" s="168" t="s">
        <v>3012</v>
      </c>
      <c r="O54" s="112" t="s">
        <v>2698</v>
      </c>
      <c r="P54" s="112" t="s">
        <v>107</v>
      </c>
      <c r="Q54" s="112" t="s">
        <v>3339</v>
      </c>
      <c r="R54" s="224"/>
      <c r="S54" s="168" t="s">
        <v>3340</v>
      </c>
      <c r="T54" s="224"/>
      <c r="U54" s="112" t="s">
        <v>1662</v>
      </c>
      <c r="V54" s="224"/>
      <c r="W54" s="92"/>
      <c r="X54" s="117" t="s">
        <v>3341</v>
      </c>
      <c r="Y54" s="200" t="s">
        <v>3342</v>
      </c>
      <c r="Z54" s="200" t="s">
        <v>1532</v>
      </c>
      <c r="AA54" s="200" t="s">
        <v>3343</v>
      </c>
      <c r="AB54" s="116" t="s">
        <v>2436</v>
      </c>
      <c r="AC54" s="200" t="s">
        <v>3344</v>
      </c>
      <c r="AD54" s="200" t="s">
        <v>2912</v>
      </c>
      <c r="AE54" s="200" t="s">
        <v>3170</v>
      </c>
      <c r="AF54" s="402" t="s">
        <v>564</v>
      </c>
      <c r="AG54" s="402" t="s">
        <v>2238</v>
      </c>
      <c r="AH54" s="275"/>
      <c r="AI54" s="200" t="s">
        <v>1737</v>
      </c>
      <c r="AJ54" s="275"/>
      <c r="AK54" s="92"/>
      <c r="AL54" s="169" t="s">
        <v>3286</v>
      </c>
      <c r="AM54" s="169" t="s">
        <v>1234</v>
      </c>
      <c r="AN54" s="276"/>
      <c r="AO54" s="276"/>
      <c r="AP54" s="276"/>
      <c r="AQ54" s="169" t="s">
        <v>3345</v>
      </c>
      <c r="AR54" s="169" t="s">
        <v>1695</v>
      </c>
      <c r="AS54" s="276"/>
      <c r="AT54" s="503" t="s">
        <v>3346</v>
      </c>
      <c r="AU54" s="169" t="s">
        <v>3347</v>
      </c>
      <c r="AV54" s="169" t="s">
        <v>3348</v>
      </c>
      <c r="AW54" s="276"/>
      <c r="AX54" s="503" t="s">
        <v>1659</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1829</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1882</v>
      </c>
      <c r="CI54" s="178" t="s">
        <v>3364</v>
      </c>
      <c r="CJ54" s="178" t="s">
        <v>1390</v>
      </c>
      <c r="CK54" s="178" t="s">
        <v>2943</v>
      </c>
      <c r="CL54" s="178" t="s">
        <v>3365</v>
      </c>
      <c r="CM54" s="178" t="s">
        <v>3366</v>
      </c>
      <c r="CN54" s="286"/>
      <c r="CO54" s="178" t="s">
        <v>3367</v>
      </c>
      <c r="CP54" s="286"/>
      <c r="CQ54" s="178" t="s">
        <v>3368</v>
      </c>
      <c r="CR54" s="286"/>
      <c r="CS54" s="101"/>
      <c r="CT54" s="207" t="s">
        <v>3369</v>
      </c>
      <c r="CU54" s="207" t="s">
        <v>1777</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2054</v>
      </c>
      <c r="J55" s="100" t="s">
        <v>3387</v>
      </c>
      <c r="K55" s="100" t="s">
        <v>1804</v>
      </c>
      <c r="L55" s="88" t="s">
        <v>2695</v>
      </c>
      <c r="M55" s="100" t="s">
        <v>3388</v>
      </c>
      <c r="N55" s="100" t="s">
        <v>3389</v>
      </c>
      <c r="O55" s="100" t="s">
        <v>3390</v>
      </c>
      <c r="P55" s="100" t="s">
        <v>2825</v>
      </c>
      <c r="Q55" s="93" t="s">
        <v>3391</v>
      </c>
      <c r="R55" s="98"/>
      <c r="S55" s="93" t="s">
        <v>923</v>
      </c>
      <c r="T55" s="98"/>
      <c r="U55" s="93" t="s">
        <v>1898</v>
      </c>
      <c r="V55" s="93" t="s">
        <v>3392</v>
      </c>
      <c r="W55" s="92"/>
      <c r="X55" s="100" t="s">
        <v>1222</v>
      </c>
      <c r="Y55" s="100" t="s">
        <v>3393</v>
      </c>
      <c r="Z55" s="100" t="s">
        <v>2708</v>
      </c>
      <c r="AA55" s="88" t="s">
        <v>3090</v>
      </c>
      <c r="AB55" s="100" t="s">
        <v>1603</v>
      </c>
      <c r="AC55" s="100" t="s">
        <v>3394</v>
      </c>
      <c r="AD55" s="98"/>
      <c r="AE55" s="100" t="s">
        <v>3395</v>
      </c>
      <c r="AF55" s="100" t="s">
        <v>1987</v>
      </c>
      <c r="AG55" s="93" t="s">
        <v>3396</v>
      </c>
      <c r="AH55" s="98"/>
      <c r="AI55" s="100" t="s">
        <v>3397</v>
      </c>
      <c r="AJ55" s="93" t="s">
        <v>3398</v>
      </c>
      <c r="AK55" s="92"/>
      <c r="AL55" s="100" t="s">
        <v>3023</v>
      </c>
      <c r="AM55" s="100" t="s">
        <v>1652</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1975</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2162</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2111</v>
      </c>
      <c r="Y56" s="200" t="s">
        <v>1338</v>
      </c>
      <c r="Z56" s="200" t="s">
        <v>1892</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1907</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3133</v>
      </c>
      <c r="CG56" s="178" t="s">
        <v>1110</v>
      </c>
      <c r="CH56" s="178" t="s">
        <v>1849</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2139</v>
      </c>
      <c r="G57" s="82" t="s">
        <v>3475</v>
      </c>
      <c r="H57" s="88" t="s">
        <v>3476</v>
      </c>
      <c r="I57" s="88" t="s">
        <v>3477</v>
      </c>
      <c r="J57" s="88" t="s">
        <v>3478</v>
      </c>
      <c r="K57" s="88" t="s">
        <v>1804</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2047</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2178</v>
      </c>
      <c r="BT57" s="88" t="s">
        <v>3506</v>
      </c>
      <c r="BU57" s="88" t="s">
        <v>3507</v>
      </c>
      <c r="BV57" s="88" t="s">
        <v>1592</v>
      </c>
      <c r="BW57" s="98"/>
      <c r="BX57" s="88" t="s">
        <v>3508</v>
      </c>
      <c r="BY57" s="88" t="s">
        <v>3509</v>
      </c>
      <c r="BZ57" s="88" t="s">
        <v>2062</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2047</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1714</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1862</v>
      </c>
      <c r="J58" s="168" t="s">
        <v>3533</v>
      </c>
      <c r="K58" s="112" t="s">
        <v>2694</v>
      </c>
      <c r="L58" s="112" t="s">
        <v>1329</v>
      </c>
      <c r="M58" s="168" t="s">
        <v>3534</v>
      </c>
      <c r="N58" s="112" t="s">
        <v>3535</v>
      </c>
      <c r="O58" s="168" t="s">
        <v>3499</v>
      </c>
      <c r="P58" s="168" t="s">
        <v>3163</v>
      </c>
      <c r="Q58" s="305" t="s">
        <v>3536</v>
      </c>
      <c r="R58" s="112" t="s">
        <v>3321</v>
      </c>
      <c r="S58" s="168" t="s">
        <v>3537</v>
      </c>
      <c r="T58" s="168" t="s">
        <v>1624</v>
      </c>
      <c r="U58" s="112" t="s">
        <v>3538</v>
      </c>
      <c r="V58" s="305" t="s">
        <v>3539</v>
      </c>
      <c r="W58" s="291"/>
      <c r="X58" s="200" t="s">
        <v>3540</v>
      </c>
      <c r="Y58" s="200" t="s">
        <v>3541</v>
      </c>
      <c r="Z58" s="200" t="s">
        <v>1790</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3114</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2050</v>
      </c>
      <c r="BD58" s="175" t="s">
        <v>3556</v>
      </c>
      <c r="BE58" s="175" t="s">
        <v>3557</v>
      </c>
      <c r="BF58" s="175" t="s">
        <v>1219</v>
      </c>
      <c r="BG58" s="175" t="s">
        <v>3558</v>
      </c>
      <c r="BH58" s="127" t="s">
        <v>1748</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1638</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1719</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2066</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2062</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1691</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1976</v>
      </c>
      <c r="DT59" s="514"/>
      <c r="DU59" s="88" t="s">
        <v>1622</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1635</v>
      </c>
      <c r="M60" s="168" t="s">
        <v>3649</v>
      </c>
      <c r="N60" s="168" t="s">
        <v>3650</v>
      </c>
      <c r="O60" s="168" t="s">
        <v>3556</v>
      </c>
      <c r="P60" s="168" t="s">
        <v>2825</v>
      </c>
      <c r="Q60" s="168" t="s">
        <v>3651</v>
      </c>
      <c r="R60" s="224"/>
      <c r="S60" s="224"/>
      <c r="T60" s="224"/>
      <c r="U60" s="224"/>
      <c r="V60" s="168" t="s">
        <v>3652</v>
      </c>
      <c r="W60" s="92"/>
      <c r="X60" s="116" t="s">
        <v>2527</v>
      </c>
      <c r="Y60" s="116" t="s">
        <v>3653</v>
      </c>
      <c r="Z60" s="116" t="s">
        <v>1892</v>
      </c>
      <c r="AA60" s="200" t="s">
        <v>2974</v>
      </c>
      <c r="AB60" s="200" t="s">
        <v>2975</v>
      </c>
      <c r="AC60" s="309" t="s">
        <v>3654</v>
      </c>
      <c r="AD60" s="275"/>
      <c r="AE60" s="200" t="s">
        <v>3262</v>
      </c>
      <c r="AF60" s="200" t="s">
        <v>2041</v>
      </c>
      <c r="AG60" s="275"/>
      <c r="AH60" s="275"/>
      <c r="AI60" s="275"/>
      <c r="AJ60" s="275"/>
      <c r="AK60" s="92"/>
      <c r="AL60" s="169" t="s">
        <v>3655</v>
      </c>
      <c r="AM60" s="169" t="s">
        <v>3656</v>
      </c>
      <c r="AN60" s="169" t="s">
        <v>3657</v>
      </c>
      <c r="AO60" s="276"/>
      <c r="AP60" s="169" t="s">
        <v>275</v>
      </c>
      <c r="AQ60" s="169"/>
      <c r="AR60" s="276"/>
      <c r="AS60" s="276"/>
      <c r="AT60" s="121" t="s">
        <v>3658</v>
      </c>
      <c r="AU60" s="121" t="s">
        <v>1815</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2179</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1853</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1760</v>
      </c>
      <c r="I61" s="161" t="s">
        <v>3677</v>
      </c>
      <c r="J61" s="161" t="s">
        <v>3678</v>
      </c>
      <c r="K61" s="88" t="s">
        <v>3679</v>
      </c>
      <c r="L61" s="161" t="s">
        <v>1918</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1869</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1707</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2197</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1870</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3138</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2148</v>
      </c>
      <c r="BT62" s="314" t="s">
        <v>3745</v>
      </c>
      <c r="BU62" s="314" t="s">
        <v>3746</v>
      </c>
      <c r="BV62" s="314" t="s">
        <v>3747</v>
      </c>
      <c r="BW62" s="314" t="s">
        <v>3748</v>
      </c>
      <c r="BX62" s="314" t="s">
        <v>1140</v>
      </c>
      <c r="BY62" s="314" t="s">
        <v>3749</v>
      </c>
      <c r="BZ62" s="314" t="s">
        <v>1622</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1912</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2141</v>
      </c>
      <c r="K63" s="301" t="s">
        <v>2694</v>
      </c>
      <c r="L63" s="93" t="s">
        <v>600</v>
      </c>
      <c r="M63" s="292" t="s">
        <v>3782</v>
      </c>
      <c r="N63" s="93" t="s">
        <v>669</v>
      </c>
      <c r="O63" s="93" t="s">
        <v>3783</v>
      </c>
      <c r="P63" s="93" t="s">
        <v>1689</v>
      </c>
      <c r="Q63" s="98"/>
      <c r="R63" s="98"/>
      <c r="S63" s="98"/>
      <c r="T63" s="98"/>
      <c r="U63" s="98"/>
      <c r="V63" s="98"/>
      <c r="W63" s="92"/>
      <c r="X63" s="93" t="s">
        <v>2702</v>
      </c>
      <c r="Y63" s="93" t="s">
        <v>3784</v>
      </c>
      <c r="Z63" s="93" t="s">
        <v>1958</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2050</v>
      </c>
      <c r="BD63" s="93" t="s">
        <v>3789</v>
      </c>
      <c r="BE63" s="525" t="s">
        <v>3790</v>
      </c>
      <c r="BF63" s="98"/>
      <c r="BG63" s="98"/>
      <c r="BH63" s="93" t="s">
        <v>1968</v>
      </c>
      <c r="BI63" s="301" t="s">
        <v>3791</v>
      </c>
      <c r="BJ63" s="301"/>
      <c r="BK63" s="93" t="s">
        <v>2525</v>
      </c>
      <c r="BL63" s="98"/>
      <c r="BM63" s="98"/>
      <c r="BN63" s="98"/>
      <c r="BO63" s="98"/>
      <c r="BP63" s="266"/>
      <c r="BQ63" s="301"/>
      <c r="BR63" s="93" t="s">
        <v>3182</v>
      </c>
      <c r="BS63" s="93" t="s">
        <v>3129</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1960</v>
      </c>
      <c r="CG63" s="93" t="s">
        <v>3613</v>
      </c>
      <c r="CH63" s="93" t="s">
        <v>1165</v>
      </c>
      <c r="CI63" s="93" t="s">
        <v>3795</v>
      </c>
      <c r="CJ63" s="93" t="s">
        <v>1907</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3095</v>
      </c>
      <c r="J64" s="168" t="s">
        <v>101</v>
      </c>
      <c r="K64" s="297" t="s">
        <v>1558</v>
      </c>
      <c r="L64" s="112" t="s">
        <v>3805</v>
      </c>
      <c r="M64" s="168" t="s">
        <v>3806</v>
      </c>
      <c r="N64" s="168" t="s">
        <v>669</v>
      </c>
      <c r="O64" s="168" t="s">
        <v>3807</v>
      </c>
      <c r="P64" s="112" t="s">
        <v>107</v>
      </c>
      <c r="Q64" s="224"/>
      <c r="R64" s="224"/>
      <c r="S64" s="112" t="s">
        <v>3072</v>
      </c>
      <c r="T64" s="224"/>
      <c r="U64" s="168" t="s">
        <v>2879</v>
      </c>
      <c r="V64" s="224"/>
      <c r="W64" s="92"/>
      <c r="X64" s="200" t="s">
        <v>1673</v>
      </c>
      <c r="Y64" s="200" t="s">
        <v>3808</v>
      </c>
      <c r="Z64" s="200" t="s">
        <v>3482</v>
      </c>
      <c r="AA64" s="200" t="s">
        <v>1174</v>
      </c>
      <c r="AB64" s="200" t="s">
        <v>2193</v>
      </c>
      <c r="AC64" s="200" t="s">
        <v>3809</v>
      </c>
      <c r="AD64" s="275"/>
      <c r="AE64" s="200" t="s">
        <v>2913</v>
      </c>
      <c r="AF64" s="200" t="s">
        <v>3810</v>
      </c>
      <c r="AG64" s="275"/>
      <c r="AH64" s="200"/>
      <c r="AI64" s="200" t="s">
        <v>2717</v>
      </c>
      <c r="AJ64" s="275"/>
      <c r="AK64" s="92"/>
      <c r="AL64" s="169" t="s">
        <v>3811</v>
      </c>
      <c r="AM64" s="169" t="s">
        <v>3812</v>
      </c>
      <c r="AN64" s="276"/>
      <c r="AO64" s="276"/>
      <c r="AP64" s="276"/>
      <c r="AQ64" s="276"/>
      <c r="AR64" s="276"/>
      <c r="AS64" s="276"/>
      <c r="AT64" s="312" t="s">
        <v>3313</v>
      </c>
      <c r="AU64" s="169" t="s">
        <v>963</v>
      </c>
      <c r="AV64" s="169" t="s">
        <v>3813</v>
      </c>
      <c r="AW64" s="276"/>
      <c r="AX64" s="169" t="s">
        <v>2972</v>
      </c>
      <c r="AY64" s="276"/>
      <c r="AZ64" s="277"/>
      <c r="BA64" s="175" t="s">
        <v>2649</v>
      </c>
      <c r="BB64" s="175" t="s">
        <v>973</v>
      </c>
      <c r="BC64" s="175" t="s">
        <v>3498</v>
      </c>
      <c r="BD64" s="127" t="s">
        <v>3814</v>
      </c>
      <c r="BE64" s="127" t="s">
        <v>2064</v>
      </c>
      <c r="BF64" s="175" t="s">
        <v>1523</v>
      </c>
      <c r="BG64" s="174"/>
      <c r="BH64" s="175" t="s">
        <v>2066</v>
      </c>
      <c r="BI64" s="174"/>
      <c r="BJ64" s="175" t="s">
        <v>3815</v>
      </c>
      <c r="BK64" s="175" t="s">
        <v>3038</v>
      </c>
      <c r="BL64" s="174"/>
      <c r="BM64" s="127" t="s">
        <v>1651</v>
      </c>
      <c r="BN64" s="175" t="s">
        <v>3816</v>
      </c>
      <c r="BO64" s="174"/>
      <c r="BP64" s="279"/>
      <c r="BQ64" s="176"/>
      <c r="BR64" s="176" t="s">
        <v>2428</v>
      </c>
      <c r="BS64" s="176" t="s">
        <v>3817</v>
      </c>
      <c r="BT64" s="176" t="s">
        <v>3818</v>
      </c>
      <c r="BU64" s="176" t="s">
        <v>459</v>
      </c>
      <c r="BV64" s="176" t="s">
        <v>3819</v>
      </c>
      <c r="BW64" s="282"/>
      <c r="BX64" s="282"/>
      <c r="BY64" s="176" t="s">
        <v>3820</v>
      </c>
      <c r="BZ64" s="176" t="s">
        <v>898</v>
      </c>
      <c r="CA64" s="176" t="s">
        <v>3821</v>
      </c>
      <c r="CB64" s="176" t="s">
        <v>2947</v>
      </c>
      <c r="CC64" s="176" t="s">
        <v>234</v>
      </c>
      <c r="CD64" s="282"/>
      <c r="CE64" s="283"/>
      <c r="CF64" s="178" t="s">
        <v>3822</v>
      </c>
      <c r="CG64" s="178" t="s">
        <v>2922</v>
      </c>
      <c r="CH64" s="178" t="s">
        <v>3823</v>
      </c>
      <c r="CI64" s="178" t="s">
        <v>3824</v>
      </c>
      <c r="CJ64" s="178"/>
      <c r="CK64" s="178" t="s">
        <v>3825</v>
      </c>
      <c r="CL64" s="178" t="s">
        <v>816</v>
      </c>
      <c r="CM64" s="178" t="s">
        <v>2995</v>
      </c>
      <c r="CN64" s="286"/>
      <c r="CO64" s="286"/>
      <c r="CP64" s="178"/>
      <c r="CQ64" s="178" t="s">
        <v>2300</v>
      </c>
      <c r="CR64" s="286"/>
      <c r="CS64" s="101"/>
      <c r="CT64" s="207" t="s">
        <v>3826</v>
      </c>
      <c r="CU64" s="207" t="s">
        <v>2620</v>
      </c>
      <c r="CV64" s="207" t="s">
        <v>3827</v>
      </c>
      <c r="CW64" s="207" t="s">
        <v>3828</v>
      </c>
      <c r="CX64" s="207" t="s">
        <v>3829</v>
      </c>
      <c r="CY64" s="207" t="s">
        <v>3830</v>
      </c>
      <c r="CZ64" s="141" t="s">
        <v>3332</v>
      </c>
      <c r="DA64" s="207" t="s">
        <v>1699</v>
      </c>
      <c r="DB64" s="287"/>
      <c r="DC64" s="287"/>
      <c r="DD64" s="287"/>
      <c r="DE64" s="287"/>
      <c r="DF64" s="288"/>
      <c r="DG64" s="208" t="s">
        <v>258</v>
      </c>
      <c r="DH64" s="289"/>
      <c r="DI64" s="289"/>
      <c r="DJ64" s="208"/>
      <c r="DK64" s="289"/>
      <c r="DL64" s="208" t="s">
        <v>3673</v>
      </c>
      <c r="DM64" s="289"/>
      <c r="DN64" s="289"/>
      <c r="DO64" s="289"/>
      <c r="DP64" s="208" t="s">
        <v>3831</v>
      </c>
      <c r="DQ64" s="208"/>
      <c r="DR64" s="289"/>
      <c r="DS64" s="289"/>
      <c r="DT64" s="208" t="s">
        <v>3832</v>
      </c>
      <c r="DU64" s="289"/>
      <c r="DV64" s="289"/>
      <c r="DW64" s="289"/>
      <c r="DX64" s="289"/>
      <c r="DY64" s="208" t="s">
        <v>3833</v>
      </c>
      <c r="DZ64" s="289"/>
      <c r="EA64" s="289"/>
      <c r="EB64" s="322" t="s">
        <v>3834</v>
      </c>
    </row>
    <row r="65">
      <c r="A65" s="81" t="s">
        <v>3835</v>
      </c>
      <c r="B65" s="82" t="s">
        <v>3836</v>
      </c>
      <c r="C65" s="83" t="s">
        <v>1415</v>
      </c>
      <c r="D65" s="84" t="s">
        <v>1415</v>
      </c>
      <c r="E65" s="85" t="s">
        <v>1415</v>
      </c>
      <c r="F65" s="86" t="s">
        <v>2865</v>
      </c>
      <c r="G65" s="82" t="s">
        <v>3837</v>
      </c>
      <c r="H65" s="98"/>
      <c r="I65" s="303" t="s">
        <v>3838</v>
      </c>
      <c r="J65" s="88" t="s">
        <v>3839</v>
      </c>
      <c r="K65" s="88" t="s">
        <v>2641</v>
      </c>
      <c r="L65" s="303" t="s">
        <v>3840</v>
      </c>
      <c r="M65" s="98"/>
      <c r="N65" s="88" t="s">
        <v>1637</v>
      </c>
      <c r="O65" s="88" t="s">
        <v>1727</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1652</v>
      </c>
      <c r="AN65" s="98"/>
      <c r="AO65" s="98"/>
      <c r="AP65" s="98"/>
      <c r="AQ65" s="98"/>
      <c r="AR65" s="98"/>
      <c r="AS65" s="98"/>
      <c r="AT65" s="88" t="s">
        <v>3346</v>
      </c>
      <c r="AU65" s="88" t="s">
        <v>3846</v>
      </c>
      <c r="AV65" s="98"/>
      <c r="AW65" s="98"/>
      <c r="AX65" s="98"/>
      <c r="AY65" s="98"/>
      <c r="AZ65" s="266"/>
      <c r="BA65" s="88" t="s">
        <v>291</v>
      </c>
      <c r="BB65" s="161" t="s">
        <v>548</v>
      </c>
      <c r="BC65" s="88" t="s">
        <v>143</v>
      </c>
      <c r="BD65" s="88" t="s">
        <v>1005</v>
      </c>
      <c r="BE65" s="88" t="s">
        <v>3422</v>
      </c>
      <c r="BF65" s="88" t="s">
        <v>3847</v>
      </c>
      <c r="BG65" s="98"/>
      <c r="BH65" s="88" t="s">
        <v>211</v>
      </c>
      <c r="BI65" s="88" t="s">
        <v>3848</v>
      </c>
      <c r="BJ65" s="100"/>
      <c r="BK65" s="88" t="s">
        <v>3849</v>
      </c>
      <c r="BL65" s="98"/>
      <c r="BM65" s="98"/>
      <c r="BN65" s="98"/>
      <c r="BO65" s="98"/>
      <c r="BP65" s="266"/>
      <c r="BQ65" s="98"/>
      <c r="BR65" s="88" t="s">
        <v>3850</v>
      </c>
      <c r="BS65" s="88" t="s">
        <v>3851</v>
      </c>
      <c r="BT65" s="88" t="s">
        <v>253</v>
      </c>
      <c r="BU65" s="161" t="s">
        <v>1195</v>
      </c>
      <c r="BV65" s="88" t="s">
        <v>1373</v>
      </c>
      <c r="BW65" s="98"/>
      <c r="BX65" s="98"/>
      <c r="BY65" s="98"/>
      <c r="BZ65" s="88" t="s">
        <v>1708</v>
      </c>
      <c r="CA65" s="98"/>
      <c r="CB65" s="98"/>
      <c r="CC65" s="98"/>
      <c r="CD65" s="98"/>
      <c r="CE65" s="266"/>
      <c r="CF65" s="161" t="s">
        <v>3852</v>
      </c>
      <c r="CG65" s="161" t="s">
        <v>1749</v>
      </c>
      <c r="CH65" s="98"/>
      <c r="CI65" s="98"/>
      <c r="CJ65" s="98"/>
      <c r="CK65" s="98"/>
      <c r="CL65" s="88" t="s">
        <v>2193</v>
      </c>
      <c r="CM65" s="88" t="s">
        <v>1772</v>
      </c>
      <c r="CN65" s="98"/>
      <c r="CO65" s="98"/>
      <c r="CP65" s="98"/>
      <c r="CQ65" s="98"/>
      <c r="CR65" s="98"/>
      <c r="CS65" s="101"/>
      <c r="CT65" s="98"/>
      <c r="CU65" s="88" t="s">
        <v>184</v>
      </c>
      <c r="CV65" s="88" t="s">
        <v>3853</v>
      </c>
      <c r="CW65" s="88" t="s">
        <v>3055</v>
      </c>
      <c r="CX65" s="98"/>
      <c r="CY65" s="98"/>
      <c r="CZ65" s="292" t="s">
        <v>1347</v>
      </c>
      <c r="DA65" s="88" t="s">
        <v>2376</v>
      </c>
      <c r="DB65" s="98"/>
      <c r="DC65" s="98"/>
      <c r="DD65" s="98"/>
      <c r="DE65" s="88" t="s">
        <v>3854</v>
      </c>
      <c r="DF65" s="88"/>
      <c r="DG65" s="98"/>
      <c r="DH65" s="98"/>
      <c r="DI65" s="98"/>
      <c r="DJ65" s="100"/>
      <c r="DK65" s="98"/>
      <c r="DL65" s="88" t="s">
        <v>2133</v>
      </c>
      <c r="DM65" s="98"/>
      <c r="DN65" s="98"/>
      <c r="DO65" s="98"/>
      <c r="DP65" s="88" t="s">
        <v>1803</v>
      </c>
      <c r="DQ65" s="303"/>
      <c r="DR65" s="98"/>
      <c r="DS65" s="88" t="s">
        <v>1664</v>
      </c>
      <c r="DT65" s="98"/>
      <c r="DU65" s="88" t="s">
        <v>975</v>
      </c>
      <c r="DV65" s="98"/>
      <c r="DW65" s="98"/>
      <c r="DX65" s="98"/>
      <c r="DY65" s="98"/>
      <c r="DZ65" s="98"/>
      <c r="EA65" s="98"/>
      <c r="EB65" s="292"/>
    </row>
    <row r="66">
      <c r="A66" s="526" t="s">
        <v>3855</v>
      </c>
      <c r="B66" s="527" t="s">
        <v>3856</v>
      </c>
      <c r="C66" s="528" t="s">
        <v>1415</v>
      </c>
      <c r="D66" s="529" t="s">
        <v>1415</v>
      </c>
      <c r="E66" s="530" t="s">
        <v>1415</v>
      </c>
      <c r="F66" s="531" t="s">
        <v>3676</v>
      </c>
      <c r="G66" s="527" t="s">
        <v>440</v>
      </c>
      <c r="H66" s="532" t="s">
        <v>1792</v>
      </c>
      <c r="I66" s="532" t="s">
        <v>3857</v>
      </c>
      <c r="J66" s="344" t="s">
        <v>1503</v>
      </c>
      <c r="K66" s="532" t="s">
        <v>3440</v>
      </c>
      <c r="L66" s="532" t="s">
        <v>2514</v>
      </c>
      <c r="M66" s="532" t="s">
        <v>3858</v>
      </c>
      <c r="N66" s="344" t="s">
        <v>3251</v>
      </c>
      <c r="O66" s="533" t="s">
        <v>3859</v>
      </c>
      <c r="P66" s="532" t="s">
        <v>2748</v>
      </c>
      <c r="Q66" s="532" t="s">
        <v>3860</v>
      </c>
      <c r="R66" s="532" t="s">
        <v>3861</v>
      </c>
      <c r="S66" s="532" t="s">
        <v>3101</v>
      </c>
      <c r="T66" s="532" t="s">
        <v>2538</v>
      </c>
      <c r="U66" s="532" t="s">
        <v>3862</v>
      </c>
      <c r="V66" s="532" t="s">
        <v>3863</v>
      </c>
      <c r="W66" s="155"/>
      <c r="X66" s="350" t="s">
        <v>3852</v>
      </c>
      <c r="Y66" s="350" t="s">
        <v>3864</v>
      </c>
      <c r="Z66" s="348" t="s">
        <v>1384</v>
      </c>
      <c r="AA66" s="350" t="s">
        <v>2409</v>
      </c>
      <c r="AB66" s="350" t="s">
        <v>1824</v>
      </c>
      <c r="AC66" s="350" t="s">
        <v>3865</v>
      </c>
      <c r="AD66" s="348" t="s">
        <v>2347</v>
      </c>
      <c r="AE66" s="348" t="s">
        <v>1470</v>
      </c>
      <c r="AF66" s="350" t="s">
        <v>3725</v>
      </c>
      <c r="AG66" s="348" t="s">
        <v>2611</v>
      </c>
      <c r="AH66" s="350" t="s">
        <v>3866</v>
      </c>
      <c r="AI66" s="348" t="s">
        <v>2465</v>
      </c>
      <c r="AJ66" s="348" t="s">
        <v>3867</v>
      </c>
      <c r="AK66" s="155"/>
      <c r="AL66" s="353" t="s">
        <v>397</v>
      </c>
      <c r="AM66" s="534" t="s">
        <v>161</v>
      </c>
      <c r="AN66" s="535" t="s">
        <v>3868</v>
      </c>
      <c r="AO66" s="352" t="s">
        <v>3869</v>
      </c>
      <c r="AP66" s="352" t="s">
        <v>3870</v>
      </c>
      <c r="AQ66" s="352" t="s">
        <v>2610</v>
      </c>
      <c r="AR66" s="352" t="s">
        <v>3871</v>
      </c>
      <c r="AS66" s="352" t="s">
        <v>3872</v>
      </c>
      <c r="AT66" s="535" t="s">
        <v>2623</v>
      </c>
      <c r="AU66" s="353" t="s">
        <v>367</v>
      </c>
      <c r="AV66" s="352" t="s">
        <v>3467</v>
      </c>
      <c r="AW66" s="352" t="s">
        <v>1791</v>
      </c>
      <c r="AX66" s="352" t="s">
        <v>3873</v>
      </c>
      <c r="AY66" s="352" t="s">
        <v>3874</v>
      </c>
      <c r="AZ66" s="352"/>
      <c r="BA66" s="536" t="s">
        <v>3875</v>
      </c>
      <c r="BB66" s="359" t="s">
        <v>2642</v>
      </c>
      <c r="BC66" s="536" t="s">
        <v>1303</v>
      </c>
      <c r="BD66" s="536" t="s">
        <v>3010</v>
      </c>
      <c r="BE66" s="536" t="s">
        <v>3263</v>
      </c>
      <c r="BF66" s="537" t="s">
        <v>3876</v>
      </c>
      <c r="BG66" s="359" t="s">
        <v>3877</v>
      </c>
      <c r="BH66" s="537" t="s">
        <v>3878</v>
      </c>
      <c r="BI66" s="359" t="s">
        <v>3879</v>
      </c>
      <c r="BJ66" s="359" t="s">
        <v>3880</v>
      </c>
      <c r="BK66" s="536" t="s">
        <v>3871</v>
      </c>
      <c r="BL66" s="536" t="s">
        <v>3881</v>
      </c>
      <c r="BM66" s="536" t="s">
        <v>2057</v>
      </c>
      <c r="BN66" s="536" t="s">
        <v>588</v>
      </c>
      <c r="BO66" s="536" t="s">
        <v>3882</v>
      </c>
      <c r="BP66" s="536"/>
      <c r="BQ66" s="364" t="s">
        <v>3883</v>
      </c>
      <c r="BR66" s="538" t="s">
        <v>3032</v>
      </c>
      <c r="BS66" s="364" t="s">
        <v>3884</v>
      </c>
      <c r="BT66" s="539" t="s">
        <v>267</v>
      </c>
      <c r="BU66" s="540" t="s">
        <v>3885</v>
      </c>
      <c r="BV66" s="540" t="s">
        <v>394</v>
      </c>
      <c r="BW66" s="540" t="s">
        <v>3886</v>
      </c>
      <c r="BX66" s="364" t="s">
        <v>2183</v>
      </c>
      <c r="BY66" s="538" t="s">
        <v>3887</v>
      </c>
      <c r="BZ66" s="540" t="s">
        <v>2499</v>
      </c>
      <c r="CA66" s="540" t="s">
        <v>3888</v>
      </c>
      <c r="CB66" s="540" t="s">
        <v>347</v>
      </c>
      <c r="CC66" s="540" t="s">
        <v>3889</v>
      </c>
      <c r="CD66" s="364" t="s">
        <v>3890</v>
      </c>
      <c r="CE66" s="541"/>
      <c r="CF66" s="469" t="s">
        <v>2202</v>
      </c>
      <c r="CG66" s="469" t="s">
        <v>3030</v>
      </c>
      <c r="CH66" s="469" t="s">
        <v>3891</v>
      </c>
      <c r="CI66" s="366" t="s">
        <v>3892</v>
      </c>
      <c r="CJ66" s="542" t="s">
        <v>3893</v>
      </c>
      <c r="CK66" s="469" t="s">
        <v>3894</v>
      </c>
      <c r="CL66" s="366" t="s">
        <v>3280</v>
      </c>
      <c r="CM66" s="366" t="s">
        <v>3895</v>
      </c>
      <c r="CN66" s="469" t="s">
        <v>3896</v>
      </c>
      <c r="CO66" s="469" t="s">
        <v>3897</v>
      </c>
      <c r="CP66" s="469"/>
      <c r="CQ66" s="469" t="s">
        <v>1432</v>
      </c>
      <c r="CR66" s="469" t="s">
        <v>3224</v>
      </c>
      <c r="CS66" s="164"/>
      <c r="CT66" s="369" t="s">
        <v>266</v>
      </c>
      <c r="CU66" s="369" t="s">
        <v>3898</v>
      </c>
      <c r="CV66" s="369" t="s">
        <v>3899</v>
      </c>
      <c r="CW66" s="369" t="s">
        <v>3900</v>
      </c>
      <c r="CX66" s="369" t="s">
        <v>3901</v>
      </c>
      <c r="CY66" s="369" t="s">
        <v>3902</v>
      </c>
      <c r="CZ66" s="543" t="s">
        <v>3903</v>
      </c>
      <c r="DA66" s="369" t="s">
        <v>3904</v>
      </c>
      <c r="DB66" s="369" t="s">
        <v>3905</v>
      </c>
      <c r="DC66" s="369" t="s">
        <v>2284</v>
      </c>
      <c r="DD66" s="369" t="s">
        <v>2512</v>
      </c>
      <c r="DE66" s="369" t="s">
        <v>3399</v>
      </c>
      <c r="DF66" s="369"/>
      <c r="DG66" s="376" t="s">
        <v>1904</v>
      </c>
      <c r="DH66" s="376"/>
      <c r="DI66" s="376" t="s">
        <v>3906</v>
      </c>
      <c r="DJ66" s="376" t="s">
        <v>3907</v>
      </c>
      <c r="DK66" s="376" t="s">
        <v>2628</v>
      </c>
      <c r="DL66" s="376" t="s">
        <v>692</v>
      </c>
      <c r="DM66" s="376" t="s">
        <v>3908</v>
      </c>
      <c r="DN66" s="376" t="s">
        <v>3909</v>
      </c>
      <c r="DO66" s="376" t="s">
        <v>3584</v>
      </c>
      <c r="DP66" s="376" t="s">
        <v>3671</v>
      </c>
      <c r="DQ66" s="376" t="s">
        <v>3641</v>
      </c>
      <c r="DR66" s="376" t="s">
        <v>3393</v>
      </c>
      <c r="DS66" s="376" t="s">
        <v>3910</v>
      </c>
      <c r="DT66" s="544" t="s">
        <v>3911</v>
      </c>
      <c r="DU66" s="545" t="s">
        <v>636</v>
      </c>
      <c r="DV66" s="376" t="s">
        <v>3912</v>
      </c>
      <c r="DW66" s="376" t="s">
        <v>3613</v>
      </c>
      <c r="DX66" s="376" t="s">
        <v>3551</v>
      </c>
      <c r="DY66" s="376" t="s">
        <v>2141</v>
      </c>
      <c r="DZ66" s="376" t="s">
        <v>3792</v>
      </c>
      <c r="EA66" s="376" t="s">
        <v>1824</v>
      </c>
      <c r="EB66" s="322" t="s">
        <v>3913</v>
      </c>
    </row>
    <row r="67">
      <c r="A67" s="546" t="s">
        <v>3914</v>
      </c>
      <c r="B67" s="82" t="s">
        <v>3915</v>
      </c>
      <c r="C67" s="83" t="s">
        <v>1415</v>
      </c>
      <c r="D67" s="84" t="s">
        <v>1415</v>
      </c>
      <c r="E67" s="85" t="s">
        <v>1415</v>
      </c>
      <c r="F67" s="86" t="s">
        <v>987</v>
      </c>
      <c r="G67" s="82" t="s">
        <v>2902</v>
      </c>
      <c r="H67" s="88" t="s">
        <v>3386</v>
      </c>
      <c r="I67" s="93" t="s">
        <v>2288</v>
      </c>
      <c r="J67" s="93" t="s">
        <v>3916</v>
      </c>
      <c r="K67" s="93" t="s">
        <v>3917</v>
      </c>
      <c r="L67" s="93" t="s">
        <v>3918</v>
      </c>
      <c r="M67" s="93" t="s">
        <v>2243</v>
      </c>
      <c r="N67" s="93" t="s">
        <v>3919</v>
      </c>
      <c r="O67" s="93" t="s">
        <v>3920</v>
      </c>
      <c r="P67" s="93" t="s">
        <v>2871</v>
      </c>
      <c r="Q67" s="93" t="s">
        <v>3921</v>
      </c>
      <c r="R67" s="292" t="s">
        <v>3922</v>
      </c>
      <c r="S67" s="88" t="s">
        <v>1634</v>
      </c>
      <c r="T67" s="98"/>
      <c r="U67" s="93" t="s">
        <v>517</v>
      </c>
      <c r="V67" s="93" t="s">
        <v>3923</v>
      </c>
      <c r="W67" s="92"/>
      <c r="X67" s="93" t="s">
        <v>3924</v>
      </c>
      <c r="Y67" s="93" t="s">
        <v>3925</v>
      </c>
      <c r="Z67" s="93" t="s">
        <v>3926</v>
      </c>
      <c r="AA67" s="93" t="s">
        <v>3927</v>
      </c>
      <c r="AB67" s="93" t="s">
        <v>3928</v>
      </c>
      <c r="AC67" s="93" t="s">
        <v>3929</v>
      </c>
      <c r="AD67" s="93" t="s">
        <v>121</v>
      </c>
      <c r="AE67" s="93" t="s">
        <v>3020</v>
      </c>
      <c r="AF67" s="93" t="s">
        <v>1430</v>
      </c>
      <c r="AG67" s="93" t="s">
        <v>3930</v>
      </c>
      <c r="AH67" s="93"/>
      <c r="AI67" s="93" t="s">
        <v>3206</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1795</v>
      </c>
      <c r="BD67" s="88" t="s">
        <v>868</v>
      </c>
      <c r="BE67" s="93" t="s">
        <v>2807</v>
      </c>
      <c r="BF67" s="93" t="s">
        <v>3942</v>
      </c>
      <c r="BG67" s="93" t="s">
        <v>3943</v>
      </c>
      <c r="BH67" s="93" t="s">
        <v>2504</v>
      </c>
      <c r="BI67" s="93" t="s">
        <v>2927</v>
      </c>
      <c r="BJ67" s="93"/>
      <c r="BK67" s="93" t="s">
        <v>3944</v>
      </c>
      <c r="BL67" s="93" t="s">
        <v>1529</v>
      </c>
      <c r="BM67" s="93" t="s">
        <v>2631</v>
      </c>
      <c r="BN67" s="93" t="s">
        <v>3945</v>
      </c>
      <c r="BO67" s="93" t="s">
        <v>3946</v>
      </c>
      <c r="BP67" s="96"/>
      <c r="BQ67" s="93" t="s">
        <v>3947</v>
      </c>
      <c r="BR67" s="88" t="s">
        <v>3948</v>
      </c>
      <c r="BS67" s="93" t="s">
        <v>3817</v>
      </c>
      <c r="BT67" s="93" t="s">
        <v>3949</v>
      </c>
      <c r="BU67" s="93" t="s">
        <v>3518</v>
      </c>
      <c r="BV67" s="93" t="s">
        <v>1622</v>
      </c>
      <c r="BW67" s="93" t="s">
        <v>3950</v>
      </c>
      <c r="BX67" s="93" t="s">
        <v>3951</v>
      </c>
      <c r="BY67" s="98"/>
      <c r="BZ67" s="93" t="s">
        <v>3952</v>
      </c>
      <c r="CA67" s="93" t="s">
        <v>3953</v>
      </c>
      <c r="CB67" s="93" t="s">
        <v>842</v>
      </c>
      <c r="CC67" s="93" t="s">
        <v>2167</v>
      </c>
      <c r="CD67" s="93" t="s">
        <v>3954</v>
      </c>
      <c r="CE67" s="266"/>
      <c r="CF67" s="547">
        <v>55.85</v>
      </c>
      <c r="CG67" s="93" t="s">
        <v>242</v>
      </c>
      <c r="CH67" s="93" t="s">
        <v>3955</v>
      </c>
      <c r="CI67" s="93" t="s">
        <v>2941</v>
      </c>
      <c r="CJ67" s="93" t="s">
        <v>2239</v>
      </c>
      <c r="CK67" s="93" t="s">
        <v>3956</v>
      </c>
      <c r="CL67" s="93" t="s">
        <v>2524</v>
      </c>
      <c r="CM67" s="211" t="s">
        <v>3957</v>
      </c>
      <c r="CN67" s="93" t="s">
        <v>3958</v>
      </c>
      <c r="CO67" s="93" t="s">
        <v>3959</v>
      </c>
      <c r="CP67" s="98"/>
      <c r="CQ67" s="93" t="s">
        <v>3960</v>
      </c>
      <c r="CR67" s="93" t="s">
        <v>3961</v>
      </c>
      <c r="CS67" s="101"/>
      <c r="CT67" s="93" t="s">
        <v>3962</v>
      </c>
      <c r="CU67" s="88" t="s">
        <v>1686</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1867</v>
      </c>
      <c r="DJ67" s="93" t="s">
        <v>3972</v>
      </c>
      <c r="DK67" s="93" t="s">
        <v>3600</v>
      </c>
      <c r="DL67" s="93" t="s">
        <v>692</v>
      </c>
      <c r="DM67" s="93" t="s">
        <v>3973</v>
      </c>
      <c r="DN67" s="93" t="s">
        <v>3974</v>
      </c>
      <c r="DO67" s="93" t="s">
        <v>3975</v>
      </c>
      <c r="DP67" s="93" t="s">
        <v>1947</v>
      </c>
      <c r="DQ67" s="88" t="s">
        <v>2982</v>
      </c>
      <c r="DR67" s="93" t="s">
        <v>443</v>
      </c>
      <c r="DS67" s="93" t="s">
        <v>3129</v>
      </c>
      <c r="DT67" s="93" t="s">
        <v>3976</v>
      </c>
      <c r="DU67" s="93" t="s">
        <v>3977</v>
      </c>
      <c r="DV67" s="93" t="s">
        <v>377</v>
      </c>
      <c r="DW67" s="548" t="s">
        <v>3054</v>
      </c>
      <c r="DX67" s="93" t="s">
        <v>3978</v>
      </c>
      <c r="DY67" s="93" t="s">
        <v>3979</v>
      </c>
      <c r="DZ67" s="93" t="s">
        <v>1913</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3591</v>
      </c>
      <c r="K68" s="168" t="s">
        <v>3986</v>
      </c>
      <c r="L68" s="305" t="s">
        <v>3337</v>
      </c>
      <c r="M68" s="168" t="s">
        <v>3987</v>
      </c>
      <c r="N68" s="168" t="s">
        <v>3988</v>
      </c>
      <c r="O68" s="168" t="s">
        <v>3989</v>
      </c>
      <c r="P68" s="112" t="s">
        <v>2871</v>
      </c>
      <c r="Q68" s="168" t="s">
        <v>3990</v>
      </c>
      <c r="R68" s="168" t="s">
        <v>530</v>
      </c>
      <c r="S68" s="307" t="s">
        <v>3264</v>
      </c>
      <c r="T68" s="224"/>
      <c r="U68" s="112" t="s">
        <v>1219</v>
      </c>
      <c r="V68" s="168" t="s">
        <v>3991</v>
      </c>
      <c r="W68" s="92"/>
      <c r="X68" s="116" t="s">
        <v>3992</v>
      </c>
      <c r="Y68" s="200" t="s">
        <v>1009</v>
      </c>
      <c r="Z68" s="200" t="s">
        <v>3993</v>
      </c>
      <c r="AA68" s="116" t="s">
        <v>3721</v>
      </c>
      <c r="AB68" s="116" t="s">
        <v>3994</v>
      </c>
      <c r="AC68" s="200" t="s">
        <v>3995</v>
      </c>
      <c r="AD68" s="200"/>
      <c r="AE68" s="200" t="s">
        <v>3996</v>
      </c>
      <c r="AF68" s="200" t="s">
        <v>2267</v>
      </c>
      <c r="AG68" s="200" t="s">
        <v>3997</v>
      </c>
      <c r="AH68" s="200"/>
      <c r="AI68" s="200" t="s">
        <v>3998</v>
      </c>
      <c r="AJ68" s="116" t="s">
        <v>697</v>
      </c>
      <c r="AK68" s="92"/>
      <c r="AL68" s="169" t="s">
        <v>3352</v>
      </c>
      <c r="AM68" s="121" t="s">
        <v>3812</v>
      </c>
      <c r="AN68" s="169" t="s">
        <v>3999</v>
      </c>
      <c r="AO68" s="169" t="s">
        <v>4000</v>
      </c>
      <c r="AP68" s="169" t="s">
        <v>4001</v>
      </c>
      <c r="AQ68" s="169" t="s">
        <v>2556</v>
      </c>
      <c r="AR68" s="276"/>
      <c r="AS68" s="276"/>
      <c r="AT68" s="169" t="s">
        <v>1940</v>
      </c>
      <c r="AU68" s="169" t="s">
        <v>1055</v>
      </c>
      <c r="AV68" s="169" t="s">
        <v>1744</v>
      </c>
      <c r="AW68" s="276"/>
      <c r="AX68" s="121" t="s">
        <v>4002</v>
      </c>
      <c r="AY68" s="169" t="s">
        <v>4003</v>
      </c>
      <c r="AZ68" s="169"/>
      <c r="BA68" s="127" t="s">
        <v>2014</v>
      </c>
      <c r="BB68" s="175" t="s">
        <v>1476</v>
      </c>
      <c r="BC68" s="127" t="s">
        <v>1303</v>
      </c>
      <c r="BD68" s="127" t="s">
        <v>3442</v>
      </c>
      <c r="BE68" s="173" t="s">
        <v>4004</v>
      </c>
      <c r="BF68" s="175" t="s">
        <v>2261</v>
      </c>
      <c r="BG68" s="175" t="s">
        <v>1831</v>
      </c>
      <c r="BH68" s="175" t="s">
        <v>2999</v>
      </c>
      <c r="BI68" s="175" t="s">
        <v>4005</v>
      </c>
      <c r="BJ68" s="173" t="s">
        <v>4006</v>
      </c>
      <c r="BK68" s="175" t="s">
        <v>3849</v>
      </c>
      <c r="BL68" s="127" t="s">
        <v>4007</v>
      </c>
      <c r="BM68" s="127" t="s">
        <v>4008</v>
      </c>
      <c r="BN68" s="175" t="s">
        <v>4009</v>
      </c>
      <c r="BO68" s="175" t="s">
        <v>4010</v>
      </c>
      <c r="BP68" s="175"/>
      <c r="BQ68" s="131" t="s">
        <v>3103</v>
      </c>
      <c r="BR68" s="176" t="s">
        <v>2286</v>
      </c>
      <c r="BS68" s="131" t="s">
        <v>3851</v>
      </c>
      <c r="BT68" s="314" t="s">
        <v>3506</v>
      </c>
      <c r="BU68" s="176" t="s">
        <v>4011</v>
      </c>
      <c r="BV68" s="314" t="s">
        <v>3819</v>
      </c>
      <c r="BW68" s="282"/>
      <c r="BX68" s="176" t="s">
        <v>4012</v>
      </c>
      <c r="BY68" s="176" t="s">
        <v>4013</v>
      </c>
      <c r="BZ68" s="176" t="s">
        <v>1796</v>
      </c>
      <c r="CA68" s="131" t="s">
        <v>4014</v>
      </c>
      <c r="CB68" s="131" t="s">
        <v>4015</v>
      </c>
      <c r="CC68" s="314" t="s">
        <v>935</v>
      </c>
      <c r="CD68" s="314" t="s">
        <v>4016</v>
      </c>
      <c r="CE68" s="176"/>
      <c r="CF68" s="136" t="s">
        <v>3832</v>
      </c>
      <c r="CG68" s="136" t="s">
        <v>4017</v>
      </c>
      <c r="CH68" s="340" t="s">
        <v>4018</v>
      </c>
      <c r="CI68" s="136" t="s">
        <v>4019</v>
      </c>
      <c r="CJ68" s="137"/>
      <c r="CK68" s="332" t="s">
        <v>4020</v>
      </c>
      <c r="CL68" s="136" t="s">
        <v>4021</v>
      </c>
      <c r="CM68" s="178" t="s">
        <v>4022</v>
      </c>
      <c r="CN68" s="286"/>
      <c r="CO68" s="178" t="s">
        <v>2724</v>
      </c>
      <c r="CP68" s="178" t="s">
        <v>3014</v>
      </c>
      <c r="CQ68" s="178" t="s">
        <v>1692</v>
      </c>
      <c r="CR68" s="178" t="s">
        <v>4023</v>
      </c>
      <c r="CS68" s="101"/>
      <c r="CT68" s="207" t="s">
        <v>4024</v>
      </c>
      <c r="CU68" s="207" t="s">
        <v>4025</v>
      </c>
      <c r="CV68" s="207" t="s">
        <v>3379</v>
      </c>
      <c r="CW68" s="141" t="s">
        <v>4026</v>
      </c>
      <c r="CX68" s="207" t="s">
        <v>4027</v>
      </c>
      <c r="CY68" s="382" t="s">
        <v>4028</v>
      </c>
      <c r="CZ68" s="398" t="s">
        <v>4029</v>
      </c>
      <c r="DA68" s="207" t="s">
        <v>3116</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3153</v>
      </c>
      <c r="DO68" s="289"/>
      <c r="DP68" s="208" t="s">
        <v>4036</v>
      </c>
      <c r="DQ68" s="208" t="s">
        <v>3047</v>
      </c>
      <c r="DR68" s="289"/>
      <c r="DS68" s="289"/>
      <c r="DT68" s="208" t="s">
        <v>4037</v>
      </c>
      <c r="DU68" s="208" t="s">
        <v>975</v>
      </c>
      <c r="DV68" s="208" t="s">
        <v>4038</v>
      </c>
      <c r="DW68" s="208" t="s">
        <v>1055</v>
      </c>
      <c r="DX68" s="208" t="s">
        <v>2594</v>
      </c>
      <c r="DY68" s="208" t="s">
        <v>1493</v>
      </c>
      <c r="DZ68" s="208" t="s">
        <v>4039</v>
      </c>
      <c r="EA68" s="146" t="s">
        <v>3293</v>
      </c>
      <c r="EB68" s="322" t="s">
        <v>4040</v>
      </c>
    </row>
    <row r="69">
      <c r="A69" s="149" t="s">
        <v>4041</v>
      </c>
      <c r="B69" s="549" t="s">
        <v>4042</v>
      </c>
      <c r="C69" s="550" t="s">
        <v>1415</v>
      </c>
      <c r="D69" s="551" t="s">
        <v>738</v>
      </c>
      <c r="E69" s="552" t="s">
        <v>738</v>
      </c>
      <c r="F69" s="553" t="s">
        <v>1062</v>
      </c>
      <c r="G69" s="549" t="s">
        <v>1498</v>
      </c>
      <c r="H69" s="554" t="s">
        <v>4043</v>
      </c>
      <c r="I69" s="554" t="s">
        <v>2969</v>
      </c>
      <c r="J69" s="554" t="s">
        <v>4044</v>
      </c>
      <c r="K69" s="554" t="s">
        <v>102</v>
      </c>
      <c r="L69" s="554" t="s">
        <v>1024</v>
      </c>
      <c r="M69" s="554" t="s">
        <v>4045</v>
      </c>
      <c r="N69" s="555" t="s">
        <v>4046</v>
      </c>
      <c r="O69" s="555" t="s">
        <v>4047</v>
      </c>
      <c r="P69" s="554" t="s">
        <v>649</v>
      </c>
      <c r="Q69" s="555"/>
      <c r="R69" s="555"/>
      <c r="S69" s="555"/>
      <c r="T69" s="555"/>
      <c r="U69" s="555"/>
      <c r="V69" s="555"/>
      <c r="W69" s="556"/>
      <c r="X69" s="554" t="s">
        <v>114</v>
      </c>
      <c r="Y69" s="554" t="s">
        <v>3685</v>
      </c>
      <c r="Z69" s="99" t="s">
        <v>1000</v>
      </c>
      <c r="AA69" s="554" t="s">
        <v>4048</v>
      </c>
      <c r="AB69" s="554" t="s">
        <v>754</v>
      </c>
      <c r="AC69" s="555" t="s">
        <v>3995</v>
      </c>
      <c r="AD69" s="554" t="s">
        <v>1077</v>
      </c>
      <c r="AE69" s="555" t="s">
        <v>4049</v>
      </c>
      <c r="AF69" s="554" t="s">
        <v>1430</v>
      </c>
      <c r="AG69" s="555"/>
      <c r="AH69" s="555"/>
      <c r="AI69" s="555"/>
      <c r="AJ69" s="555"/>
      <c r="AK69" s="556"/>
      <c r="AL69" s="557" t="s">
        <v>4050</v>
      </c>
      <c r="AM69" s="554" t="s">
        <v>1940</v>
      </c>
      <c r="AN69" s="555"/>
      <c r="AO69" s="555"/>
      <c r="AP69" s="555"/>
      <c r="AQ69" s="555"/>
      <c r="AR69" s="555" t="s">
        <v>4051</v>
      </c>
      <c r="AS69" s="555"/>
      <c r="AT69" s="554" t="s">
        <v>4052</v>
      </c>
      <c r="AU69" s="554" t="s">
        <v>4053</v>
      </c>
      <c r="AV69" s="555"/>
      <c r="AW69" s="555"/>
      <c r="AX69" s="555"/>
      <c r="AY69" s="555"/>
      <c r="AZ69" s="555"/>
      <c r="BA69" s="554" t="s">
        <v>4054</v>
      </c>
      <c r="BB69" s="554" t="s">
        <v>1359</v>
      </c>
      <c r="BC69" s="555" t="s">
        <v>2312</v>
      </c>
      <c r="BD69" s="555" t="s">
        <v>580</v>
      </c>
      <c r="BE69" s="554" t="s">
        <v>3726</v>
      </c>
      <c r="BF69" s="555"/>
      <c r="BG69" s="555"/>
      <c r="BH69" s="555" t="s">
        <v>2324</v>
      </c>
      <c r="BI69" s="555"/>
      <c r="BJ69" s="555" t="s">
        <v>4055</v>
      </c>
      <c r="BK69" s="555" t="s">
        <v>1427</v>
      </c>
      <c r="BL69" s="555"/>
      <c r="BM69" s="555"/>
      <c r="BN69" s="555"/>
      <c r="BO69" s="555"/>
      <c r="BP69" s="555"/>
      <c r="BQ69" s="555"/>
      <c r="BR69" s="555" t="s">
        <v>2241</v>
      </c>
      <c r="BS69" s="554" t="s">
        <v>2556</v>
      </c>
      <c r="BT69" s="555"/>
      <c r="BU69" s="555"/>
      <c r="BV69" s="555" t="s">
        <v>2003</v>
      </c>
      <c r="BW69" s="555"/>
      <c r="BX69" s="555"/>
      <c r="BY69" s="555"/>
      <c r="BZ69" s="555"/>
      <c r="CA69" s="555"/>
      <c r="CB69" s="555"/>
      <c r="CC69" s="555"/>
      <c r="CD69" s="555"/>
      <c r="CE69" s="98"/>
      <c r="CF69" s="554" t="s">
        <v>4056</v>
      </c>
      <c r="CG69" s="97" t="s">
        <v>1517</v>
      </c>
      <c r="CH69" s="555"/>
      <c r="CI69" s="555"/>
      <c r="CJ69" s="555"/>
      <c r="CK69" s="98"/>
      <c r="CL69" s="554" t="s">
        <v>1080</v>
      </c>
      <c r="CM69" s="555" t="s">
        <v>4057</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4058</v>
      </c>
      <c r="DQ69" s="555"/>
      <c r="DR69" s="555"/>
      <c r="DS69" s="555"/>
      <c r="DT69" s="555"/>
      <c r="DU69" s="554" t="s">
        <v>904</v>
      </c>
      <c r="DV69" s="555"/>
      <c r="DW69" s="555"/>
      <c r="DX69" s="555"/>
      <c r="DY69" s="98"/>
      <c r="DZ69" s="98"/>
      <c r="EA69" s="98"/>
      <c r="EB69" s="555"/>
    </row>
    <row r="70">
      <c r="A70" s="167" t="s">
        <v>4059</v>
      </c>
      <c r="B70" s="103" t="s">
        <v>4060</v>
      </c>
      <c r="C70" s="104" t="s">
        <v>1415</v>
      </c>
      <c r="D70" s="105" t="s">
        <v>1415</v>
      </c>
      <c r="E70" s="106" t="s">
        <v>1415</v>
      </c>
      <c r="F70" s="107" t="s">
        <v>2397</v>
      </c>
      <c r="G70" s="103" t="s">
        <v>739</v>
      </c>
      <c r="H70" s="112" t="s">
        <v>3158</v>
      </c>
      <c r="I70" s="112" t="s">
        <v>4061</v>
      </c>
      <c r="J70" s="112" t="s">
        <v>3242</v>
      </c>
      <c r="K70" s="112" t="s">
        <v>1420</v>
      </c>
      <c r="L70" s="112" t="s">
        <v>411</v>
      </c>
      <c r="M70" s="297" t="s">
        <v>4062</v>
      </c>
      <c r="N70" s="112" t="s">
        <v>4063</v>
      </c>
      <c r="O70" s="112" t="s">
        <v>3213</v>
      </c>
      <c r="P70" s="112" t="s">
        <v>3240</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3844</v>
      </c>
      <c r="AG70" s="275"/>
      <c r="AH70" s="275"/>
      <c r="AI70" s="200" t="s">
        <v>4069</v>
      </c>
      <c r="AJ70" s="275"/>
      <c r="AK70" s="92"/>
      <c r="AL70" s="169" t="s">
        <v>195</v>
      </c>
      <c r="AM70" s="121" t="s">
        <v>3135</v>
      </c>
      <c r="AN70" s="464" t="s">
        <v>4070</v>
      </c>
      <c r="AO70" s="276"/>
      <c r="AP70" s="276"/>
      <c r="AQ70" s="276"/>
      <c r="AR70" s="276"/>
      <c r="AS70" s="276"/>
      <c r="AT70" s="121" t="s">
        <v>1652</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1686</v>
      </c>
      <c r="CV70" s="382" t="s">
        <v>2780</v>
      </c>
      <c r="CW70" s="141" t="s">
        <v>2619</v>
      </c>
      <c r="CX70" s="207" t="s">
        <v>4099</v>
      </c>
      <c r="CY70" s="141" t="s">
        <v>2516</v>
      </c>
      <c r="CZ70" s="398" t="s">
        <v>4100</v>
      </c>
      <c r="DA70" s="141" t="s">
        <v>1741</v>
      </c>
      <c r="DB70" s="287"/>
      <c r="DC70" s="141" t="s">
        <v>4101</v>
      </c>
      <c r="DD70" s="207" t="s">
        <v>4102</v>
      </c>
      <c r="DE70" s="287"/>
      <c r="DF70" s="288"/>
      <c r="DG70" s="208" t="s">
        <v>944</v>
      </c>
      <c r="DH70" s="289"/>
      <c r="DI70" s="289"/>
      <c r="DJ70" s="289"/>
      <c r="DK70" s="146" t="s">
        <v>508</v>
      </c>
      <c r="DL70" s="208" t="s">
        <v>2003</v>
      </c>
      <c r="DM70" s="146" t="s">
        <v>1866</v>
      </c>
      <c r="DN70" s="208" t="s">
        <v>891</v>
      </c>
      <c r="DO70" s="289"/>
      <c r="DP70" s="208" t="s">
        <v>4103</v>
      </c>
      <c r="DQ70" s="289"/>
      <c r="DR70" s="208" t="s">
        <v>424</v>
      </c>
      <c r="DS70" s="146" t="s">
        <v>4104</v>
      </c>
      <c r="DT70" s="208" t="s">
        <v>1782</v>
      </c>
      <c r="DU70" s="210" t="s">
        <v>3380</v>
      </c>
      <c r="DV70" s="289"/>
      <c r="DW70" s="210" t="s">
        <v>300</v>
      </c>
      <c r="DX70" s="208" t="s">
        <v>4105</v>
      </c>
      <c r="DY70" s="208" t="s">
        <v>4106</v>
      </c>
      <c r="DZ70" s="146" t="s">
        <v>4107</v>
      </c>
      <c r="EA70" s="146" t="s">
        <v>1874</v>
      </c>
      <c r="EB70" s="143" t="s">
        <v>3005</v>
      </c>
    </row>
    <row r="71">
      <c r="A71" s="81" t="s">
        <v>4108</v>
      </c>
      <c r="B71" s="82" t="s">
        <v>4109</v>
      </c>
      <c r="C71" s="83" t="s">
        <v>1415</v>
      </c>
      <c r="D71" s="84" t="s">
        <v>1415</v>
      </c>
      <c r="E71" s="85" t="s">
        <v>1415</v>
      </c>
      <c r="F71" s="86" t="s">
        <v>3300</v>
      </c>
      <c r="G71" s="82" t="s">
        <v>3157</v>
      </c>
      <c r="H71" s="88" t="s">
        <v>145</v>
      </c>
      <c r="I71" s="88" t="s">
        <v>4110</v>
      </c>
      <c r="J71" s="88" t="s">
        <v>3891</v>
      </c>
      <c r="K71" s="88" t="s">
        <v>1804</v>
      </c>
      <c r="L71" s="88" t="s">
        <v>4111</v>
      </c>
      <c r="M71" s="88" t="s">
        <v>4112</v>
      </c>
      <c r="N71" s="88" t="s">
        <v>4113</v>
      </c>
      <c r="O71" s="88" t="s">
        <v>2110</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1827</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3849</v>
      </c>
      <c r="BL71" s="88" t="s">
        <v>4127</v>
      </c>
      <c r="BM71" s="88" t="s">
        <v>4008</v>
      </c>
      <c r="BN71" s="88" t="s">
        <v>4128</v>
      </c>
      <c r="BO71" s="98"/>
      <c r="BP71" s="266"/>
      <c r="BQ71" s="88" t="s">
        <v>4129</v>
      </c>
      <c r="BR71" s="88" t="s">
        <v>4020</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2203</v>
      </c>
      <c r="CI71" s="88" t="s">
        <v>4135</v>
      </c>
      <c r="CJ71" s="88" t="s">
        <v>3038</v>
      </c>
      <c r="CK71" s="88" t="s">
        <v>369</v>
      </c>
      <c r="CL71" s="88" t="s">
        <v>1603</v>
      </c>
      <c r="CM71" s="88" t="s">
        <v>4136</v>
      </c>
      <c r="CN71" s="98"/>
      <c r="CO71" s="98"/>
      <c r="CP71" s="98"/>
      <c r="CQ71" s="98"/>
      <c r="CR71" s="98"/>
      <c r="CS71" s="101"/>
      <c r="CT71" s="88" t="s">
        <v>1858</v>
      </c>
      <c r="CU71" s="88" t="s">
        <v>547</v>
      </c>
      <c r="CV71" s="88" t="s">
        <v>4137</v>
      </c>
      <c r="CW71" s="88" t="s">
        <v>4138</v>
      </c>
      <c r="CX71" s="88" t="s">
        <v>4139</v>
      </c>
      <c r="CY71" s="88" t="s">
        <v>1824</v>
      </c>
      <c r="CZ71" s="88" t="s">
        <v>4140</v>
      </c>
      <c r="DA71" s="88" t="s">
        <v>4141</v>
      </c>
      <c r="DB71" s="98"/>
      <c r="DC71" s="98"/>
      <c r="DD71" s="88" t="s">
        <v>2405</v>
      </c>
      <c r="DE71" s="98"/>
      <c r="DF71" s="266"/>
      <c r="DG71" s="98"/>
      <c r="DH71" s="98"/>
      <c r="DI71" s="93" t="s">
        <v>3816</v>
      </c>
      <c r="DJ71" s="98"/>
      <c r="DK71" s="88" t="s">
        <v>526</v>
      </c>
      <c r="DL71" s="88" t="s">
        <v>4142</v>
      </c>
      <c r="DM71" s="93" t="s">
        <v>4143</v>
      </c>
      <c r="DN71" s="93" t="s">
        <v>3685</v>
      </c>
      <c r="DO71" s="98"/>
      <c r="DP71" s="88" t="s">
        <v>4144</v>
      </c>
      <c r="DQ71" s="88" t="s">
        <v>3717</v>
      </c>
      <c r="DR71" s="93" t="s">
        <v>4145</v>
      </c>
      <c r="DS71" s="93" t="s">
        <v>1873</v>
      </c>
      <c r="DT71" s="93" t="s">
        <v>4146</v>
      </c>
      <c r="DU71" s="88" t="s">
        <v>1709</v>
      </c>
      <c r="DV71" s="93" t="s">
        <v>3496</v>
      </c>
      <c r="DW71" s="93" t="s">
        <v>1548</v>
      </c>
      <c r="DX71" s="88" t="s">
        <v>4147</v>
      </c>
      <c r="DY71" s="88" t="s">
        <v>2166</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1772</v>
      </c>
      <c r="AA72" s="200" t="s">
        <v>4161</v>
      </c>
      <c r="AB72" s="200" t="s">
        <v>4162</v>
      </c>
      <c r="AC72" s="200" t="s">
        <v>1737</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2075</v>
      </c>
      <c r="DH72" s="289"/>
      <c r="DI72" s="208" t="s">
        <v>4197</v>
      </c>
      <c r="DJ72" s="208"/>
      <c r="DK72" s="208" t="s">
        <v>3113</v>
      </c>
      <c r="DL72" s="208" t="s">
        <v>4198</v>
      </c>
      <c r="DM72" s="208" t="s">
        <v>1592</v>
      </c>
      <c r="DN72" s="208" t="s">
        <v>1013</v>
      </c>
      <c r="DO72" s="208" t="s">
        <v>4199</v>
      </c>
      <c r="DP72" s="208" t="s">
        <v>2204</v>
      </c>
      <c r="DQ72" s="208" t="s">
        <v>3691</v>
      </c>
      <c r="DR72" s="208" t="s">
        <v>4025</v>
      </c>
      <c r="DS72" s="208" t="s">
        <v>4200</v>
      </c>
      <c r="DT72" s="208" t="s">
        <v>4201</v>
      </c>
      <c r="DU72" s="208" t="s">
        <v>898</v>
      </c>
      <c r="DV72" s="208" t="s">
        <v>678</v>
      </c>
      <c r="DW72" s="208" t="s">
        <v>1380</v>
      </c>
      <c r="DX72" s="208" t="s">
        <v>4047</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2117</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3944</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4028</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1963</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4043</v>
      </c>
      <c r="I74" s="224"/>
      <c r="J74" s="224"/>
      <c r="K74" s="224"/>
      <c r="L74" s="168" t="s">
        <v>345</v>
      </c>
      <c r="M74" s="224"/>
      <c r="N74" s="224"/>
      <c r="O74" s="168" t="s">
        <v>4228</v>
      </c>
      <c r="P74" s="168" t="s">
        <v>2825</v>
      </c>
      <c r="Q74" s="110" t="s">
        <v>232</v>
      </c>
      <c r="R74" s="224"/>
      <c r="S74" s="224"/>
      <c r="T74" s="168" t="s">
        <v>2259</v>
      </c>
      <c r="U74" s="168" t="s">
        <v>3546</v>
      </c>
      <c r="V74" s="112" t="s">
        <v>1739</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1774</v>
      </c>
      <c r="AW74" s="276"/>
      <c r="AX74" s="276"/>
      <c r="AY74" s="276"/>
      <c r="AZ74" s="277"/>
      <c r="BA74" s="174"/>
      <c r="BB74" s="174"/>
      <c r="BC74" s="175"/>
      <c r="BD74" s="127" t="s">
        <v>3589</v>
      </c>
      <c r="BE74" s="174"/>
      <c r="BF74" s="127" t="s">
        <v>1989</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3899</v>
      </c>
      <c r="CI74" s="178" t="s">
        <v>2738</v>
      </c>
      <c r="CJ74" s="178" t="s">
        <v>3138</v>
      </c>
      <c r="CK74" s="178" t="s">
        <v>1157</v>
      </c>
      <c r="CL74" s="178" t="s">
        <v>4239</v>
      </c>
      <c r="CM74" s="286"/>
      <c r="CN74" s="286"/>
      <c r="CO74" s="340" t="s">
        <v>1812</v>
      </c>
      <c r="CP74" s="286"/>
      <c r="CQ74" s="286"/>
      <c r="CR74" s="178" t="s">
        <v>4240</v>
      </c>
      <c r="CS74" s="101"/>
      <c r="CT74" s="287"/>
      <c r="CU74" s="287"/>
      <c r="CV74" s="287"/>
      <c r="CW74" s="287"/>
      <c r="CX74" s="287"/>
      <c r="CY74" s="207" t="s">
        <v>2193</v>
      </c>
      <c r="CZ74" s="207" t="s">
        <v>2098</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2193</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1879</v>
      </c>
      <c r="G75" s="82" t="s">
        <v>1879</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2223</v>
      </c>
      <c r="AB75" s="88" t="s">
        <v>458</v>
      </c>
      <c r="AC75" s="90" t="s">
        <v>1146</v>
      </c>
      <c r="AD75" s="98"/>
      <c r="AE75" s="88" t="s">
        <v>357</v>
      </c>
      <c r="AF75" s="88" t="s">
        <v>4066</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1701</v>
      </c>
      <c r="U76" s="224"/>
      <c r="V76" s="224"/>
      <c r="W76" s="92"/>
      <c r="X76" s="200" t="s">
        <v>4261</v>
      </c>
      <c r="Y76" s="200" t="s">
        <v>4262</v>
      </c>
      <c r="Z76" s="200" t="s">
        <v>3893</v>
      </c>
      <c r="AA76" s="200" t="s">
        <v>4263</v>
      </c>
      <c r="AB76" s="200" t="s">
        <v>4021</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1973</v>
      </c>
      <c r="BL76" s="174"/>
      <c r="BM76" s="175" t="s">
        <v>2880</v>
      </c>
      <c r="BN76" s="175" t="s">
        <v>4270</v>
      </c>
      <c r="BO76" s="174"/>
      <c r="BP76" s="279"/>
      <c r="BQ76" s="176"/>
      <c r="BR76" s="177" t="s">
        <v>4271</v>
      </c>
      <c r="BS76" s="176" t="s">
        <v>3851</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1691</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1956</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1804</v>
      </c>
      <c r="L77" s="93" t="s">
        <v>3575</v>
      </c>
      <c r="M77" s="93" t="s">
        <v>4287</v>
      </c>
      <c r="N77" s="93" t="s">
        <v>4288</v>
      </c>
      <c r="O77" s="93" t="s">
        <v>4047</v>
      </c>
      <c r="P77" s="93" t="s">
        <v>4289</v>
      </c>
      <c r="Q77" s="98"/>
      <c r="R77" s="98"/>
      <c r="S77" s="98"/>
      <c r="T77" s="98"/>
      <c r="U77" s="98"/>
      <c r="V77" s="98"/>
      <c r="W77" s="92"/>
      <c r="X77" s="93" t="s">
        <v>1673</v>
      </c>
      <c r="Y77" s="93" t="s">
        <v>4290</v>
      </c>
      <c r="Z77" s="93" t="s">
        <v>4291</v>
      </c>
      <c r="AA77" s="93" t="s">
        <v>1224</v>
      </c>
      <c r="AB77" s="93" t="s">
        <v>1774</v>
      </c>
      <c r="AC77" s="93" t="s">
        <v>2771</v>
      </c>
      <c r="AD77" s="98"/>
      <c r="AE77" s="292" t="s">
        <v>1344</v>
      </c>
      <c r="AF77" s="93" t="s">
        <v>3841</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3851</v>
      </c>
      <c r="BT77" s="93" t="s">
        <v>2987</v>
      </c>
      <c r="BU77" s="93" t="s">
        <v>849</v>
      </c>
      <c r="BV77" s="93" t="s">
        <v>4301</v>
      </c>
      <c r="BW77" s="93" t="s">
        <v>4302</v>
      </c>
      <c r="BX77" s="93" t="s">
        <v>4303</v>
      </c>
      <c r="BY77" s="93" t="s">
        <v>4304</v>
      </c>
      <c r="BZ77" s="93" t="s">
        <v>3267</v>
      </c>
      <c r="CA77" s="98"/>
      <c r="CB77" s="98"/>
      <c r="CC77" s="98"/>
      <c r="CD77" s="98"/>
      <c r="CE77" s="266"/>
      <c r="CF77" s="93" t="s">
        <v>2154</v>
      </c>
      <c r="CG77" s="93" t="s">
        <v>2835</v>
      </c>
      <c r="CH77" s="93" t="s">
        <v>3814</v>
      </c>
      <c r="CI77" s="93" t="s">
        <v>4305</v>
      </c>
      <c r="CJ77" s="93" t="s">
        <v>4306</v>
      </c>
      <c r="CK77" s="93" t="s">
        <v>553</v>
      </c>
      <c r="CL77" s="93" t="s">
        <v>3979</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1659</v>
      </c>
      <c r="AX78" s="169" t="s">
        <v>1634</v>
      </c>
      <c r="AY78" s="169" t="s">
        <v>4341</v>
      </c>
      <c r="AZ78" s="169"/>
      <c r="BA78" s="175" t="s">
        <v>590</v>
      </c>
      <c r="BB78" s="175" t="s">
        <v>4342</v>
      </c>
      <c r="BC78" s="175" t="s">
        <v>2922</v>
      </c>
      <c r="BD78" s="175" t="s">
        <v>262</v>
      </c>
      <c r="BE78" s="175" t="s">
        <v>3832</v>
      </c>
      <c r="BF78" s="175" t="s">
        <v>1219</v>
      </c>
      <c r="BG78" s="175" t="s">
        <v>2771</v>
      </c>
      <c r="BH78" s="175" t="s">
        <v>515</v>
      </c>
      <c r="BI78" s="174"/>
      <c r="BJ78" s="175" t="s">
        <v>4343</v>
      </c>
      <c r="BK78" s="175" t="s">
        <v>3074</v>
      </c>
      <c r="BL78" s="174"/>
      <c r="BM78" s="175" t="s">
        <v>2057</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3895</v>
      </c>
      <c r="DL78" s="208" t="s">
        <v>4371</v>
      </c>
      <c r="DM78" s="208" t="s">
        <v>394</v>
      </c>
      <c r="DN78" s="208" t="s">
        <v>4372</v>
      </c>
      <c r="DO78" s="289"/>
      <c r="DP78" s="208" t="s">
        <v>4373</v>
      </c>
      <c r="DQ78" s="208" t="s">
        <v>4374</v>
      </c>
      <c r="DR78" s="289"/>
      <c r="DS78" s="208" t="s">
        <v>4104</v>
      </c>
      <c r="DT78" s="208" t="s">
        <v>1270</v>
      </c>
      <c r="DU78" s="208" t="s">
        <v>898</v>
      </c>
      <c r="DV78" s="289"/>
      <c r="DW78" s="208" t="s">
        <v>2211</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2112</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3938</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1940</v>
      </c>
      <c r="AU79" s="93" t="s">
        <v>3878</v>
      </c>
      <c r="AV79" s="98"/>
      <c r="AW79" s="98"/>
      <c r="AX79" s="98"/>
      <c r="AY79" s="98"/>
      <c r="AZ79" s="266"/>
      <c r="BA79" s="93" t="s">
        <v>4390</v>
      </c>
      <c r="BB79" s="93" t="s">
        <v>3450</v>
      </c>
      <c r="BC79" s="93" t="s">
        <v>295</v>
      </c>
      <c r="BD79" s="93" t="s">
        <v>4391</v>
      </c>
      <c r="BE79" s="93" t="s">
        <v>4392</v>
      </c>
      <c r="BF79" s="93" t="s">
        <v>1361</v>
      </c>
      <c r="BG79" s="98"/>
      <c r="BH79" s="93" t="s">
        <v>2165</v>
      </c>
      <c r="BI79" s="93" t="s">
        <v>4393</v>
      </c>
      <c r="BJ79" s="98"/>
      <c r="BK79" s="93" t="s">
        <v>2489</v>
      </c>
      <c r="BL79" s="98"/>
      <c r="BM79" s="98"/>
      <c r="BN79" s="93" t="s">
        <v>4394</v>
      </c>
      <c r="BO79" s="98"/>
      <c r="BP79" s="266"/>
      <c r="BQ79" s="93" t="s">
        <v>4395</v>
      </c>
      <c r="BR79" s="388" t="s">
        <v>3358</v>
      </c>
      <c r="BS79" s="388" t="s">
        <v>4396</v>
      </c>
      <c r="BT79" s="388" t="s">
        <v>4397</v>
      </c>
      <c r="BU79" s="387" t="s">
        <v>1903</v>
      </c>
      <c r="BV79" s="388" t="s">
        <v>1719</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1691</v>
      </c>
      <c r="CM79" s="388" t="s">
        <v>2473</v>
      </c>
      <c r="CN79" s="98"/>
      <c r="CO79" s="98"/>
      <c r="CP79" s="98"/>
      <c r="CQ79" s="98"/>
      <c r="CR79" s="98"/>
      <c r="CS79" s="101"/>
      <c r="CT79" s="388" t="s">
        <v>4404</v>
      </c>
      <c r="CU79" s="387" t="s">
        <v>2620</v>
      </c>
      <c r="CV79" s="388" t="s">
        <v>1644</v>
      </c>
      <c r="CW79" s="388" t="s">
        <v>3022</v>
      </c>
      <c r="CX79" s="388" t="s">
        <v>4405</v>
      </c>
      <c r="CY79" s="388" t="s">
        <v>1644</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1634</v>
      </c>
      <c r="K80" s="305" t="s">
        <v>4415</v>
      </c>
      <c r="L80" s="112" t="s">
        <v>4416</v>
      </c>
      <c r="M80" s="393" t="s">
        <v>1725</v>
      </c>
      <c r="N80" s="224"/>
      <c r="O80" s="307" t="s">
        <v>4417</v>
      </c>
      <c r="P80" s="112" t="s">
        <v>2825</v>
      </c>
      <c r="Q80" s="224"/>
      <c r="R80" s="168"/>
      <c r="S80" s="168"/>
      <c r="T80" s="224"/>
      <c r="U80" s="224"/>
      <c r="V80" s="224"/>
      <c r="W80" s="92"/>
      <c r="X80" s="116" t="s">
        <v>1655</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1726</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1688</v>
      </c>
      <c r="CM80" s="136" t="s">
        <v>3202</v>
      </c>
      <c r="CN80" s="286"/>
      <c r="CO80" s="286"/>
      <c r="CP80" s="286"/>
      <c r="CQ80" s="286"/>
      <c r="CR80" s="286"/>
      <c r="CS80" s="101"/>
      <c r="CT80" s="207" t="s">
        <v>4426</v>
      </c>
      <c r="CU80" s="287"/>
      <c r="CV80" s="411" t="s">
        <v>754</v>
      </c>
      <c r="CW80" s="207" t="s">
        <v>3687</v>
      </c>
      <c r="CX80" s="207" t="s">
        <v>1852</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1946</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2053</v>
      </c>
      <c r="V81" s="93" t="s">
        <v>4436</v>
      </c>
      <c r="W81" s="92"/>
      <c r="X81" s="303" t="s">
        <v>4437</v>
      </c>
      <c r="Y81" s="93" t="s">
        <v>3002</v>
      </c>
      <c r="Z81" s="211" t="s">
        <v>3366</v>
      </c>
      <c r="AA81" s="161" t="s">
        <v>3721</v>
      </c>
      <c r="AB81" s="161" t="s">
        <v>4438</v>
      </c>
      <c r="AC81" s="88" t="s">
        <v>4439</v>
      </c>
      <c r="AD81" s="98"/>
      <c r="AE81" s="88" t="s">
        <v>3170</v>
      </c>
      <c r="AF81" s="211" t="s">
        <v>1735</v>
      </c>
      <c r="AG81" s="93" t="s">
        <v>1829</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3959</v>
      </c>
      <c r="BN81" s="93" t="s">
        <v>3743</v>
      </c>
      <c r="BO81" s="93" t="s">
        <v>4455</v>
      </c>
      <c r="BP81" s="93"/>
      <c r="BQ81" s="88" t="s">
        <v>4456</v>
      </c>
      <c r="BR81" s="93" t="s">
        <v>3137</v>
      </c>
      <c r="BS81" s="93" t="s">
        <v>4457</v>
      </c>
      <c r="BT81" s="88" t="s">
        <v>4458</v>
      </c>
      <c r="BU81" s="93" t="s">
        <v>4459</v>
      </c>
      <c r="BV81" s="93" t="s">
        <v>328</v>
      </c>
      <c r="BW81" s="98"/>
      <c r="BX81" s="98"/>
      <c r="BY81" s="211" t="s">
        <v>3509</v>
      </c>
      <c r="BZ81" s="93" t="s">
        <v>4246</v>
      </c>
      <c r="CA81" s="93" t="s">
        <v>4460</v>
      </c>
      <c r="CB81" s="93" t="s">
        <v>4461</v>
      </c>
      <c r="CC81" s="93" t="s">
        <v>1660</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1848</v>
      </c>
      <c r="DM81" s="93" t="s">
        <v>3908</v>
      </c>
      <c r="DN81" s="93" t="s">
        <v>4479</v>
      </c>
      <c r="DO81" s="93" t="s">
        <v>4480</v>
      </c>
      <c r="DP81" s="93" t="s">
        <v>4232</v>
      </c>
      <c r="DQ81" s="93" t="s">
        <v>4481</v>
      </c>
      <c r="DR81" s="93" t="s">
        <v>814</v>
      </c>
      <c r="DS81" s="93" t="s">
        <v>1794</v>
      </c>
      <c r="DT81" s="93" t="s">
        <v>2648</v>
      </c>
      <c r="DU81" s="93" t="s">
        <v>4482</v>
      </c>
      <c r="DV81" s="93" t="s">
        <v>4483</v>
      </c>
      <c r="DW81" s="93" t="s">
        <v>4484</v>
      </c>
      <c r="DX81" s="93" t="s">
        <v>3096</v>
      </c>
      <c r="DY81" s="93" t="s">
        <v>2633</v>
      </c>
      <c r="DZ81" s="88" t="s">
        <v>4485</v>
      </c>
      <c r="EA81" s="88" t="s">
        <v>4039</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1972</v>
      </c>
      <c r="S82" s="168" t="s">
        <v>4216</v>
      </c>
      <c r="T82" s="168" t="s">
        <v>2132</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4032</v>
      </c>
      <c r="BN82" s="127" t="s">
        <v>4515</v>
      </c>
      <c r="BO82" s="175" t="s">
        <v>4516</v>
      </c>
      <c r="BP82" s="175"/>
      <c r="BQ82" s="282"/>
      <c r="BR82" s="176" t="s">
        <v>4517</v>
      </c>
      <c r="BS82" s="131" t="s">
        <v>101</v>
      </c>
      <c r="BT82" s="131" t="s">
        <v>1049</v>
      </c>
      <c r="BU82" s="131" t="s">
        <v>4518</v>
      </c>
      <c r="BV82" s="131" t="s">
        <v>2120</v>
      </c>
      <c r="BW82" s="176" t="s">
        <v>697</v>
      </c>
      <c r="BX82" s="176" t="s">
        <v>4519</v>
      </c>
      <c r="BY82" s="282"/>
      <c r="BZ82" s="131" t="s">
        <v>4520</v>
      </c>
      <c r="CA82" s="131" t="s">
        <v>4521</v>
      </c>
      <c r="CB82" s="131" t="s">
        <v>1139</v>
      </c>
      <c r="CC82" s="176" t="s">
        <v>139</v>
      </c>
      <c r="CD82" s="176" t="s">
        <v>4522</v>
      </c>
      <c r="CE82" s="176"/>
      <c r="CF82" s="332" t="s">
        <v>4523</v>
      </c>
      <c r="CG82" s="136" t="s">
        <v>1733</v>
      </c>
      <c r="CH82" s="136" t="s">
        <v>4524</v>
      </c>
      <c r="CI82" s="178" t="s">
        <v>3193</v>
      </c>
      <c r="CJ82" s="566" t="s">
        <v>4191</v>
      </c>
      <c r="CK82" s="136" t="s">
        <v>4525</v>
      </c>
      <c r="CL82" s="136" t="s">
        <v>4466</v>
      </c>
      <c r="CM82" s="136" t="s">
        <v>1772</v>
      </c>
      <c r="CN82" s="178" t="s">
        <v>4526</v>
      </c>
      <c r="CO82" s="178" t="s">
        <v>774</v>
      </c>
      <c r="CP82" s="178" t="s">
        <v>2285</v>
      </c>
      <c r="CQ82" s="178" t="s">
        <v>4527</v>
      </c>
      <c r="CR82" s="178" t="s">
        <v>872</v>
      </c>
      <c r="CS82" s="101"/>
      <c r="CT82" s="382" t="s">
        <v>4528</v>
      </c>
      <c r="CU82" s="141" t="s">
        <v>1985</v>
      </c>
      <c r="CV82" s="207" t="s">
        <v>2495</v>
      </c>
      <c r="CW82" s="207" t="s">
        <v>3413</v>
      </c>
      <c r="CX82" s="207" t="s">
        <v>545</v>
      </c>
      <c r="CY82" s="207" t="s">
        <v>3641</v>
      </c>
      <c r="CZ82" s="141" t="s">
        <v>4529</v>
      </c>
      <c r="DA82" s="207" t="s">
        <v>363</v>
      </c>
      <c r="DB82" s="207" t="s">
        <v>4530</v>
      </c>
      <c r="DC82" s="207" t="s">
        <v>2064</v>
      </c>
      <c r="DD82" s="207" t="s">
        <v>4531</v>
      </c>
      <c r="DE82" s="207" t="s">
        <v>4532</v>
      </c>
      <c r="DF82" s="207"/>
      <c r="DG82" s="208" t="s">
        <v>4533</v>
      </c>
      <c r="DH82" s="208" t="s">
        <v>4534</v>
      </c>
      <c r="DI82" s="208" t="s">
        <v>4535</v>
      </c>
      <c r="DJ82" s="146" t="s">
        <v>1465</v>
      </c>
      <c r="DK82" s="146" t="s">
        <v>3895</v>
      </c>
      <c r="DL82" s="208" t="s">
        <v>4536</v>
      </c>
      <c r="DM82" s="208" t="s">
        <v>4537</v>
      </c>
      <c r="DN82" s="208" t="s">
        <v>3002</v>
      </c>
      <c r="DO82" s="208" t="s">
        <v>4199</v>
      </c>
      <c r="DP82" s="146" t="s">
        <v>4538</v>
      </c>
      <c r="DQ82" s="146" t="s">
        <v>3355</v>
      </c>
      <c r="DR82" s="146" t="s">
        <v>3756</v>
      </c>
      <c r="DS82" s="208" t="s">
        <v>2101</v>
      </c>
      <c r="DT82" s="208" t="s">
        <v>4539</v>
      </c>
      <c r="DU82" s="146" t="s">
        <v>2752</v>
      </c>
      <c r="DV82" s="208" t="s">
        <v>2178</v>
      </c>
      <c r="DW82" s="208" t="s">
        <v>1824</v>
      </c>
      <c r="DX82" s="208" t="s">
        <v>2481</v>
      </c>
      <c r="DY82" s="208" t="s">
        <v>1453</v>
      </c>
      <c r="DZ82" s="208" t="s">
        <v>2048</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3807</v>
      </c>
      <c r="P83" s="303" t="s">
        <v>2871</v>
      </c>
      <c r="Q83" s="514"/>
      <c r="R83" s="514"/>
      <c r="S83" s="514"/>
      <c r="T83" s="514"/>
      <c r="U83" s="514"/>
      <c r="V83" s="514"/>
      <c r="W83" s="573"/>
      <c r="X83" s="303" t="s">
        <v>2973</v>
      </c>
      <c r="Y83" s="303" t="s">
        <v>2979</v>
      </c>
      <c r="Z83" s="303" t="s">
        <v>2152</v>
      </c>
      <c r="AA83" s="303" t="s">
        <v>1116</v>
      </c>
      <c r="AB83" s="303" t="s">
        <v>1774</v>
      </c>
      <c r="AC83" s="303" t="s">
        <v>3929</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2180</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1625</v>
      </c>
      <c r="CM83" s="303" t="s">
        <v>4563</v>
      </c>
      <c r="CN83" s="576"/>
      <c r="CO83" s="514"/>
      <c r="CP83" s="514"/>
      <c r="CQ83" s="514"/>
      <c r="CR83" s="514"/>
      <c r="CS83" s="577"/>
      <c r="CT83" s="303" t="s">
        <v>4564</v>
      </c>
      <c r="CU83" s="303" t="s">
        <v>4565</v>
      </c>
      <c r="CV83" s="303" t="s">
        <v>1005</v>
      </c>
      <c r="CW83" s="303" t="s">
        <v>3721</v>
      </c>
      <c r="CX83" s="303" t="s">
        <v>2146</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3917</v>
      </c>
      <c r="L84" s="168" t="s">
        <v>4574</v>
      </c>
      <c r="M84" s="224"/>
      <c r="N84" s="168" t="s">
        <v>1225</v>
      </c>
      <c r="O84" s="168" t="s">
        <v>4575</v>
      </c>
      <c r="P84" s="168" t="s">
        <v>239</v>
      </c>
      <c r="Q84" s="224"/>
      <c r="R84" s="224"/>
      <c r="S84" s="224"/>
      <c r="T84" s="224"/>
      <c r="U84" s="224"/>
      <c r="V84" s="224"/>
      <c r="W84" s="92"/>
      <c r="X84" s="200" t="s">
        <v>2069</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2064</v>
      </c>
      <c r="CG84" s="178" t="s">
        <v>537</v>
      </c>
      <c r="CH84" s="136" t="s">
        <v>4579</v>
      </c>
      <c r="CI84" s="178" t="s">
        <v>4580</v>
      </c>
      <c r="CJ84" s="178"/>
      <c r="CK84" s="178" t="s">
        <v>4581</v>
      </c>
      <c r="CL84" s="178" t="s">
        <v>2230</v>
      </c>
      <c r="CM84" s="178" t="s">
        <v>4563</v>
      </c>
      <c r="CN84" s="286"/>
      <c r="CO84" s="286"/>
      <c r="CP84" s="286"/>
      <c r="CQ84" s="286"/>
      <c r="CR84" s="286"/>
      <c r="CS84" s="101"/>
      <c r="CT84" s="207" t="s">
        <v>1610</v>
      </c>
      <c r="CU84" s="287"/>
      <c r="CV84" s="207" t="s">
        <v>1824</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3993</v>
      </c>
      <c r="Q85" s="98"/>
      <c r="R85" s="93" t="s">
        <v>3717</v>
      </c>
      <c r="S85" s="93" t="s">
        <v>1503</v>
      </c>
      <c r="T85" s="98"/>
      <c r="U85" s="98"/>
      <c r="V85" s="98"/>
      <c r="W85" s="92"/>
      <c r="X85" s="93" t="s">
        <v>4594</v>
      </c>
      <c r="Y85" s="93" t="s">
        <v>363</v>
      </c>
      <c r="Z85" s="93" t="s">
        <v>2825</v>
      </c>
      <c r="AA85" s="292" t="s">
        <v>3606</v>
      </c>
      <c r="AB85" s="574" t="s">
        <v>4021</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1743</v>
      </c>
      <c r="CL85" s="93" t="s">
        <v>3602</v>
      </c>
      <c r="CM85" s="93" t="s">
        <v>433</v>
      </c>
      <c r="CN85" s="98"/>
      <c r="CO85" s="98"/>
      <c r="CP85" s="98"/>
      <c r="CQ85" s="98"/>
      <c r="CR85" s="93" t="s">
        <v>4611</v>
      </c>
      <c r="CS85" s="101"/>
      <c r="CT85" s="93" t="s">
        <v>4612</v>
      </c>
      <c r="CU85" s="98"/>
      <c r="CV85" s="93" t="s">
        <v>3873</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3817</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4069</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1853</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1928</v>
      </c>
      <c r="V87" s="98"/>
      <c r="W87" s="92"/>
      <c r="X87" s="93" t="s">
        <v>1383</v>
      </c>
      <c r="Y87" s="93" t="s">
        <v>719</v>
      </c>
      <c r="Z87" s="93" t="s">
        <v>4631</v>
      </c>
      <c r="AA87" s="93" t="s">
        <v>4632</v>
      </c>
      <c r="AB87" s="93" t="s">
        <v>1691</v>
      </c>
      <c r="AC87" s="93" t="s">
        <v>1639</v>
      </c>
      <c r="AD87" s="98"/>
      <c r="AE87" s="93" t="s">
        <v>3020</v>
      </c>
      <c r="AF87" s="98"/>
      <c r="AG87" s="98"/>
      <c r="AH87" s="93"/>
      <c r="AI87" s="93" t="s">
        <v>3014</v>
      </c>
      <c r="AJ87" s="98"/>
      <c r="AK87" s="92"/>
      <c r="AL87" s="98"/>
      <c r="AM87" s="93" t="s">
        <v>4213</v>
      </c>
      <c r="AN87" s="98"/>
      <c r="AO87" s="93" t="s">
        <v>4633</v>
      </c>
      <c r="AP87" s="98"/>
      <c r="AQ87" s="98"/>
      <c r="AR87" s="98"/>
      <c r="AS87" s="98"/>
      <c r="AT87" s="93" t="s">
        <v>1940</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3998</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1689</v>
      </c>
      <c r="DL87" s="98"/>
      <c r="DM87" s="98"/>
      <c r="DN87" s="98"/>
      <c r="DO87" s="98"/>
      <c r="DP87" s="98"/>
      <c r="DQ87" s="98"/>
      <c r="DR87" s="93" t="s">
        <v>2237</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2158</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2129</v>
      </c>
      <c r="CV88" s="619" t="s">
        <v>4683</v>
      </c>
      <c r="CW88" s="618" t="s">
        <v>4684</v>
      </c>
      <c r="CX88" s="619" t="s">
        <v>4685</v>
      </c>
      <c r="CY88" s="617" t="s">
        <v>2119</v>
      </c>
      <c r="CZ88" s="620" t="s">
        <v>4686</v>
      </c>
      <c r="DA88" s="621" t="s">
        <v>1059</v>
      </c>
      <c r="DB88" s="622"/>
      <c r="DC88" s="622"/>
      <c r="DD88" s="622"/>
      <c r="DE88" s="622"/>
      <c r="DF88" s="623"/>
      <c r="DG88" s="624" t="s">
        <v>3918</v>
      </c>
      <c r="DH88" s="625"/>
      <c r="DI88" s="624" t="s">
        <v>4687</v>
      </c>
      <c r="DJ88" s="624"/>
      <c r="DK88" s="626" t="s">
        <v>4688</v>
      </c>
      <c r="DL88" s="624" t="s">
        <v>4689</v>
      </c>
      <c r="DM88" s="624" t="s">
        <v>4690</v>
      </c>
      <c r="DN88" s="624" t="s">
        <v>1866</v>
      </c>
      <c r="DO88" s="624" t="s">
        <v>4691</v>
      </c>
      <c r="DP88" s="624" t="s">
        <v>4692</v>
      </c>
      <c r="DQ88" s="627" t="s">
        <v>4693</v>
      </c>
      <c r="DR88" s="624" t="s">
        <v>3125</v>
      </c>
      <c r="DS88" s="624" t="s">
        <v>4694</v>
      </c>
      <c r="DT88" s="628"/>
      <c r="DU88" s="626" t="s">
        <v>1622</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2192</v>
      </c>
      <c r="O89" s="93" t="s">
        <v>4391</v>
      </c>
      <c r="P89" s="93" t="s">
        <v>1009</v>
      </c>
      <c r="Q89" s="93" t="s">
        <v>2683</v>
      </c>
      <c r="R89" s="98"/>
      <c r="S89" s="93" t="s">
        <v>4032</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2225</v>
      </c>
      <c r="BU89" s="93" t="s">
        <v>4719</v>
      </c>
      <c r="BV89" s="93" t="s">
        <v>2815</v>
      </c>
      <c r="BW89" s="98"/>
      <c r="BX89" s="93" t="s">
        <v>4720</v>
      </c>
      <c r="BY89" s="98"/>
      <c r="BZ89" s="93" t="s">
        <v>1117</v>
      </c>
      <c r="CA89" s="93" t="s">
        <v>4721</v>
      </c>
      <c r="CB89" s="93" t="s">
        <v>663</v>
      </c>
      <c r="CC89" s="93" t="s">
        <v>4122</v>
      </c>
      <c r="CD89" s="88" t="s">
        <v>4722</v>
      </c>
      <c r="CE89" s="96"/>
      <c r="CF89" s="93" t="s">
        <v>4723</v>
      </c>
      <c r="CG89" s="93" t="s">
        <v>1815</v>
      </c>
      <c r="CH89" s="98"/>
      <c r="CI89" s="98"/>
      <c r="CJ89" s="98" t="s">
        <v>3279</v>
      </c>
      <c r="CK89" s="98"/>
      <c r="CL89" s="93" t="s">
        <v>3104</v>
      </c>
      <c r="CM89" s="93" t="s">
        <v>3313</v>
      </c>
      <c r="CN89" s="98"/>
      <c r="CO89" s="93" t="s">
        <v>4008</v>
      </c>
      <c r="CP89" s="98"/>
      <c r="CQ89" s="98"/>
      <c r="CR89" s="88" t="s">
        <v>4724</v>
      </c>
      <c r="CS89" s="101"/>
      <c r="CT89" s="93" t="s">
        <v>2619</v>
      </c>
      <c r="CU89" s="88" t="s">
        <v>2197</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3973</v>
      </c>
      <c r="DN89" s="93" t="s">
        <v>3060</v>
      </c>
      <c r="DO89" s="93" t="s">
        <v>2278</v>
      </c>
      <c r="DP89" s="93" t="s">
        <v>1039</v>
      </c>
      <c r="DQ89" s="98"/>
      <c r="DR89" s="93" t="s">
        <v>4731</v>
      </c>
      <c r="DS89" s="93" t="s">
        <v>4732</v>
      </c>
      <c r="DT89" s="93" t="s">
        <v>4733</v>
      </c>
      <c r="DU89" s="93" t="s">
        <v>4734</v>
      </c>
      <c r="DV89" s="93" t="s">
        <v>1912</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1735</v>
      </c>
      <c r="AA90" s="116" t="s">
        <v>4745</v>
      </c>
      <c r="AB90" s="116" t="s">
        <v>2323</v>
      </c>
      <c r="AC90" s="380" t="s">
        <v>4367</v>
      </c>
      <c r="AD90" s="200"/>
      <c r="AE90" s="199" t="s">
        <v>3445</v>
      </c>
      <c r="AF90" s="116" t="s">
        <v>1892</v>
      </c>
      <c r="AG90" s="275"/>
      <c r="AH90" s="275"/>
      <c r="AI90" s="200" t="s">
        <v>2015</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1865</v>
      </c>
      <c r="BC90" s="175" t="s">
        <v>2166</v>
      </c>
      <c r="BD90" s="127" t="s">
        <v>379</v>
      </c>
      <c r="BE90" s="175" t="s">
        <v>1228</v>
      </c>
      <c r="BF90" s="174"/>
      <c r="BG90" s="174"/>
      <c r="BH90" s="338" t="s">
        <v>2550</v>
      </c>
      <c r="BI90" s="174"/>
      <c r="BJ90" s="175" t="s">
        <v>4749</v>
      </c>
      <c r="BK90" s="174"/>
      <c r="BL90" s="175"/>
      <c r="BM90" s="175" t="s">
        <v>3697</v>
      </c>
      <c r="BN90" s="175" t="s">
        <v>4478</v>
      </c>
      <c r="BO90" s="174"/>
      <c r="BP90" s="279"/>
      <c r="BQ90" s="282"/>
      <c r="BR90" s="176" t="s">
        <v>2186</v>
      </c>
      <c r="BS90" s="130" t="s">
        <v>3321</v>
      </c>
      <c r="BT90" s="176" t="s">
        <v>2004</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2027</v>
      </c>
      <c r="G91" s="82" t="s">
        <v>2009</v>
      </c>
      <c r="H91" s="93" t="s">
        <v>791</v>
      </c>
      <c r="I91" s="88" t="s">
        <v>4768</v>
      </c>
      <c r="J91" s="88" t="s">
        <v>4769</v>
      </c>
      <c r="K91" s="88" t="s">
        <v>3917</v>
      </c>
      <c r="L91" s="88" t="s">
        <v>2773</v>
      </c>
      <c r="M91" s="88" t="s">
        <v>3388</v>
      </c>
      <c r="N91" s="88" t="s">
        <v>4770</v>
      </c>
      <c r="O91" s="88" t="s">
        <v>4228</v>
      </c>
      <c r="P91" s="88" t="s">
        <v>4771</v>
      </c>
      <c r="Q91" s="88" t="s">
        <v>4772</v>
      </c>
      <c r="R91" s="98"/>
      <c r="S91" s="88" t="s">
        <v>2982</v>
      </c>
      <c r="T91" s="88" t="s">
        <v>4773</v>
      </c>
      <c r="U91" s="98"/>
      <c r="V91" s="93" t="s">
        <v>4774</v>
      </c>
      <c r="W91" s="92"/>
      <c r="X91" s="88" t="s">
        <v>1743</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2010</v>
      </c>
      <c r="BB91" s="93" t="s">
        <v>2821</v>
      </c>
      <c r="BC91" s="93" t="s">
        <v>2049</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4002</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1928</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1818</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1701</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1992</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1795</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2069</v>
      </c>
      <c r="Y93" s="88" t="s">
        <v>2151</v>
      </c>
      <c r="Z93" s="88" t="s">
        <v>4291</v>
      </c>
      <c r="AA93" s="88" t="s">
        <v>4830</v>
      </c>
      <c r="AB93" s="88" t="s">
        <v>2230</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2050</v>
      </c>
      <c r="BD93" s="88" t="s">
        <v>4044</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1938</v>
      </c>
      <c r="DV93" s="98"/>
      <c r="DW93" s="98"/>
      <c r="DX93" s="98"/>
      <c r="DY93" s="98"/>
      <c r="DZ93" s="98"/>
      <c r="EA93" s="98"/>
      <c r="EB93" s="292"/>
    </row>
    <row r="94">
      <c r="A94" s="167" t="s">
        <v>4846</v>
      </c>
      <c r="B94" s="103" t="s">
        <v>4847</v>
      </c>
      <c r="C94" s="104" t="s">
        <v>1415</v>
      </c>
      <c r="D94" s="105" t="s">
        <v>1415</v>
      </c>
      <c r="E94" s="106" t="s">
        <v>1415</v>
      </c>
      <c r="F94" s="107" t="s">
        <v>332</v>
      </c>
      <c r="G94" s="103" t="s">
        <v>1879</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1697</v>
      </c>
      <c r="CU94" s="287"/>
      <c r="CV94" s="207" t="s">
        <v>2230</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2088</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2027</v>
      </c>
      <c r="G96" s="103" t="s">
        <v>829</v>
      </c>
      <c r="H96" s="112" t="s">
        <v>3563</v>
      </c>
      <c r="I96" s="297" t="s">
        <v>4867</v>
      </c>
      <c r="J96" s="297" t="s">
        <v>2101</v>
      </c>
      <c r="K96" s="112" t="s">
        <v>1804</v>
      </c>
      <c r="L96" s="112" t="s">
        <v>3900</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3898</v>
      </c>
      <c r="CV96" s="382" t="s">
        <v>4269</v>
      </c>
      <c r="CW96" s="382" t="s">
        <v>2767</v>
      </c>
      <c r="CX96" s="141" t="s">
        <v>4905</v>
      </c>
      <c r="CY96" s="382" t="s">
        <v>2457</v>
      </c>
      <c r="CZ96" s="382" t="s">
        <v>4906</v>
      </c>
      <c r="DA96" s="382" t="s">
        <v>2711</v>
      </c>
      <c r="DB96" s="287"/>
      <c r="DC96" s="287"/>
      <c r="DD96" s="287"/>
      <c r="DE96" s="141" t="s">
        <v>476</v>
      </c>
      <c r="DF96" s="141"/>
      <c r="DG96" s="208" t="s">
        <v>2039</v>
      </c>
      <c r="DH96" s="289"/>
      <c r="DI96" s="289"/>
      <c r="DJ96" s="289"/>
      <c r="DK96" s="142" t="s">
        <v>199</v>
      </c>
      <c r="DL96" s="146" t="s">
        <v>4198</v>
      </c>
      <c r="DM96" s="289"/>
      <c r="DN96" s="289"/>
      <c r="DO96" s="289"/>
      <c r="DP96" s="208" t="s">
        <v>2851</v>
      </c>
      <c r="DQ96" s="208" t="s">
        <v>2754</v>
      </c>
      <c r="DR96" s="289"/>
      <c r="DS96" s="146" t="s">
        <v>2203</v>
      </c>
      <c r="DT96" s="289"/>
      <c r="DU96" s="208" t="s">
        <v>983</v>
      </c>
      <c r="DV96" s="289"/>
      <c r="DW96" s="146" t="s">
        <v>2939</v>
      </c>
      <c r="DX96" s="208" t="s">
        <v>1950</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2038</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1784</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1722</v>
      </c>
      <c r="G98" s="103" t="s">
        <v>4825</v>
      </c>
      <c r="H98" s="224"/>
      <c r="I98" s="112" t="s">
        <v>3260</v>
      </c>
      <c r="J98" s="112" t="s">
        <v>2167</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2235</v>
      </c>
      <c r="AC98" s="116" t="s">
        <v>2918</v>
      </c>
      <c r="AD98" s="275"/>
      <c r="AE98" s="275"/>
      <c r="AF98" s="116" t="s">
        <v>1772</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2166</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1689</v>
      </c>
      <c r="CN98" s="286"/>
      <c r="CO98" s="286"/>
      <c r="CP98" s="286"/>
      <c r="CQ98" s="286"/>
      <c r="CR98" s="286"/>
      <c r="CS98" s="101"/>
      <c r="CT98" s="141" t="s">
        <v>4937</v>
      </c>
      <c r="CU98" s="414" t="str">
        <f>HYPERLINK("https://youtu.be/E3G9EWGMU-8?t=986", "14.55")</f>
        <v>14.55</v>
      </c>
      <c r="CV98" s="141" t="s">
        <v>1712</v>
      </c>
      <c r="CW98" s="141" t="s">
        <v>4938</v>
      </c>
      <c r="CX98" s="141" t="s">
        <v>620</v>
      </c>
      <c r="CY98" s="287"/>
      <c r="CZ98" s="141" t="s">
        <v>4939</v>
      </c>
      <c r="DA98" s="141" t="s">
        <v>3967</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1798</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1818</v>
      </c>
      <c r="P99" s="93" t="s">
        <v>4948</v>
      </c>
      <c r="Q99" s="98"/>
      <c r="R99" s="98"/>
      <c r="S99" s="93" t="s">
        <v>4949</v>
      </c>
      <c r="T99" s="98"/>
      <c r="U99" s="93" t="s">
        <v>634</v>
      </c>
      <c r="V99" s="98"/>
      <c r="W99" s="92"/>
      <c r="X99" s="93" t="s">
        <v>1991</v>
      </c>
      <c r="Y99" s="93" t="s">
        <v>1819</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1664</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2187</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1772</v>
      </c>
      <c r="AA100" s="309" t="s">
        <v>1990</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2145</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4021</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3906</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2117</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1919</v>
      </c>
      <c r="BI101" s="98"/>
      <c r="BJ101" s="93" t="s">
        <v>4999</v>
      </c>
      <c r="BK101" s="93" t="s">
        <v>2085</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3832</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2125</v>
      </c>
      <c r="BB102" s="175" t="s">
        <v>2171</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3889</v>
      </c>
      <c r="K103" s="93" t="s">
        <v>1339</v>
      </c>
      <c r="L103" s="93" t="s">
        <v>5027</v>
      </c>
      <c r="M103" s="93" t="s">
        <v>5028</v>
      </c>
      <c r="N103" s="93" t="s">
        <v>5029</v>
      </c>
      <c r="O103" s="93" t="s">
        <v>5030</v>
      </c>
      <c r="P103" s="88" t="s">
        <v>3993</v>
      </c>
      <c r="Q103" s="93" t="s">
        <v>5031</v>
      </c>
      <c r="R103" s="98"/>
      <c r="S103" s="93" t="s">
        <v>1294</v>
      </c>
      <c r="T103" s="98"/>
      <c r="U103" s="93" t="s">
        <v>233</v>
      </c>
      <c r="V103" s="292" t="s">
        <v>5032</v>
      </c>
      <c r="W103" s="212"/>
      <c r="X103" s="93" t="s">
        <v>1598</v>
      </c>
      <c r="Y103" s="211" t="s">
        <v>3571</v>
      </c>
      <c r="Z103" s="93" t="s">
        <v>5033</v>
      </c>
      <c r="AA103" s="93" t="s">
        <v>5034</v>
      </c>
      <c r="AB103" s="93" t="s">
        <v>2208</v>
      </c>
      <c r="AC103" s="93" t="s">
        <v>5035</v>
      </c>
      <c r="AD103" s="98"/>
      <c r="AE103" s="93" t="s">
        <v>5036</v>
      </c>
      <c r="AF103" s="93" t="s">
        <v>1119</v>
      </c>
      <c r="AG103" s="93" t="s">
        <v>5037</v>
      </c>
      <c r="AH103" s="93"/>
      <c r="AI103" s="93" t="s">
        <v>5038</v>
      </c>
      <c r="AJ103" s="292" t="s">
        <v>5039</v>
      </c>
      <c r="AK103" s="92"/>
      <c r="AL103" s="93" t="s">
        <v>1927</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2097</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3926</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3993</v>
      </c>
      <c r="Q104" s="224"/>
      <c r="R104" s="224"/>
      <c r="S104" s="224"/>
      <c r="T104" s="224"/>
      <c r="U104" s="224"/>
      <c r="V104" s="224"/>
      <c r="W104" s="92"/>
      <c r="X104" s="200" t="s">
        <v>4705</v>
      </c>
      <c r="Y104" s="200" t="s">
        <v>3135</v>
      </c>
      <c r="Z104" s="200" t="s">
        <v>5083</v>
      </c>
      <c r="AA104" s="200" t="s">
        <v>4775</v>
      </c>
      <c r="AB104" s="275"/>
      <c r="AC104" s="200" t="s">
        <v>4164</v>
      </c>
      <c r="AD104" s="275"/>
      <c r="AE104" s="200" t="s">
        <v>3170</v>
      </c>
      <c r="AF104" s="200" t="s">
        <v>5084</v>
      </c>
      <c r="AG104" s="275"/>
      <c r="AH104" s="275"/>
      <c r="AI104" s="275"/>
      <c r="AJ104" s="275"/>
      <c r="AK104" s="92"/>
      <c r="AL104" s="169" t="s">
        <v>4034</v>
      </c>
      <c r="AM104" s="276"/>
      <c r="AN104" s="276"/>
      <c r="AO104" s="276"/>
      <c r="AP104" s="276"/>
      <c r="AQ104" s="276"/>
      <c r="AR104" s="276"/>
      <c r="AS104" s="276"/>
      <c r="AT104" s="276"/>
      <c r="AU104" s="169" t="s">
        <v>5085</v>
      </c>
      <c r="AV104" s="169" t="s">
        <v>4711</v>
      </c>
      <c r="AW104" s="276"/>
      <c r="AX104" s="276"/>
      <c r="AY104" s="276"/>
      <c r="AZ104" s="277"/>
      <c r="BA104" s="175" t="s">
        <v>1986</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4025</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2230</v>
      </c>
      <c r="AV105" s="98"/>
      <c r="AW105" s="98"/>
      <c r="AX105" s="98"/>
      <c r="AY105" s="98"/>
      <c r="AZ105" s="266"/>
      <c r="BA105" s="93" t="s">
        <v>4447</v>
      </c>
      <c r="BB105" s="93" t="s">
        <v>3805</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3813</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3986</v>
      </c>
      <c r="L106" s="168" t="s">
        <v>1087</v>
      </c>
      <c r="M106" s="168" t="s">
        <v>5123</v>
      </c>
      <c r="N106" s="168" t="s">
        <v>5124</v>
      </c>
      <c r="O106" s="168" t="s">
        <v>851</v>
      </c>
      <c r="P106" s="168" t="s">
        <v>5125</v>
      </c>
      <c r="Q106" s="224"/>
      <c r="R106" s="224"/>
      <c r="S106" s="224"/>
      <c r="T106" s="224"/>
      <c r="U106" s="224"/>
      <c r="V106" s="224"/>
      <c r="W106" s="92"/>
      <c r="X106" s="200" t="s">
        <v>5126</v>
      </c>
      <c r="Y106" s="200" t="s">
        <v>3925</v>
      </c>
      <c r="Z106" s="200" t="s">
        <v>5127</v>
      </c>
      <c r="AA106" s="200" t="s">
        <v>5128</v>
      </c>
      <c r="AB106" s="200" t="s">
        <v>4137</v>
      </c>
      <c r="AC106" s="200" t="s">
        <v>2469</v>
      </c>
      <c r="AD106" s="200"/>
      <c r="AE106" s="200" t="s">
        <v>289</v>
      </c>
      <c r="AF106" s="200" t="s">
        <v>4289</v>
      </c>
      <c r="AG106" s="275"/>
      <c r="AH106" s="275"/>
      <c r="AI106" s="275"/>
      <c r="AJ106" s="275"/>
      <c r="AK106" s="92"/>
      <c r="AL106" s="276"/>
      <c r="AM106" s="169" t="s">
        <v>1762</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2049</v>
      </c>
      <c r="BI106" s="175" t="s">
        <v>5132</v>
      </c>
      <c r="BJ106" s="175"/>
      <c r="BK106" s="175" t="s">
        <v>2525</v>
      </c>
      <c r="BL106" s="174"/>
      <c r="BM106" s="175" t="s">
        <v>3140</v>
      </c>
      <c r="BN106" s="174"/>
      <c r="BO106" s="174"/>
      <c r="BP106" s="279"/>
      <c r="BQ106" s="176"/>
      <c r="BR106" s="176" t="s">
        <v>2163</v>
      </c>
      <c r="BS106" s="176" t="s">
        <v>5133</v>
      </c>
      <c r="BT106" s="131" t="s">
        <v>975</v>
      </c>
      <c r="BU106" s="176" t="s">
        <v>5134</v>
      </c>
      <c r="BV106" s="131" t="s">
        <v>1121</v>
      </c>
      <c r="BW106" s="176" t="s">
        <v>3304</v>
      </c>
      <c r="BX106" s="176" t="s">
        <v>5135</v>
      </c>
      <c r="BY106" s="282"/>
      <c r="BZ106" s="176" t="s">
        <v>2327</v>
      </c>
      <c r="CA106" s="176" t="s">
        <v>4898</v>
      </c>
      <c r="CB106" s="176" t="s">
        <v>4780</v>
      </c>
      <c r="CC106" s="176" t="s">
        <v>1660</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1737</v>
      </c>
      <c r="BF107" s="98"/>
      <c r="BG107" s="98"/>
      <c r="BH107" s="93" t="s">
        <v>1968</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4025</v>
      </c>
      <c r="AA108" s="309" t="s">
        <v>2017</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1749</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3950</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2054</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1722</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1863</v>
      </c>
      <c r="CG110" s="178" t="s">
        <v>1791</v>
      </c>
      <c r="CH110" s="178"/>
      <c r="CI110" s="178"/>
      <c r="CJ110" s="178"/>
      <c r="CK110" s="178" t="s">
        <v>1701</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3880</v>
      </c>
      <c r="AF111" s="88" t="s">
        <v>1987</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1659</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4008</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3862</v>
      </c>
      <c r="DZ111" s="93" t="s">
        <v>1749</v>
      </c>
      <c r="EA111" s="93" t="s">
        <v>1089</v>
      </c>
      <c r="EB111" s="292" t="s">
        <v>5233</v>
      </c>
    </row>
    <row r="112">
      <c r="A112" s="167" t="s">
        <v>5234</v>
      </c>
      <c r="B112" s="103" t="s">
        <v>5235</v>
      </c>
      <c r="C112" s="104" t="s">
        <v>1415</v>
      </c>
      <c r="D112" s="105" t="s">
        <v>1415</v>
      </c>
      <c r="E112" s="106" t="s">
        <v>1415</v>
      </c>
      <c r="F112" s="107" t="s">
        <v>1415</v>
      </c>
      <c r="G112" s="103" t="s">
        <v>2139</v>
      </c>
      <c r="H112" s="168" t="s">
        <v>3622</v>
      </c>
      <c r="I112" s="168" t="s">
        <v>2305</v>
      </c>
      <c r="J112" s="168" t="s">
        <v>1805</v>
      </c>
      <c r="K112" s="168" t="s">
        <v>1143</v>
      </c>
      <c r="L112" s="168" t="s">
        <v>2606</v>
      </c>
      <c r="M112" s="168" t="s">
        <v>5236</v>
      </c>
      <c r="N112" s="168" t="s">
        <v>5237</v>
      </c>
      <c r="O112" s="168" t="s">
        <v>339</v>
      </c>
      <c r="P112" s="168" t="s">
        <v>1895</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1898</v>
      </c>
      <c r="AH112" s="200"/>
      <c r="AI112" s="200" t="s">
        <v>1270</v>
      </c>
      <c r="AJ112" s="200" t="s">
        <v>5245</v>
      </c>
      <c r="AK112" s="92"/>
      <c r="AL112" s="169" t="s">
        <v>2035</v>
      </c>
      <c r="AM112" s="169" t="s">
        <v>4243</v>
      </c>
      <c r="AN112" s="276"/>
      <c r="AO112" s="276"/>
      <c r="AP112" s="276"/>
      <c r="AQ112" s="276"/>
      <c r="AR112" s="169" t="s">
        <v>3841</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1912</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1815</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3910</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1660</v>
      </c>
      <c r="K113" s="93" t="s">
        <v>3986</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2152</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4043</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1656</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3125</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3957</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1788</v>
      </c>
      <c r="AU115" s="93" t="s">
        <v>2101</v>
      </c>
      <c r="AV115" s="93" t="s">
        <v>2029</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1830</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1812</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1829</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2202</v>
      </c>
      <c r="AQ117" s="93"/>
      <c r="AR117" s="98"/>
      <c r="AS117" s="98"/>
      <c r="AT117" s="96" t="s">
        <v>5112</v>
      </c>
      <c r="AU117" s="96" t="s">
        <v>5391</v>
      </c>
      <c r="AV117" s="98"/>
      <c r="AW117" s="98"/>
      <c r="AX117" s="96" t="s">
        <v>5392</v>
      </c>
      <c r="AY117" s="98"/>
      <c r="AZ117" s="266"/>
      <c r="BA117" s="96" t="s">
        <v>5393</v>
      </c>
      <c r="BB117" s="96" t="s">
        <v>2113</v>
      </c>
      <c r="BC117" s="96" t="s">
        <v>4647</v>
      </c>
      <c r="BD117" s="659" t="s">
        <v>2130</v>
      </c>
      <c r="BE117" s="93" t="s">
        <v>4326</v>
      </c>
      <c r="BF117" s="98"/>
      <c r="BG117" s="98"/>
      <c r="BH117" s="96" t="s">
        <v>1815</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1821</v>
      </c>
      <c r="O118" s="297" t="s">
        <v>1453</v>
      </c>
      <c r="P118" s="112" t="s">
        <v>1009</v>
      </c>
      <c r="Q118" s="112" t="s">
        <v>5411</v>
      </c>
      <c r="R118" s="224"/>
      <c r="S118" s="224"/>
      <c r="T118" s="224"/>
      <c r="U118" s="224"/>
      <c r="V118" s="224"/>
      <c r="W118" s="92"/>
      <c r="X118" s="380" t="s">
        <v>5412</v>
      </c>
      <c r="Y118" s="380" t="s">
        <v>3974</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3957</v>
      </c>
      <c r="BL118" s="174"/>
      <c r="BM118" s="175" t="s">
        <v>5362</v>
      </c>
      <c r="BN118" s="175" t="s">
        <v>4434</v>
      </c>
      <c r="BO118" s="175" t="s">
        <v>5426</v>
      </c>
      <c r="BP118" s="175"/>
      <c r="BQ118" s="176"/>
      <c r="BR118" s="176" t="s">
        <v>3832</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1815</v>
      </c>
      <c r="CZ118" s="207" t="s">
        <v>5441</v>
      </c>
      <c r="DA118" s="207" t="s">
        <v>4052</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1750</v>
      </c>
      <c r="DY118" s="289"/>
      <c r="DZ118" s="289"/>
      <c r="EA118" s="289"/>
      <c r="EB118" s="322" t="s">
        <v>5445</v>
      </c>
    </row>
    <row r="119">
      <c r="A119" s="384" t="s">
        <v>5446</v>
      </c>
      <c r="B119" s="82" t="s">
        <v>5447</v>
      </c>
      <c r="C119" s="83" t="s">
        <v>1415</v>
      </c>
      <c r="D119" s="84" t="s">
        <v>1415</v>
      </c>
      <c r="E119" s="85" t="s">
        <v>1415</v>
      </c>
      <c r="F119" s="86" t="s">
        <v>543</v>
      </c>
      <c r="G119" s="82" t="s">
        <v>2093</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2049</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4050</v>
      </c>
      <c r="CI119" s="93" t="s">
        <v>5467</v>
      </c>
      <c r="CJ119" s="93"/>
      <c r="CK119" s="93" t="s">
        <v>5468</v>
      </c>
      <c r="CL119" s="93" t="s">
        <v>1623</v>
      </c>
      <c r="CM119" s="93" t="s">
        <v>5469</v>
      </c>
      <c r="CN119" s="98"/>
      <c r="CO119" s="98"/>
      <c r="CP119" s="98"/>
      <c r="CQ119" s="98"/>
      <c r="CR119" s="98"/>
      <c r="CS119" s="101"/>
      <c r="CT119" s="93" t="s">
        <v>3705</v>
      </c>
      <c r="CU119" s="93" t="s">
        <v>4025</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2146</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3812</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3837</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2039</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1919</v>
      </c>
      <c r="BU122" s="176" t="s">
        <v>1006</v>
      </c>
      <c r="BV122" s="176" t="s">
        <v>5537</v>
      </c>
      <c r="BW122" s="176"/>
      <c r="BX122" s="176" t="s">
        <v>5538</v>
      </c>
      <c r="BY122" s="282"/>
      <c r="BZ122" s="176" t="s">
        <v>2212</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1757</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2216</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3817</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3978</v>
      </c>
      <c r="AV123" s="98"/>
      <c r="AW123" s="98"/>
      <c r="AX123" s="98"/>
      <c r="AY123" s="98"/>
      <c r="AZ123" s="266"/>
      <c r="BA123" s="88" t="s">
        <v>5552</v>
      </c>
      <c r="BB123" s="303" t="s">
        <v>5553</v>
      </c>
      <c r="BC123" s="303" t="s">
        <v>5466</v>
      </c>
      <c r="BD123" s="88" t="s">
        <v>3130</v>
      </c>
      <c r="BE123" s="88" t="s">
        <v>5554</v>
      </c>
      <c r="BF123" s="98"/>
      <c r="BG123" s="98"/>
      <c r="BH123" s="88" t="s">
        <v>3897</v>
      </c>
      <c r="BI123" s="98"/>
      <c r="BJ123" s="93" t="s">
        <v>5555</v>
      </c>
      <c r="BK123" s="303" t="s">
        <v>5556</v>
      </c>
      <c r="BL123" s="98"/>
      <c r="BM123" s="98"/>
      <c r="BN123" s="98"/>
      <c r="BO123" s="98"/>
      <c r="BP123" s="266"/>
      <c r="BQ123" s="88" t="s">
        <v>5557</v>
      </c>
      <c r="BR123" s="93" t="s">
        <v>5558</v>
      </c>
      <c r="BS123" s="93" t="s">
        <v>5559</v>
      </c>
      <c r="BT123" s="93" t="s">
        <v>1793</v>
      </c>
      <c r="BU123" s="93" t="s">
        <v>4723</v>
      </c>
      <c r="BV123" s="93" t="s">
        <v>717</v>
      </c>
      <c r="BW123" s="93" t="s">
        <v>5560</v>
      </c>
      <c r="BX123" s="98"/>
      <c r="BY123" s="88" t="s">
        <v>5561</v>
      </c>
      <c r="BZ123" s="93" t="s">
        <v>5562</v>
      </c>
      <c r="CA123" s="98"/>
      <c r="CB123" s="98"/>
      <c r="CC123" s="98"/>
      <c r="CD123" s="98"/>
      <c r="CE123" s="266"/>
      <c r="CF123" s="93" t="s">
        <v>5563</v>
      </c>
      <c r="CG123" s="88" t="s">
        <v>3899</v>
      </c>
      <c r="CH123" s="88" t="s">
        <v>4102</v>
      </c>
      <c r="CI123" s="88" t="s">
        <v>5564</v>
      </c>
      <c r="CJ123" s="88" t="s">
        <v>4066</v>
      </c>
      <c r="CK123" s="93" t="s">
        <v>5565</v>
      </c>
      <c r="CL123" s="88" t="s">
        <v>1962</v>
      </c>
      <c r="CM123" s="93" t="s">
        <v>1840</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1624</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1853</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3984</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2117</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1634</v>
      </c>
      <c r="BT126" s="282"/>
      <c r="BU126" s="282"/>
      <c r="BV126" s="176" t="s">
        <v>1719</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2231</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1772</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1829</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4052</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1749</v>
      </c>
      <c r="CH128" s="316"/>
      <c r="CI128" s="672"/>
      <c r="CJ128" s="672"/>
      <c r="CK128" s="672"/>
      <c r="CL128" s="316"/>
      <c r="CM128" s="316"/>
      <c r="CN128" s="286"/>
      <c r="CO128" s="286"/>
      <c r="CP128" s="286"/>
      <c r="CQ128" s="286"/>
      <c r="CR128" s="286"/>
      <c r="CS128" s="101"/>
      <c r="CT128" s="411"/>
      <c r="CU128" s="287"/>
      <c r="CV128" s="411"/>
      <c r="CW128" s="318" t="s">
        <v>2157</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1987</v>
      </c>
      <c r="AA129" s="93" t="s">
        <v>5626</v>
      </c>
      <c r="AB129" s="93" t="s">
        <v>3817</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1652</v>
      </c>
      <c r="AU129" s="93" t="s">
        <v>1717</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1904</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2115</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5641</v>
      </c>
      <c r="BJ130" s="175"/>
      <c r="BK130" s="174"/>
      <c r="BL130" s="174"/>
      <c r="BM130" s="174"/>
      <c r="BN130" s="174"/>
      <c r="BO130" s="174"/>
      <c r="BP130" s="279"/>
      <c r="BQ130" s="282"/>
      <c r="BR130" s="177" t="s">
        <v>3929</v>
      </c>
      <c r="BS130" s="176" t="s">
        <v>5642</v>
      </c>
      <c r="BT130" s="282"/>
      <c r="BU130" s="282"/>
      <c r="BV130" s="176" t="s">
        <v>5643</v>
      </c>
      <c r="BW130" s="282"/>
      <c r="BX130" s="282"/>
      <c r="BY130" s="282"/>
      <c r="BZ130" s="282"/>
      <c r="CA130" s="282"/>
      <c r="CB130" s="282"/>
      <c r="CC130" s="282"/>
      <c r="CD130" s="282"/>
      <c r="CE130" s="283"/>
      <c r="CF130" s="178" t="s">
        <v>2154</v>
      </c>
      <c r="CG130" s="316" t="s">
        <v>1733</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3917</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2234</v>
      </c>
      <c r="BU131" s="93" t="s">
        <v>5523</v>
      </c>
      <c r="BV131" s="93" t="s">
        <v>5516</v>
      </c>
      <c r="BW131" s="98"/>
      <c r="BX131" s="98"/>
      <c r="BY131" s="98"/>
      <c r="BZ131" s="98"/>
      <c r="CA131" s="98"/>
      <c r="CB131" s="98"/>
      <c r="CC131" s="98"/>
      <c r="CD131" s="98"/>
      <c r="CE131" s="266"/>
      <c r="CF131" s="93" t="s">
        <v>5655</v>
      </c>
      <c r="CG131" s="93" t="s">
        <v>3928</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1879</v>
      </c>
      <c r="H132" s="674"/>
      <c r="I132" s="674" t="s">
        <v>5661</v>
      </c>
      <c r="J132" s="674"/>
      <c r="K132" s="674" t="s">
        <v>2222</v>
      </c>
      <c r="L132" s="220" t="s">
        <v>5113</v>
      </c>
      <c r="M132" s="674"/>
      <c r="N132" s="463" t="s">
        <v>5662</v>
      </c>
      <c r="O132" s="463" t="s">
        <v>5586</v>
      </c>
      <c r="P132" s="220" t="s">
        <v>3683</v>
      </c>
      <c r="Q132" s="674"/>
      <c r="R132" s="674"/>
      <c r="S132" s="674" t="s">
        <v>4028</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1898</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2108</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1638</v>
      </c>
      <c r="K134" s="393" t="s">
        <v>352</v>
      </c>
      <c r="L134" s="393" t="s">
        <v>606</v>
      </c>
      <c r="M134" s="393" t="s">
        <v>5695</v>
      </c>
      <c r="N134" s="393" t="s">
        <v>5696</v>
      </c>
      <c r="O134" s="307" t="s">
        <v>241</v>
      </c>
      <c r="P134" s="393" t="s">
        <v>4800</v>
      </c>
      <c r="Q134" s="168" t="s">
        <v>5697</v>
      </c>
      <c r="R134" s="224"/>
      <c r="S134" s="168" t="s">
        <v>4028</v>
      </c>
      <c r="T134" s="224"/>
      <c r="U134" s="168" t="s">
        <v>142</v>
      </c>
      <c r="V134" s="168" t="s">
        <v>5698</v>
      </c>
      <c r="W134" s="92"/>
      <c r="X134" s="691" t="s">
        <v>4918</v>
      </c>
      <c r="Y134" s="199" t="s">
        <v>5365</v>
      </c>
      <c r="Z134" s="116" t="s">
        <v>415</v>
      </c>
      <c r="AA134" s="380" t="s">
        <v>4139</v>
      </c>
      <c r="AB134" s="380" t="s">
        <v>3813</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1981</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2128</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3912</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1804</v>
      </c>
      <c r="L135" s="693" t="s">
        <v>3532</v>
      </c>
      <c r="M135" s="292" t="s">
        <v>5728</v>
      </c>
      <c r="N135" s="292" t="s">
        <v>5729</v>
      </c>
      <c r="O135" s="292" t="s">
        <v>1740</v>
      </c>
      <c r="P135" s="292" t="s">
        <v>249</v>
      </c>
      <c r="Q135" s="694"/>
      <c r="R135" s="694"/>
      <c r="S135" s="695">
        <v>37.85</v>
      </c>
      <c r="T135" s="694"/>
      <c r="U135" s="93" t="s">
        <v>1904</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1733</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3928</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2166</v>
      </c>
      <c r="T136" s="224"/>
      <c r="U136" s="168" t="s">
        <v>3270</v>
      </c>
      <c r="V136" s="224"/>
      <c r="W136" s="92"/>
      <c r="X136" s="200" t="s">
        <v>5745</v>
      </c>
      <c r="Y136" s="116" t="s">
        <v>2415</v>
      </c>
      <c r="Z136" s="200" t="s">
        <v>4549</v>
      </c>
      <c r="AA136" s="200" t="s">
        <v>1760</v>
      </c>
      <c r="AB136" s="200" t="s">
        <v>3814</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1811</v>
      </c>
      <c r="BC136" s="175" t="s">
        <v>5748</v>
      </c>
      <c r="BD136" s="175" t="s">
        <v>3546</v>
      </c>
      <c r="BE136" s="175" t="s">
        <v>5596</v>
      </c>
      <c r="BF136" s="174"/>
      <c r="BG136" s="174"/>
      <c r="BH136" s="175" t="s">
        <v>3902</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2168</v>
      </c>
      <c r="CI136" s="178" t="s">
        <v>5755</v>
      </c>
      <c r="CJ136" s="178" t="s">
        <v>5756</v>
      </c>
      <c r="CK136" s="178" t="s">
        <v>5757</v>
      </c>
      <c r="CL136" s="178" t="s">
        <v>1638</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4028</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1879</v>
      </c>
      <c r="H138" s="168" t="s">
        <v>2064</v>
      </c>
      <c r="I138" s="168" t="s">
        <v>3562</v>
      </c>
      <c r="J138" s="168" t="s">
        <v>568</v>
      </c>
      <c r="K138" s="168" t="s">
        <v>3074</v>
      </c>
      <c r="L138" s="168" t="s">
        <v>4043</v>
      </c>
      <c r="M138" s="168" t="s">
        <v>5777</v>
      </c>
      <c r="N138" s="168" t="s">
        <v>5778</v>
      </c>
      <c r="O138" s="168" t="s">
        <v>444</v>
      </c>
      <c r="P138" s="168" t="s">
        <v>3967</v>
      </c>
      <c r="Q138" s="224"/>
      <c r="R138" s="224"/>
      <c r="S138" s="224"/>
      <c r="T138" s="224"/>
      <c r="U138" s="224"/>
      <c r="V138" s="224"/>
      <c r="W138" s="92"/>
      <c r="X138" s="200" t="s">
        <v>4921</v>
      </c>
      <c r="Y138" s="200" t="s">
        <v>4213</v>
      </c>
      <c r="Z138" s="200" t="s">
        <v>5779</v>
      </c>
      <c r="AA138" s="200" t="s">
        <v>785</v>
      </c>
      <c r="AB138" s="200" t="s">
        <v>4362</v>
      </c>
      <c r="AC138" s="200" t="s">
        <v>1729</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1691</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2130</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3813</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1922</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3846</v>
      </c>
      <c r="BI139" s="98"/>
      <c r="BJ139" s="98"/>
      <c r="BK139" s="88" t="s">
        <v>2097</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1673</v>
      </c>
      <c r="BT140" s="176" t="s">
        <v>2813</v>
      </c>
      <c r="BU140" s="282"/>
      <c r="BV140" s="131" t="s">
        <v>4730</v>
      </c>
      <c r="BW140" s="282"/>
      <c r="BX140" s="282"/>
      <c r="BY140" s="282"/>
      <c r="BZ140" s="282"/>
      <c r="CA140" s="282"/>
      <c r="CB140" s="282"/>
      <c r="CC140" s="282"/>
      <c r="CD140" s="282"/>
      <c r="CE140" s="283"/>
      <c r="CF140" s="286"/>
      <c r="CG140" s="136" t="s">
        <v>5797</v>
      </c>
      <c r="CH140" s="286"/>
      <c r="CI140" s="316" t="s">
        <v>3824</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3943</v>
      </c>
      <c r="I141" s="93" t="s">
        <v>4010</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2005</v>
      </c>
      <c r="Z141" s="93" t="s">
        <v>3486</v>
      </c>
      <c r="AA141" s="93" t="s">
        <v>3532</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1975</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2108</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2170</v>
      </c>
      <c r="DE141" s="93" t="s">
        <v>5852</v>
      </c>
      <c r="DF141" s="266"/>
      <c r="DG141" s="93" t="s">
        <v>3847</v>
      </c>
      <c r="DH141" s="98"/>
      <c r="DI141" s="93" t="s">
        <v>2661</v>
      </c>
      <c r="DJ141" s="93" t="s">
        <v>2099</v>
      </c>
      <c r="DK141" s="93" t="s">
        <v>3292</v>
      </c>
      <c r="DL141" s="93" t="s">
        <v>2438</v>
      </c>
      <c r="DM141" s="93" t="s">
        <v>4057</v>
      </c>
      <c r="DN141" s="93" t="s">
        <v>5853</v>
      </c>
      <c r="DO141" s="93" t="s">
        <v>199</v>
      </c>
      <c r="DP141" s="93" t="s">
        <v>5854</v>
      </c>
      <c r="DQ141" s="93" t="s">
        <v>3009</v>
      </c>
      <c r="DR141" s="93" t="s">
        <v>4727</v>
      </c>
      <c r="DS141" s="93" t="s">
        <v>5855</v>
      </c>
      <c r="DT141" s="93" t="s">
        <v>5856</v>
      </c>
      <c r="DU141" s="93" t="s">
        <v>1125</v>
      </c>
      <c r="DV141" s="93" t="s">
        <v>3814</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1879</v>
      </c>
      <c r="H142" s="307"/>
      <c r="I142" s="110" t="s">
        <v>5860</v>
      </c>
      <c r="J142" s="112" t="s">
        <v>4652</v>
      </c>
      <c r="K142" s="112" t="s">
        <v>5861</v>
      </c>
      <c r="L142" s="112" t="s">
        <v>2019</v>
      </c>
      <c r="M142" s="498"/>
      <c r="N142" s="112" t="s">
        <v>709</v>
      </c>
      <c r="O142" s="297" t="s">
        <v>5862</v>
      </c>
      <c r="P142" s="112" t="s">
        <v>1931</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1879</v>
      </c>
      <c r="H145" s="93"/>
      <c r="I145" s="88" t="s">
        <v>5891</v>
      </c>
      <c r="J145" s="88" t="s">
        <v>1651</v>
      </c>
      <c r="K145" s="88" t="s">
        <v>1892</v>
      </c>
      <c r="L145" s="88" t="s">
        <v>5892</v>
      </c>
      <c r="M145" s="93" t="s">
        <v>5893</v>
      </c>
      <c r="N145" s="93" t="s">
        <v>3588</v>
      </c>
      <c r="O145" s="93" t="s">
        <v>5673</v>
      </c>
      <c r="P145" s="93" t="s">
        <v>3967</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2048</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1902</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1688</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2114</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1832</v>
      </c>
      <c r="J150" s="168" t="s">
        <v>2584</v>
      </c>
      <c r="K150" s="168" t="s">
        <v>2222</v>
      </c>
      <c r="L150" s="168" t="s">
        <v>145</v>
      </c>
      <c r="M150" s="168" t="s">
        <v>5939</v>
      </c>
      <c r="N150" s="168" t="s">
        <v>5940</v>
      </c>
      <c r="O150" s="168" t="s">
        <v>5941</v>
      </c>
      <c r="P150" s="168" t="s">
        <v>4136</v>
      </c>
      <c r="Q150" s="224"/>
      <c r="R150" s="224"/>
      <c r="S150" s="224"/>
      <c r="T150" s="224"/>
      <c r="U150" s="224"/>
      <c r="V150" s="224"/>
      <c r="W150" s="92"/>
      <c r="X150" s="200" t="s">
        <v>5239</v>
      </c>
      <c r="Y150" s="200" t="s">
        <v>2120</v>
      </c>
      <c r="Z150" s="200" t="s">
        <v>2200</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1687</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4403</v>
      </c>
      <c r="CU150" s="207" t="s">
        <v>559</v>
      </c>
      <c r="CV150" s="207" t="s">
        <v>4064</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3969</v>
      </c>
      <c r="M151" s="93" t="s">
        <v>3951</v>
      </c>
      <c r="N151" s="93" t="s">
        <v>5058</v>
      </c>
      <c r="O151" s="98"/>
      <c r="P151" s="98"/>
      <c r="Q151" s="98"/>
      <c r="R151" s="98"/>
      <c r="S151" s="98"/>
      <c r="T151" s="98"/>
      <c r="U151" s="98"/>
      <c r="V151" s="98"/>
      <c r="W151" s="92"/>
      <c r="X151" s="97" t="str">
        <f>HYPERLINK("https://www.youtube.com/watch?v=F9HuyJ73joE","56.96")</f>
        <v>56.96</v>
      </c>
      <c r="Y151" s="93" t="s">
        <v>4022</v>
      </c>
      <c r="Z151" s="93" t="s">
        <v>5952</v>
      </c>
      <c r="AA151" s="93" t="s">
        <v>4488</v>
      </c>
      <c r="AB151" s="93" t="s">
        <v>5953</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1804</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3986</v>
      </c>
      <c r="L153" s="93" t="s">
        <v>5046</v>
      </c>
      <c r="M153" s="98"/>
      <c r="N153" s="98"/>
      <c r="O153" s="93" t="s">
        <v>1928</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2217</v>
      </c>
      <c r="BB153" s="98"/>
      <c r="BC153" s="88" t="s">
        <v>1303</v>
      </c>
      <c r="BD153" s="98"/>
      <c r="BE153" s="98"/>
      <c r="BF153" s="98"/>
      <c r="BG153" s="98"/>
      <c r="BH153" s="93" t="s">
        <v>1761</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1829</v>
      </c>
      <c r="I154" s="168" t="s">
        <v>2236</v>
      </c>
      <c r="J154" s="224"/>
      <c r="K154" s="168" t="s">
        <v>3074</v>
      </c>
      <c r="L154" s="224"/>
      <c r="M154" s="224"/>
      <c r="N154" s="224"/>
      <c r="O154" s="168" t="s">
        <v>5968</v>
      </c>
      <c r="P154" s="168" t="s">
        <v>2043</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1824</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1652</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1948</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1853</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4067</v>
      </c>
      <c r="I159" s="100" t="s">
        <v>5999</v>
      </c>
      <c r="J159" s="100" t="s">
        <v>450</v>
      </c>
      <c r="K159" s="100" t="s">
        <v>4291</v>
      </c>
      <c r="L159" s="100" t="s">
        <v>6000</v>
      </c>
      <c r="M159" s="100" t="s">
        <v>6001</v>
      </c>
      <c r="N159" s="94"/>
      <c r="O159" s="94"/>
      <c r="P159" s="100" t="s">
        <v>2151</v>
      </c>
      <c r="Q159" s="98"/>
      <c r="R159" s="98"/>
      <c r="S159" s="98"/>
      <c r="T159" s="98"/>
      <c r="U159" s="98"/>
      <c r="V159" s="98"/>
      <c r="W159" s="92"/>
      <c r="X159" s="100"/>
      <c r="Y159" s="100"/>
      <c r="Z159" s="100" t="s">
        <v>1763</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2222</v>
      </c>
      <c r="L161" s="93" t="s">
        <v>6012</v>
      </c>
      <c r="M161" s="98"/>
      <c r="N161" s="98"/>
      <c r="O161" s="98"/>
      <c r="P161" s="93" t="s">
        <v>3131</v>
      </c>
      <c r="Q161" s="98"/>
      <c r="R161" s="98"/>
      <c r="S161" s="98"/>
      <c r="T161" s="98"/>
      <c r="U161" s="98"/>
      <c r="V161" s="98"/>
      <c r="W161" s="92"/>
      <c r="X161" s="341" t="s">
        <v>1823</v>
      </c>
      <c r="Y161" s="98"/>
      <c r="Z161" s="93" t="s">
        <v>3244</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1977</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3984</v>
      </c>
      <c r="H162" s="393"/>
      <c r="I162" s="393"/>
      <c r="J162" s="393" t="s">
        <v>1827</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3813</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1995</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1940</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2075</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3984</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3830</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2042</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1762</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1970</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1872</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2212</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1722</v>
      </c>
      <c r="H172" s="224"/>
      <c r="I172" s="168" t="s">
        <v>6095</v>
      </c>
      <c r="J172" s="168" t="s">
        <v>4976</v>
      </c>
      <c r="K172" s="168" t="s">
        <v>2408</v>
      </c>
      <c r="L172" s="168" t="s">
        <v>4031</v>
      </c>
      <c r="M172" s="168" t="s">
        <v>6096</v>
      </c>
      <c r="N172" s="224"/>
      <c r="O172" s="168" t="s">
        <v>1927</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1663</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2002</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1948</v>
      </c>
      <c r="CW172" s="287"/>
      <c r="CX172" s="287"/>
      <c r="CY172" s="287"/>
      <c r="CZ172" s="207" t="s">
        <v>6112</v>
      </c>
      <c r="DA172" s="207" t="s">
        <v>2225</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4055</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3907</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1931</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1825</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2104</v>
      </c>
      <c r="BI175" s="98"/>
      <c r="BJ175" s="292" t="s">
        <v>6162</v>
      </c>
      <c r="BK175" s="292" t="s">
        <v>6163</v>
      </c>
      <c r="BL175" s="98"/>
      <c r="BM175" s="98"/>
      <c r="BN175" s="100"/>
      <c r="BO175" s="98"/>
      <c r="BP175" s="266"/>
      <c r="BQ175" s="292" t="s">
        <v>6164</v>
      </c>
      <c r="BR175" s="292" t="s">
        <v>6165</v>
      </c>
      <c r="BS175" s="292" t="s">
        <v>3536</v>
      </c>
      <c r="BT175" s="292" t="s">
        <v>1724</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2071</v>
      </c>
      <c r="CU175" s="292" t="s">
        <v>3073</v>
      </c>
      <c r="CV175" s="292" t="s">
        <v>5359</v>
      </c>
      <c r="CW175" s="292" t="s">
        <v>2163</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2149</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1810</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2132</v>
      </c>
      <c r="T182" s="224"/>
      <c r="U182" s="224"/>
      <c r="V182" s="224"/>
      <c r="W182" s="92"/>
      <c r="X182" s="275"/>
      <c r="Y182" s="275"/>
      <c r="Z182" s="200" t="s">
        <v>2134</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1830</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2051</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2222</v>
      </c>
      <c r="L184" s="224"/>
      <c r="M184" s="224"/>
      <c r="N184" s="224"/>
      <c r="O184" s="224"/>
      <c r="P184" s="224"/>
      <c r="Q184" s="224"/>
      <c r="R184" s="224"/>
      <c r="S184" s="224"/>
      <c r="T184" s="224"/>
      <c r="U184" s="224"/>
      <c r="V184" s="224"/>
      <c r="W184" s="92"/>
      <c r="X184" s="200" t="s">
        <v>3830</v>
      </c>
      <c r="Y184" s="275"/>
      <c r="Z184" s="200" t="s">
        <v>1780</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2001</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1815</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1958</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2160</v>
      </c>
      <c r="Z187" s="93" t="s">
        <v>3288</v>
      </c>
      <c r="AA187" s="93" t="s">
        <v>6227</v>
      </c>
      <c r="AB187" s="93" t="s">
        <v>6228</v>
      </c>
      <c r="AC187" s="93" t="s">
        <v>3251</v>
      </c>
      <c r="AD187" s="98"/>
      <c r="AE187" s="93" t="s">
        <v>1909</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2037</v>
      </c>
      <c r="CV187" s="93" t="s">
        <v>1732</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3984</v>
      </c>
      <c r="H189" s="93" t="s">
        <v>6260</v>
      </c>
      <c r="I189" s="93" t="s">
        <v>6261</v>
      </c>
      <c r="J189" s="93" t="s">
        <v>6262</v>
      </c>
      <c r="K189" s="93" t="s">
        <v>1612</v>
      </c>
      <c r="L189" s="93" t="s">
        <v>4001</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3866</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1810</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1723</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2139</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2093</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1907</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1722</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2034</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1877</v>
      </c>
      <c r="R1" s="770" t="s">
        <v>6326</v>
      </c>
      <c r="S1" s="770" t="s">
        <v>6327</v>
      </c>
      <c r="T1" s="771" t="s">
        <v>6328</v>
      </c>
      <c r="U1" s="770" t="s">
        <v>6329</v>
      </c>
      <c r="V1" s="770" t="s">
        <v>6330</v>
      </c>
      <c r="W1" s="770" t="s">
        <v>3982</v>
      </c>
      <c r="X1" s="770" t="s">
        <v>6331</v>
      </c>
      <c r="Y1" s="770" t="s">
        <v>6332</v>
      </c>
      <c r="Z1" s="770" t="s">
        <v>4059</v>
      </c>
      <c r="AA1" s="770" t="s">
        <v>3594</v>
      </c>
      <c r="AB1" s="770" t="s">
        <v>6333</v>
      </c>
      <c r="AC1" s="770" t="s">
        <v>6334</v>
      </c>
      <c r="AD1" s="770" t="s">
        <v>6335</v>
      </c>
      <c r="AE1" s="770" t="s">
        <v>1198</v>
      </c>
      <c r="AF1" s="770" t="s">
        <v>216</v>
      </c>
      <c r="AG1" s="770" t="s">
        <v>1720</v>
      </c>
      <c r="AH1" s="770" t="s">
        <v>2006</v>
      </c>
      <c r="AI1" s="770" t="s">
        <v>6336</v>
      </c>
      <c r="AJ1" s="770" t="s">
        <v>6337</v>
      </c>
      <c r="AK1" s="770" t="s">
        <v>1943</v>
      </c>
      <c r="AL1" s="770" t="s">
        <v>6338</v>
      </c>
      <c r="AM1" s="770" t="s">
        <v>6339</v>
      </c>
      <c r="AN1" s="770" t="s">
        <v>5975</v>
      </c>
      <c r="AO1" s="770" t="s">
        <v>6340</v>
      </c>
      <c r="AP1" s="770" t="s">
        <v>6341</v>
      </c>
      <c r="AQ1" s="770" t="s">
        <v>5691</v>
      </c>
      <c r="AR1" s="770" t="s">
        <v>3231</v>
      </c>
      <c r="AS1" s="770" t="s">
        <v>6342</v>
      </c>
      <c r="AT1" s="770" t="s">
        <v>3914</v>
      </c>
      <c r="AU1" s="770" t="s">
        <v>5379</v>
      </c>
      <c r="AV1" s="770" t="s">
        <v>6343</v>
      </c>
      <c r="AW1" s="770" t="s">
        <v>6344</v>
      </c>
      <c r="AX1" s="771" t="s">
        <v>6345</v>
      </c>
      <c r="AY1" s="770" t="s">
        <v>6346</v>
      </c>
      <c r="AZ1" s="770" t="s">
        <v>6347</v>
      </c>
      <c r="BA1" s="770" t="s">
        <v>1628</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1983</v>
      </c>
      <c r="L4" s="791" t="s">
        <v>441</v>
      </c>
      <c r="M4" s="793" t="s">
        <v>741</v>
      </c>
      <c r="N4" s="791" t="str">
        <f>HYPERLINK("https://youtu.be/qv_H1NgDIQ8","53.73")</f>
        <v>53.73</v>
      </c>
      <c r="O4" s="791" t="s">
        <v>2811</v>
      </c>
      <c r="P4" s="794" t="s">
        <v>1370</v>
      </c>
      <c r="Q4" s="791" t="str">
        <f>HYPERLINK("https://clips.twitch.tv/ZealousSeductiveOkapiCharlieBitMe","51.96")</f>
        <v>51.96</v>
      </c>
      <c r="R4" s="793"/>
      <c r="S4" s="791" t="s">
        <v>1713</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2070</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1702</v>
      </c>
      <c r="E10" s="796" t="s">
        <v>2820</v>
      </c>
      <c r="F10" s="790" t="s">
        <v>6379</v>
      </c>
      <c r="G10" s="796"/>
      <c r="H10" s="792"/>
      <c r="I10" s="796" t="s">
        <v>6380</v>
      </c>
      <c r="J10" s="796"/>
      <c r="K10" s="796" t="s">
        <v>4076</v>
      </c>
      <c r="L10" s="796"/>
      <c r="M10" s="796" t="s">
        <v>3096</v>
      </c>
      <c r="N10" s="796" t="s">
        <v>6381</v>
      </c>
      <c r="O10" s="796"/>
      <c r="P10" s="794" t="s">
        <v>3302</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1952</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2096</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3917</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1804</v>
      </c>
      <c r="L13" s="796" t="s">
        <v>443</v>
      </c>
      <c r="M13" s="796" t="str">
        <f>HYPERLINK("https://youtu.be/v-0tSrJ8Kf0","13.80")</f>
        <v>13.80</v>
      </c>
      <c r="N13" s="796" t="str">
        <f>HYPERLINK("https://youtu.be/Kv9otnDdZKc","13.93")</f>
        <v>13.93</v>
      </c>
      <c r="O13" s="796" t="s">
        <v>991</v>
      </c>
      <c r="P13" s="794" t="s">
        <v>2401</v>
      </c>
      <c r="Q13" s="796" t="s">
        <v>1804</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2207</v>
      </c>
      <c r="G15" s="793" t="s">
        <v>6394</v>
      </c>
      <c r="H15" s="797"/>
      <c r="I15" s="793"/>
      <c r="J15" s="791" t="s">
        <v>6395</v>
      </c>
      <c r="K15" s="793"/>
      <c r="L15" s="793" t="s">
        <v>6395</v>
      </c>
      <c r="M15" s="793"/>
      <c r="N15" s="793"/>
      <c r="O15" s="791" t="s">
        <v>1840</v>
      </c>
      <c r="P15" s="794" t="s">
        <v>6396</v>
      </c>
      <c r="Q15" s="793" t="s">
        <v>6397</v>
      </c>
      <c r="R15" s="793"/>
      <c r="S15" s="793"/>
      <c r="T15" s="793" t="s">
        <v>6389</v>
      </c>
      <c r="U15" s="793"/>
      <c r="V15" s="793" t="s">
        <v>6395</v>
      </c>
      <c r="W15" s="793"/>
      <c r="X15" s="791" t="s">
        <v>1840</v>
      </c>
      <c r="Y15" s="793"/>
      <c r="Z15" s="793"/>
      <c r="AA15" s="793"/>
      <c r="AB15" s="793"/>
      <c r="AC15" s="793"/>
      <c r="AD15" s="793"/>
      <c r="AE15" s="793"/>
      <c r="AF15" s="791" t="s">
        <v>6392</v>
      </c>
      <c r="AG15" s="793" t="s">
        <v>3819</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1778</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4069</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3847</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2223</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3819</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1818</v>
      </c>
      <c r="F29" s="805"/>
      <c r="G29" s="796"/>
      <c r="H29" s="813"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1962</v>
      </c>
      <c r="D30" s="796"/>
      <c r="E30" s="796" t="s">
        <v>1424</v>
      </c>
      <c r="F30" s="790" t="s">
        <v>110</v>
      </c>
      <c r="G30" s="796"/>
      <c r="H30" s="797"/>
      <c r="I30" s="796" t="s">
        <v>1818</v>
      </c>
      <c r="J30" s="796" t="s">
        <v>1962</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3807</v>
      </c>
      <c r="D31" s="796"/>
      <c r="E31" s="796" t="s">
        <v>3807</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3390</v>
      </c>
      <c r="F33" s="805"/>
      <c r="G33" s="796"/>
      <c r="H33" s="792"/>
      <c r="I33" s="796"/>
      <c r="J33" s="796" t="s">
        <v>2824</v>
      </c>
      <c r="K33" s="796" t="s">
        <v>3807</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1740</v>
      </c>
      <c r="R35" s="796"/>
      <c r="S35" s="796"/>
      <c r="T35" s="796"/>
      <c r="U35" s="796" t="s">
        <v>5765</v>
      </c>
      <c r="V35" s="796"/>
      <c r="W35" s="796"/>
      <c r="X35" s="796"/>
      <c r="Y35" s="796"/>
      <c r="Z35" s="796" t="s">
        <v>1651</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3889</v>
      </c>
      <c r="F36" s="790" t="s">
        <v>3655</v>
      </c>
      <c r="G36" s="796" t="s">
        <v>760</v>
      </c>
      <c r="H36" s="806" t="s">
        <v>2698</v>
      </c>
      <c r="I36" s="796" t="s">
        <v>1952</v>
      </c>
      <c r="J36" s="796" t="s">
        <v>1138</v>
      </c>
      <c r="K36" s="796" t="s">
        <v>4769</v>
      </c>
      <c r="L36" s="796"/>
      <c r="M36" s="796"/>
      <c r="N36" s="796"/>
      <c r="O36" s="796" t="s">
        <v>1952</v>
      </c>
      <c r="P36" s="794" t="s">
        <v>2481</v>
      </c>
      <c r="Q36" s="796" t="str">
        <f>HYPERLINK("https://clips.twitch.tv/AggressiveBigTeaNononoCat","40.26")</f>
        <v>40.26</v>
      </c>
      <c r="R36" s="796"/>
      <c r="S36" s="796"/>
      <c r="T36" s="796" t="s">
        <v>3889</v>
      </c>
      <c r="U36" s="796"/>
      <c r="V36" s="796"/>
      <c r="W36" s="796"/>
      <c r="X36" s="796"/>
      <c r="Y36" s="796"/>
      <c r="Z36" s="796"/>
      <c r="AA36" s="796" t="s">
        <v>475</v>
      </c>
      <c r="AB36" s="796"/>
      <c r="AC36" s="796"/>
      <c r="AD36" s="796"/>
      <c r="AE36" s="796"/>
      <c r="AF36" s="796"/>
      <c r="AG36" s="796"/>
      <c r="AH36" s="796"/>
      <c r="AI36" s="796"/>
      <c r="AJ36" s="796" t="s">
        <v>1727</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1795</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1723</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3272</v>
      </c>
      <c r="D41" s="794"/>
      <c r="E41" s="794"/>
      <c r="F41" s="805"/>
      <c r="G41" s="794"/>
      <c r="H41" s="792"/>
      <c r="I41" s="823"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1911</v>
      </c>
      <c r="D50" s="796"/>
      <c r="E50" s="796" t="s">
        <v>1478</v>
      </c>
      <c r="F50" s="790" t="s">
        <v>1870</v>
      </c>
      <c r="G50" s="796"/>
      <c r="H50" s="792"/>
      <c r="I50" s="796" t="s">
        <v>6012</v>
      </c>
      <c r="J50" s="796" t="s">
        <v>1911</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1852</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3667</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2134</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3254</v>
      </c>
      <c r="I57" s="842"/>
      <c r="J57" s="842"/>
      <c r="K57" s="842"/>
      <c r="L57" s="842"/>
      <c r="M57" s="842"/>
      <c r="N57" s="842"/>
      <c r="O57" s="790" t="s">
        <v>3864</v>
      </c>
      <c r="P57" s="794" t="s">
        <v>6479</v>
      </c>
      <c r="Q57" s="842" t="s">
        <v>6409</v>
      </c>
      <c r="R57" s="842" t="s">
        <v>767</v>
      </c>
      <c r="S57" s="842"/>
      <c r="T57" s="842"/>
      <c r="U57" s="842"/>
      <c r="V57" s="842"/>
      <c r="W57" s="842"/>
      <c r="X57" s="842"/>
      <c r="Y57" s="842" t="s">
        <v>3864</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2014</v>
      </c>
      <c r="D59" s="826" t="s">
        <v>6480</v>
      </c>
      <c r="E59" s="826"/>
      <c r="F59" s="805"/>
      <c r="G59" s="826" t="s">
        <v>2210</v>
      </c>
      <c r="H59" s="845" t="s">
        <v>3221</v>
      </c>
      <c r="I59" s="826"/>
      <c r="J59" s="826"/>
      <c r="K59" s="826"/>
      <c r="L59" s="826"/>
      <c r="M59" s="826"/>
      <c r="N59" s="826"/>
      <c r="O59" s="826"/>
      <c r="P59" s="827"/>
      <c r="Q59" s="826"/>
      <c r="R59" s="826"/>
      <c r="S59" s="826"/>
      <c r="T59" s="826"/>
      <c r="U59" s="826"/>
      <c r="V59" s="826"/>
      <c r="W59" s="826"/>
      <c r="X59" s="826" t="s">
        <v>2014</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3589</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3424</v>
      </c>
      <c r="F63" s="805"/>
      <c r="G63" s="796" t="s">
        <v>569</v>
      </c>
      <c r="H63" s="845" t="s">
        <v>2043</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3993</v>
      </c>
      <c r="O64" s="854"/>
      <c r="P64" s="807"/>
      <c r="Q64" s="854" t="str">
        <f>HYPERLINK("https://clips.twitch.tv/ThankfulSpoopyHerdWOOP","16.58")</f>
        <v>16.58</v>
      </c>
      <c r="R64" s="854"/>
      <c r="S64" s="854"/>
      <c r="T64" s="854"/>
      <c r="U64" s="854" t="s">
        <v>3073</v>
      </c>
      <c r="V64" s="854"/>
      <c r="W64" s="854" t="s">
        <v>3486</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4066</v>
      </c>
      <c r="D65" s="796" t="s">
        <v>526</v>
      </c>
      <c r="E65" s="796"/>
      <c r="F65" s="790" t="s">
        <v>2164</v>
      </c>
      <c r="G65" s="796" t="s">
        <v>3957</v>
      </c>
      <c r="H65" s="841"/>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1810</v>
      </c>
      <c r="R66" s="826"/>
      <c r="S66" s="826" t="s">
        <v>1604</v>
      </c>
      <c r="T66" s="826"/>
      <c r="U66" s="826"/>
      <c r="V66" s="826"/>
      <c r="W66" s="826"/>
      <c r="X66" s="826"/>
      <c r="Y66" s="826"/>
      <c r="Z66" s="826" t="s">
        <v>4066</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2149</v>
      </c>
      <c r="D67" s="796"/>
      <c r="E67" s="796" t="s">
        <v>2149</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3811</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3994</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3994</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1644</v>
      </c>
      <c r="K70" s="796" t="s">
        <v>1815</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3986</v>
      </c>
      <c r="D71" s="796"/>
      <c r="E71" s="796" t="s">
        <v>3986</v>
      </c>
      <c r="F71" s="790" t="s">
        <v>2467</v>
      </c>
      <c r="G71" s="796"/>
      <c r="H71" s="841"/>
      <c r="I71" s="796"/>
      <c r="J71" s="796"/>
      <c r="K71" s="796"/>
      <c r="L71" s="796"/>
      <c r="M71" s="796"/>
      <c r="N71" s="796"/>
      <c r="O71" s="796"/>
      <c r="P71" s="794"/>
      <c r="Q71" s="796"/>
      <c r="R71" s="796"/>
      <c r="S71" s="796"/>
      <c r="T71" s="796"/>
      <c r="U71" s="796"/>
      <c r="V71" s="796"/>
      <c r="W71" s="796" t="s">
        <v>3590</v>
      </c>
      <c r="X71" s="796"/>
      <c r="Y71" s="796"/>
      <c r="Z71" s="796"/>
      <c r="AA71" s="796"/>
      <c r="AB71" s="796"/>
      <c r="AC71" s="796" t="s">
        <v>1810</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3849</v>
      </c>
      <c r="T72" s="796"/>
      <c r="U72" s="796"/>
      <c r="V72" s="796" t="s">
        <v>6509</v>
      </c>
      <c r="W72" s="796" t="s">
        <v>2085</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1973</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1701</v>
      </c>
      <c r="E74" s="796" t="s">
        <v>360</v>
      </c>
      <c r="F74" s="805"/>
      <c r="G74" s="796"/>
      <c r="H74" s="792"/>
      <c r="I74" s="796"/>
      <c r="J74" s="796"/>
      <c r="K74" s="796"/>
      <c r="L74" s="796" t="s">
        <v>4230</v>
      </c>
      <c r="M74" s="796" t="str">
        <f>HYPERLINK("https://www.youtube.com/watch?v=8BrDAvD-IV4","1:01.54")</f>
        <v>1:01.54</v>
      </c>
      <c r="N74" s="796" t="s">
        <v>1649</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2206</v>
      </c>
      <c r="D76" s="796"/>
      <c r="E76" s="796" t="s">
        <v>2206</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1689</v>
      </c>
      <c r="D85" s="796"/>
      <c r="E85" s="796" t="s">
        <v>1689</v>
      </c>
      <c r="F85" s="805"/>
      <c r="G85" s="796" t="s">
        <v>1689</v>
      </c>
      <c r="H85" s="792"/>
      <c r="I85" s="796"/>
      <c r="J85" s="796"/>
      <c r="K85" s="796"/>
      <c r="L85" s="796"/>
      <c r="M85" s="796" t="s">
        <v>1689</v>
      </c>
      <c r="N85" s="796"/>
      <c r="O85" s="796"/>
      <c r="P85" s="794"/>
      <c r="Q85" s="796" t="s">
        <v>2748</v>
      </c>
      <c r="R85" s="796" t="s">
        <v>1689</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3895</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1665</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2033</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3207</v>
      </c>
      <c r="J93" s="875" t="s">
        <v>4136</v>
      </c>
      <c r="K93" s="875" t="s">
        <v>1234</v>
      </c>
      <c r="L93" s="875" t="s">
        <v>846</v>
      </c>
      <c r="M93" s="875" t="s">
        <v>761</v>
      </c>
      <c r="N93" s="875" t="s">
        <v>3571</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3229</v>
      </c>
      <c r="D94" s="879" t="s">
        <v>4549</v>
      </c>
      <c r="E94" s="875"/>
      <c r="F94" s="790" t="s">
        <v>5865</v>
      </c>
      <c r="G94" s="875"/>
      <c r="H94" s="792"/>
      <c r="I94" s="875"/>
      <c r="J94" s="875" t="s">
        <v>3229</v>
      </c>
      <c r="K94" s="875"/>
      <c r="L94" s="875" t="s">
        <v>3424</v>
      </c>
      <c r="M94" s="875"/>
      <c r="N94" s="875"/>
      <c r="O94" s="875"/>
      <c r="P94" s="877"/>
      <c r="Q94" s="875"/>
      <c r="R94" s="875"/>
      <c r="S94" s="875"/>
      <c r="T94" s="875" t="s">
        <v>1963</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3512</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3492</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3568</v>
      </c>
      <c r="E100" s="875"/>
      <c r="F100" s="790" t="s">
        <v>131</v>
      </c>
      <c r="G100" s="875"/>
      <c r="H100" s="876"/>
      <c r="I100" s="875" t="s">
        <v>6560</v>
      </c>
      <c r="J100" s="875" t="s">
        <v>6561</v>
      </c>
      <c r="K100" s="875" t="s">
        <v>3493</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2114</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1699</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3254</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3495</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1658</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1747</v>
      </c>
      <c r="G107" s="869" t="s">
        <v>471</v>
      </c>
      <c r="H107" s="888" t="s">
        <v>2047</v>
      </c>
      <c r="I107" s="869"/>
      <c r="J107" s="869" t="s">
        <v>2047</v>
      </c>
      <c r="K107" s="869" t="s">
        <v>2047</v>
      </c>
      <c r="L107" s="869" t="s">
        <v>671</v>
      </c>
      <c r="M107" s="869" t="s">
        <v>767</v>
      </c>
      <c r="N107" s="869"/>
      <c r="O107" s="869" t="s">
        <v>2164</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2193</v>
      </c>
      <c r="D108" s="875"/>
      <c r="E108" s="875"/>
      <c r="F108" s="790" t="s">
        <v>4221</v>
      </c>
      <c r="G108" s="875"/>
      <c r="H108" s="876"/>
      <c r="I108" s="875"/>
      <c r="J108" s="875"/>
      <c r="K108" s="875" t="s">
        <v>3897</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3759</v>
      </c>
      <c r="BD108" s="872"/>
      <c r="BE108" s="875"/>
      <c r="BF108" s="871"/>
      <c r="BG108" s="871"/>
      <c r="BH108" s="872"/>
      <c r="BI108" s="872"/>
      <c r="BJ108" s="872"/>
    </row>
    <row r="109" ht="15.75" customHeight="1">
      <c r="A109" s="886"/>
      <c r="B109" s="882" t="s">
        <v>6568</v>
      </c>
      <c r="C109" s="868" t="s">
        <v>963</v>
      </c>
      <c r="D109" s="875" t="s">
        <v>3873</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2074</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1972</v>
      </c>
      <c r="I110" s="869" t="s">
        <v>257</v>
      </c>
      <c r="J110" s="869" t="s">
        <v>4941</v>
      </c>
      <c r="K110" s="869" t="s">
        <v>934</v>
      </c>
      <c r="L110" s="869"/>
      <c r="M110" s="869" t="s">
        <v>768</v>
      </c>
      <c r="N110" s="869"/>
      <c r="O110" s="869" t="s">
        <v>2242</v>
      </c>
      <c r="P110" s="870" t="s">
        <v>5899</v>
      </c>
      <c r="Q110" s="869" t="s">
        <v>6571</v>
      </c>
      <c r="R110" s="869" t="s">
        <v>3148</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4040</v>
      </c>
      <c r="D115" s="869" t="s">
        <v>6580</v>
      </c>
      <c r="E115" s="869" t="s">
        <v>6581</v>
      </c>
      <c r="F115" s="805"/>
      <c r="G115" s="869" t="s">
        <v>4040</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2170</v>
      </c>
      <c r="D118" s="796" t="s">
        <v>655</v>
      </c>
      <c r="E118" s="875"/>
      <c r="F118" s="790" t="s">
        <v>1259</v>
      </c>
      <c r="G118" s="875"/>
      <c r="H118" s="903" t="s">
        <v>2170</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3308</v>
      </c>
      <c r="D120" s="871"/>
      <c r="E120" s="871"/>
      <c r="F120" s="805"/>
      <c r="G120" s="883" t="s">
        <v>3308</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2130</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2113</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3498</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1882</v>
      </c>
      <c r="D130" s="875" t="s">
        <v>2591</v>
      </c>
      <c r="E130" s="875"/>
      <c r="F130" s="805"/>
      <c r="G130" s="875"/>
      <c r="H130" s="900"/>
      <c r="I130" s="875"/>
      <c r="J130" s="875"/>
      <c r="K130" s="875" t="s">
        <v>3499</v>
      </c>
      <c r="L130" s="875"/>
      <c r="M130" s="875"/>
      <c r="N130" s="875"/>
      <c r="O130" s="875"/>
      <c r="P130" s="877"/>
      <c r="Q130" s="875"/>
      <c r="R130" s="875" t="s">
        <v>2972</v>
      </c>
      <c r="S130" s="875"/>
      <c r="T130" s="875"/>
      <c r="U130" s="875"/>
      <c r="V130" s="875"/>
      <c r="W130" s="875" t="s">
        <v>1638</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3451</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3451</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1737</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1903</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3969</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3597</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1853</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3148</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1899</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1899</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3677</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3441</v>
      </c>
      <c r="D146" s="801" t="s">
        <v>1587</v>
      </c>
      <c r="E146" s="875"/>
      <c r="F146" s="790" t="s">
        <v>1364</v>
      </c>
      <c r="G146" s="875"/>
      <c r="H146" s="900"/>
      <c r="I146" s="875"/>
      <c r="J146" s="875"/>
      <c r="K146" s="875"/>
      <c r="L146" s="875"/>
      <c r="M146" s="875" t="s">
        <v>6641</v>
      </c>
      <c r="N146" s="875"/>
      <c r="O146" s="875" t="s">
        <v>1022</v>
      </c>
      <c r="P146" s="877"/>
      <c r="Q146" s="875"/>
      <c r="R146" s="875"/>
      <c r="S146" s="790" t="s">
        <v>3441</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3507</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3788</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3631</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3742</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3503</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2228</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1922</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1922</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2057</v>
      </c>
      <c r="K172" s="796" t="s">
        <v>5282</v>
      </c>
      <c r="L172" s="796" t="s">
        <v>868</v>
      </c>
      <c r="M172" s="796" t="s">
        <v>2813</v>
      </c>
      <c r="N172" s="796" t="s">
        <v>1838</v>
      </c>
      <c r="O172" s="796" t="s">
        <v>6700</v>
      </c>
      <c r="P172" s="794" t="s">
        <v>1838</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3899</v>
      </c>
      <c r="D173" s="796"/>
      <c r="E173" s="796" t="s">
        <v>3899</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3926</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1987</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3412</v>
      </c>
      <c r="E183" s="930"/>
      <c r="F183" s="805"/>
      <c r="G183" s="930"/>
      <c r="H183" s="813" t="s">
        <v>6721</v>
      </c>
      <c r="I183" s="930" t="s">
        <v>6154</v>
      </c>
      <c r="J183" s="930"/>
      <c r="K183" s="930" t="s">
        <v>3141</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3191</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1707</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1973</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2228</v>
      </c>
      <c r="D188" s="826" t="s">
        <v>6731</v>
      </c>
      <c r="E188" s="930"/>
      <c r="F188" s="805"/>
      <c r="G188" s="930" t="s">
        <v>2984</v>
      </c>
      <c r="H188" s="928" t="s">
        <v>584</v>
      </c>
      <c r="I188" s="930"/>
      <c r="J188" s="930"/>
      <c r="K188" s="930"/>
      <c r="L188" s="930"/>
      <c r="M188" s="930"/>
      <c r="N188" s="930"/>
      <c r="O188" s="930"/>
      <c r="P188" s="811"/>
      <c r="Q188" s="930"/>
      <c r="R188" s="930"/>
      <c r="S188" s="930"/>
      <c r="T188" s="930" t="s">
        <v>2228</v>
      </c>
      <c r="U188" s="930"/>
      <c r="V188" s="930"/>
      <c r="W188" s="930"/>
      <c r="X188" s="930"/>
      <c r="Y188" s="930" t="s">
        <v>684</v>
      </c>
      <c r="Z188" s="930"/>
      <c r="AA188" s="930"/>
      <c r="AB188" s="869" t="s">
        <v>2228</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1673</v>
      </c>
      <c r="M190" s="930"/>
      <c r="N190" s="930" t="s">
        <v>4635</v>
      </c>
      <c r="O190" s="930"/>
      <c r="P190" s="811"/>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1673</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3662</v>
      </c>
      <c r="F195" s="790" t="s">
        <v>6742</v>
      </c>
      <c r="G195" s="826"/>
      <c r="H195" s="792"/>
      <c r="I195" s="826" t="s">
        <v>6743</v>
      </c>
      <c r="J195" s="826"/>
      <c r="K195" s="826"/>
      <c r="L195" s="826" t="s">
        <v>3662</v>
      </c>
      <c r="M195" s="826"/>
      <c r="N195" s="826" t="s">
        <v>6744</v>
      </c>
      <c r="O195" s="826"/>
      <c r="P195" s="827" t="s">
        <v>3792</v>
      </c>
      <c r="Q195" s="826"/>
      <c r="R195" s="842" t="s">
        <v>6745</v>
      </c>
      <c r="S195" s="826"/>
      <c r="T195" s="826"/>
      <c r="U195" s="826" t="s">
        <v>3041</v>
      </c>
      <c r="V195" s="826"/>
      <c r="W195" s="826" t="s">
        <v>3949</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2124</v>
      </c>
      <c r="D198" s="796" t="s">
        <v>1592</v>
      </c>
      <c r="E198" s="793"/>
      <c r="F198" s="805"/>
      <c r="G198" s="791" t="s">
        <v>2124</v>
      </c>
      <c r="H198" s="925"/>
      <c r="I198" s="793"/>
      <c r="J198" s="793"/>
      <c r="K198" s="793"/>
      <c r="L198" s="793"/>
      <c r="M198" s="793"/>
      <c r="N198" s="793"/>
      <c r="O198" s="793"/>
      <c r="P198" s="794"/>
      <c r="Q198" s="793"/>
      <c r="R198" s="793"/>
      <c r="S198" s="793"/>
      <c r="T198" s="791" t="s">
        <v>495</v>
      </c>
      <c r="U198" s="793"/>
      <c r="V198" s="793"/>
      <c r="W198" s="793"/>
      <c r="X198" s="793"/>
      <c r="Y198" s="791" t="s">
        <v>2124</v>
      </c>
      <c r="Z198" s="793"/>
      <c r="AA198" s="793"/>
      <c r="AB198" s="793" t="s">
        <v>2124</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2226</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3225</v>
      </c>
      <c r="E204" s="796" t="s">
        <v>4441</v>
      </c>
      <c r="F204" s="790" t="s">
        <v>897</v>
      </c>
      <c r="G204" s="796" t="s">
        <v>1053</v>
      </c>
      <c r="H204" s="813" t="s">
        <v>1786</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1938</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1844</v>
      </c>
      <c r="P208" s="811"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3510</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1728</v>
      </c>
      <c r="L212" s="869" t="s">
        <v>879</v>
      </c>
      <c r="M212" s="869" t="s">
        <v>255</v>
      </c>
      <c r="N212" s="875" t="s">
        <v>4400</v>
      </c>
      <c r="O212" s="869" t="s">
        <v>1176</v>
      </c>
      <c r="P212" s="877" t="s">
        <v>355</v>
      </c>
      <c r="Q212" s="875"/>
      <c r="R212" s="875"/>
      <c r="S212" s="875"/>
      <c r="T212" s="875"/>
      <c r="U212" s="875" t="s">
        <v>3843</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3643</v>
      </c>
      <c r="G213" s="869" t="s">
        <v>2165</v>
      </c>
      <c r="H213" s="949" t="s">
        <v>3110</v>
      </c>
      <c r="I213" s="869" t="s">
        <v>1599</v>
      </c>
      <c r="J213" s="869" t="s">
        <v>1899</v>
      </c>
      <c r="K213" s="869" t="s">
        <v>2165</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1635</v>
      </c>
      <c r="J214" s="875"/>
      <c r="K214" s="869" t="s">
        <v>6266</v>
      </c>
      <c r="L214" s="869" t="s">
        <v>4416</v>
      </c>
      <c r="M214" s="869" t="str">
        <f>HYPERLINK("https://www.youtube.com/watch?v=aWzlUqH0LaM","41.87")</f>
        <v>41.87</v>
      </c>
      <c r="N214" s="875" t="s">
        <v>2146</v>
      </c>
      <c r="O214" s="869" t="s">
        <v>1534</v>
      </c>
      <c r="P214" s="877" t="s">
        <v>3160</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3421</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1687</v>
      </c>
      <c r="D228" s="796" t="s">
        <v>1852</v>
      </c>
      <c r="E228" s="875"/>
      <c r="F228" s="790" t="s">
        <v>1383</v>
      </c>
      <c r="G228" s="875"/>
      <c r="H228" s="813" t="s">
        <v>801</v>
      </c>
      <c r="I228" s="875" t="s">
        <v>4296</v>
      </c>
      <c r="J228" s="869" t="s">
        <v>6810</v>
      </c>
      <c r="K228" s="869" t="s">
        <v>3358</v>
      </c>
      <c r="L228" s="875"/>
      <c r="M228" s="875"/>
      <c r="N228" s="875" t="s">
        <v>4278</v>
      </c>
      <c r="O228" s="869" t="s">
        <v>1383</v>
      </c>
      <c r="P228" s="877" t="s">
        <v>2131</v>
      </c>
      <c r="Q228" s="875" t="s">
        <v>1852</v>
      </c>
      <c r="R228" s="790" t="s">
        <v>5602</v>
      </c>
      <c r="S228" s="790" t="s">
        <v>119</v>
      </c>
      <c r="T228" s="869" t="s">
        <v>3850</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2238</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2230</v>
      </c>
      <c r="S231" s="869"/>
      <c r="T231" s="869"/>
      <c r="U231" s="869"/>
      <c r="V231" s="869"/>
      <c r="W231" s="869" t="s">
        <v>3691</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3633</v>
      </c>
      <c r="D232" s="875" t="s">
        <v>1620</v>
      </c>
      <c r="E232" s="875"/>
      <c r="F232" s="790" t="s">
        <v>1691</v>
      </c>
      <c r="G232" s="875"/>
      <c r="H232" s="813" t="s">
        <v>1603</v>
      </c>
      <c r="I232" s="875" t="s">
        <v>2436</v>
      </c>
      <c r="J232" s="875"/>
      <c r="K232" s="869" t="s">
        <v>4021</v>
      </c>
      <c r="L232" s="875"/>
      <c r="M232" s="875"/>
      <c r="N232" s="875" t="s">
        <v>6815</v>
      </c>
      <c r="O232" s="875"/>
      <c r="P232" s="877" t="s">
        <v>6816</v>
      </c>
      <c r="Q232" s="875"/>
      <c r="R232" s="875" t="s">
        <v>3633</v>
      </c>
      <c r="S232" s="875"/>
      <c r="T232" s="875"/>
      <c r="U232" s="875" t="s">
        <v>3731</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2132</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3288</v>
      </c>
      <c r="G235" s="790" t="s">
        <v>5420</v>
      </c>
      <c r="H235" s="950"/>
      <c r="I235" s="869"/>
      <c r="J235" s="869" t="s">
        <v>1786</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1923</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2191</v>
      </c>
      <c r="L242" s="790" t="s">
        <v>508</v>
      </c>
      <c r="M242" s="805"/>
      <c r="N242" s="805"/>
      <c r="O242" s="790" t="s">
        <v>1922</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3614</v>
      </c>
      <c r="D245" s="869"/>
      <c r="E245" s="869" t="s">
        <v>3614</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3330</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1752</v>
      </c>
      <c r="D249" s="875" t="s">
        <v>3866</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3738</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3811</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3369</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1989</v>
      </c>
      <c r="D253" s="869"/>
      <c r="E253" s="869" t="s">
        <v>1534</v>
      </c>
      <c r="F253" s="805"/>
      <c r="G253" s="869" t="s">
        <v>1989</v>
      </c>
      <c r="H253" s="802" t="s">
        <v>857</v>
      </c>
      <c r="I253" s="869"/>
      <c r="J253" s="869" t="s">
        <v>2153</v>
      </c>
      <c r="K253" s="869"/>
      <c r="L253" s="870" t="s">
        <v>6844</v>
      </c>
      <c r="M253" s="869"/>
      <c r="N253" s="869"/>
      <c r="O253" s="869" t="s">
        <v>1306</v>
      </c>
      <c r="P253" s="870" t="s">
        <v>6845</v>
      </c>
      <c r="Q253" s="869"/>
      <c r="R253" s="869"/>
      <c r="S253" s="869"/>
      <c r="T253" s="869" t="s">
        <v>2142</v>
      </c>
      <c r="U253" s="869"/>
      <c r="V253" s="869"/>
      <c r="W253" s="869"/>
      <c r="X253" s="869" t="s">
        <v>1918</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2153</v>
      </c>
      <c r="D254" s="869"/>
      <c r="E254" s="869" t="s">
        <v>2153</v>
      </c>
      <c r="F254" s="805"/>
      <c r="G254" s="870" t="s">
        <v>2894</v>
      </c>
      <c r="H254" s="983" t="s">
        <v>6847</v>
      </c>
      <c r="I254" s="869"/>
      <c r="J254" s="869"/>
      <c r="K254" s="869"/>
      <c r="L254" s="869"/>
      <c r="M254" s="869"/>
      <c r="N254" s="869"/>
      <c r="O254" s="869"/>
      <c r="P254" s="870"/>
      <c r="Q254" s="790" t="s">
        <v>3160</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2208</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4021</v>
      </c>
      <c r="V259" s="875"/>
      <c r="W259" s="875"/>
      <c r="X259" s="875"/>
      <c r="Y259" s="875"/>
      <c r="Z259" s="875"/>
      <c r="AA259" s="875"/>
      <c r="AB259" s="875"/>
      <c r="AC259" s="875"/>
      <c r="AD259" s="875"/>
      <c r="AE259" s="875"/>
      <c r="AF259" s="875"/>
      <c r="AG259" s="875" t="s">
        <v>3602</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3330</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3498</v>
      </c>
      <c r="D261" s="869" t="s">
        <v>242</v>
      </c>
      <c r="E261" s="869" t="s">
        <v>3498</v>
      </c>
      <c r="F261" s="790" t="s">
        <v>1391</v>
      </c>
      <c r="G261" s="869" t="s">
        <v>1536</v>
      </c>
      <c r="H261" s="888" t="s">
        <v>179</v>
      </c>
      <c r="I261" s="869" t="s">
        <v>3147</v>
      </c>
      <c r="J261" s="869" t="s">
        <v>2132</v>
      </c>
      <c r="K261" s="869" t="s">
        <v>5388</v>
      </c>
      <c r="L261" s="869" t="s">
        <v>840</v>
      </c>
      <c r="M261" s="869" t="s">
        <v>276</v>
      </c>
      <c r="N261" s="869" t="s">
        <v>5667</v>
      </c>
      <c r="O261" s="869" t="s">
        <v>714</v>
      </c>
      <c r="P261" s="870" t="s">
        <v>427</v>
      </c>
      <c r="Q261" s="869" t="s">
        <v>4021</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3876</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3862</v>
      </c>
      <c r="D263" s="869" t="s">
        <v>5099</v>
      </c>
      <c r="E263" s="869" t="s">
        <v>3331</v>
      </c>
      <c r="F263" s="790" t="s">
        <v>6870</v>
      </c>
      <c r="G263" s="869"/>
      <c r="H263" s="813" t="s">
        <v>3245</v>
      </c>
      <c r="I263" s="869" t="str">
        <f>HYPERLINK(" https://youtu.be/dsDcBzsPA5s","45.74")</f>
        <v>45.74</v>
      </c>
      <c r="J263" s="869" t="s">
        <v>3862</v>
      </c>
      <c r="K263" s="869" t="s">
        <v>6871</v>
      </c>
      <c r="L263" s="869" t="s">
        <v>3918</v>
      </c>
      <c r="M263" s="869" t="s">
        <v>1697</v>
      </c>
      <c r="N263" s="869" t="s">
        <v>1990</v>
      </c>
      <c r="O263" s="869" t="s">
        <v>3847</v>
      </c>
      <c r="P263" s="870" t="s">
        <v>3369</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2053</v>
      </c>
      <c r="H264" s="985" t="s">
        <v>2075</v>
      </c>
      <c r="I264" s="869" t="str">
        <f>HYPERLINK("https://youtu.be/9O9oqhlyCxY","45.20")</f>
        <v>45.20</v>
      </c>
      <c r="J264" s="869" t="s">
        <v>6876</v>
      </c>
      <c r="K264" s="790" t="s">
        <v>3519</v>
      </c>
      <c r="L264" s="869" t="s">
        <v>321</v>
      </c>
      <c r="M264" s="869" t="s">
        <v>1307</v>
      </c>
      <c r="N264" s="869" t="s">
        <v>6842</v>
      </c>
      <c r="O264" s="869" t="s">
        <v>1047</v>
      </c>
      <c r="P264" s="870"/>
      <c r="Q264" s="869" t="s">
        <v>1927</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3401</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1884</v>
      </c>
      <c r="I269" s="869" t="s">
        <v>1479</v>
      </c>
      <c r="J269" s="869" t="s">
        <v>3670</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3289</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1741</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3658</v>
      </c>
      <c r="G273" s="870" t="s">
        <v>6120</v>
      </c>
      <c r="H273" s="985" t="s">
        <v>3116</v>
      </c>
      <c r="I273" s="869"/>
      <c r="J273" s="869" t="s">
        <v>1612</v>
      </c>
      <c r="K273" s="869"/>
      <c r="L273" s="869"/>
      <c r="M273" s="869" t="s">
        <v>1186</v>
      </c>
      <c r="N273" s="869"/>
      <c r="O273" s="869" t="s">
        <v>3658</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1638</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3525</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3178</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2171</v>
      </c>
      <c r="D282" s="1011" t="s">
        <v>6912</v>
      </c>
      <c r="E282" s="869" t="s">
        <v>4074</v>
      </c>
      <c r="F282" s="790" t="s">
        <v>2831</v>
      </c>
      <c r="G282" s="910" t="s">
        <v>4679</v>
      </c>
      <c r="H282" s="845" t="s">
        <v>2080</v>
      </c>
      <c r="I282" s="869"/>
      <c r="J282" s="869"/>
      <c r="K282" s="869"/>
      <c r="L282" s="869"/>
      <c r="M282" s="869"/>
      <c r="N282" s="869"/>
      <c r="O282" s="869" t="s">
        <v>2171</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2084</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3731</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3487</v>
      </c>
      <c r="D293" s="796" t="s">
        <v>3487</v>
      </c>
      <c r="E293" s="875"/>
      <c r="F293" s="805"/>
      <c r="G293" s="875"/>
      <c r="H293" s="792"/>
      <c r="I293" s="790" t="s">
        <v>834</v>
      </c>
      <c r="J293" s="875"/>
      <c r="K293" s="875"/>
      <c r="L293" s="875"/>
      <c r="M293" s="875"/>
      <c r="N293" s="875"/>
      <c r="O293" s="875"/>
      <c r="P293" s="877"/>
      <c r="Q293" s="875"/>
      <c r="R293" s="875"/>
      <c r="S293" s="875"/>
      <c r="T293" s="875"/>
      <c r="U293" s="875"/>
      <c r="V293" s="875"/>
      <c r="W293" s="875" t="s">
        <v>1689</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3957</v>
      </c>
      <c r="D294" s="1017"/>
      <c r="E294" s="1017" t="s">
        <v>4163</v>
      </c>
      <c r="F294" s="805"/>
      <c r="G294" s="1017"/>
      <c r="H294" s="841"/>
      <c r="I294" s="790" t="s">
        <v>3957</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3330</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2049</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2132</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1778</v>
      </c>
      <c r="F308" s="805"/>
      <c r="G308" s="1020" t="s">
        <v>2409</v>
      </c>
      <c r="H308" s="1021" t="s">
        <v>2978</v>
      </c>
      <c r="I308" s="819"/>
      <c r="J308" s="1020" t="s">
        <v>1778</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3517</v>
      </c>
      <c r="D312" s="805"/>
      <c r="E312" s="790" t="s">
        <v>3517</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3935</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3973</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1706</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3280</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3280</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4005</v>
      </c>
      <c r="AL4" s="1079"/>
      <c r="AM4" s="1078" t="s">
        <v>2069</v>
      </c>
      <c r="AN4" s="1078"/>
      <c r="AO4" s="1080" t="s">
        <v>2409</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1967</v>
      </c>
      <c r="BL4" s="1091"/>
      <c r="BM4" s="1089" t="s">
        <v>7049</v>
      </c>
      <c r="BN4" s="1066"/>
      <c r="BO4" s="1092" t="s">
        <v>7050</v>
      </c>
      <c r="BP4" s="1093"/>
      <c r="BQ4" s="1093"/>
      <c r="BR4" s="1094" t="s">
        <v>7051</v>
      </c>
      <c r="BS4" s="1093"/>
      <c r="BT4" s="1095" t="s">
        <v>148</v>
      </c>
      <c r="BU4" s="1093"/>
      <c r="BV4" s="1096" t="s">
        <v>3795</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3984</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3693</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1762</v>
      </c>
      <c r="BR5" s="1094" t="s">
        <v>7070</v>
      </c>
      <c r="BS5" s="1093"/>
      <c r="BT5" s="1123" t="s">
        <v>2046</v>
      </c>
      <c r="BU5" s="1093"/>
      <c r="BV5" s="1094" t="s">
        <v>7071</v>
      </c>
      <c r="BW5" s="1094" t="s">
        <v>2121</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2689</v>
      </c>
      <c r="D6" s="1059" t="s">
        <v>3385</v>
      </c>
      <c r="E6" s="1060" t="s">
        <v>738</v>
      </c>
      <c r="F6" s="1061" t="s">
        <v>2865</v>
      </c>
      <c r="G6" s="1057" t="s">
        <v>2008</v>
      </c>
      <c r="H6" s="1064" t="s">
        <v>2903</v>
      </c>
      <c r="I6" s="1062"/>
      <c r="J6" s="1103" t="s">
        <v>1947</v>
      </c>
      <c r="K6" s="1126" t="s">
        <v>7074</v>
      </c>
      <c r="L6" s="1103" t="s">
        <v>7075</v>
      </c>
      <c r="M6" s="1127" t="s">
        <v>4780</v>
      </c>
      <c r="N6" s="1062"/>
      <c r="O6" s="1128" t="s">
        <v>7076</v>
      </c>
      <c r="P6" s="1105"/>
      <c r="Q6" s="1107" t="s">
        <v>7077</v>
      </c>
      <c r="R6" s="1071" t="s">
        <v>1644</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1670</v>
      </c>
      <c r="AY6" s="1080" t="s">
        <v>2155</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2165</v>
      </c>
      <c r="CK6" s="1137" t="s">
        <v>3805</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1924</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2818</v>
      </c>
      <c r="H8" s="1154" t="s">
        <v>6836</v>
      </c>
      <c r="I8" s="1102" t="s">
        <v>7134</v>
      </c>
      <c r="J8" s="1154" t="s">
        <v>3572</v>
      </c>
      <c r="K8" s="1102" t="s">
        <v>7135</v>
      </c>
      <c r="L8" s="1155" t="s">
        <v>1947</v>
      </c>
      <c r="M8" s="1103" t="s">
        <v>7136</v>
      </c>
      <c r="N8" s="1102" t="s">
        <v>7137</v>
      </c>
      <c r="O8" s="1102" t="s">
        <v>7138</v>
      </c>
      <c r="P8" s="1105"/>
      <c r="Q8" s="1071" t="s">
        <v>7139</v>
      </c>
      <c r="R8" s="1071" t="s">
        <v>2084</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2180</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2458</v>
      </c>
      <c r="BP8" s="1096" t="s">
        <v>5632</v>
      </c>
      <c r="BQ8" s="1095" t="s">
        <v>6154</v>
      </c>
      <c r="BR8" s="1095" t="s">
        <v>3968</v>
      </c>
      <c r="BS8" s="1095" t="s">
        <v>815</v>
      </c>
      <c r="BT8" s="1095" t="s">
        <v>1281</v>
      </c>
      <c r="BU8" s="1123" t="s">
        <v>3968</v>
      </c>
      <c r="BV8" s="1122" t="s">
        <v>7167</v>
      </c>
      <c r="BW8" s="1095" t="s">
        <v>7168</v>
      </c>
      <c r="BX8" s="1105"/>
      <c r="BY8" s="1124" t="s">
        <v>7169</v>
      </c>
      <c r="BZ8" s="1135" t="s">
        <v>5133</v>
      </c>
      <c r="CA8" s="1151" t="s">
        <v>2335</v>
      </c>
      <c r="CB8" s="1135" t="s">
        <v>3405</v>
      </c>
      <c r="CC8" s="1135"/>
      <c r="CD8" s="1161"/>
      <c r="CE8" s="1124" t="s">
        <v>2683</v>
      </c>
      <c r="CF8" s="1124" t="s">
        <v>6792</v>
      </c>
      <c r="CG8" s="1124" t="s">
        <v>7170</v>
      </c>
      <c r="CH8" s="1124" t="s">
        <v>2195</v>
      </c>
      <c r="CI8" s="1151" t="s">
        <v>7171</v>
      </c>
      <c r="CJ8" s="1151" t="s">
        <v>3614</v>
      </c>
      <c r="CK8" s="1135"/>
    </row>
    <row r="9">
      <c r="A9" s="1101" t="s">
        <v>1413</v>
      </c>
      <c r="B9" s="1057" t="s">
        <v>7172</v>
      </c>
      <c r="C9" s="1058" t="s">
        <v>438</v>
      </c>
      <c r="D9" s="1059" t="s">
        <v>543</v>
      </c>
      <c r="E9" s="1060" t="s">
        <v>1064</v>
      </c>
      <c r="F9" s="1061" t="s">
        <v>7173</v>
      </c>
      <c r="G9" s="1057" t="s">
        <v>1722</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2109</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1981</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3990</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2093</v>
      </c>
      <c r="G12" s="1057" t="s">
        <v>2093</v>
      </c>
      <c r="H12" s="1102" t="s">
        <v>1205</v>
      </c>
      <c r="I12" s="1102" t="s">
        <v>7243</v>
      </c>
      <c r="J12" s="1154" t="s">
        <v>3572</v>
      </c>
      <c r="K12" s="1102" t="s">
        <v>1949</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2011</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2165</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3629</v>
      </c>
      <c r="CG12" s="1151" t="s">
        <v>7268</v>
      </c>
      <c r="CH12" s="1099"/>
      <c r="CI12" s="1135" t="s">
        <v>4708</v>
      </c>
      <c r="CJ12" s="1125"/>
      <c r="CK12" s="1125"/>
    </row>
    <row r="13">
      <c r="A13" s="1056" t="s">
        <v>1943</v>
      </c>
      <c r="B13" s="1057" t="s">
        <v>7269</v>
      </c>
      <c r="C13" s="1058" t="s">
        <v>1415</v>
      </c>
      <c r="D13" s="1059" t="s">
        <v>828</v>
      </c>
      <c r="E13" s="1060" t="s">
        <v>543</v>
      </c>
      <c r="F13" s="1061" t="s">
        <v>2689</v>
      </c>
      <c r="G13" s="1057" t="s">
        <v>7270</v>
      </c>
      <c r="H13" s="1062"/>
      <c r="I13" s="1063" t="s">
        <v>7271</v>
      </c>
      <c r="J13" s="1063"/>
      <c r="K13" s="1102" t="s">
        <v>1693</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1967</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1722</v>
      </c>
      <c r="H14" s="1102" t="s">
        <v>2112</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2358</v>
      </c>
      <c r="AA14" s="1142" t="s">
        <v>7295</v>
      </c>
      <c r="AB14" s="1109" t="s">
        <v>7296</v>
      </c>
      <c r="AC14" s="1109" t="s">
        <v>1666</v>
      </c>
      <c r="AD14" s="1109" t="s">
        <v>5455</v>
      </c>
      <c r="AE14" s="1109" t="s">
        <v>7297</v>
      </c>
      <c r="AF14" s="1076"/>
      <c r="AG14" s="1072" t="s">
        <v>7298</v>
      </c>
      <c r="AH14" s="1077"/>
      <c r="AI14" s="1105"/>
      <c r="AJ14" s="1157"/>
      <c r="AK14" s="1083" t="s">
        <v>7299</v>
      </c>
      <c r="AL14" s="1083" t="s">
        <v>7300</v>
      </c>
      <c r="AM14" s="1083" t="s">
        <v>1210</v>
      </c>
      <c r="AN14" s="1078"/>
      <c r="AO14" s="1079"/>
      <c r="AP14" s="1083" t="s">
        <v>4001</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4015</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1720</v>
      </c>
      <c r="B15" s="1057" t="s">
        <v>7314</v>
      </c>
      <c r="C15" s="1058" t="s">
        <v>1415</v>
      </c>
      <c r="D15" s="1059" t="s">
        <v>438</v>
      </c>
      <c r="E15" s="1060" t="s">
        <v>738</v>
      </c>
      <c r="F15" s="1061" t="s">
        <v>987</v>
      </c>
      <c r="G15" s="1057" t="s">
        <v>2216</v>
      </c>
      <c r="H15" s="1102" t="s">
        <v>2344</v>
      </c>
      <c r="I15" s="1191" t="s">
        <v>7315</v>
      </c>
      <c r="J15" s="1063" t="s">
        <v>1367</v>
      </c>
      <c r="K15" s="1063" t="s">
        <v>7316</v>
      </c>
      <c r="L15" s="1063" t="s">
        <v>2135</v>
      </c>
      <c r="M15" s="1062"/>
      <c r="N15" s="1063" t="s">
        <v>7317</v>
      </c>
      <c r="O15" s="1063" t="s">
        <v>7318</v>
      </c>
      <c r="P15" s="1105"/>
      <c r="Q15" s="1067" t="s">
        <v>7319</v>
      </c>
      <c r="R15" s="1067" t="s">
        <v>2394</v>
      </c>
      <c r="S15" s="1067" t="s">
        <v>7320</v>
      </c>
      <c r="T15" s="1067" t="s">
        <v>5606</v>
      </c>
      <c r="U15" s="1067" t="s">
        <v>7321</v>
      </c>
      <c r="V15" s="1067" t="s">
        <v>7322</v>
      </c>
      <c r="W15" s="1105"/>
      <c r="X15" s="1072" t="s">
        <v>3862</v>
      </c>
      <c r="Y15" s="1072" t="s">
        <v>7323</v>
      </c>
      <c r="Z15" s="1110" t="s">
        <v>7324</v>
      </c>
      <c r="AA15" s="1192" t="s">
        <v>7325</v>
      </c>
      <c r="AB15" s="1072" t="s">
        <v>7326</v>
      </c>
      <c r="AC15" s="1072" t="s">
        <v>7327</v>
      </c>
      <c r="AD15" s="1142" t="s">
        <v>1699</v>
      </c>
      <c r="AE15" s="1109" t="s">
        <v>5384</v>
      </c>
      <c r="AF15" s="1072" t="s">
        <v>7328</v>
      </c>
      <c r="AG15" s="1072" t="s">
        <v>7329</v>
      </c>
      <c r="AH15" s="1193" t="s">
        <v>7330</v>
      </c>
      <c r="AI15" s="1105"/>
      <c r="AJ15" s="1157"/>
      <c r="AK15" s="1083" t="s">
        <v>7331</v>
      </c>
      <c r="AL15" s="1078"/>
      <c r="AM15" s="1078" t="s">
        <v>3320</v>
      </c>
      <c r="AN15" s="1083" t="s">
        <v>1638</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2084</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2079</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1645</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2119</v>
      </c>
      <c r="BI16" s="1091"/>
      <c r="BJ16" s="1147"/>
      <c r="BK16" s="1091"/>
      <c r="BL16" s="1091"/>
      <c r="BM16" s="1089" t="s">
        <v>7371</v>
      </c>
      <c r="BN16" s="1105"/>
      <c r="BO16" s="1149" t="s">
        <v>1951</v>
      </c>
      <c r="BP16" s="1134"/>
      <c r="BQ16" s="1093"/>
      <c r="BR16" s="1149" t="s">
        <v>7372</v>
      </c>
      <c r="BS16" s="1093"/>
      <c r="BT16" s="1149" t="s">
        <v>2999</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1879</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1877</v>
      </c>
      <c r="B18" s="1057" t="s">
        <v>7394</v>
      </c>
      <c r="C18" s="1058" t="s">
        <v>1415</v>
      </c>
      <c r="D18" s="1059" t="s">
        <v>1415</v>
      </c>
      <c r="E18" s="1060" t="s">
        <v>1415</v>
      </c>
      <c r="F18" s="1061" t="s">
        <v>1415</v>
      </c>
      <c r="G18" s="1057" t="s">
        <v>1879</v>
      </c>
      <c r="H18" s="1062"/>
      <c r="I18" s="1063" t="s">
        <v>2552</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4048</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2119</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3861</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2060</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1780</v>
      </c>
      <c r="AE20" s="1110" t="s">
        <v>4310</v>
      </c>
      <c r="AF20" s="1072"/>
      <c r="AG20" s="1143"/>
      <c r="AH20" s="1077"/>
      <c r="AI20" s="1105"/>
      <c r="AJ20" s="1079"/>
      <c r="AK20" s="1079"/>
      <c r="AL20" s="1079"/>
      <c r="AM20" s="1079"/>
      <c r="AN20" s="1080" t="s">
        <v>4008</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2918</v>
      </c>
      <c r="AC21" s="1072" t="s">
        <v>1666</v>
      </c>
      <c r="AD21" s="1072" t="s">
        <v>6389</v>
      </c>
      <c r="AE21" s="1072" t="s">
        <v>2836</v>
      </c>
      <c r="AF21" s="1072"/>
      <c r="AG21" s="1072" t="s">
        <v>7439</v>
      </c>
      <c r="AH21" s="1200" t="s">
        <v>2921</v>
      </c>
      <c r="AI21" s="1105"/>
      <c r="AJ21" s="1079"/>
      <c r="AK21" s="1079"/>
      <c r="AL21" s="1080" t="s">
        <v>7440</v>
      </c>
      <c r="AM21" s="1078" t="s">
        <v>1816</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2603</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2130</v>
      </c>
      <c r="Y23" s="1143"/>
      <c r="Z23" s="1110" t="s">
        <v>1905</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1881</v>
      </c>
      <c r="AD24" s="1072" t="s">
        <v>6973</v>
      </c>
      <c r="AE24" s="1072" t="s">
        <v>145</v>
      </c>
      <c r="AF24" s="1072"/>
      <c r="AG24" s="1072" t="s">
        <v>7488</v>
      </c>
      <c r="AH24" s="1210" t="s">
        <v>7489</v>
      </c>
      <c r="AI24" s="1105"/>
      <c r="AJ24" s="1078"/>
      <c r="AK24" s="1078" t="s">
        <v>5603</v>
      </c>
      <c r="AL24" s="1079"/>
      <c r="AM24" s="1078" t="s">
        <v>2581</v>
      </c>
      <c r="AN24" s="1079"/>
      <c r="AO24" s="1079"/>
      <c r="AP24" s="1078" t="s">
        <v>1980</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3843</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3988</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4059</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1759</v>
      </c>
      <c r="AB28" s="1072" t="s">
        <v>6102</v>
      </c>
      <c r="AC28" s="1072" t="s">
        <v>3421</v>
      </c>
      <c r="AD28" s="1072" t="s">
        <v>2988</v>
      </c>
      <c r="AE28" s="1109" t="s">
        <v>243</v>
      </c>
      <c r="AF28" s="1111"/>
      <c r="AG28" s="1143"/>
      <c r="AH28" s="1219" t="s">
        <v>4072</v>
      </c>
      <c r="AI28" s="1105"/>
      <c r="AJ28" s="1078"/>
      <c r="AK28" s="1078" t="s">
        <v>7546</v>
      </c>
      <c r="AL28" s="1078" t="s">
        <v>7547</v>
      </c>
      <c r="AM28" s="1078" t="s">
        <v>1639</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2200</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3982</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1699</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2031</v>
      </c>
      <c r="BX32" s="1105"/>
      <c r="BY32" s="1098" t="s">
        <v>6041</v>
      </c>
      <c r="BZ32" s="1099"/>
      <c r="CA32" s="1150"/>
      <c r="CB32" s="1150"/>
      <c r="CC32" s="1150"/>
      <c r="CD32" s="1099"/>
      <c r="CE32" s="1099"/>
      <c r="CF32" s="1099"/>
      <c r="CG32" s="1099"/>
      <c r="CH32" s="1099"/>
      <c r="CI32" s="1099"/>
      <c r="CJ32" s="1125"/>
      <c r="CK32" s="1125"/>
    </row>
    <row r="33">
      <c r="A33" s="1056" t="s">
        <v>2137</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3976</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1963</v>
      </c>
      <c r="U34" s="1067" t="s">
        <v>4514</v>
      </c>
      <c r="V34" s="1067" t="s">
        <v>7634</v>
      </c>
      <c r="W34" s="1105"/>
      <c r="X34" s="1072" t="s">
        <v>1662</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1897</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2093</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4032</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2064</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1840</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1975</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1789</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3929</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3914</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2103</v>
      </c>
      <c r="U4" s="1260"/>
      <c r="V4" s="1260"/>
      <c r="W4" s="1261" t="s">
        <v>7742</v>
      </c>
      <c r="X4" s="1260"/>
      <c r="Y4" s="1260"/>
      <c r="Z4" s="801" t="s">
        <v>1244</v>
      </c>
      <c r="AA4" s="1260"/>
      <c r="AB4" s="1227"/>
      <c r="AC4" s="1260"/>
      <c r="AD4" s="1260"/>
      <c r="AE4" s="1260"/>
      <c r="AF4" s="1265"/>
      <c r="AG4" s="1265"/>
    </row>
    <row r="5">
      <c r="A5" s="1250" t="s">
        <v>3982</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1658</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1689</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1943</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3438</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1869</v>
      </c>
      <c r="Z3" s="1270" t="s">
        <v>7871</v>
      </c>
      <c r="AA3" s="814" t="s">
        <v>4444</v>
      </c>
      <c r="AB3" s="1270"/>
      <c r="AC3" s="814" t="s">
        <v>3397</v>
      </c>
      <c r="AD3" s="814" t="s">
        <v>3813</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3978</v>
      </c>
      <c r="BY3" s="1260"/>
      <c r="BZ3" s="1227"/>
      <c r="CA3" s="1270" t="s">
        <v>3433</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1723</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1640</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2015</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2205</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2216</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2118</v>
      </c>
      <c r="X7" s="801" t="s">
        <v>2170</v>
      </c>
      <c r="Y7" s="801" t="s">
        <v>2066</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3738</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3489</v>
      </c>
      <c r="BX8" s="1268" t="s">
        <v>2301</v>
      </c>
      <c r="BY8" s="1320" t="s">
        <v>3697</v>
      </c>
      <c r="BZ8" s="1262"/>
      <c r="CA8" s="1268" t="s">
        <v>1960</v>
      </c>
      <c r="CB8" s="1320" t="s">
        <v>2850</v>
      </c>
      <c r="CC8" s="1326" t="s">
        <v>3355</v>
      </c>
      <c r="CD8" s="1272"/>
      <c r="CE8" s="1327"/>
      <c r="CF8" s="1316"/>
      <c r="CG8" s="1327"/>
      <c r="CH8" s="1327"/>
      <c r="CI8" s="1327"/>
      <c r="CJ8" s="1327"/>
      <c r="CK8" s="1327"/>
      <c r="CL8" s="1327"/>
      <c r="CM8" s="1328" t="s">
        <v>3647</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2937</v>
      </c>
      <c r="T9" s="1227"/>
      <c r="U9" s="814" t="s">
        <v>3886</v>
      </c>
      <c r="V9" s="1260"/>
      <c r="W9" s="814" t="s">
        <v>4918</v>
      </c>
      <c r="X9" s="801" t="s">
        <v>3518</v>
      </c>
      <c r="Y9" s="801" t="s">
        <v>8033</v>
      </c>
      <c r="Z9" s="1227"/>
      <c r="AA9" s="1261" t="s">
        <v>5596</v>
      </c>
      <c r="AB9" s="1260"/>
      <c r="AC9" s="814" t="s">
        <v>5708</v>
      </c>
      <c r="AD9" s="814" t="s">
        <v>1976</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3457</v>
      </c>
      <c r="BZ9" s="1227"/>
      <c r="CA9" s="1260"/>
      <c r="CB9" s="814" t="s">
        <v>3496</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2137</v>
      </c>
      <c r="B10" s="1057" t="s">
        <v>8042</v>
      </c>
      <c r="C10" s="1058" t="s">
        <v>1415</v>
      </c>
      <c r="D10" s="1059" t="s">
        <v>438</v>
      </c>
      <c r="E10" s="1060" t="s">
        <v>438</v>
      </c>
      <c r="F10" s="1061" t="s">
        <v>828</v>
      </c>
      <c r="G10" s="1057" t="s">
        <v>4572</v>
      </c>
      <c r="H10" s="1332" t="s">
        <v>8043</v>
      </c>
      <c r="I10" s="1335" t="s">
        <v>2150</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3885</v>
      </c>
      <c r="X10" s="814" t="s">
        <v>8057</v>
      </c>
      <c r="Y10" s="1270" t="s">
        <v>1976</v>
      </c>
      <c r="Z10" s="1227"/>
      <c r="AA10" s="1227"/>
      <c r="AB10" s="1260"/>
      <c r="AC10" s="1270" t="s">
        <v>8058</v>
      </c>
      <c r="AD10" s="1270" t="s">
        <v>5315</v>
      </c>
      <c r="AE10" s="1268" t="s">
        <v>2519</v>
      </c>
      <c r="AF10" s="1270" t="s">
        <v>8059</v>
      </c>
      <c r="AG10" s="814" t="s">
        <v>8060</v>
      </c>
      <c r="AH10" s="1260"/>
      <c r="AI10" s="1260"/>
      <c r="AJ10" s="1260"/>
      <c r="AK10" s="814" t="s">
        <v>8061</v>
      </c>
      <c r="AL10" s="814" t="s">
        <v>2747</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2167</v>
      </c>
      <c r="BY10" s="1270" t="s">
        <v>5800</v>
      </c>
      <c r="BZ10" s="814"/>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3299</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2494</v>
      </c>
      <c r="Y11" s="801" t="s">
        <v>4192</v>
      </c>
      <c r="Z11" s="1227"/>
      <c r="AA11" s="1268" t="s">
        <v>1565</v>
      </c>
      <c r="AB11" s="1260"/>
      <c r="AC11" s="801" t="s">
        <v>2206</v>
      </c>
      <c r="AD11" s="801" t="s">
        <v>2283</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3914</v>
      </c>
      <c r="B13" s="1057" t="s">
        <v>8090</v>
      </c>
      <c r="C13" s="1058" t="s">
        <v>1415</v>
      </c>
      <c r="D13" s="1059" t="s">
        <v>738</v>
      </c>
      <c r="E13" s="1060" t="s">
        <v>1415</v>
      </c>
      <c r="F13" s="1061" t="s">
        <v>738</v>
      </c>
      <c r="G13" s="1057" t="s">
        <v>3837</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2202</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1722</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2878</v>
      </c>
      <c r="BZ13" s="1227"/>
      <c r="CA13" s="1260"/>
      <c r="CB13" s="814" t="s">
        <v>1662</v>
      </c>
      <c r="CC13" s="1260"/>
      <c r="CD13" s="1260"/>
      <c r="CE13" s="1327"/>
      <c r="CF13" s="1227"/>
      <c r="CG13" s="1260"/>
      <c r="CH13" s="1327"/>
      <c r="CI13" s="1327"/>
      <c r="CJ13" s="1315" t="s">
        <v>8117</v>
      </c>
      <c r="CK13" s="1315"/>
      <c r="CL13" s="1328" t="s">
        <v>7905</v>
      </c>
      <c r="CM13" s="1315" t="s">
        <v>8118</v>
      </c>
      <c r="CN13" s="1315" t="s">
        <v>5998</v>
      </c>
      <c r="CO13" s="1315" t="s">
        <v>1879</v>
      </c>
      <c r="CP13" s="1315" t="s">
        <v>7998</v>
      </c>
      <c r="CQ13" s="1315" t="s">
        <v>7995</v>
      </c>
      <c r="CR13" s="1327"/>
      <c r="CS13" s="1327"/>
      <c r="CT13" s="92"/>
    </row>
    <row r="14">
      <c r="A14" s="1352" t="s">
        <v>4823</v>
      </c>
      <c r="B14" s="1057" t="s">
        <v>8119</v>
      </c>
      <c r="C14" s="1058" t="s">
        <v>543</v>
      </c>
      <c r="D14" s="1059" t="s">
        <v>543</v>
      </c>
      <c r="E14" s="1060" t="s">
        <v>1415</v>
      </c>
      <c r="F14" s="1061" t="s">
        <v>3646</v>
      </c>
      <c r="G14" s="1057" t="s">
        <v>3984</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3109</v>
      </c>
      <c r="Y14" s="1270" t="s">
        <v>2674</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1877</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3385</v>
      </c>
      <c r="G16" s="1057" t="s">
        <v>219</v>
      </c>
      <c r="H16" s="1355" t="s">
        <v>8143</v>
      </c>
      <c r="I16" s="1355" t="s">
        <v>8126</v>
      </c>
      <c r="J16" s="1261" t="s">
        <v>8144</v>
      </c>
      <c r="K16" s="1261" t="s">
        <v>8145</v>
      </c>
      <c r="L16" s="814" t="s">
        <v>8146</v>
      </c>
      <c r="M16" s="1227"/>
      <c r="N16" s="1261" t="s">
        <v>3547</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1736</v>
      </c>
      <c r="Y17" s="1227"/>
      <c r="Z17" s="1227"/>
      <c r="AA17" s="1227"/>
      <c r="AB17" s="1261" t="s">
        <v>8156</v>
      </c>
      <c r="AC17" s="1268" t="s">
        <v>2452</v>
      </c>
      <c r="AD17" s="801" t="s">
        <v>3602</v>
      </c>
      <c r="AE17" s="1262"/>
      <c r="AF17" s="1261" t="s">
        <v>8157</v>
      </c>
      <c r="AG17" s="1260"/>
      <c r="AH17" s="1261" t="s">
        <v>1697</v>
      </c>
      <c r="AI17" s="1261" t="s">
        <v>3022</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3982</v>
      </c>
      <c r="B18" s="1057" t="s">
        <v>8159</v>
      </c>
      <c r="C18" s="1058" t="s">
        <v>738</v>
      </c>
      <c r="D18" s="1059" t="s">
        <v>1415</v>
      </c>
      <c r="E18" s="1060" t="s">
        <v>738</v>
      </c>
      <c r="F18" s="1061" t="s">
        <v>438</v>
      </c>
      <c r="G18" s="1057" t="s">
        <v>2865</v>
      </c>
      <c r="H18" s="1332"/>
      <c r="I18" s="1332" t="s">
        <v>8160</v>
      </c>
      <c r="J18" s="814"/>
      <c r="K18" s="1270" t="s">
        <v>8161</v>
      </c>
      <c r="L18" s="1270"/>
      <c r="M18" s="1270" t="s">
        <v>8162</v>
      </c>
      <c r="N18" s="1227"/>
      <c r="O18" s="1270" t="s">
        <v>8163</v>
      </c>
      <c r="P18" s="1227"/>
      <c r="Q18" s="1260"/>
      <c r="R18" s="814" t="s">
        <v>8164</v>
      </c>
      <c r="S18" s="1305" t="s">
        <v>4016</v>
      </c>
      <c r="T18" s="1270" t="s">
        <v>8165</v>
      </c>
      <c r="U18" s="814" t="s">
        <v>8166</v>
      </c>
      <c r="V18" s="1270"/>
      <c r="W18" s="1270" t="s">
        <v>4435</v>
      </c>
      <c r="X18" s="814" t="s">
        <v>3651</v>
      </c>
      <c r="Y18" s="1270" t="s">
        <v>2826</v>
      </c>
      <c r="Z18" s="1227"/>
      <c r="AA18" s="1227"/>
      <c r="AB18" s="1260"/>
      <c r="AC18" s="1270" t="s">
        <v>8167</v>
      </c>
      <c r="AD18" s="814" t="s">
        <v>2029</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2074</v>
      </c>
      <c r="BW18" s="1260"/>
      <c r="BX18" s="1227"/>
      <c r="BY18" s="814" t="s">
        <v>2178</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3121</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3446</v>
      </c>
      <c r="X19" s="814" t="s">
        <v>2611</v>
      </c>
      <c r="Y19" s="1270" t="s">
        <v>8187</v>
      </c>
      <c r="Z19" s="1227"/>
      <c r="AA19" s="1227"/>
      <c r="AB19" s="1260"/>
      <c r="AC19" s="801" t="s">
        <v>344</v>
      </c>
      <c r="AD19" s="1270" t="s">
        <v>3811</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2216</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2291</v>
      </c>
      <c r="X21" s="814"/>
      <c r="Y21" s="1270" t="s">
        <v>3280</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3097</v>
      </c>
      <c r="V22" s="1361"/>
      <c r="W22" s="1270" t="s">
        <v>369</v>
      </c>
      <c r="X22" s="814"/>
      <c r="Y22" s="1270" t="s">
        <v>4817</v>
      </c>
      <c r="Z22" s="1227"/>
      <c r="AA22" s="1227"/>
      <c r="AB22" s="1260"/>
      <c r="AC22" s="1270" t="s">
        <v>8225</v>
      </c>
      <c r="AD22" s="1270" t="s">
        <v>4044</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1829</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3196</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2059</v>
      </c>
      <c r="BW24" s="1270" t="s">
        <v>1774</v>
      </c>
      <c r="BX24" s="1270" t="s">
        <v>1625</v>
      </c>
      <c r="BY24" s="1267" t="s">
        <v>4883</v>
      </c>
      <c r="BZ24" s="1270" t="s">
        <v>2202</v>
      </c>
      <c r="CA24" s="1270" t="s">
        <v>5415</v>
      </c>
      <c r="CB24" s="1270" t="s">
        <v>2119</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3727</v>
      </c>
      <c r="M25" s="1227"/>
      <c r="N25" s="1227"/>
      <c r="O25" s="1227"/>
      <c r="P25" s="814" t="s">
        <v>8266</v>
      </c>
      <c r="Q25" s="1260"/>
      <c r="R25" s="801" t="s">
        <v>8267</v>
      </c>
      <c r="S25" s="1227"/>
      <c r="T25" s="1227"/>
      <c r="U25" s="814" t="s">
        <v>750</v>
      </c>
      <c r="V25" s="1270"/>
      <c r="W25" s="1270" t="s">
        <v>4359</v>
      </c>
      <c r="X25" s="814" t="s">
        <v>3452</v>
      </c>
      <c r="Y25" s="801" t="s">
        <v>8268</v>
      </c>
      <c r="Z25" s="1227"/>
      <c r="AA25" s="1227"/>
      <c r="AB25" s="1260"/>
      <c r="AC25" s="1270" t="s">
        <v>8269</v>
      </c>
      <c r="AD25" s="1270" t="s">
        <v>8270</v>
      </c>
      <c r="AE25" s="814"/>
      <c r="AF25" s="1270" t="s">
        <v>8271</v>
      </c>
      <c r="AG25" s="1270"/>
      <c r="AH25" s="1270" t="s">
        <v>8272</v>
      </c>
      <c r="AI25" s="1260"/>
      <c r="AJ25" s="1260"/>
      <c r="AK25" s="1275" t="s">
        <v>3774</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3984</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3889</v>
      </c>
      <c r="BW26" s="1260"/>
      <c r="BX26" s="1261" t="s">
        <v>1660</v>
      </c>
      <c r="BY26" s="1260"/>
      <c r="BZ26" s="1261" t="s">
        <v>8274</v>
      </c>
      <c r="CA26" s="1260"/>
      <c r="CB26" s="1260"/>
      <c r="CC26" s="1260"/>
      <c r="CD26" s="1337" t="s">
        <v>1988</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1948</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2139</v>
      </c>
      <c r="C28" s="1058" t="s">
        <v>738</v>
      </c>
      <c r="D28" s="1059" t="s">
        <v>1415</v>
      </c>
      <c r="E28" s="1060" t="s">
        <v>1415</v>
      </c>
      <c r="F28" s="1061" t="s">
        <v>438</v>
      </c>
      <c r="G28" s="1057" t="s">
        <v>2689</v>
      </c>
      <c r="H28" s="1332"/>
      <c r="I28" s="1308" t="s">
        <v>8281</v>
      </c>
      <c r="J28" s="1227"/>
      <c r="K28" s="814" t="s">
        <v>8282</v>
      </c>
      <c r="L28" s="1260"/>
      <c r="M28" s="814" t="s">
        <v>8283</v>
      </c>
      <c r="N28" s="1227"/>
      <c r="O28" s="1227"/>
      <c r="P28" s="1270" t="s">
        <v>5781</v>
      </c>
      <c r="Q28" s="1260"/>
      <c r="R28" s="1227"/>
      <c r="S28" s="814" t="s">
        <v>3271</v>
      </c>
      <c r="T28" s="814"/>
      <c r="U28" s="1270" t="s">
        <v>3715</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2397</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2027</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2113</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1648</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3717</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3855</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3759</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3562</v>
      </c>
      <c r="AB2" s="1416" t="s">
        <v>8388</v>
      </c>
      <c r="AC2" s="1417" t="s">
        <v>4024</v>
      </c>
      <c r="AD2" s="1405" t="s">
        <v>762</v>
      </c>
      <c r="AE2" s="1406" t="s">
        <v>4699</v>
      </c>
      <c r="AF2" s="1418" t="s">
        <v>8389</v>
      </c>
      <c r="AG2" s="1418" t="s">
        <v>8390</v>
      </c>
      <c r="AH2" s="1418" t="s">
        <v>3786</v>
      </c>
      <c r="AI2" s="1419" t="s">
        <v>8391</v>
      </c>
      <c r="AJ2" s="1419" t="s">
        <v>8392</v>
      </c>
      <c r="AK2" s="1419" t="s">
        <v>8393</v>
      </c>
      <c r="AL2" s="1420" t="s">
        <v>6005</v>
      </c>
      <c r="AM2" s="1421" t="s">
        <v>3706</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3881</v>
      </c>
      <c r="AH3" s="1438" t="s">
        <v>2785</v>
      </c>
      <c r="AI3" s="1438" t="s">
        <v>4144</v>
      </c>
      <c r="AJ3" s="1437" t="s">
        <v>8417</v>
      </c>
      <c r="AK3" s="1438" t="s">
        <v>8418</v>
      </c>
      <c r="AL3" s="1438" t="s">
        <v>5962</v>
      </c>
      <c r="AM3" s="1439" t="s">
        <v>2422</v>
      </c>
      <c r="AN3" s="1439" t="s">
        <v>3263</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3773</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3759</v>
      </c>
      <c r="J5" s="1462" t="s">
        <v>5486</v>
      </c>
      <c r="K5" s="1463" t="s">
        <v>2078</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5" t="s">
        <v>5476</v>
      </c>
      <c r="AB5" s="1462" t="s">
        <v>520</v>
      </c>
      <c r="AC5" s="1464" t="s">
        <v>4024</v>
      </c>
      <c r="AD5" s="1462" t="s">
        <v>8465</v>
      </c>
      <c r="AE5" s="1466" t="s">
        <v>8466</v>
      </c>
      <c r="AF5" s="1466" t="s">
        <v>8467</v>
      </c>
      <c r="AG5" s="1467" t="s">
        <v>2317</v>
      </c>
      <c r="AH5" s="1462" t="s">
        <v>8468</v>
      </c>
      <c r="AI5" s="1464" t="s">
        <v>8391</v>
      </c>
      <c r="AJ5" s="1462" t="s">
        <v>8469</v>
      </c>
      <c r="AK5" s="1464" t="s">
        <v>8393</v>
      </c>
      <c r="AL5" s="1462" t="s">
        <v>4518</v>
      </c>
      <c r="AM5" s="1462" t="s">
        <v>8156</v>
      </c>
      <c r="AN5" s="1462" t="s">
        <v>5239</v>
      </c>
      <c r="AO5" s="1468" t="s">
        <v>8470</v>
      </c>
      <c r="AP5" s="1465" t="s">
        <v>8471</v>
      </c>
      <c r="AQ5" s="1465" t="s">
        <v>7537</v>
      </c>
      <c r="AR5" s="1469" t="s">
        <v>8472</v>
      </c>
      <c r="AS5" s="1462" t="s">
        <v>4416</v>
      </c>
      <c r="AT5" s="1465" t="s">
        <v>8473</v>
      </c>
      <c r="AU5" s="1470" t="s">
        <v>8398</v>
      </c>
      <c r="AV5" s="1466" t="str">
        <f t="shared" si="1"/>
        <v>2:03</v>
      </c>
      <c r="AW5" s="1471" t="s">
        <v>8474</v>
      </c>
    </row>
    <row r="6" ht="15.75" customHeight="1">
      <c r="A6" s="1472" t="s">
        <v>436</v>
      </c>
      <c r="B6" s="1459" t="s">
        <v>8372</v>
      </c>
      <c r="C6" s="1460">
        <v>0.0493287037037037</v>
      </c>
      <c r="D6" s="1473" t="s">
        <v>8475</v>
      </c>
      <c r="E6" s="1474" t="s">
        <v>8476</v>
      </c>
      <c r="F6" s="1474" t="s">
        <v>8477</v>
      </c>
      <c r="G6" s="1474" t="s">
        <v>8478</v>
      </c>
      <c r="H6" s="1474" t="s">
        <v>8479</v>
      </c>
      <c r="I6" s="1468" t="s">
        <v>8480</v>
      </c>
      <c r="J6" s="1475" t="s">
        <v>8378</v>
      </c>
      <c r="K6" s="1474" t="s">
        <v>781</v>
      </c>
      <c r="L6" s="1474" t="s">
        <v>8481</v>
      </c>
      <c r="M6" s="1474" t="s">
        <v>8482</v>
      </c>
      <c r="N6" s="1474" t="s">
        <v>8483</v>
      </c>
      <c r="O6" s="1474" t="s">
        <v>8484</v>
      </c>
      <c r="P6" s="1475" t="s">
        <v>1351</v>
      </c>
      <c r="Q6" s="1463" t="s">
        <v>8485</v>
      </c>
      <c r="R6" s="1475" t="s">
        <v>4443</v>
      </c>
      <c r="S6" s="1474" t="s">
        <v>8378</v>
      </c>
      <c r="T6" s="1475" t="s">
        <v>8383</v>
      </c>
      <c r="U6" s="1463" t="s">
        <v>8395</v>
      </c>
      <c r="V6" s="1476" t="s">
        <v>8225</v>
      </c>
      <c r="W6" s="1474" t="s">
        <v>8486</v>
      </c>
      <c r="X6" s="1475" t="s">
        <v>8386</v>
      </c>
      <c r="Y6" s="1477">
        <v>46.72</v>
      </c>
      <c r="Z6" s="1477" t="s">
        <v>3549</v>
      </c>
      <c r="AA6" s="1475" t="s">
        <v>3562</v>
      </c>
      <c r="AB6" s="1475" t="s">
        <v>8388</v>
      </c>
      <c r="AC6" s="1474" t="s">
        <v>5439</v>
      </c>
      <c r="AD6" s="1474" t="s">
        <v>7281</v>
      </c>
      <c r="AE6" s="1478" t="s">
        <v>4699</v>
      </c>
      <c r="AF6" s="1477" t="s">
        <v>8487</v>
      </c>
      <c r="AG6" s="1476" t="s">
        <v>8488</v>
      </c>
      <c r="AH6" s="1475" t="s">
        <v>3786</v>
      </c>
      <c r="AI6" s="1474" t="s">
        <v>5843</v>
      </c>
      <c r="AJ6" s="1477" t="s">
        <v>8489</v>
      </c>
      <c r="AK6" s="1477" t="s">
        <v>5726</v>
      </c>
      <c r="AL6" s="1478" t="s">
        <v>6005</v>
      </c>
      <c r="AM6" s="1475" t="s">
        <v>3706</v>
      </c>
      <c r="AN6" s="1476" t="s">
        <v>3246</v>
      </c>
      <c r="AO6" s="1476" t="s">
        <v>155</v>
      </c>
      <c r="AP6" s="1476" t="s">
        <v>8490</v>
      </c>
      <c r="AQ6" s="1466" t="s">
        <v>8491</v>
      </c>
      <c r="AR6" s="1476" t="s">
        <v>8492</v>
      </c>
      <c r="AS6" s="1476" t="s">
        <v>8493</v>
      </c>
      <c r="AT6" s="1476" t="s">
        <v>8473</v>
      </c>
      <c r="AU6" s="1479" t="s">
        <v>8494</v>
      </c>
      <c r="AV6" s="1466" t="str">
        <f t="shared" si="1"/>
        <v>2:15</v>
      </c>
      <c r="AW6" s="1471"/>
    </row>
    <row r="7" ht="15.75" customHeight="1">
      <c r="A7" s="1458" t="s">
        <v>6332</v>
      </c>
      <c r="B7" s="1459" t="s">
        <v>8372</v>
      </c>
      <c r="C7" s="1460">
        <v>0.049444444444444444</v>
      </c>
      <c r="D7" s="1462" t="s">
        <v>8495</v>
      </c>
      <c r="E7" s="1462" t="s">
        <v>8496</v>
      </c>
      <c r="F7" s="1468" t="s">
        <v>8497</v>
      </c>
      <c r="G7" s="1464" t="s">
        <v>8377</v>
      </c>
      <c r="H7" s="1468" t="s">
        <v>8498</v>
      </c>
      <c r="I7" s="1468" t="s">
        <v>2777</v>
      </c>
      <c r="J7" s="1462" t="s">
        <v>8499</v>
      </c>
      <c r="K7" s="1468" t="s">
        <v>3377</v>
      </c>
      <c r="L7" s="1468" t="s">
        <v>4172</v>
      </c>
      <c r="M7" s="1468" t="s">
        <v>6273</v>
      </c>
      <c r="N7" s="1462" t="s">
        <v>8500</v>
      </c>
      <c r="O7" s="1468" t="s">
        <v>8501</v>
      </c>
      <c r="P7" s="1466" t="s">
        <v>6865</v>
      </c>
      <c r="Q7" s="1462" t="s">
        <v>8502</v>
      </c>
      <c r="R7" s="1468" t="s">
        <v>7171</v>
      </c>
      <c r="S7" s="1468" t="s">
        <v>3333</v>
      </c>
      <c r="T7" s="1466" t="s">
        <v>3260</v>
      </c>
      <c r="U7" s="1468" t="s">
        <v>8503</v>
      </c>
      <c r="V7" s="1468" t="s">
        <v>5157</v>
      </c>
      <c r="W7" s="1480" t="s">
        <v>8504</v>
      </c>
      <c r="X7" s="1466" t="s">
        <v>8505</v>
      </c>
      <c r="Y7" s="1481" t="s">
        <v>8506</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8507</v>
      </c>
      <c r="AF7" s="1466" t="s">
        <v>8508</v>
      </c>
      <c r="AG7" s="1482" t="str">
        <f>HYPERLINK("https://www.twitch.tv/videos/566334947","1:28.73")</f>
        <v>1:28.73</v>
      </c>
      <c r="AH7" s="1468" t="s">
        <v>8509</v>
      </c>
      <c r="AI7" s="1484" t="str">
        <f>HYPERLINK("https://www.twitch.tv/videos/584107631","1:27.68")</f>
        <v>1:27.68</v>
      </c>
      <c r="AJ7" s="1466" t="s">
        <v>8510</v>
      </c>
      <c r="AK7" s="1468" t="s">
        <v>7099</v>
      </c>
      <c r="AL7" s="1468" t="s">
        <v>8511</v>
      </c>
      <c r="AM7" s="1462" t="s">
        <v>4489</v>
      </c>
      <c r="AN7" s="1462" t="s">
        <v>2648</v>
      </c>
      <c r="AO7" s="1462" t="s">
        <v>5778</v>
      </c>
      <c r="AP7" s="1468" t="s">
        <v>8512</v>
      </c>
      <c r="AQ7" s="1466" t="s">
        <v>8513</v>
      </c>
      <c r="AR7" s="1462" t="s">
        <v>8514</v>
      </c>
      <c r="AS7" s="1483" t="str">
        <f>HYPERLINK("https://www.twitch.tv/videos/571767101","42.91")</f>
        <v>42.91</v>
      </c>
      <c r="AT7" s="1465" t="s">
        <v>8515</v>
      </c>
      <c r="AU7" s="1479" t="s">
        <v>8516</v>
      </c>
      <c r="AV7" s="1466" t="str">
        <f t="shared" si="1"/>
        <v>2:32</v>
      </c>
      <c r="AW7" s="1485" t="s">
        <v>8517</v>
      </c>
    </row>
    <row r="8" ht="15.75" customHeight="1">
      <c r="A8" s="1458" t="s">
        <v>1877</v>
      </c>
      <c r="B8" s="1459" t="s">
        <v>8372</v>
      </c>
      <c r="C8" s="1460">
        <v>0.04949074074074074</v>
      </c>
      <c r="D8" s="1481" t="s">
        <v>8518</v>
      </c>
      <c r="E8" s="1481" t="s">
        <v>8519</v>
      </c>
      <c r="F8" s="1481" t="s">
        <v>2121</v>
      </c>
      <c r="G8" s="1481" t="s">
        <v>8520</v>
      </c>
      <c r="H8" s="1462" t="s">
        <v>8521</v>
      </c>
      <c r="I8" s="1474">
        <v>47.34</v>
      </c>
      <c r="J8" s="1481" t="s">
        <v>645</v>
      </c>
      <c r="K8" s="1481" t="s">
        <v>8522</v>
      </c>
      <c r="L8" s="1481">
        <v>55.97</v>
      </c>
      <c r="M8" s="1481" t="s">
        <v>1967</v>
      </c>
      <c r="N8" s="1481" t="s">
        <v>8523</v>
      </c>
      <c r="O8" s="1486" t="s">
        <v>8381</v>
      </c>
      <c r="P8" s="1481">
        <v>47.49</v>
      </c>
      <c r="Q8" s="1481" t="s">
        <v>8524</v>
      </c>
      <c r="R8" s="1481" t="s">
        <v>1226</v>
      </c>
      <c r="S8" s="1487" t="s">
        <v>1897</v>
      </c>
      <c r="T8" s="1481" t="s">
        <v>8525</v>
      </c>
      <c r="U8" s="1462" t="s">
        <v>8526</v>
      </c>
      <c r="V8" s="1481">
        <v>59.32</v>
      </c>
      <c r="W8" s="1488" t="s">
        <v>8527</v>
      </c>
      <c r="X8" s="1481" t="s">
        <v>6793</v>
      </c>
      <c r="Y8" s="1481">
        <v>46.65</v>
      </c>
      <c r="Z8" s="1481" t="s">
        <v>8528</v>
      </c>
      <c r="AA8" s="1481" t="s">
        <v>2487</v>
      </c>
      <c r="AB8" s="1481" t="s">
        <v>8529</v>
      </c>
      <c r="AC8" s="1481">
        <v>47.89</v>
      </c>
      <c r="AD8" s="1481" t="s">
        <v>1896</v>
      </c>
      <c r="AE8" s="1481">
        <v>47.98</v>
      </c>
      <c r="AF8" s="1481" t="s">
        <v>8530</v>
      </c>
      <c r="AG8" s="1481" t="s">
        <v>8531</v>
      </c>
      <c r="AH8" s="1481">
        <v>57.45</v>
      </c>
      <c r="AI8" s="1477" t="s">
        <v>7037</v>
      </c>
      <c r="AJ8" s="1489" t="s">
        <v>8532</v>
      </c>
      <c r="AK8" s="1481" t="s">
        <v>5408</v>
      </c>
      <c r="AL8" s="1481">
        <v>56.23</v>
      </c>
      <c r="AM8" s="1488" t="s">
        <v>3906</v>
      </c>
      <c r="AN8" s="1488" t="s">
        <v>8533</v>
      </c>
      <c r="AO8" s="1481" t="s">
        <v>3640</v>
      </c>
      <c r="AP8" s="1481" t="s">
        <v>8534</v>
      </c>
      <c r="AQ8" s="1481" t="s">
        <v>8535</v>
      </c>
      <c r="AR8" s="1481" t="s">
        <v>4427</v>
      </c>
      <c r="AS8" s="1481">
        <v>46.19</v>
      </c>
      <c r="AT8" s="1481" t="s">
        <v>8536</v>
      </c>
      <c r="AU8" s="1481" t="s">
        <v>8537</v>
      </c>
      <c r="AV8" s="1466" t="str">
        <f t="shared" si="1"/>
        <v>1:52</v>
      </c>
      <c r="AW8" s="1485" t="s">
        <v>8538</v>
      </c>
    </row>
    <row r="9" ht="15.75" customHeight="1">
      <c r="A9" s="1472" t="s">
        <v>330</v>
      </c>
      <c r="B9" s="1459" t="s">
        <v>8372</v>
      </c>
      <c r="C9" s="1460">
        <v>0.04957175925925926</v>
      </c>
      <c r="D9" s="1490" t="s">
        <v>8539</v>
      </c>
      <c r="E9" s="1474" t="s">
        <v>8540</v>
      </c>
      <c r="F9" s="1491" t="s">
        <v>8376</v>
      </c>
      <c r="G9" s="1476" t="s">
        <v>8541</v>
      </c>
      <c r="H9" s="1492" t="s">
        <v>5345</v>
      </c>
      <c r="I9" s="1476" t="s">
        <v>1296</v>
      </c>
      <c r="J9" s="1493" t="s">
        <v>8542</v>
      </c>
      <c r="K9" s="1476" t="s">
        <v>6633</v>
      </c>
      <c r="L9" s="1475" t="s">
        <v>232</v>
      </c>
      <c r="M9" s="1493" t="s">
        <v>8543</v>
      </c>
      <c r="N9" s="1474" t="s">
        <v>8544</v>
      </c>
      <c r="O9" s="1493" t="s">
        <v>8545</v>
      </c>
      <c r="P9" s="1476" t="s">
        <v>6266</v>
      </c>
      <c r="Q9" s="1476" t="s">
        <v>8524</v>
      </c>
      <c r="R9" s="1476" t="s">
        <v>5565</v>
      </c>
      <c r="S9" s="1476" t="s">
        <v>2083</v>
      </c>
      <c r="T9" s="1476" t="s">
        <v>4009</v>
      </c>
      <c r="U9" s="1476" t="s">
        <v>8546</v>
      </c>
      <c r="V9" s="1273" t="s">
        <v>8547</v>
      </c>
      <c r="W9" s="1494" t="s">
        <v>8548</v>
      </c>
      <c r="X9" s="1476" t="s">
        <v>8549</v>
      </c>
      <c r="Y9" s="1475">
        <v>46.63</v>
      </c>
      <c r="Z9" s="1495" t="s">
        <v>306</v>
      </c>
      <c r="AA9" s="1474" t="s">
        <v>8550</v>
      </c>
      <c r="AB9" s="1475" t="s">
        <v>8388</v>
      </c>
      <c r="AC9" s="1476" t="s">
        <v>5437</v>
      </c>
      <c r="AD9" s="1476" t="s">
        <v>8551</v>
      </c>
      <c r="AE9" s="1477" t="s">
        <v>8552</v>
      </c>
      <c r="AF9" s="1474" t="s">
        <v>8553</v>
      </c>
      <c r="AG9" s="1481" t="s">
        <v>8554</v>
      </c>
      <c r="AH9" s="1476" t="s">
        <v>8468</v>
      </c>
      <c r="AI9" s="1273" t="s">
        <v>8555</v>
      </c>
      <c r="AJ9" s="1477" t="s">
        <v>8556</v>
      </c>
      <c r="AK9" s="1476" t="s">
        <v>1364</v>
      </c>
      <c r="AL9" s="1476" t="s">
        <v>5107</v>
      </c>
      <c r="AM9" s="1476" t="s">
        <v>4009</v>
      </c>
      <c r="AN9" s="1493" t="s">
        <v>8557</v>
      </c>
      <c r="AO9" s="1476" t="s">
        <v>8492</v>
      </c>
      <c r="AP9" s="1476" t="s">
        <v>8558</v>
      </c>
      <c r="AQ9" s="1476" t="s">
        <v>8559</v>
      </c>
      <c r="AR9" s="1476" t="s">
        <v>4573</v>
      </c>
      <c r="AS9" s="1476" t="s">
        <v>8560</v>
      </c>
      <c r="AT9" s="1496" t="s">
        <v>8397</v>
      </c>
      <c r="AU9" s="1497" t="s">
        <v>8561</v>
      </c>
      <c r="AV9" s="1466" t="str">
        <f t="shared" si="1"/>
        <v>2:59</v>
      </c>
      <c r="AW9" s="1498"/>
    </row>
    <row r="10">
      <c r="A10" s="1472" t="s">
        <v>6256</v>
      </c>
      <c r="B10" s="1499" t="s">
        <v>8372</v>
      </c>
      <c r="C10" s="1460">
        <v>0.04958333333333333</v>
      </c>
      <c r="D10" s="1273" t="s">
        <v>8562</v>
      </c>
      <c r="E10" s="1481" t="s">
        <v>6228</v>
      </c>
      <c r="F10" s="1481" t="s">
        <v>8563</v>
      </c>
      <c r="G10" s="1481" t="s">
        <v>8564</v>
      </c>
      <c r="H10" s="1488" t="s">
        <v>8565</v>
      </c>
      <c r="I10" s="1488" t="s">
        <v>5604</v>
      </c>
      <c r="J10" s="1488" t="s">
        <v>149</v>
      </c>
      <c r="K10" s="1488" t="s">
        <v>7271</v>
      </c>
      <c r="L10" s="1481">
        <v>56.42</v>
      </c>
      <c r="M10" s="1481" t="s">
        <v>5181</v>
      </c>
      <c r="N10" s="1481" t="s">
        <v>8566</v>
      </c>
      <c r="O10" s="1488" t="s">
        <v>8567</v>
      </c>
      <c r="P10" s="1488" t="s">
        <v>278</v>
      </c>
      <c r="Q10" s="1488" t="s">
        <v>8568</v>
      </c>
      <c r="R10" s="1481" t="s">
        <v>8569</v>
      </c>
      <c r="S10" s="1488" t="s">
        <v>8570</v>
      </c>
      <c r="T10" s="1488" t="s">
        <v>4944</v>
      </c>
      <c r="U10" s="1488" t="s">
        <v>8571</v>
      </c>
      <c r="V10" s="1481">
        <v>59.45</v>
      </c>
      <c r="W10" s="1488" t="s">
        <v>8572</v>
      </c>
      <c r="X10" s="1488" t="s">
        <v>8573</v>
      </c>
      <c r="Y10" s="1488" t="s">
        <v>5003</v>
      </c>
      <c r="Z10" s="1481" t="s">
        <v>4166</v>
      </c>
      <c r="AA10" s="1481" t="s">
        <v>8574</v>
      </c>
      <c r="AB10" s="1481" t="s">
        <v>4589</v>
      </c>
      <c r="AC10" s="1488" t="s">
        <v>4795</v>
      </c>
      <c r="AD10" s="1488" t="s">
        <v>8575</v>
      </c>
      <c r="AE10" s="1481">
        <v>47.89</v>
      </c>
      <c r="AF10" s="1481" t="s">
        <v>8576</v>
      </c>
      <c r="AG10" s="1478" t="s">
        <v>8390</v>
      </c>
      <c r="AH10" s="1481">
        <v>57.71</v>
      </c>
      <c r="AI10" s="1488" t="s">
        <v>2177</v>
      </c>
      <c r="AJ10" s="1481" t="s">
        <v>8532</v>
      </c>
      <c r="AK10" s="1488" t="s">
        <v>7107</v>
      </c>
      <c r="AL10" s="1481">
        <v>56.69</v>
      </c>
      <c r="AM10" s="1488" t="s">
        <v>8577</v>
      </c>
      <c r="AN10" s="1488" t="s">
        <v>4124</v>
      </c>
      <c r="AO10" s="1488" t="s">
        <v>2760</v>
      </c>
      <c r="AP10" s="1481" t="s">
        <v>8578</v>
      </c>
      <c r="AQ10" s="1500" t="s">
        <v>8396</v>
      </c>
      <c r="AR10" s="1488" t="s">
        <v>8579</v>
      </c>
      <c r="AS10" s="1481">
        <v>43.65</v>
      </c>
      <c r="AT10" s="1488" t="s">
        <v>8580</v>
      </c>
      <c r="AU10" s="1479" t="s">
        <v>8581</v>
      </c>
      <c r="AV10" s="1466" t="str">
        <f t="shared" si="1"/>
        <v>1:34</v>
      </c>
      <c r="AW10" s="1501" t="s">
        <v>8582</v>
      </c>
    </row>
    <row r="11">
      <c r="A11" s="1502" t="s">
        <v>912</v>
      </c>
      <c r="B11" s="1503" t="s">
        <v>8372</v>
      </c>
      <c r="C11" s="1460">
        <v>0.049652777777777775</v>
      </c>
      <c r="D11" s="1476" t="s">
        <v>8583</v>
      </c>
      <c r="E11" s="1476" t="s">
        <v>8584</v>
      </c>
      <c r="F11" s="1476" t="s">
        <v>8585</v>
      </c>
      <c r="G11" s="1477" t="s">
        <v>8586</v>
      </c>
      <c r="H11" s="1476" t="s">
        <v>7494</v>
      </c>
      <c r="I11" s="1476" t="s">
        <v>8330</v>
      </c>
      <c r="J11" s="1474" t="s">
        <v>8587</v>
      </c>
      <c r="K11" s="1476" t="s">
        <v>8588</v>
      </c>
      <c r="L11" s="1476" t="s">
        <v>3216</v>
      </c>
      <c r="M11" s="1476" t="s">
        <v>8589</v>
      </c>
      <c r="N11" s="1476" t="s">
        <v>8590</v>
      </c>
      <c r="O11" s="1476" t="s">
        <v>8591</v>
      </c>
      <c r="P11" s="1476" t="s">
        <v>5941</v>
      </c>
      <c r="Q11" s="1476" t="s">
        <v>4939</v>
      </c>
      <c r="R11" s="1476" t="s">
        <v>8592</v>
      </c>
      <c r="S11" s="1462" t="s">
        <v>2722</v>
      </c>
      <c r="T11" s="1476" t="s">
        <v>8593</v>
      </c>
      <c r="U11" s="1476" t="s">
        <v>8594</v>
      </c>
      <c r="V11" s="1476" t="s">
        <v>5342</v>
      </c>
      <c r="W11" s="1476" t="s">
        <v>1924</v>
      </c>
      <c r="X11" s="1462" t="s">
        <v>8595</v>
      </c>
      <c r="Y11" s="1476" t="s">
        <v>8596</v>
      </c>
      <c r="Z11" s="1486" t="s">
        <v>8387</v>
      </c>
      <c r="AA11" s="1462" t="s">
        <v>8597</v>
      </c>
      <c r="AB11" s="1476" t="s">
        <v>8598</v>
      </c>
      <c r="AC11" s="1476" t="s">
        <v>4937</v>
      </c>
      <c r="AD11" s="1476" t="s">
        <v>5608</v>
      </c>
      <c r="AE11" s="1477">
        <v>47.81</v>
      </c>
      <c r="AF11" s="1476" t="s">
        <v>8599</v>
      </c>
      <c r="AG11" s="1476" t="s">
        <v>8600</v>
      </c>
      <c r="AH11" s="1476" t="s">
        <v>747</v>
      </c>
      <c r="AI11" s="1476" t="s">
        <v>864</v>
      </c>
      <c r="AJ11" s="1476" t="s">
        <v>8601</v>
      </c>
      <c r="AK11" s="1476" t="s">
        <v>8602</v>
      </c>
      <c r="AL11" s="1476" t="s">
        <v>8603</v>
      </c>
      <c r="AM11" s="1476" t="s">
        <v>4489</v>
      </c>
      <c r="AN11" s="1486" t="s">
        <v>8394</v>
      </c>
      <c r="AO11" s="1486" t="s">
        <v>6230</v>
      </c>
      <c r="AP11" s="1476" t="s">
        <v>8604</v>
      </c>
      <c r="AQ11" s="1476" t="s">
        <v>3694</v>
      </c>
      <c r="AR11" s="1486" t="s">
        <v>416</v>
      </c>
      <c r="AS11" s="1476" t="s">
        <v>3185</v>
      </c>
      <c r="AT11" s="1476" t="s">
        <v>3523</v>
      </c>
      <c r="AU11" s="1497" t="s">
        <v>8605</v>
      </c>
      <c r="AV11" s="1466" t="str">
        <f t="shared" si="1"/>
        <v>2:27</v>
      </c>
      <c r="AW11" s="1504" t="s">
        <v>8606</v>
      </c>
    </row>
    <row r="12" ht="15.75" customHeight="1">
      <c r="A12" s="1505" t="s">
        <v>6330</v>
      </c>
      <c r="B12" s="1459" t="s">
        <v>8372</v>
      </c>
      <c r="C12" s="1460">
        <v>0.04967592592592593</v>
      </c>
      <c r="D12" s="1273" t="s">
        <v>8607</v>
      </c>
      <c r="E12" s="1468" t="s">
        <v>885</v>
      </c>
      <c r="F12" s="1468" t="s">
        <v>8608</v>
      </c>
      <c r="G12" s="1468" t="s">
        <v>8609</v>
      </c>
      <c r="H12" s="1273" t="s">
        <v>8610</v>
      </c>
      <c r="I12" s="1468" t="s">
        <v>8611</v>
      </c>
      <c r="J12" s="1468" t="s">
        <v>8612</v>
      </c>
      <c r="K12" s="1468" t="s">
        <v>8613</v>
      </c>
      <c r="L12" s="1468" t="s">
        <v>4422</v>
      </c>
      <c r="M12" s="1468" t="s">
        <v>8188</v>
      </c>
      <c r="N12" s="1468" t="s">
        <v>2173</v>
      </c>
      <c r="O12" s="1468" t="s">
        <v>3199</v>
      </c>
      <c r="P12" s="1468" t="s">
        <v>8611</v>
      </c>
      <c r="Q12" s="1468" t="s">
        <v>8614</v>
      </c>
      <c r="R12" s="1468" t="s">
        <v>1226</v>
      </c>
      <c r="S12" s="1506" t="s">
        <v>8615</v>
      </c>
      <c r="T12" s="1468" t="s">
        <v>4853</v>
      </c>
      <c r="U12" s="1468" t="s">
        <v>8616</v>
      </c>
      <c r="V12" s="1468" t="s">
        <v>8463</v>
      </c>
      <c r="W12" s="1468" t="s">
        <v>8617</v>
      </c>
      <c r="X12" s="1468" t="s">
        <v>961</v>
      </c>
      <c r="Y12" s="1468" t="s">
        <v>4307</v>
      </c>
      <c r="Z12" s="1468" t="s">
        <v>8618</v>
      </c>
      <c r="AA12" s="1468" t="s">
        <v>8619</v>
      </c>
      <c r="AB12" s="1468" t="s">
        <v>1905</v>
      </c>
      <c r="AC12" s="1468" t="s">
        <v>758</v>
      </c>
      <c r="AD12" s="1468" t="s">
        <v>8620</v>
      </c>
      <c r="AE12" s="1468" t="s">
        <v>6277</v>
      </c>
      <c r="AF12" s="1462" t="s">
        <v>8621</v>
      </c>
      <c r="AG12" s="1468" t="s">
        <v>8622</v>
      </c>
      <c r="AH12" s="1468" t="s">
        <v>4719</v>
      </c>
      <c r="AI12" s="1468" t="s">
        <v>2927</v>
      </c>
      <c r="AJ12" s="1468" t="s">
        <v>8623</v>
      </c>
      <c r="AK12" s="1468" t="s">
        <v>4174</v>
      </c>
      <c r="AL12" s="1468" t="s">
        <v>8624</v>
      </c>
      <c r="AM12" s="1468" t="s">
        <v>8625</v>
      </c>
      <c r="AN12" s="1273" t="s">
        <v>8481</v>
      </c>
      <c r="AO12" s="1468" t="s">
        <v>8626</v>
      </c>
      <c r="AP12" s="1468" t="s">
        <v>8627</v>
      </c>
      <c r="AQ12" s="1462" t="s">
        <v>8628</v>
      </c>
      <c r="AR12" s="1468" t="s">
        <v>8629</v>
      </c>
      <c r="AS12" s="1468" t="s">
        <v>1572</v>
      </c>
      <c r="AT12" s="1468" t="s">
        <v>8630</v>
      </c>
      <c r="AU12" s="1468" t="s">
        <v>8631</v>
      </c>
      <c r="AV12" s="1466" t="str">
        <f t="shared" si="1"/>
        <v>2:47</v>
      </c>
      <c r="AW12" s="1471" t="s">
        <v>8632</v>
      </c>
    </row>
    <row r="13" ht="15.75" customHeight="1">
      <c r="A13" s="1507" t="s">
        <v>2636</v>
      </c>
      <c r="B13" s="1459" t="s">
        <v>8372</v>
      </c>
      <c r="C13" s="1508">
        <v>0.04971064814814815</v>
      </c>
      <c r="D13" s="1467" t="s">
        <v>8633</v>
      </c>
      <c r="E13" s="1509" t="s">
        <v>509</v>
      </c>
      <c r="F13" s="1509" t="s">
        <v>8634</v>
      </c>
      <c r="G13" s="1509" t="s">
        <v>8635</v>
      </c>
      <c r="H13" s="1462" t="s">
        <v>8636</v>
      </c>
      <c r="I13" s="1510" t="s">
        <v>5648</v>
      </c>
      <c r="J13" s="1511" t="s">
        <v>8637</v>
      </c>
      <c r="K13" s="1511" t="s">
        <v>4256</v>
      </c>
      <c r="L13" s="1511" t="s">
        <v>4650</v>
      </c>
      <c r="M13" s="1511" t="s">
        <v>8589</v>
      </c>
      <c r="N13" s="1511" t="s">
        <v>2552</v>
      </c>
      <c r="O13" s="1511" t="s">
        <v>8638</v>
      </c>
      <c r="P13" s="1511" t="s">
        <v>8639</v>
      </c>
      <c r="Q13" s="1462" t="s">
        <v>8640</v>
      </c>
      <c r="R13" s="1512" t="s">
        <v>8641</v>
      </c>
      <c r="S13" s="1462" t="s">
        <v>1897</v>
      </c>
      <c r="T13" s="1512" t="s">
        <v>8642</v>
      </c>
      <c r="U13" s="1462" t="s">
        <v>7160</v>
      </c>
      <c r="V13" s="1512" t="s">
        <v>3397</v>
      </c>
      <c r="W13" s="1513" t="s">
        <v>8643</v>
      </c>
      <c r="X13" s="1513" t="s">
        <v>4036</v>
      </c>
      <c r="Y13" s="1513" t="s">
        <v>6874</v>
      </c>
      <c r="Z13" s="1513" t="s">
        <v>8644</v>
      </c>
      <c r="AA13" s="1513" t="s">
        <v>8488</v>
      </c>
      <c r="AB13" s="1513" t="s">
        <v>4408</v>
      </c>
      <c r="AC13" s="1513" t="s">
        <v>1148</v>
      </c>
      <c r="AD13" s="1509" t="s">
        <v>8645</v>
      </c>
      <c r="AE13" s="1509" t="s">
        <v>5271</v>
      </c>
      <c r="AF13" s="1514" t="s">
        <v>8646</v>
      </c>
      <c r="AG13" s="1514" t="s">
        <v>7654</v>
      </c>
      <c r="AH13" s="1514" t="s">
        <v>5281</v>
      </c>
      <c r="AI13" s="1514" t="s">
        <v>8647</v>
      </c>
      <c r="AJ13" s="1514" t="s">
        <v>8648</v>
      </c>
      <c r="AK13" s="1514" t="s">
        <v>8649</v>
      </c>
      <c r="AL13" s="1514" t="s">
        <v>4067</v>
      </c>
      <c r="AM13" s="1515" t="s">
        <v>8650</v>
      </c>
      <c r="AN13" s="1516" t="s">
        <v>4650</v>
      </c>
      <c r="AO13" s="1516" t="s">
        <v>8651</v>
      </c>
      <c r="AP13" s="1515" t="s">
        <v>8652</v>
      </c>
      <c r="AQ13" s="1515" t="s">
        <v>8653</v>
      </c>
      <c r="AR13" s="1516" t="s">
        <v>8654</v>
      </c>
      <c r="AS13" s="1515" t="s">
        <v>271</v>
      </c>
      <c r="AT13" s="1479" t="s">
        <v>8655</v>
      </c>
      <c r="AU13" s="1497" t="s">
        <v>8656</v>
      </c>
      <c r="AV13" s="1466" t="str">
        <f t="shared" si="1"/>
        <v>2:35</v>
      </c>
      <c r="AW13" s="1517" t="s">
        <v>8657</v>
      </c>
    </row>
    <row r="14" ht="15.75" customHeight="1">
      <c r="A14" s="1458" t="s">
        <v>6091</v>
      </c>
      <c r="B14" s="1518" t="s">
        <v>8372</v>
      </c>
      <c r="C14" s="1460">
        <v>0.04982638888888889</v>
      </c>
      <c r="D14" s="1467" t="s">
        <v>8658</v>
      </c>
      <c r="E14" s="1467" t="s">
        <v>4742</v>
      </c>
      <c r="F14" s="1467" t="s">
        <v>8659</v>
      </c>
      <c r="G14" s="1467" t="s">
        <v>8660</v>
      </c>
      <c r="H14" s="1467" t="s">
        <v>8661</v>
      </c>
      <c r="I14" s="1467" t="s">
        <v>5621</v>
      </c>
      <c r="J14" s="1467" t="s">
        <v>8662</v>
      </c>
      <c r="K14" s="1273" t="s">
        <v>8663</v>
      </c>
      <c r="L14" s="1467" t="s">
        <v>8664</v>
      </c>
      <c r="M14" s="1467" t="s">
        <v>8665</v>
      </c>
      <c r="N14" s="1467" t="s">
        <v>2018</v>
      </c>
      <c r="O14" s="1467" t="s">
        <v>8666</v>
      </c>
      <c r="P14" s="1273" t="s">
        <v>4470</v>
      </c>
      <c r="Q14" s="1467" t="s">
        <v>8667</v>
      </c>
      <c r="R14" s="1467" t="s">
        <v>1936</v>
      </c>
      <c r="S14" s="1467" t="s">
        <v>3333</v>
      </c>
      <c r="T14" s="1467" t="s">
        <v>8668</v>
      </c>
      <c r="U14" s="1467" t="s">
        <v>8669</v>
      </c>
      <c r="V14" s="1467" t="s">
        <v>6516</v>
      </c>
      <c r="W14" s="1467" t="s">
        <v>5425</v>
      </c>
      <c r="X14" s="1467" t="s">
        <v>8390</v>
      </c>
      <c r="Y14" s="1467" t="s">
        <v>8480</v>
      </c>
      <c r="Z14" s="1467" t="s">
        <v>6641</v>
      </c>
      <c r="AA14" s="1519" t="s">
        <v>8670</v>
      </c>
      <c r="AB14" s="1467" t="s">
        <v>5744</v>
      </c>
      <c r="AC14" s="1467" t="s">
        <v>1030</v>
      </c>
      <c r="AD14" s="1467" t="s">
        <v>7311</v>
      </c>
      <c r="AE14" s="1467" t="s">
        <v>4885</v>
      </c>
      <c r="AF14" s="1467" t="s">
        <v>8671</v>
      </c>
      <c r="AG14" s="1467" t="s">
        <v>1529</v>
      </c>
      <c r="AH14" s="1273" t="s">
        <v>8672</v>
      </c>
      <c r="AI14" s="1467" t="s">
        <v>8066</v>
      </c>
      <c r="AJ14" s="1467" t="s">
        <v>8673</v>
      </c>
      <c r="AK14" s="1467" t="s">
        <v>8674</v>
      </c>
      <c r="AL14" s="1467" t="s">
        <v>4400</v>
      </c>
      <c r="AM14" s="1467" t="s">
        <v>3405</v>
      </c>
      <c r="AN14" s="1467" t="s">
        <v>8675</v>
      </c>
      <c r="AO14" s="1467" t="s">
        <v>8514</v>
      </c>
      <c r="AP14" s="1520" t="s">
        <v>8395</v>
      </c>
      <c r="AQ14" s="1467" t="s">
        <v>8676</v>
      </c>
      <c r="AR14" s="1467" t="s">
        <v>8677</v>
      </c>
      <c r="AS14" s="1467" t="s">
        <v>8678</v>
      </c>
      <c r="AT14" s="1467" t="s">
        <v>8679</v>
      </c>
      <c r="AU14" s="1521" t="s">
        <v>8680</v>
      </c>
      <c r="AV14" s="1466" t="str">
        <f t="shared" si="1"/>
        <v>2:18</v>
      </c>
      <c r="AW14" s="1522" t="s">
        <v>8681</v>
      </c>
    </row>
    <row r="15" ht="15.75" customHeight="1">
      <c r="A15" s="1458" t="s">
        <v>2006</v>
      </c>
      <c r="B15" s="1459" t="s">
        <v>8372</v>
      </c>
      <c r="C15" s="1460">
        <v>0.049895833333333334</v>
      </c>
      <c r="D15" s="1273" t="s">
        <v>8682</v>
      </c>
      <c r="E15" s="1523" t="s">
        <v>885</v>
      </c>
      <c r="F15" s="1509" t="s">
        <v>8683</v>
      </c>
      <c r="G15" s="1523" t="s">
        <v>8684</v>
      </c>
      <c r="H15" s="1524" t="s">
        <v>8685</v>
      </c>
      <c r="I15" s="1510" t="s">
        <v>5485</v>
      </c>
      <c r="J15" s="1511" t="s">
        <v>8686</v>
      </c>
      <c r="K15" s="1525" t="s">
        <v>8687</v>
      </c>
      <c r="L15" s="1511" t="s">
        <v>8688</v>
      </c>
      <c r="M15" s="1511" t="s">
        <v>5031</v>
      </c>
      <c r="N15" s="1511" t="s">
        <v>8689</v>
      </c>
      <c r="O15" s="1525" t="s">
        <v>8690</v>
      </c>
      <c r="P15" s="1273" t="s">
        <v>8691</v>
      </c>
      <c r="Q15" s="1512" t="s">
        <v>3359</v>
      </c>
      <c r="R15" s="1526" t="s">
        <v>8692</v>
      </c>
      <c r="S15" s="1526" t="s">
        <v>8693</v>
      </c>
      <c r="T15" s="1526" t="s">
        <v>8694</v>
      </c>
      <c r="U15" s="1526" t="s">
        <v>8695</v>
      </c>
      <c r="V15" s="1512" t="s">
        <v>4451</v>
      </c>
      <c r="W15" s="1513" t="s">
        <v>8696</v>
      </c>
      <c r="X15" s="1527" t="s">
        <v>8697</v>
      </c>
      <c r="Y15" s="1513" t="s">
        <v>8698</v>
      </c>
      <c r="Z15" s="1513" t="s">
        <v>8699</v>
      </c>
      <c r="AA15" s="1513" t="s">
        <v>3186</v>
      </c>
      <c r="AB15" s="1527" t="s">
        <v>7624</v>
      </c>
      <c r="AC15" s="1527" t="s">
        <v>1219</v>
      </c>
      <c r="AD15" s="1523" t="s">
        <v>8700</v>
      </c>
      <c r="AE15" s="1523" t="s">
        <v>8701</v>
      </c>
      <c r="AF15" s="1528" t="s">
        <v>8702</v>
      </c>
      <c r="AG15" s="1514" t="s">
        <v>8703</v>
      </c>
      <c r="AH15" s="1514" t="s">
        <v>8704</v>
      </c>
      <c r="AI15" s="1514" t="s">
        <v>8600</v>
      </c>
      <c r="AJ15" s="1528" t="s">
        <v>8705</v>
      </c>
      <c r="AK15" s="1528" t="s">
        <v>892</v>
      </c>
      <c r="AL15" s="1514" t="s">
        <v>8706</v>
      </c>
      <c r="AM15" s="1516" t="s">
        <v>8707</v>
      </c>
      <c r="AN15" s="1515" t="s">
        <v>3036</v>
      </c>
      <c r="AO15" s="1516" t="s">
        <v>8708</v>
      </c>
      <c r="AP15" s="1515" t="s">
        <v>5572</v>
      </c>
      <c r="AQ15" s="1516" t="s">
        <v>8709</v>
      </c>
      <c r="AR15" s="1515" t="s">
        <v>1163</v>
      </c>
      <c r="AS15" s="1515" t="s">
        <v>3963</v>
      </c>
      <c r="AT15" s="1525" t="s">
        <v>6249</v>
      </c>
      <c r="AU15" s="1529" t="s">
        <v>8710</v>
      </c>
      <c r="AV15" s="1466" t="str">
        <f t="shared" si="1"/>
        <v>2:22</v>
      </c>
      <c r="AW15" s="1498" t="s">
        <v>8711</v>
      </c>
    </row>
    <row r="16">
      <c r="A16" s="1505" t="s">
        <v>1551</v>
      </c>
      <c r="B16" s="1503" t="s">
        <v>8372</v>
      </c>
      <c r="C16" s="1460">
        <v>0.04991898148148148</v>
      </c>
      <c r="D16" s="1530" t="s">
        <v>8712</v>
      </c>
      <c r="E16" s="1531" t="s">
        <v>8713</v>
      </c>
      <c r="F16" s="1531" t="s">
        <v>8714</v>
      </c>
      <c r="G16" s="1531" t="s">
        <v>8715</v>
      </c>
      <c r="H16" s="1531" t="s">
        <v>8716</v>
      </c>
      <c r="I16" s="1531">
        <v>48.07</v>
      </c>
      <c r="J16" s="1531" t="s">
        <v>8717</v>
      </c>
      <c r="K16" s="1531" t="s">
        <v>1700</v>
      </c>
      <c r="L16" s="1531">
        <v>56.32</v>
      </c>
      <c r="M16" s="1531" t="s">
        <v>862</v>
      </c>
      <c r="N16" s="1531" t="s">
        <v>8718</v>
      </c>
      <c r="O16" s="1531" t="s">
        <v>8719</v>
      </c>
      <c r="P16" s="1531">
        <v>47.77</v>
      </c>
      <c r="Q16" s="1531" t="s">
        <v>8720</v>
      </c>
      <c r="R16" s="1531" t="s">
        <v>7197</v>
      </c>
      <c r="S16" s="1531" t="s">
        <v>8721</v>
      </c>
      <c r="T16" s="1531" t="s">
        <v>4535</v>
      </c>
      <c r="U16" s="1531" t="s">
        <v>8722</v>
      </c>
      <c r="V16" s="1531">
        <v>59.79</v>
      </c>
      <c r="W16" s="1531" t="s">
        <v>8723</v>
      </c>
      <c r="X16" s="1531" t="s">
        <v>2068</v>
      </c>
      <c r="Y16" s="1531">
        <v>47.0</v>
      </c>
      <c r="Z16" s="1531" t="s">
        <v>8724</v>
      </c>
      <c r="AA16" s="1531" t="s">
        <v>8725</v>
      </c>
      <c r="AB16" s="1531" t="s">
        <v>7164</v>
      </c>
      <c r="AC16" s="1531">
        <v>47.56</v>
      </c>
      <c r="AD16" s="1531" t="s">
        <v>8414</v>
      </c>
      <c r="AE16" s="1531">
        <v>47.95</v>
      </c>
      <c r="AF16" s="1531" t="s">
        <v>8726</v>
      </c>
      <c r="AG16" s="1531" t="s">
        <v>8727</v>
      </c>
      <c r="AH16" s="1531">
        <v>57.67</v>
      </c>
      <c r="AI16" s="1531" t="s">
        <v>961</v>
      </c>
      <c r="AJ16" s="1531" t="s">
        <v>8728</v>
      </c>
      <c r="AK16" s="1531" t="s">
        <v>7649</v>
      </c>
      <c r="AL16" s="1531">
        <v>56.37</v>
      </c>
      <c r="AM16" s="1531" t="s">
        <v>8729</v>
      </c>
      <c r="AN16" s="1531">
        <v>55.92</v>
      </c>
      <c r="AO16" s="1531" t="s">
        <v>4427</v>
      </c>
      <c r="AP16" s="1531" t="s">
        <v>8292</v>
      </c>
      <c r="AQ16" s="1531" t="s">
        <v>8730</v>
      </c>
      <c r="AR16" s="1531" t="s">
        <v>6358</v>
      </c>
      <c r="AS16" s="1531">
        <v>46.83</v>
      </c>
      <c r="AT16" s="1532" t="s">
        <v>8731</v>
      </c>
      <c r="AU16" s="1488" t="s">
        <v>8732</v>
      </c>
      <c r="AV16" s="1466" t="str">
        <f t="shared" si="1"/>
        <v>1:53</v>
      </c>
      <c r="AW16" s="1504" t="s">
        <v>8733</v>
      </c>
    </row>
    <row r="17">
      <c r="A17" s="1505" t="s">
        <v>2091</v>
      </c>
      <c r="B17" s="1503" t="s">
        <v>8372</v>
      </c>
      <c r="C17" s="1533">
        <v>0.049930555555555554</v>
      </c>
      <c r="D17" s="1534" t="s">
        <v>8734</v>
      </c>
      <c r="E17" s="1488" t="s">
        <v>8379</v>
      </c>
      <c r="F17" s="1488" t="s">
        <v>4250</v>
      </c>
      <c r="G17" s="1488" t="s">
        <v>8735</v>
      </c>
      <c r="H17" s="1488" t="s">
        <v>8736</v>
      </c>
      <c r="I17" s="1488" t="s">
        <v>5604</v>
      </c>
      <c r="J17" s="1488" t="s">
        <v>6137</v>
      </c>
      <c r="K17" s="1488" t="s">
        <v>8737</v>
      </c>
      <c r="L17" s="1488" t="s">
        <v>4067</v>
      </c>
      <c r="M17" s="1488" t="s">
        <v>1093</v>
      </c>
      <c r="N17" s="1488" t="s">
        <v>8738</v>
      </c>
      <c r="O17" s="1488" t="s">
        <v>798</v>
      </c>
      <c r="P17" s="1481">
        <v>47.54</v>
      </c>
      <c r="Q17" s="1535" t="s">
        <v>5611</v>
      </c>
      <c r="R17" s="1481" t="s">
        <v>8739</v>
      </c>
      <c r="S17" s="1535" t="s">
        <v>8615</v>
      </c>
      <c r="T17" s="1481" t="s">
        <v>8740</v>
      </c>
      <c r="U17" s="1535" t="s">
        <v>8741</v>
      </c>
      <c r="V17" s="1536">
        <v>58.55</v>
      </c>
      <c r="W17" s="1535" t="s">
        <v>8742</v>
      </c>
      <c r="X17" s="1535" t="s">
        <v>8743</v>
      </c>
      <c r="Y17" s="1462" t="s">
        <v>8506</v>
      </c>
      <c r="Z17" s="1535" t="s">
        <v>8744</v>
      </c>
      <c r="AA17" s="1488" t="s">
        <v>8745</v>
      </c>
      <c r="AB17" s="1535" t="s">
        <v>8746</v>
      </c>
      <c r="AC17" s="1466">
        <v>47.2</v>
      </c>
      <c r="AD17" s="1535" t="s">
        <v>8747</v>
      </c>
      <c r="AE17" s="1481">
        <v>47.88</v>
      </c>
      <c r="AF17" s="1535" t="s">
        <v>8748</v>
      </c>
      <c r="AG17" s="1535" t="s">
        <v>8749</v>
      </c>
      <c r="AH17" s="1535">
        <v>57.68</v>
      </c>
      <c r="AI17" s="1535" t="s">
        <v>2747</v>
      </c>
      <c r="AJ17" s="1481" t="s">
        <v>8750</v>
      </c>
      <c r="AK17" s="1462" t="s">
        <v>8751</v>
      </c>
      <c r="AL17" s="1535">
        <v>55.92</v>
      </c>
      <c r="AM17" s="1535" t="s">
        <v>2789</v>
      </c>
      <c r="AN17" s="1462" t="s">
        <v>5652</v>
      </c>
      <c r="AO17" s="1535" t="s">
        <v>6626</v>
      </c>
      <c r="AP17" s="1535" t="s">
        <v>8752</v>
      </c>
      <c r="AQ17" s="1535" t="s">
        <v>7280</v>
      </c>
      <c r="AR17" s="1535" t="s">
        <v>8753</v>
      </c>
      <c r="AS17" s="1537">
        <v>42.83</v>
      </c>
      <c r="AT17" s="1481" t="s">
        <v>7868</v>
      </c>
      <c r="AU17" s="1497" t="s">
        <v>8754</v>
      </c>
      <c r="AV17" s="1466" t="str">
        <f t="shared" si="1"/>
        <v>4:29</v>
      </c>
      <c r="AW17" s="1504" t="s">
        <v>8755</v>
      </c>
    </row>
    <row r="18" ht="15.75" customHeight="1">
      <c r="A18" s="1505" t="s">
        <v>2248</v>
      </c>
      <c r="B18" s="1459" t="s">
        <v>8372</v>
      </c>
      <c r="C18" s="1460">
        <v>0.0499537037037037</v>
      </c>
      <c r="D18" s="1468" t="s">
        <v>8756</v>
      </c>
      <c r="E18" s="1468" t="s">
        <v>2697</v>
      </c>
      <c r="F18" s="1468" t="s">
        <v>8757</v>
      </c>
      <c r="G18" s="1462" t="s">
        <v>8758</v>
      </c>
      <c r="H18" s="1468" t="s">
        <v>8759</v>
      </c>
      <c r="I18" s="1538" t="s">
        <v>8701</v>
      </c>
      <c r="J18" s="1468" t="s">
        <v>1418</v>
      </c>
      <c r="K18" s="1468" t="s">
        <v>5148</v>
      </c>
      <c r="L18" s="1468" t="s">
        <v>8760</v>
      </c>
      <c r="M18" s="1468" t="s">
        <v>8761</v>
      </c>
      <c r="N18" s="1468" t="s">
        <v>8762</v>
      </c>
      <c r="O18" s="1468" t="s">
        <v>8763</v>
      </c>
      <c r="P18" s="1468" t="s">
        <v>8764</v>
      </c>
      <c r="Q18" s="1468" t="s">
        <v>4615</v>
      </c>
      <c r="R18" s="1512" t="s">
        <v>8765</v>
      </c>
      <c r="S18" s="1468" t="s">
        <v>4000</v>
      </c>
      <c r="T18" s="1468" t="s">
        <v>8595</v>
      </c>
      <c r="U18" s="1468" t="s">
        <v>8766</v>
      </c>
      <c r="V18" s="1468" t="s">
        <v>8767</v>
      </c>
      <c r="W18" s="1468" t="s">
        <v>8768</v>
      </c>
      <c r="X18" s="1468" t="s">
        <v>7625</v>
      </c>
      <c r="Y18" s="1468" t="s">
        <v>4263</v>
      </c>
      <c r="Z18" s="1468" t="s">
        <v>8769</v>
      </c>
      <c r="AA18" s="1468" t="s">
        <v>7625</v>
      </c>
      <c r="AB18" s="1468" t="s">
        <v>8590</v>
      </c>
      <c r="AC18" s="1468" t="s">
        <v>5534</v>
      </c>
      <c r="AD18" s="1468" t="s">
        <v>7676</v>
      </c>
      <c r="AE18" s="1468" t="s">
        <v>8770</v>
      </c>
      <c r="AF18" s="1468" t="s">
        <v>8771</v>
      </c>
      <c r="AG18" s="1468" t="s">
        <v>5036</v>
      </c>
      <c r="AH18" s="1468" t="s">
        <v>5184</v>
      </c>
      <c r="AI18" s="1468" t="s">
        <v>8772</v>
      </c>
      <c r="AJ18" s="1464" t="s">
        <v>8392</v>
      </c>
      <c r="AK18" s="1468" t="s">
        <v>2520</v>
      </c>
      <c r="AL18" s="1468" t="s">
        <v>8773</v>
      </c>
      <c r="AM18" s="1468" t="s">
        <v>8774</v>
      </c>
      <c r="AN18" s="1468" t="s">
        <v>553</v>
      </c>
      <c r="AO18" s="1468" t="s">
        <v>8775</v>
      </c>
      <c r="AP18" s="1468" t="s">
        <v>8776</v>
      </c>
      <c r="AQ18" s="1468" t="s">
        <v>4728</v>
      </c>
      <c r="AR18" s="1468" t="s">
        <v>6359</v>
      </c>
      <c r="AS18" s="1468" t="s">
        <v>8777</v>
      </c>
      <c r="AT18" s="1468" t="s">
        <v>2887</v>
      </c>
      <c r="AU18" s="1468" t="s">
        <v>8778</v>
      </c>
      <c r="AV18" s="1466" t="str">
        <f t="shared" si="1"/>
        <v>3:21</v>
      </c>
      <c r="AW18" s="1522" t="s">
        <v>8779</v>
      </c>
    </row>
    <row r="19" ht="15.75" customHeight="1">
      <c r="A19" s="1458" t="s">
        <v>8780</v>
      </c>
      <c r="B19" s="1459" t="s">
        <v>8372</v>
      </c>
      <c r="C19" s="1460">
        <v>0.049965277777777775</v>
      </c>
      <c r="D19" s="1273" t="s">
        <v>8781</v>
      </c>
      <c r="E19" s="1468" t="s">
        <v>4288</v>
      </c>
      <c r="F19" s="1468" t="s">
        <v>8782</v>
      </c>
      <c r="G19" s="1468" t="s">
        <v>8783</v>
      </c>
      <c r="H19" s="1466" t="s">
        <v>2273</v>
      </c>
      <c r="I19" s="1468" t="s">
        <v>1296</v>
      </c>
      <c r="J19" s="1468" t="s">
        <v>382</v>
      </c>
      <c r="K19" s="1468" t="s">
        <v>8784</v>
      </c>
      <c r="L19" s="1468" t="s">
        <v>5351</v>
      </c>
      <c r="M19" s="1468" t="s">
        <v>6273</v>
      </c>
      <c r="N19" s="1468" t="s">
        <v>8785</v>
      </c>
      <c r="O19" s="1468" t="s">
        <v>2602</v>
      </c>
      <c r="P19" s="1466" t="s">
        <v>5384</v>
      </c>
      <c r="Q19" s="1468" t="s">
        <v>8786</v>
      </c>
      <c r="R19" s="1468" t="s">
        <v>3164</v>
      </c>
      <c r="S19" s="1468" t="s">
        <v>7540</v>
      </c>
      <c r="T19" s="1468" t="s">
        <v>8156</v>
      </c>
      <c r="U19" s="1468" t="s">
        <v>8787</v>
      </c>
      <c r="V19" s="1468" t="s">
        <v>4956</v>
      </c>
      <c r="W19" s="1468" t="s">
        <v>8788</v>
      </c>
      <c r="X19" s="1466" t="s">
        <v>6632</v>
      </c>
      <c r="Y19" s="1466" t="s">
        <v>5470</v>
      </c>
      <c r="Z19" s="1468" t="s">
        <v>8789</v>
      </c>
      <c r="AA19" s="1468" t="s">
        <v>2317</v>
      </c>
      <c r="AB19" s="1468" t="s">
        <v>8790</v>
      </c>
      <c r="AC19" s="1468" t="s">
        <v>785</v>
      </c>
      <c r="AD19" s="1468" t="s">
        <v>5395</v>
      </c>
      <c r="AE19" s="1468" t="s">
        <v>8791</v>
      </c>
      <c r="AF19" s="1468" t="s">
        <v>873</v>
      </c>
      <c r="AG19" s="1468" t="s">
        <v>8792</v>
      </c>
      <c r="AH19" s="1468" t="s">
        <v>8793</v>
      </c>
      <c r="AI19" s="1468" t="s">
        <v>687</v>
      </c>
      <c r="AJ19" s="1466" t="s">
        <v>8794</v>
      </c>
      <c r="AK19" s="1514" t="s">
        <v>7450</v>
      </c>
      <c r="AL19" s="1468" t="s">
        <v>4607</v>
      </c>
      <c r="AM19" s="1468" t="s">
        <v>3562</v>
      </c>
      <c r="AN19" s="1466" t="s">
        <v>6005</v>
      </c>
      <c r="AO19" s="1466" t="s">
        <v>6359</v>
      </c>
      <c r="AP19" s="1466" t="s">
        <v>8795</v>
      </c>
      <c r="AQ19" s="1466" t="s">
        <v>8491</v>
      </c>
      <c r="AR19" s="1466" t="s">
        <v>489</v>
      </c>
      <c r="AS19" s="1466" t="s">
        <v>5639</v>
      </c>
      <c r="AT19" s="1466" t="s">
        <v>8671</v>
      </c>
      <c r="AU19" s="1468" t="s">
        <v>8796</v>
      </c>
      <c r="AV19" s="1466" t="str">
        <f t="shared" si="1"/>
        <v>3:46</v>
      </c>
      <c r="AW19" s="1539" t="s">
        <v>7948</v>
      </c>
    </row>
    <row r="20">
      <c r="A20" s="1505" t="s">
        <v>2025</v>
      </c>
      <c r="B20" s="1499" t="s">
        <v>8372</v>
      </c>
      <c r="C20" s="1540">
        <v>0.04990740740740741</v>
      </c>
      <c r="D20" s="1488" t="s">
        <v>8797</v>
      </c>
      <c r="E20" s="1488" t="s">
        <v>8798</v>
      </c>
      <c r="F20" s="1488" t="s">
        <v>8669</v>
      </c>
      <c r="G20" s="1488" t="s">
        <v>8799</v>
      </c>
      <c r="H20" s="1488" t="s">
        <v>8800</v>
      </c>
      <c r="I20" s="1488" t="s">
        <v>3718</v>
      </c>
      <c r="J20" s="1488" t="s">
        <v>8801</v>
      </c>
      <c r="K20" s="1541" t="s">
        <v>4188</v>
      </c>
      <c r="L20" s="1488" t="s">
        <v>8773</v>
      </c>
      <c r="M20" s="1488" t="s">
        <v>8802</v>
      </c>
      <c r="N20" s="1488" t="s">
        <v>7054</v>
      </c>
      <c r="O20" s="1488" t="s">
        <v>8803</v>
      </c>
      <c r="P20" s="1488" t="s">
        <v>6266</v>
      </c>
      <c r="Q20" s="1488" t="s">
        <v>8804</v>
      </c>
      <c r="R20" s="1488" t="s">
        <v>8739</v>
      </c>
      <c r="S20" s="1488" t="s">
        <v>8805</v>
      </c>
      <c r="T20" s="1488" t="s">
        <v>5696</v>
      </c>
      <c r="U20" s="1488" t="s">
        <v>8806</v>
      </c>
      <c r="V20" s="1488" t="s">
        <v>8807</v>
      </c>
      <c r="W20" s="1488" t="s">
        <v>5411</v>
      </c>
      <c r="X20" s="1488" t="s">
        <v>8808</v>
      </c>
      <c r="Y20" s="1488" t="s">
        <v>8506</v>
      </c>
      <c r="Z20" s="1488" t="s">
        <v>8809</v>
      </c>
      <c r="AA20" s="1488" t="s">
        <v>8745</v>
      </c>
      <c r="AB20" s="1488" t="s">
        <v>8746</v>
      </c>
      <c r="AC20" s="1488" t="s">
        <v>593</v>
      </c>
      <c r="AD20" s="1488" t="s">
        <v>8810</v>
      </c>
      <c r="AE20" s="1488" t="s">
        <v>5483</v>
      </c>
      <c r="AF20" s="1488" t="s">
        <v>8811</v>
      </c>
      <c r="AG20" s="1488" t="s">
        <v>8812</v>
      </c>
      <c r="AH20" s="1488" t="s">
        <v>2832</v>
      </c>
      <c r="AI20" s="1488" t="s">
        <v>8574</v>
      </c>
      <c r="AJ20" s="1488" t="s">
        <v>8813</v>
      </c>
      <c r="AK20" s="1488" t="s">
        <v>8814</v>
      </c>
      <c r="AL20" s="1488" t="s">
        <v>344</v>
      </c>
      <c r="AM20" s="1488" t="s">
        <v>2175</v>
      </c>
      <c r="AN20" s="1488" t="s">
        <v>232</v>
      </c>
      <c r="AO20" s="1488" t="s">
        <v>8815</v>
      </c>
      <c r="AP20" s="1488" t="s">
        <v>8816</v>
      </c>
      <c r="AQ20" s="1462" t="s">
        <v>7537</v>
      </c>
      <c r="AR20" s="1488" t="s">
        <v>2630</v>
      </c>
      <c r="AS20" s="1488" t="s">
        <v>926</v>
      </c>
      <c r="AT20" s="1488" t="s">
        <v>2431</v>
      </c>
      <c r="AU20" s="1468" t="s">
        <v>8817</v>
      </c>
      <c r="AV20" s="1466" t="str">
        <f t="shared" si="1"/>
        <v>2:24</v>
      </c>
      <c r="AW20" s="1539"/>
    </row>
    <row r="21" ht="15.75" customHeight="1">
      <c r="A21" s="1542" t="s">
        <v>6026</v>
      </c>
      <c r="B21" s="1459" t="s">
        <v>8372</v>
      </c>
      <c r="C21" s="1460">
        <v>0.05</v>
      </c>
      <c r="D21" s="1273" t="s">
        <v>8818</v>
      </c>
      <c r="E21" s="1468" t="s">
        <v>8188</v>
      </c>
      <c r="F21" s="1468" t="s">
        <v>8757</v>
      </c>
      <c r="G21" s="1466" t="s">
        <v>8819</v>
      </c>
      <c r="H21" s="1468" t="s">
        <v>8820</v>
      </c>
      <c r="I21" s="1466" t="s">
        <v>1914</v>
      </c>
      <c r="J21" s="1468" t="s">
        <v>2861</v>
      </c>
      <c r="K21" s="1468" t="s">
        <v>8821</v>
      </c>
      <c r="L21" s="1468" t="s">
        <v>3184</v>
      </c>
      <c r="M21" s="1468" t="s">
        <v>8822</v>
      </c>
      <c r="N21" s="1468" t="s">
        <v>8823</v>
      </c>
      <c r="O21" s="1468" t="s">
        <v>8742</v>
      </c>
      <c r="P21" s="1466" t="s">
        <v>3900</v>
      </c>
      <c r="Q21" s="1468" t="s">
        <v>8824</v>
      </c>
      <c r="R21" s="1468" t="s">
        <v>6555</v>
      </c>
      <c r="S21" s="1468" t="s">
        <v>6794</v>
      </c>
      <c r="T21" s="1468" t="s">
        <v>7199</v>
      </c>
      <c r="U21" s="1468" t="s">
        <v>8825</v>
      </c>
      <c r="V21" s="1468" t="s">
        <v>8826</v>
      </c>
      <c r="W21" s="1468" t="s">
        <v>8827</v>
      </c>
      <c r="X21" s="1468" t="s">
        <v>8828</v>
      </c>
      <c r="Y21" s="1468" t="s">
        <v>8829</v>
      </c>
      <c r="Z21" s="1468" t="s">
        <v>8830</v>
      </c>
      <c r="AA21" s="1468" t="s">
        <v>8831</v>
      </c>
      <c r="AB21" s="1468" t="s">
        <v>8832</v>
      </c>
      <c r="AC21" s="1466" t="s">
        <v>4904</v>
      </c>
      <c r="AD21" s="1468" t="s">
        <v>8833</v>
      </c>
      <c r="AE21" s="1466" t="s">
        <v>5458</v>
      </c>
      <c r="AF21" s="1543" t="s">
        <v>8389</v>
      </c>
      <c r="AG21" s="1468" t="s">
        <v>604</v>
      </c>
      <c r="AH21" s="1468" t="s">
        <v>6779</v>
      </c>
      <c r="AI21" s="1468" t="s">
        <v>194</v>
      </c>
      <c r="AJ21" s="1466" t="s">
        <v>8834</v>
      </c>
      <c r="AK21" s="1468" t="s">
        <v>8835</v>
      </c>
      <c r="AL21" s="1466" t="s">
        <v>3688</v>
      </c>
      <c r="AM21" s="1468" t="s">
        <v>1975</v>
      </c>
      <c r="AN21" s="1466" t="s">
        <v>2621</v>
      </c>
      <c r="AO21" s="1468" t="s">
        <v>3434</v>
      </c>
      <c r="AP21" s="1468" t="s">
        <v>8836</v>
      </c>
      <c r="AQ21" s="1466" t="s">
        <v>8837</v>
      </c>
      <c r="AR21" s="1468" t="s">
        <v>1667</v>
      </c>
      <c r="AS21" s="1466" t="s">
        <v>8678</v>
      </c>
      <c r="AT21" s="1468" t="s">
        <v>8838</v>
      </c>
      <c r="AU21" s="1468" t="s">
        <v>8839</v>
      </c>
      <c r="AV21" s="1466" t="str">
        <f t="shared" si="1"/>
        <v>1:53</v>
      </c>
      <c r="AW21" s="1539"/>
    </row>
    <row r="22">
      <c r="A22" s="1505" t="s">
        <v>6334</v>
      </c>
      <c r="B22" s="1499" t="s">
        <v>8400</v>
      </c>
      <c r="C22" s="1460">
        <v>0.05016203703703704</v>
      </c>
      <c r="D22" s="1481" t="s">
        <v>8840</v>
      </c>
      <c r="E22" s="1544" t="s">
        <v>8402</v>
      </c>
      <c r="F22" s="1481" t="s">
        <v>8841</v>
      </c>
      <c r="G22" s="1481" t="s">
        <v>8842</v>
      </c>
      <c r="H22" s="1481" t="s">
        <v>8843</v>
      </c>
      <c r="I22" s="1481" t="s">
        <v>4925</v>
      </c>
      <c r="J22" s="1481" t="s">
        <v>4080</v>
      </c>
      <c r="K22" s="1481" t="s">
        <v>8844</v>
      </c>
      <c r="L22" s="1273" t="s">
        <v>4998</v>
      </c>
      <c r="M22" s="1545" t="s">
        <v>8409</v>
      </c>
      <c r="N22" s="1481" t="s">
        <v>8845</v>
      </c>
      <c r="O22" s="1481" t="s">
        <v>8846</v>
      </c>
      <c r="P22" s="1481" t="s">
        <v>5759</v>
      </c>
      <c r="Q22" s="1481" t="s">
        <v>2669</v>
      </c>
      <c r="R22" s="1481" t="s">
        <v>899</v>
      </c>
      <c r="S22" s="1481" t="s">
        <v>8847</v>
      </c>
      <c r="T22" s="1481" t="s">
        <v>1301</v>
      </c>
      <c r="U22" s="1481" t="s">
        <v>8848</v>
      </c>
      <c r="V22" s="1481" t="s">
        <v>8849</v>
      </c>
      <c r="W22" s="1481" t="s">
        <v>8850</v>
      </c>
      <c r="X22" s="1481" t="s">
        <v>1367</v>
      </c>
      <c r="Y22" s="1481" t="s">
        <v>1096</v>
      </c>
      <c r="Z22" s="1481" t="s">
        <v>8744</v>
      </c>
      <c r="AA22" s="1546" t="s">
        <v>8413</v>
      </c>
      <c r="AB22" s="1481" t="s">
        <v>8851</v>
      </c>
      <c r="AC22" s="1481" t="s">
        <v>4699</v>
      </c>
      <c r="AD22" s="1481" t="s">
        <v>8852</v>
      </c>
      <c r="AE22" s="1481" t="s">
        <v>4810</v>
      </c>
      <c r="AF22" s="1481" t="s">
        <v>5622</v>
      </c>
      <c r="AG22" s="1481" t="s">
        <v>8853</v>
      </c>
      <c r="AH22" s="1481" t="s">
        <v>4328</v>
      </c>
      <c r="AI22" s="1544" t="s">
        <v>4144</v>
      </c>
      <c r="AJ22" s="1481" t="s">
        <v>8854</v>
      </c>
      <c r="AK22" s="1481" t="s">
        <v>8855</v>
      </c>
      <c r="AL22" s="1481" t="s">
        <v>2503</v>
      </c>
      <c r="AM22" s="1481" t="s">
        <v>4005</v>
      </c>
      <c r="AN22" s="1481" t="s">
        <v>5848</v>
      </c>
      <c r="AO22" s="1481" t="s">
        <v>8856</v>
      </c>
      <c r="AP22" s="1481" t="s">
        <v>8857</v>
      </c>
      <c r="AQ22" s="1481" t="s">
        <v>3990</v>
      </c>
      <c r="AR22" s="1546" t="s">
        <v>7355</v>
      </c>
      <c r="AS22" s="1481" t="s">
        <v>753</v>
      </c>
      <c r="AT22" s="1546" t="s">
        <v>8421</v>
      </c>
      <c r="AU22" s="1468" t="s">
        <v>8858</v>
      </c>
      <c r="AV22" s="1466" t="str">
        <f t="shared" si="1"/>
        <v>3:20</v>
      </c>
      <c r="AW22" s="1547"/>
    </row>
    <row r="23" ht="15.75" customHeight="1">
      <c r="A23" s="1472" t="s">
        <v>1413</v>
      </c>
      <c r="B23" s="1459" t="s">
        <v>8372</v>
      </c>
      <c r="C23" s="1460">
        <v>0.05025462962962963</v>
      </c>
      <c r="D23" s="1273" t="s">
        <v>8859</v>
      </c>
      <c r="E23" s="1509" t="s">
        <v>8860</v>
      </c>
      <c r="F23" s="1523" t="s">
        <v>8861</v>
      </c>
      <c r="G23" s="1462" t="s">
        <v>8862</v>
      </c>
      <c r="H23" s="1510" t="s">
        <v>8863</v>
      </c>
      <c r="I23" s="1510" t="s">
        <v>1048</v>
      </c>
      <c r="J23" s="1511" t="s">
        <v>8522</v>
      </c>
      <c r="K23" s="1525" t="s">
        <v>8864</v>
      </c>
      <c r="L23" s="1525" t="s">
        <v>5103</v>
      </c>
      <c r="M23" s="1548" t="str">
        <f>HYPERLINK("https://youtu.be/teAIifUZjFw","1:14.18")</f>
        <v>1:14.18</v>
      </c>
      <c r="N23" s="1525" t="s">
        <v>3740</v>
      </c>
      <c r="O23" s="1525" t="s">
        <v>8865</v>
      </c>
      <c r="P23" s="1525" t="s">
        <v>2017</v>
      </c>
      <c r="Q23" s="1526" t="s">
        <v>8866</v>
      </c>
      <c r="R23" s="1512" t="s">
        <v>8867</v>
      </c>
      <c r="S23" s="1512" t="s">
        <v>5416</v>
      </c>
      <c r="T23" s="1549" t="str">
        <f>HYPERLINK("https://youtu.be/AiXricVH5ss","1:24.99")</f>
        <v>1:24.99</v>
      </c>
      <c r="U23" s="1550" t="str">
        <f>HYPERLINK("https://www.twitch.tv/videos/450151935","2:00.31")</f>
        <v>2:00.31</v>
      </c>
      <c r="V23" s="1512" t="s">
        <v>8868</v>
      </c>
      <c r="W23" s="1551" t="str">
        <f>HYPERLINK("https://youtu.be/eafNhBoXVWA","1:46.09")</f>
        <v>1:46.09</v>
      </c>
      <c r="X23" s="1527" t="s">
        <v>4468</v>
      </c>
      <c r="Y23" s="1527" t="s">
        <v>8611</v>
      </c>
      <c r="Z23" s="1527" t="s">
        <v>8869</v>
      </c>
      <c r="AA23" s="1513" t="s">
        <v>8554</v>
      </c>
      <c r="AB23" s="1527" t="s">
        <v>6902</v>
      </c>
      <c r="AC23" s="1527" t="s">
        <v>7505</v>
      </c>
      <c r="AD23" s="1552" t="str">
        <f>HYPERLINK("https://youtu.be/8FEcTKESSh0","1:49.80")</f>
        <v>1:49.80</v>
      </c>
      <c r="AE23" s="1509" t="s">
        <v>6277</v>
      </c>
      <c r="AF23" s="1528" t="s">
        <v>8870</v>
      </c>
      <c r="AG23" s="1528" t="s">
        <v>8871</v>
      </c>
      <c r="AH23" s="1528" t="s">
        <v>8872</v>
      </c>
      <c r="AI23" s="1528" t="s">
        <v>4006</v>
      </c>
      <c r="AJ23" s="1528" t="s">
        <v>8873</v>
      </c>
      <c r="AK23" s="1514" t="s">
        <v>8740</v>
      </c>
      <c r="AL23" s="1528" t="s">
        <v>8874</v>
      </c>
      <c r="AM23" s="1516" t="s">
        <v>8707</v>
      </c>
      <c r="AN23" s="1516" t="s">
        <v>8157</v>
      </c>
      <c r="AO23" s="1516" t="s">
        <v>8875</v>
      </c>
      <c r="AP23" s="1515" t="s">
        <v>8876</v>
      </c>
      <c r="AQ23" s="1515" t="s">
        <v>8877</v>
      </c>
      <c r="AR23" s="1516" t="s">
        <v>8878</v>
      </c>
      <c r="AS23" s="1515" t="s">
        <v>5514</v>
      </c>
      <c r="AT23" s="1548" t="str">
        <f>HYPERLINK("https://youtu.be/xDirVtS1AZ4?t=4416","2:27.45")</f>
        <v>2:27.45</v>
      </c>
      <c r="AU23" s="1529" t="s">
        <v>8879</v>
      </c>
      <c r="AV23" s="1466" t="str">
        <f t="shared" si="1"/>
        <v>2:34</v>
      </c>
      <c r="AW23" s="1498" t="s">
        <v>8880</v>
      </c>
    </row>
    <row r="24">
      <c r="A24" s="1505" t="s">
        <v>6321</v>
      </c>
      <c r="B24" s="1499" t="s">
        <v>8372</v>
      </c>
      <c r="C24" s="1460">
        <v>0.0502662037037037</v>
      </c>
      <c r="D24" s="1273" t="s">
        <v>8881</v>
      </c>
      <c r="E24" s="1468" t="s">
        <v>8543</v>
      </c>
      <c r="F24" s="1468" t="s">
        <v>8882</v>
      </c>
      <c r="G24" s="1468" t="s">
        <v>8883</v>
      </c>
      <c r="H24" s="1468" t="s">
        <v>8884</v>
      </c>
      <c r="I24" s="1273" t="s">
        <v>261</v>
      </c>
      <c r="J24" s="1273" t="s">
        <v>8885</v>
      </c>
      <c r="K24" s="1468" t="s">
        <v>8821</v>
      </c>
      <c r="L24" s="1468" t="s">
        <v>4067</v>
      </c>
      <c r="M24" s="1273" t="s">
        <v>2652</v>
      </c>
      <c r="N24" s="1468" t="s">
        <v>8886</v>
      </c>
      <c r="O24" s="1468" t="s">
        <v>8887</v>
      </c>
      <c r="P24" s="1273" t="s">
        <v>8888</v>
      </c>
      <c r="Q24" s="1468" t="s">
        <v>8889</v>
      </c>
      <c r="R24" s="1273" t="s">
        <v>8890</v>
      </c>
      <c r="S24" s="1468" t="s">
        <v>8891</v>
      </c>
      <c r="T24" s="1273" t="s">
        <v>8892</v>
      </c>
      <c r="U24" s="1468" t="s">
        <v>1032</v>
      </c>
      <c r="V24" s="1273" t="s">
        <v>4956</v>
      </c>
      <c r="W24" s="1273" t="s">
        <v>7044</v>
      </c>
      <c r="X24" s="1273" t="s">
        <v>6632</v>
      </c>
      <c r="Y24" s="1273" t="s">
        <v>969</v>
      </c>
      <c r="Z24" s="1273" t="s">
        <v>8893</v>
      </c>
      <c r="AA24" s="1468" t="s">
        <v>8894</v>
      </c>
      <c r="AB24" s="1273" t="s">
        <v>7504</v>
      </c>
      <c r="AC24" s="1468" t="s">
        <v>8895</v>
      </c>
      <c r="AD24" s="1273" t="s">
        <v>6054</v>
      </c>
      <c r="AE24" s="1468" t="s">
        <v>8896</v>
      </c>
      <c r="AF24" s="1468" t="s">
        <v>8897</v>
      </c>
      <c r="AG24" s="1273" t="s">
        <v>2055</v>
      </c>
      <c r="AH24" s="1273" t="s">
        <v>2627</v>
      </c>
      <c r="AI24" s="1468" t="s">
        <v>8898</v>
      </c>
      <c r="AJ24" s="1273" t="s">
        <v>8899</v>
      </c>
      <c r="AK24" s="1273" t="s">
        <v>8386</v>
      </c>
      <c r="AL24" s="1273" t="s">
        <v>4607</v>
      </c>
      <c r="AM24" s="1273" t="s">
        <v>8900</v>
      </c>
      <c r="AN24" s="1273" t="s">
        <v>4607</v>
      </c>
      <c r="AO24" s="1273" t="s">
        <v>1910</v>
      </c>
      <c r="AP24" s="1468" t="s">
        <v>8901</v>
      </c>
      <c r="AQ24" s="1273" t="s">
        <v>2176</v>
      </c>
      <c r="AR24" s="1468" t="s">
        <v>8274</v>
      </c>
      <c r="AS24" s="1273" t="s">
        <v>1822</v>
      </c>
      <c r="AT24" s="1468" t="s">
        <v>8902</v>
      </c>
      <c r="AU24" s="1468" t="s">
        <v>8903</v>
      </c>
      <c r="AV24" s="1466" t="str">
        <f t="shared" si="1"/>
        <v>2:28</v>
      </c>
      <c r="AW24" s="1501" t="s">
        <v>8904</v>
      </c>
    </row>
    <row r="25" ht="15.75" customHeight="1">
      <c r="A25" s="1505" t="s">
        <v>2214</v>
      </c>
      <c r="B25" s="1553" t="s">
        <v>8400</v>
      </c>
      <c r="C25" s="1460">
        <v>0.0502662037037037</v>
      </c>
      <c r="D25" s="1509" t="s">
        <v>8905</v>
      </c>
      <c r="E25" s="1273" t="s">
        <v>7753</v>
      </c>
      <c r="F25" s="1273" t="s">
        <v>8906</v>
      </c>
      <c r="G25" s="1509" t="s">
        <v>8907</v>
      </c>
      <c r="H25" s="1554" t="s">
        <v>8405</v>
      </c>
      <c r="I25" s="1273" t="s">
        <v>6021</v>
      </c>
      <c r="J25" s="1273" t="s">
        <v>8908</v>
      </c>
      <c r="K25" s="1273" t="s">
        <v>8909</v>
      </c>
      <c r="L25" s="1273" t="s">
        <v>4719</v>
      </c>
      <c r="M25" s="1273" t="s">
        <v>8910</v>
      </c>
      <c r="N25" s="1511" t="s">
        <v>8911</v>
      </c>
      <c r="O25" s="1273" t="s">
        <v>8912</v>
      </c>
      <c r="P25" s="1511" t="s">
        <v>5437</v>
      </c>
      <c r="Q25" s="1273" t="s">
        <v>8913</v>
      </c>
      <c r="R25" s="1273" t="s">
        <v>8914</v>
      </c>
      <c r="S25" s="1512" t="s">
        <v>8915</v>
      </c>
      <c r="T25" s="1555" t="s">
        <v>8412</v>
      </c>
      <c r="U25" s="1512" t="s">
        <v>126</v>
      </c>
      <c r="V25" s="1273" t="s">
        <v>7990</v>
      </c>
      <c r="W25" s="1556" t="s">
        <v>4129</v>
      </c>
      <c r="X25" s="1273" t="s">
        <v>8916</v>
      </c>
      <c r="Y25" s="1273" t="s">
        <v>5113</v>
      </c>
      <c r="Z25" s="1545" t="s">
        <v>442</v>
      </c>
      <c r="AA25" s="1513" t="s">
        <v>4661</v>
      </c>
      <c r="AB25" s="1273" t="s">
        <v>3037</v>
      </c>
      <c r="AC25" s="1273" t="s">
        <v>412</v>
      </c>
      <c r="AD25" s="1273" t="s">
        <v>7676</v>
      </c>
      <c r="AE25" s="1557" t="s">
        <v>8415</v>
      </c>
      <c r="AF25" s="1273" t="s">
        <v>8917</v>
      </c>
      <c r="AG25" s="1545" t="s">
        <v>3881</v>
      </c>
      <c r="AH25" s="1273" t="s">
        <v>4914</v>
      </c>
      <c r="AI25" s="1514" t="s">
        <v>8918</v>
      </c>
      <c r="AJ25" s="1273" t="s">
        <v>8919</v>
      </c>
      <c r="AK25" s="1273" t="s">
        <v>1289</v>
      </c>
      <c r="AL25" s="1556" t="s">
        <v>5962</v>
      </c>
      <c r="AM25" s="1273" t="s">
        <v>8920</v>
      </c>
      <c r="AN25" s="1516" t="s">
        <v>8688</v>
      </c>
      <c r="AO25" s="1545" t="s">
        <v>7582</v>
      </c>
      <c r="AP25" s="1273" t="s">
        <v>8921</v>
      </c>
      <c r="AQ25" s="1558" t="s">
        <v>8420</v>
      </c>
      <c r="AR25" s="1273" t="s">
        <v>860</v>
      </c>
      <c r="AS25" s="1559" t="s">
        <v>5164</v>
      </c>
      <c r="AT25" s="1273" t="s">
        <v>8922</v>
      </c>
      <c r="AU25" s="1497" t="s">
        <v>8923</v>
      </c>
      <c r="AV25" s="1466" t="str">
        <f t="shared" si="1"/>
        <v>4:36</v>
      </c>
      <c r="AW25" s="1504" t="s">
        <v>8924</v>
      </c>
    </row>
    <row r="26">
      <c r="A26" s="1505" t="s">
        <v>8925</v>
      </c>
      <c r="B26" s="1560" t="s">
        <v>8372</v>
      </c>
      <c r="C26" s="1460">
        <v>0.0503125</v>
      </c>
      <c r="D26" s="1273" t="s">
        <v>8926</v>
      </c>
      <c r="E26" s="1509" t="s">
        <v>8927</v>
      </c>
      <c r="F26" s="1509" t="s">
        <v>8928</v>
      </c>
      <c r="G26" s="1509" t="s">
        <v>7983</v>
      </c>
      <c r="H26" s="1561" t="s">
        <v>8929</v>
      </c>
      <c r="I26" s="1561" t="s">
        <v>6873</v>
      </c>
      <c r="J26" s="1511" t="s">
        <v>1906</v>
      </c>
      <c r="K26" s="1511" t="s">
        <v>5860</v>
      </c>
      <c r="L26" s="1511" t="s">
        <v>3363</v>
      </c>
      <c r="M26" s="1511" t="s">
        <v>8930</v>
      </c>
      <c r="N26" s="1511" t="s">
        <v>8931</v>
      </c>
      <c r="O26" s="1511" t="s">
        <v>4129</v>
      </c>
      <c r="P26" s="1511" t="s">
        <v>5130</v>
      </c>
      <c r="Q26" s="1512" t="s">
        <v>8932</v>
      </c>
      <c r="R26" s="1512" t="s">
        <v>8933</v>
      </c>
      <c r="S26" s="1512" t="s">
        <v>545</v>
      </c>
      <c r="T26" s="1512" t="s">
        <v>8934</v>
      </c>
      <c r="U26" s="1512" t="s">
        <v>8935</v>
      </c>
      <c r="V26" s="1512" t="s">
        <v>8936</v>
      </c>
      <c r="W26" s="1513" t="s">
        <v>8937</v>
      </c>
      <c r="X26" s="1513" t="s">
        <v>4468</v>
      </c>
      <c r="Y26" s="1513" t="s">
        <v>1547</v>
      </c>
      <c r="Z26" s="1513" t="s">
        <v>2424</v>
      </c>
      <c r="AA26" s="1513" t="s">
        <v>8938</v>
      </c>
      <c r="AB26" s="1513" t="s">
        <v>3770</v>
      </c>
      <c r="AC26" s="1513" t="s">
        <v>8939</v>
      </c>
      <c r="AD26" s="1509" t="s">
        <v>8940</v>
      </c>
      <c r="AE26" s="1509" t="s">
        <v>8770</v>
      </c>
      <c r="AF26" s="1514" t="s">
        <v>8941</v>
      </c>
      <c r="AG26" s="1514" t="s">
        <v>7702</v>
      </c>
      <c r="AH26" s="1514" t="s">
        <v>8942</v>
      </c>
      <c r="AI26" s="1514" t="s">
        <v>5087</v>
      </c>
      <c r="AJ26" s="1514" t="s">
        <v>8943</v>
      </c>
      <c r="AK26" s="1514" t="s">
        <v>8944</v>
      </c>
      <c r="AL26" s="1514" t="s">
        <v>8603</v>
      </c>
      <c r="AM26" s="1516" t="s">
        <v>8647</v>
      </c>
      <c r="AN26" s="1516" t="s">
        <v>8945</v>
      </c>
      <c r="AO26" s="1516" t="s">
        <v>3259</v>
      </c>
      <c r="AP26" s="1516" t="s">
        <v>8946</v>
      </c>
      <c r="AQ26" s="1516" t="s">
        <v>8947</v>
      </c>
      <c r="AR26" s="1516" t="s">
        <v>2925</v>
      </c>
      <c r="AS26" s="1516" t="s">
        <v>301</v>
      </c>
      <c r="AT26" s="1511" t="s">
        <v>8948</v>
      </c>
      <c r="AU26" s="1497" t="s">
        <v>8949</v>
      </c>
      <c r="AV26" s="1466" t="str">
        <f t="shared" si="1"/>
        <v>2:59</v>
      </c>
      <c r="AW26" s="1504" t="s">
        <v>8950</v>
      </c>
    </row>
    <row r="27">
      <c r="A27" s="1562" t="s">
        <v>3093</v>
      </c>
      <c r="B27" s="1563" t="s">
        <v>8372</v>
      </c>
      <c r="C27" s="1564">
        <v>0.050318865740740744</v>
      </c>
      <c r="D27" s="1565" t="s">
        <v>8951</v>
      </c>
      <c r="E27" s="1565" t="s">
        <v>7453</v>
      </c>
      <c r="F27" s="1565" t="s">
        <v>8952</v>
      </c>
      <c r="G27" s="1566" t="s">
        <v>8953</v>
      </c>
      <c r="H27" s="1567" t="s">
        <v>8954</v>
      </c>
      <c r="I27" s="1568" t="s">
        <v>6019</v>
      </c>
      <c r="J27" s="1569" t="s">
        <v>8955</v>
      </c>
      <c r="K27" s="1570" t="s">
        <v>8956</v>
      </c>
      <c r="L27" s="1570" t="s">
        <v>6612</v>
      </c>
      <c r="M27" s="1570" t="s">
        <v>8957</v>
      </c>
      <c r="N27" s="1570" t="s">
        <v>8958</v>
      </c>
      <c r="O27" s="1569" t="s">
        <v>8959</v>
      </c>
      <c r="P27" s="1570" t="s">
        <v>8960</v>
      </c>
      <c r="Q27" s="1571" t="s">
        <v>601</v>
      </c>
      <c r="R27" s="1572" t="s">
        <v>5478</v>
      </c>
      <c r="S27" s="1571" t="s">
        <v>1052</v>
      </c>
      <c r="T27" s="1573" t="s">
        <v>4197</v>
      </c>
      <c r="U27" s="1574" t="s">
        <v>8961</v>
      </c>
      <c r="V27" s="1572" t="s">
        <v>8962</v>
      </c>
      <c r="W27" s="1575" t="s">
        <v>7366</v>
      </c>
      <c r="X27" s="1575" t="s">
        <v>7220</v>
      </c>
      <c r="Y27" s="1576" t="s">
        <v>6874</v>
      </c>
      <c r="Z27" s="1575" t="s">
        <v>224</v>
      </c>
      <c r="AA27" s="1575" t="s">
        <v>1785</v>
      </c>
      <c r="AB27" s="1577" t="s">
        <v>3596</v>
      </c>
      <c r="AC27" s="1577" t="s">
        <v>5027</v>
      </c>
      <c r="AD27" s="1565" t="s">
        <v>8963</v>
      </c>
      <c r="AE27" s="1578" t="s">
        <v>5483</v>
      </c>
      <c r="AF27" s="1579" t="s">
        <v>8964</v>
      </c>
      <c r="AG27" s="1580" t="s">
        <v>8749</v>
      </c>
      <c r="AH27" s="1580" t="s">
        <v>8965</v>
      </c>
      <c r="AI27" s="1580" t="s">
        <v>8966</v>
      </c>
      <c r="AJ27" s="1581" t="s">
        <v>8967</v>
      </c>
      <c r="AK27" s="1580" t="s">
        <v>8968</v>
      </c>
      <c r="AL27" s="1581" t="s">
        <v>2706</v>
      </c>
      <c r="AM27" s="1582" t="s">
        <v>8969</v>
      </c>
      <c r="AN27" s="1583" t="s">
        <v>5340</v>
      </c>
      <c r="AO27" s="1582" t="s">
        <v>8970</v>
      </c>
      <c r="AP27" s="1584" t="s">
        <v>8971</v>
      </c>
      <c r="AQ27" s="1582" t="s">
        <v>8730</v>
      </c>
      <c r="AR27" s="1584" t="s">
        <v>8972</v>
      </c>
      <c r="AS27" s="1585" t="s">
        <v>8973</v>
      </c>
      <c r="AT27" s="1570" t="s">
        <v>8974</v>
      </c>
      <c r="AU27" s="1586" t="s">
        <v>8975</v>
      </c>
      <c r="AV27" s="1586" t="str">
        <f t="shared" si="1"/>
        <v>2:46</v>
      </c>
      <c r="AW27" s="1587"/>
    </row>
    <row r="28" ht="15.75" customHeight="1">
      <c r="A28" s="1505" t="s">
        <v>2533</v>
      </c>
      <c r="B28" s="1503" t="s">
        <v>8400</v>
      </c>
      <c r="C28" s="1460">
        <v>0.050347222222222224</v>
      </c>
      <c r="D28" s="1273" t="s">
        <v>8976</v>
      </c>
      <c r="E28" s="1273" t="s">
        <v>8977</v>
      </c>
      <c r="F28" s="1273" t="s">
        <v>8978</v>
      </c>
      <c r="G28" s="1273" t="s">
        <v>8979</v>
      </c>
      <c r="H28" s="1273" t="s">
        <v>5849</v>
      </c>
      <c r="I28" s="1273" t="s">
        <v>693</v>
      </c>
      <c r="J28" s="1545" t="s">
        <v>8407</v>
      </c>
      <c r="K28" s="1545" t="s">
        <v>1095</v>
      </c>
      <c r="L28" s="1545" t="s">
        <v>8408</v>
      </c>
      <c r="M28" s="1511" t="s">
        <v>8957</v>
      </c>
      <c r="N28" s="1545" t="s">
        <v>2490</v>
      </c>
      <c r="O28" s="1273" t="s">
        <v>8980</v>
      </c>
      <c r="P28" s="1545" t="s">
        <v>5458</v>
      </c>
      <c r="Q28" s="1545" t="s">
        <v>8411</v>
      </c>
      <c r="R28" s="1545" t="s">
        <v>7136</v>
      </c>
      <c r="S28" s="1545" t="s">
        <v>8380</v>
      </c>
      <c r="T28" s="1273" t="s">
        <v>4568</v>
      </c>
      <c r="U28" s="1273" t="s">
        <v>8981</v>
      </c>
      <c r="V28" s="1545" t="s">
        <v>4099</v>
      </c>
      <c r="W28" s="1273" t="s">
        <v>7042</v>
      </c>
      <c r="X28" s="1273" t="s">
        <v>5696</v>
      </c>
      <c r="Y28" s="1545" t="s">
        <v>5534</v>
      </c>
      <c r="Z28" s="1273" t="s">
        <v>1133</v>
      </c>
      <c r="AA28" s="1273" t="s">
        <v>8982</v>
      </c>
      <c r="AB28" s="1273" t="s">
        <v>5715</v>
      </c>
      <c r="AC28" s="1273" t="s">
        <v>1898</v>
      </c>
      <c r="AD28" s="1273" t="s">
        <v>8983</v>
      </c>
      <c r="AE28" s="1273" t="s">
        <v>3178</v>
      </c>
      <c r="AF28" s="1273" t="s">
        <v>8984</v>
      </c>
      <c r="AG28" s="1273" t="s">
        <v>5532</v>
      </c>
      <c r="AH28" s="1273" t="s">
        <v>4595</v>
      </c>
      <c r="AI28" s="1273" t="s">
        <v>3319</v>
      </c>
      <c r="AJ28" s="1273" t="s">
        <v>8985</v>
      </c>
      <c r="AK28" s="1273" t="s">
        <v>2969</v>
      </c>
      <c r="AL28" s="1273" t="s">
        <v>8986</v>
      </c>
      <c r="AM28" s="1273" t="s">
        <v>8987</v>
      </c>
      <c r="AN28" s="1273" t="s">
        <v>4392</v>
      </c>
      <c r="AO28" s="1273" t="s">
        <v>7223</v>
      </c>
      <c r="AP28" s="1273" t="s">
        <v>8988</v>
      </c>
      <c r="AQ28" s="1273" t="s">
        <v>3689</v>
      </c>
      <c r="AR28" s="1273" t="s">
        <v>2925</v>
      </c>
      <c r="AS28" s="1273" t="s">
        <v>6501</v>
      </c>
      <c r="AT28" s="1273" t="s">
        <v>8989</v>
      </c>
      <c r="AU28" s="1514" t="s">
        <v>8422</v>
      </c>
      <c r="AV28" s="1466" t="str">
        <f t="shared" si="1"/>
        <v>2:37</v>
      </c>
      <c r="AW28" s="1588"/>
    </row>
    <row r="29" ht="15.75" customHeight="1">
      <c r="A29" s="1458" t="s">
        <v>8990</v>
      </c>
      <c r="B29" s="1518" t="s">
        <v>8400</v>
      </c>
      <c r="C29" s="1460">
        <v>0.05042824074074074</v>
      </c>
      <c r="D29" s="1273" t="s">
        <v>8658</v>
      </c>
      <c r="E29" s="1509" t="s">
        <v>6099</v>
      </c>
      <c r="F29" s="1509" t="s">
        <v>8991</v>
      </c>
      <c r="G29" s="1523" t="s">
        <v>8992</v>
      </c>
      <c r="H29" s="1510" t="s">
        <v>8993</v>
      </c>
      <c r="I29" s="1561" t="s">
        <v>3142</v>
      </c>
      <c r="J29" s="1511" t="s">
        <v>4763</v>
      </c>
      <c r="K29" s="1511" t="s">
        <v>8844</v>
      </c>
      <c r="L29" s="1511" t="s">
        <v>2465</v>
      </c>
      <c r="M29" s="1511" t="s">
        <v>2045</v>
      </c>
      <c r="N29" s="1511" t="s">
        <v>4175</v>
      </c>
      <c r="O29" s="1511" t="s">
        <v>8994</v>
      </c>
      <c r="P29" s="1525" t="s">
        <v>758</v>
      </c>
      <c r="Q29" s="1512" t="s">
        <v>8995</v>
      </c>
      <c r="R29" s="1512" t="s">
        <v>3333</v>
      </c>
      <c r="S29" s="1512" t="s">
        <v>7461</v>
      </c>
      <c r="T29" s="1526" t="s">
        <v>8574</v>
      </c>
      <c r="U29" s="1512" t="s">
        <v>8526</v>
      </c>
      <c r="V29" s="1526" t="s">
        <v>8996</v>
      </c>
      <c r="W29" s="1527" t="s">
        <v>7257</v>
      </c>
      <c r="X29" s="1589" t="s">
        <v>2599</v>
      </c>
      <c r="Y29" s="1527" t="s">
        <v>8997</v>
      </c>
      <c r="Z29" s="1513" t="s">
        <v>8998</v>
      </c>
      <c r="AA29" s="1527" t="s">
        <v>8966</v>
      </c>
      <c r="AB29" s="1273" t="s">
        <v>7324</v>
      </c>
      <c r="AC29" s="1527" t="s">
        <v>3538</v>
      </c>
      <c r="AD29" s="1557" t="s">
        <v>8414</v>
      </c>
      <c r="AE29" s="1509" t="s">
        <v>3178</v>
      </c>
      <c r="AF29" s="1514" t="s">
        <v>8999</v>
      </c>
      <c r="AG29" s="1528" t="s">
        <v>3880</v>
      </c>
      <c r="AH29" s="1528" t="s">
        <v>9000</v>
      </c>
      <c r="AI29" s="1466" t="s">
        <v>8894</v>
      </c>
      <c r="AJ29" s="1528" t="s">
        <v>9001</v>
      </c>
      <c r="AK29" s="1590" t="s">
        <v>8418</v>
      </c>
      <c r="AL29" s="1528" t="s">
        <v>3543</v>
      </c>
      <c r="AM29" s="1516" t="s">
        <v>9002</v>
      </c>
      <c r="AN29" s="1516" t="s">
        <v>4985</v>
      </c>
      <c r="AO29" s="1516" t="s">
        <v>2082</v>
      </c>
      <c r="AP29" s="1516" t="s">
        <v>9003</v>
      </c>
      <c r="AQ29" s="1515" t="s">
        <v>9004</v>
      </c>
      <c r="AR29" s="1515" t="s">
        <v>3588</v>
      </c>
      <c r="AS29" s="1515" t="s">
        <v>5180</v>
      </c>
      <c r="AT29" s="1511" t="s">
        <v>9005</v>
      </c>
      <c r="AU29" s="1497" t="s">
        <v>9006</v>
      </c>
      <c r="AV29" s="1466" t="str">
        <f t="shared" si="1"/>
        <v>2:55</v>
      </c>
      <c r="AW29" s="1591"/>
    </row>
    <row r="30" ht="15.75" customHeight="1">
      <c r="A30" s="1458" t="s">
        <v>4254</v>
      </c>
      <c r="B30" s="1459" t="s">
        <v>8372</v>
      </c>
      <c r="C30" s="1592">
        <v>0.05043981481481481</v>
      </c>
      <c r="D30" s="1273" t="s">
        <v>9007</v>
      </c>
      <c r="E30" s="1466" t="s">
        <v>7227</v>
      </c>
      <c r="F30" s="1466" t="s">
        <v>1573</v>
      </c>
      <c r="G30" s="1466" t="s">
        <v>9008</v>
      </c>
      <c r="H30" s="1466" t="s">
        <v>8565</v>
      </c>
      <c r="I30" s="1466" t="s">
        <v>4671</v>
      </c>
      <c r="J30" s="1466" t="s">
        <v>4478</v>
      </c>
      <c r="K30" s="1466" t="s">
        <v>8784</v>
      </c>
      <c r="L30" s="1466" t="s">
        <v>3809</v>
      </c>
      <c r="M30" s="1466" t="s">
        <v>9009</v>
      </c>
      <c r="N30" s="1466" t="s">
        <v>9010</v>
      </c>
      <c r="O30" s="1466" t="s">
        <v>9011</v>
      </c>
      <c r="P30" s="1466" t="s">
        <v>5271</v>
      </c>
      <c r="Q30" s="1466" t="s">
        <v>9012</v>
      </c>
      <c r="R30" s="1466" t="s">
        <v>9013</v>
      </c>
      <c r="S30" s="1466" t="s">
        <v>8805</v>
      </c>
      <c r="T30" s="1466" t="s">
        <v>9014</v>
      </c>
      <c r="U30" s="1466" t="s">
        <v>9015</v>
      </c>
      <c r="V30" s="1466" t="s">
        <v>2269</v>
      </c>
      <c r="W30" s="1466" t="s">
        <v>9016</v>
      </c>
      <c r="X30" s="1466" t="s">
        <v>9017</v>
      </c>
      <c r="Y30" s="1466" t="s">
        <v>8829</v>
      </c>
      <c r="Z30" s="1466" t="s">
        <v>1133</v>
      </c>
      <c r="AA30" s="1466" t="s">
        <v>3319</v>
      </c>
      <c r="AB30" s="1466" t="s">
        <v>4763</v>
      </c>
      <c r="AC30" s="1466" t="s">
        <v>7505</v>
      </c>
      <c r="AD30" s="1466" t="s">
        <v>6016</v>
      </c>
      <c r="AE30" s="1466" t="s">
        <v>5483</v>
      </c>
      <c r="AF30" s="1466" t="s">
        <v>9018</v>
      </c>
      <c r="AG30" s="1466" t="s">
        <v>9019</v>
      </c>
      <c r="AH30" s="1466" t="s">
        <v>4031</v>
      </c>
      <c r="AI30" s="1466" t="s">
        <v>5087</v>
      </c>
      <c r="AJ30" s="1466" t="s">
        <v>9020</v>
      </c>
      <c r="AK30" s="1466" t="s">
        <v>9021</v>
      </c>
      <c r="AL30" s="1466" t="s">
        <v>5805</v>
      </c>
      <c r="AM30" s="1466" t="s">
        <v>1231</v>
      </c>
      <c r="AN30" s="1466" t="s">
        <v>4178</v>
      </c>
      <c r="AO30" s="1466" t="s">
        <v>9022</v>
      </c>
      <c r="AP30" s="1593" t="str">
        <f>HYPERLINK("https://www.twitch.tv/videos/511415405","2:00.79")</f>
        <v>2:00.79</v>
      </c>
      <c r="AQ30" s="1466" t="s">
        <v>9023</v>
      </c>
      <c r="AR30" s="1466" t="s">
        <v>7223</v>
      </c>
      <c r="AS30" s="1466" t="s">
        <v>9024</v>
      </c>
      <c r="AT30" s="1466" t="s">
        <v>9025</v>
      </c>
      <c r="AU30" s="1466" t="s">
        <v>8975</v>
      </c>
      <c r="AV30" s="1466" t="str">
        <f t="shared" si="1"/>
        <v>2:36</v>
      </c>
      <c r="AW30" s="1485" t="s">
        <v>6409</v>
      </c>
    </row>
    <row r="31">
      <c r="A31" s="1505" t="s">
        <v>1198</v>
      </c>
      <c r="B31" s="1503" t="s">
        <v>8372</v>
      </c>
      <c r="C31" s="1460">
        <v>0.050486111111111114</v>
      </c>
      <c r="D31" s="1509" t="s">
        <v>9026</v>
      </c>
      <c r="E31" s="1509" t="s">
        <v>9027</v>
      </c>
      <c r="F31" s="1509" t="s">
        <v>9028</v>
      </c>
      <c r="G31" s="1509" t="s">
        <v>9029</v>
      </c>
      <c r="H31" s="1273" t="s">
        <v>9030</v>
      </c>
      <c r="I31" s="1561" t="s">
        <v>853</v>
      </c>
      <c r="J31" s="1511" t="s">
        <v>5615</v>
      </c>
      <c r="K31" s="1511" t="s">
        <v>7714</v>
      </c>
      <c r="L31" s="1511" t="s">
        <v>6233</v>
      </c>
      <c r="M31" s="1511" t="s">
        <v>4947</v>
      </c>
      <c r="N31" s="1511" t="s">
        <v>9031</v>
      </c>
      <c r="O31" s="1511" t="s">
        <v>9032</v>
      </c>
      <c r="P31" s="1511" t="s">
        <v>8701</v>
      </c>
      <c r="Q31" s="1512" t="s">
        <v>169</v>
      </c>
      <c r="R31" s="1512" t="s">
        <v>4708</v>
      </c>
      <c r="S31" s="1512" t="s">
        <v>8855</v>
      </c>
      <c r="T31" s="1512" t="s">
        <v>9033</v>
      </c>
      <c r="U31" s="1512" t="s">
        <v>9034</v>
      </c>
      <c r="V31" s="1512" t="s">
        <v>9035</v>
      </c>
      <c r="W31" s="1513" t="s">
        <v>9036</v>
      </c>
      <c r="X31" s="1513" t="s">
        <v>9037</v>
      </c>
      <c r="Y31" s="1513" t="s">
        <v>6838</v>
      </c>
      <c r="Z31" s="1513" t="s">
        <v>9038</v>
      </c>
      <c r="AA31" s="1468" t="s">
        <v>9039</v>
      </c>
      <c r="AB31" s="1513" t="s">
        <v>3301</v>
      </c>
      <c r="AC31" s="1513" t="s">
        <v>1048</v>
      </c>
      <c r="AD31" s="1509" t="s">
        <v>9040</v>
      </c>
      <c r="AE31" s="1509" t="s">
        <v>2172</v>
      </c>
      <c r="AF31" s="1514" t="s">
        <v>9041</v>
      </c>
      <c r="AG31" s="1514" t="s">
        <v>525</v>
      </c>
      <c r="AH31" s="1514" t="s">
        <v>9042</v>
      </c>
      <c r="AI31" s="1514" t="s">
        <v>2563</v>
      </c>
      <c r="AJ31" s="1514" t="s">
        <v>9043</v>
      </c>
      <c r="AK31" s="1514" t="s">
        <v>7299</v>
      </c>
      <c r="AL31" s="1514" t="s">
        <v>2706</v>
      </c>
      <c r="AM31" s="1516" t="s">
        <v>9044</v>
      </c>
      <c r="AN31" s="1516" t="s">
        <v>8408</v>
      </c>
      <c r="AO31" s="1516" t="s">
        <v>9045</v>
      </c>
      <c r="AP31" s="1516" t="s">
        <v>9046</v>
      </c>
      <c r="AQ31" s="1516" t="s">
        <v>9047</v>
      </c>
      <c r="AR31" s="1516" t="s">
        <v>1160</v>
      </c>
      <c r="AS31" s="1516" t="s">
        <v>1547</v>
      </c>
      <c r="AT31" s="1511" t="s">
        <v>9048</v>
      </c>
      <c r="AU31" s="1497" t="s">
        <v>9049</v>
      </c>
      <c r="AV31" s="1466" t="str">
        <f t="shared" si="1"/>
        <v>3:47</v>
      </c>
      <c r="AW31" s="1504"/>
    </row>
    <row r="32" ht="15.75" customHeight="1">
      <c r="A32" s="1505" t="s">
        <v>1628</v>
      </c>
      <c r="B32" s="1459" t="s">
        <v>8372</v>
      </c>
      <c r="C32" s="1460">
        <v>0.05049768518518519</v>
      </c>
      <c r="D32" s="1273" t="s">
        <v>9050</v>
      </c>
      <c r="E32" s="1523" t="s">
        <v>9051</v>
      </c>
      <c r="F32" s="1552" t="str">
        <f>HYPERLINK("https://www.youtube.com/watch?v=rtR6KkKhM6I","1:59.91")</f>
        <v>1:59.91</v>
      </c>
      <c r="G32" s="1523" t="s">
        <v>9052</v>
      </c>
      <c r="H32" s="1594" t="str">
        <f>HYPERLINK("https://www.youtube.com/watch?v=cg-eipYsN1s","1:54.47")</f>
        <v>1:54.47</v>
      </c>
      <c r="I32" s="1510" t="s">
        <v>8997</v>
      </c>
      <c r="J32" s="1525" t="s">
        <v>8753</v>
      </c>
      <c r="K32" s="1511" t="s">
        <v>6357</v>
      </c>
      <c r="L32" s="1548" t="str">
        <f>HYPERLINK("https://www.youtube.com/watch?v=tJdjPKdAbw4","57.01")</f>
        <v>57.01</v>
      </c>
      <c r="M32" s="1525" t="s">
        <v>7171</v>
      </c>
      <c r="N32" s="1511" t="s">
        <v>2288</v>
      </c>
      <c r="O32" s="1525" t="s">
        <v>9053</v>
      </c>
      <c r="P32" s="1525" t="s">
        <v>278</v>
      </c>
      <c r="Q32" s="1526" t="s">
        <v>237</v>
      </c>
      <c r="R32" s="1526" t="s">
        <v>8914</v>
      </c>
      <c r="S32" s="1550" t="str">
        <f>HYPERLINK("https://www.youtube.com/watch?v=_3ms_ZhYFzo","1:18.01")</f>
        <v>1:18.01</v>
      </c>
      <c r="T32" s="1526" t="s">
        <v>6157</v>
      </c>
      <c r="U32" s="1550" t="str">
        <f>HYPERLINK("https://www.youtube.com/watch?v=ZOy_TI3Zw14","2:02.38")</f>
        <v>2:02.38</v>
      </c>
      <c r="V32" s="1526" t="s">
        <v>9035</v>
      </c>
      <c r="W32" s="1527" t="s">
        <v>3176</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8701</v>
      </c>
      <c r="AF32" s="1528" t="s">
        <v>9054</v>
      </c>
      <c r="AG32" s="1595" t="str">
        <f>HYPERLINK("https://www.youtube.com/watch?v=KXwTRrVVluY","1:30.62")</f>
        <v>1:30.62</v>
      </c>
      <c r="AH32" s="1528" t="s">
        <v>2961</v>
      </c>
      <c r="AI32" s="1528" t="s">
        <v>8871</v>
      </c>
      <c r="AJ32" s="1528" t="s">
        <v>9055</v>
      </c>
      <c r="AK32" s="1514" t="s">
        <v>9056</v>
      </c>
      <c r="AL32" s="1528" t="s">
        <v>9057</v>
      </c>
      <c r="AM32" s="1596" t="str">
        <f>HYPERLINK("https://www.youtube.com/watch?v=BAoEwuQ0LoI","1:25.68")</f>
        <v>1:25.68</v>
      </c>
      <c r="AN32" s="1596" t="str">
        <f>HYPERLINK("https://www.youtube.com/watch?v=F-LtZeEZXek","56.36")</f>
        <v>56.36</v>
      </c>
      <c r="AO32" s="1515" t="s">
        <v>9058</v>
      </c>
      <c r="AP32" s="1515" t="s">
        <v>9059</v>
      </c>
      <c r="AQ32" s="1515" t="s">
        <v>9060</v>
      </c>
      <c r="AR32" s="1596" t="str">
        <f>HYPERLINK("https://www.youtube.com/watch?v=WSIIkWWbKgE","1:21.74")</f>
        <v>1:21.74</v>
      </c>
      <c r="AS32" s="1515" t="s">
        <v>5506</v>
      </c>
      <c r="AT32" s="1548" t="str">
        <f>HYPERLINK("https://www.youtube.com/watch?v=H67SXBLcISI","2:29.09")</f>
        <v>2:29.09</v>
      </c>
      <c r="AU32" s="1529" t="s">
        <v>9061</v>
      </c>
      <c r="AV32" s="1466" t="str">
        <f t="shared" si="1"/>
        <v>2:03</v>
      </c>
      <c r="AW32" s="1597" t="s">
        <v>9062</v>
      </c>
    </row>
    <row r="33">
      <c r="A33" s="1505" t="s">
        <v>2863</v>
      </c>
      <c r="B33" s="1503" t="s">
        <v>8400</v>
      </c>
      <c r="C33" s="1460">
        <v>0.050520833333333334</v>
      </c>
      <c r="D33" s="1509" t="s">
        <v>9063</v>
      </c>
      <c r="E33" s="1534" t="s">
        <v>4593</v>
      </c>
      <c r="F33" s="1534" t="s">
        <v>9064</v>
      </c>
      <c r="G33" s="1509" t="s">
        <v>9065</v>
      </c>
      <c r="H33" s="1534" t="s">
        <v>9066</v>
      </c>
      <c r="I33" s="1534" t="s">
        <v>2886</v>
      </c>
      <c r="J33" s="1511" t="s">
        <v>9067</v>
      </c>
      <c r="K33" s="1598" t="s">
        <v>9068</v>
      </c>
      <c r="L33" s="1511" t="s">
        <v>9069</v>
      </c>
      <c r="M33" s="1462" t="s">
        <v>5662</v>
      </c>
      <c r="N33" s="1511" t="s">
        <v>972</v>
      </c>
      <c r="O33" s="1511" t="s">
        <v>8865</v>
      </c>
      <c r="P33" s="1511" t="s">
        <v>412</v>
      </c>
      <c r="Q33" s="1483" t="str">
        <f>HYPERLINK("https://www.twitch.tv/planktonsecretformula/v/1588460220?sr=a", "2:12.43")</f>
        <v>2:12.43</v>
      </c>
      <c r="R33" s="1512" t="s">
        <v>9013</v>
      </c>
      <c r="S33" s="1512" t="s">
        <v>9070</v>
      </c>
      <c r="T33" s="1599" t="s">
        <v>9071</v>
      </c>
      <c r="U33" s="1534" t="s">
        <v>9072</v>
      </c>
      <c r="V33" s="1534" t="s">
        <v>9073</v>
      </c>
      <c r="W33" s="1519" t="s">
        <v>9074</v>
      </c>
      <c r="X33" s="1513" t="s">
        <v>945</v>
      </c>
      <c r="Y33" s="1513" t="s">
        <v>8764</v>
      </c>
      <c r="Z33" s="1513" t="s">
        <v>8523</v>
      </c>
      <c r="AA33" s="1468" t="s">
        <v>9075</v>
      </c>
      <c r="AB33" s="1513" t="s">
        <v>4125</v>
      </c>
      <c r="AC33" s="1513" t="s">
        <v>870</v>
      </c>
      <c r="AD33" s="1509" t="s">
        <v>3970</v>
      </c>
      <c r="AE33" s="1509" t="s">
        <v>5759</v>
      </c>
      <c r="AF33" s="1514" t="s">
        <v>9076</v>
      </c>
      <c r="AG33" s="1534" t="s">
        <v>4580</v>
      </c>
      <c r="AH33" s="1514" t="s">
        <v>9077</v>
      </c>
      <c r="AI33" s="1514" t="s">
        <v>6627</v>
      </c>
      <c r="AJ33" s="1514" t="s">
        <v>9078</v>
      </c>
      <c r="AK33" s="1514" t="s">
        <v>9079</v>
      </c>
      <c r="AL33" s="1514" t="s">
        <v>9080</v>
      </c>
      <c r="AM33" s="1516" t="s">
        <v>8574</v>
      </c>
      <c r="AN33" s="1516" t="s">
        <v>8704</v>
      </c>
      <c r="AO33" s="1516" t="s">
        <v>2925</v>
      </c>
      <c r="AP33" s="1545" t="s">
        <v>8419</v>
      </c>
      <c r="AQ33" s="1483" t="str">
        <f>HYPERLINK("https://www.twitch.tv/planktonsecretformula/v/1678454360?sr=a&amp;t=0s", "1:37.46")</f>
        <v>1:37.46</v>
      </c>
      <c r="AR33" s="1516" t="s">
        <v>9081</v>
      </c>
      <c r="AS33" s="1516" t="s">
        <v>715</v>
      </c>
      <c r="AT33" s="1511" t="s">
        <v>9082</v>
      </c>
      <c r="AU33" s="1497" t="s">
        <v>9083</v>
      </c>
      <c r="AV33" s="1466" t="str">
        <f t="shared" si="1"/>
        <v>4:40</v>
      </c>
      <c r="AW33" s="1504" t="s">
        <v>9084</v>
      </c>
    </row>
    <row r="34" ht="15.75" customHeight="1">
      <c r="A34" s="1542" t="s">
        <v>9085</v>
      </c>
      <c r="B34" s="1459" t="s">
        <v>8372</v>
      </c>
      <c r="C34" s="1460">
        <v>0.050555555555555555</v>
      </c>
      <c r="D34" s="1273" t="s">
        <v>9086</v>
      </c>
      <c r="E34" s="1509" t="s">
        <v>9087</v>
      </c>
      <c r="F34" s="1509" t="s">
        <v>9088</v>
      </c>
      <c r="G34" s="1509" t="s">
        <v>9089</v>
      </c>
      <c r="H34" s="1561" t="s">
        <v>9090</v>
      </c>
      <c r="I34" s="1561" t="s">
        <v>9091</v>
      </c>
      <c r="J34" s="1511" t="s">
        <v>9092</v>
      </c>
      <c r="K34" s="1511" t="s">
        <v>9093</v>
      </c>
      <c r="L34" s="1511" t="s">
        <v>9094</v>
      </c>
      <c r="M34" s="1511" t="s">
        <v>3251</v>
      </c>
      <c r="N34" s="1511" t="s">
        <v>9095</v>
      </c>
      <c r="O34" s="1511" t="s">
        <v>8994</v>
      </c>
      <c r="P34" s="1511" t="s">
        <v>4795</v>
      </c>
      <c r="Q34" s="1512" t="s">
        <v>9096</v>
      </c>
      <c r="R34" s="1512" t="s">
        <v>2568</v>
      </c>
      <c r="S34" s="1512" t="s">
        <v>9097</v>
      </c>
      <c r="T34" s="1512" t="s">
        <v>9098</v>
      </c>
      <c r="U34" s="1512" t="s">
        <v>9099</v>
      </c>
      <c r="V34" s="1512" t="s">
        <v>8868</v>
      </c>
      <c r="W34" s="1513" t="s">
        <v>9100</v>
      </c>
      <c r="X34" s="1513" t="s">
        <v>9101</v>
      </c>
      <c r="Y34" s="1513" t="s">
        <v>9102</v>
      </c>
      <c r="Z34" s="1513" t="s">
        <v>1292</v>
      </c>
      <c r="AA34" s="1513" t="s">
        <v>9103</v>
      </c>
      <c r="AB34" s="1513" t="s">
        <v>6356</v>
      </c>
      <c r="AC34" s="1527" t="s">
        <v>6456</v>
      </c>
      <c r="AD34" s="1509" t="s">
        <v>9104</v>
      </c>
      <c r="AE34" s="1509" t="s">
        <v>8701</v>
      </c>
      <c r="AF34" s="1514" t="s">
        <v>9105</v>
      </c>
      <c r="AG34" s="1514" t="s">
        <v>9106</v>
      </c>
      <c r="AH34" s="1514" t="s">
        <v>5535</v>
      </c>
      <c r="AI34" s="1514" t="s">
        <v>9107</v>
      </c>
      <c r="AJ34" s="1514" t="s">
        <v>9108</v>
      </c>
      <c r="AK34" s="1514" t="s">
        <v>4468</v>
      </c>
      <c r="AL34" s="1514" t="s">
        <v>5595</v>
      </c>
      <c r="AM34" s="1516" t="s">
        <v>2068</v>
      </c>
      <c r="AN34" s="1516" t="s">
        <v>4614</v>
      </c>
      <c r="AO34" s="1516" t="s">
        <v>9109</v>
      </c>
      <c r="AP34" s="1516" t="s">
        <v>9110</v>
      </c>
      <c r="AQ34" s="1516" t="s">
        <v>9111</v>
      </c>
      <c r="AR34" s="1516" t="s">
        <v>8718</v>
      </c>
      <c r="AS34" s="1516" t="s">
        <v>969</v>
      </c>
      <c r="AT34" s="1511" t="s">
        <v>9112</v>
      </c>
      <c r="AU34" s="1497" t="s">
        <v>9113</v>
      </c>
      <c r="AV34" s="1466" t="str">
        <f t="shared" si="1"/>
        <v>2:07</v>
      </c>
      <c r="AW34" s="1591"/>
    </row>
    <row r="35">
      <c r="A35" s="1472" t="s">
        <v>642</v>
      </c>
      <c r="B35" s="1503" t="s">
        <v>8372</v>
      </c>
      <c r="C35" s="1460">
        <v>0.050555555555555555</v>
      </c>
      <c r="D35" s="1273" t="s">
        <v>9114</v>
      </c>
      <c r="E35" s="1273" t="s">
        <v>9115</v>
      </c>
      <c r="F35" s="1273" t="s">
        <v>9116</v>
      </c>
      <c r="G35" s="1273" t="s">
        <v>9117</v>
      </c>
      <c r="H35" s="1273" t="s">
        <v>9118</v>
      </c>
      <c r="I35" s="1273" t="s">
        <v>9119</v>
      </c>
      <c r="J35" s="1273" t="s">
        <v>1368</v>
      </c>
      <c r="K35" s="1273" t="s">
        <v>9120</v>
      </c>
      <c r="L35" s="1273" t="s">
        <v>4229</v>
      </c>
      <c r="M35" s="1273" t="s">
        <v>4155</v>
      </c>
      <c r="N35" s="1273" t="s">
        <v>9121</v>
      </c>
      <c r="O35" s="1273" t="s">
        <v>9122</v>
      </c>
      <c r="P35" s="1273" t="s">
        <v>9123</v>
      </c>
      <c r="Q35" s="1273" t="s">
        <v>9124</v>
      </c>
      <c r="R35" s="1273" t="s">
        <v>9125</v>
      </c>
      <c r="S35" s="1273" t="s">
        <v>9126</v>
      </c>
      <c r="T35" s="1273" t="s">
        <v>8944</v>
      </c>
      <c r="U35" s="1273" t="s">
        <v>9127</v>
      </c>
      <c r="V35" s="1273" t="s">
        <v>6955</v>
      </c>
      <c r="W35" s="1273" t="s">
        <v>4680</v>
      </c>
      <c r="X35" s="1273" t="s">
        <v>9128</v>
      </c>
      <c r="Y35" s="1273" t="s">
        <v>5003</v>
      </c>
      <c r="Z35" s="1273" t="s">
        <v>9129</v>
      </c>
      <c r="AA35" s="1273" t="s">
        <v>9130</v>
      </c>
      <c r="AB35" s="1273" t="s">
        <v>9131</v>
      </c>
      <c r="AC35" s="1273" t="s">
        <v>7505</v>
      </c>
      <c r="AD35" s="1273" t="s">
        <v>9132</v>
      </c>
      <c r="AE35" s="1273" t="s">
        <v>8552</v>
      </c>
      <c r="AF35" s="1273" t="s">
        <v>9133</v>
      </c>
      <c r="AG35" s="1273" t="s">
        <v>4999</v>
      </c>
      <c r="AH35" s="1273" t="s">
        <v>4439</v>
      </c>
      <c r="AI35" s="1273" t="s">
        <v>9134</v>
      </c>
      <c r="AJ35" s="1273" t="s">
        <v>9135</v>
      </c>
      <c r="AK35" s="1273" t="s">
        <v>1754</v>
      </c>
      <c r="AL35" s="1273" t="s">
        <v>9136</v>
      </c>
      <c r="AM35" s="1273" t="s">
        <v>3848</v>
      </c>
      <c r="AN35" s="1273" t="s">
        <v>4011</v>
      </c>
      <c r="AO35" s="1273" t="s">
        <v>6103</v>
      </c>
      <c r="AP35" s="1273" t="s">
        <v>9137</v>
      </c>
      <c r="AQ35" s="1273" t="s">
        <v>9138</v>
      </c>
      <c r="AR35" s="1273" t="s">
        <v>8651</v>
      </c>
      <c r="AS35" s="1273" t="s">
        <v>926</v>
      </c>
      <c r="AT35" s="1273" t="s">
        <v>3086</v>
      </c>
      <c r="AU35" s="1497" t="s">
        <v>8975</v>
      </c>
      <c r="AV35" s="1466" t="str">
        <f t="shared" si="1"/>
        <v>2:26</v>
      </c>
      <c r="AW35" s="1504" t="s">
        <v>9139</v>
      </c>
    </row>
    <row r="36" ht="15.75" customHeight="1">
      <c r="A36" s="1458" t="s">
        <v>736</v>
      </c>
      <c r="B36" s="1518" t="s">
        <v>8400</v>
      </c>
      <c r="C36" s="1460">
        <v>0.05056712962962963</v>
      </c>
      <c r="D36" s="1545" t="s">
        <v>8401</v>
      </c>
      <c r="E36" s="1523" t="s">
        <v>8860</v>
      </c>
      <c r="F36" s="1544" t="s">
        <v>8403</v>
      </c>
      <c r="G36" s="1468" t="s">
        <v>9140</v>
      </c>
      <c r="H36" s="1468" t="s">
        <v>9141</v>
      </c>
      <c r="I36" s="1544" t="s">
        <v>8406</v>
      </c>
      <c r="J36" s="1468" t="s">
        <v>1107</v>
      </c>
      <c r="K36" s="1468" t="s">
        <v>4853</v>
      </c>
      <c r="L36" s="1468" t="s">
        <v>2275</v>
      </c>
      <c r="M36" s="1468" t="s">
        <v>2192</v>
      </c>
      <c r="N36" s="1468" t="s">
        <v>8835</v>
      </c>
      <c r="O36" s="1468" t="s">
        <v>9142</v>
      </c>
      <c r="P36" s="1468" t="s">
        <v>3900</v>
      </c>
      <c r="Q36" s="1468" t="s">
        <v>9143</v>
      </c>
      <c r="R36" s="1468" t="s">
        <v>2883</v>
      </c>
      <c r="S36" s="1468" t="s">
        <v>9144</v>
      </c>
      <c r="T36" s="1468" t="s">
        <v>2346</v>
      </c>
      <c r="U36" s="1468" t="s">
        <v>8608</v>
      </c>
      <c r="V36" s="1468" t="s">
        <v>2700</v>
      </c>
      <c r="W36" s="1468" t="s">
        <v>9145</v>
      </c>
      <c r="X36" s="1468" t="s">
        <v>9146</v>
      </c>
      <c r="Y36" s="1468" t="s">
        <v>950</v>
      </c>
      <c r="Z36" s="1468" t="s">
        <v>8724</v>
      </c>
      <c r="AA36" s="1468" t="s">
        <v>7299</v>
      </c>
      <c r="AB36" s="1468" t="s">
        <v>9147</v>
      </c>
      <c r="AC36" s="1466" t="s">
        <v>533</v>
      </c>
      <c r="AD36" s="1468" t="s">
        <v>9148</v>
      </c>
      <c r="AE36" s="1468" t="s">
        <v>4810</v>
      </c>
      <c r="AF36" s="1468" t="s">
        <v>9149</v>
      </c>
      <c r="AG36" s="1468" t="s">
        <v>8944</v>
      </c>
      <c r="AH36" s="1544" t="s">
        <v>2785</v>
      </c>
      <c r="AI36" s="1468" t="s">
        <v>9150</v>
      </c>
      <c r="AJ36" s="1468" t="s">
        <v>9151</v>
      </c>
      <c r="AK36" s="1468" t="s">
        <v>5304</v>
      </c>
      <c r="AL36" s="1468" t="s">
        <v>4178</v>
      </c>
      <c r="AM36" s="1468" t="s">
        <v>3186</v>
      </c>
      <c r="AN36" s="1468" t="s">
        <v>344</v>
      </c>
      <c r="AO36" s="1468" t="s">
        <v>9152</v>
      </c>
      <c r="AP36" s="1468" t="s">
        <v>9153</v>
      </c>
      <c r="AQ36" s="1468" t="s">
        <v>7239</v>
      </c>
      <c r="AR36" s="1468" t="s">
        <v>2552</v>
      </c>
      <c r="AS36" s="1468" t="s">
        <v>4024</v>
      </c>
      <c r="AT36" s="1468" t="s">
        <v>9154</v>
      </c>
      <c r="AU36" s="1468" t="s">
        <v>8754</v>
      </c>
      <c r="AV36" s="1466" t="str">
        <f t="shared" si="1"/>
        <v>3:34</v>
      </c>
      <c r="AW36" s="1501" t="s">
        <v>9155</v>
      </c>
    </row>
    <row r="37" ht="15.75" customHeight="1">
      <c r="A37" s="1472" t="s">
        <v>642</v>
      </c>
      <c r="B37" s="1518" t="s">
        <v>8400</v>
      </c>
      <c r="C37" s="1592">
        <v>0.05056712962962963</v>
      </c>
      <c r="D37" s="1273" t="s">
        <v>9156</v>
      </c>
      <c r="E37" s="1466" t="s">
        <v>9157</v>
      </c>
      <c r="F37" s="1466" t="s">
        <v>8787</v>
      </c>
      <c r="G37" s="1466" t="s">
        <v>9158</v>
      </c>
      <c r="H37" s="1466" t="s">
        <v>4442</v>
      </c>
      <c r="I37" s="1466" t="s">
        <v>1184</v>
      </c>
      <c r="J37" s="1468" t="s">
        <v>3419</v>
      </c>
      <c r="K37" s="1468" t="s">
        <v>3419</v>
      </c>
      <c r="L37" s="1466" t="s">
        <v>9159</v>
      </c>
      <c r="M37" s="1466" t="s">
        <v>9160</v>
      </c>
      <c r="N37" s="1466" t="s">
        <v>8729</v>
      </c>
      <c r="O37" s="1544" t="s">
        <v>8410</v>
      </c>
      <c r="P37" s="1466" t="s">
        <v>6870</v>
      </c>
      <c r="Q37" s="1466" t="s">
        <v>786</v>
      </c>
      <c r="R37" s="1468" t="s">
        <v>3419</v>
      </c>
      <c r="S37" s="1466" t="s">
        <v>9161</v>
      </c>
      <c r="T37" s="1466" t="s">
        <v>780</v>
      </c>
      <c r="U37" s="1466" t="s">
        <v>9162</v>
      </c>
      <c r="V37" s="1466" t="s">
        <v>9163</v>
      </c>
      <c r="W37" s="1466" t="s">
        <v>9164</v>
      </c>
      <c r="X37" s="1466" t="s">
        <v>8938</v>
      </c>
      <c r="Y37" s="1466" t="s">
        <v>8939</v>
      </c>
      <c r="Z37" s="1466" t="s">
        <v>149</v>
      </c>
      <c r="AA37" s="1466" t="s">
        <v>9165</v>
      </c>
      <c r="AB37" s="1466" t="s">
        <v>8626</v>
      </c>
      <c r="AC37" s="1466" t="s">
        <v>4470</v>
      </c>
      <c r="AD37" s="1466" t="s">
        <v>2309</v>
      </c>
      <c r="AE37" s="1466" t="s">
        <v>9102</v>
      </c>
      <c r="AF37" s="1466" t="s">
        <v>9166</v>
      </c>
      <c r="AG37" s="1466" t="s">
        <v>9167</v>
      </c>
      <c r="AH37" s="1466" t="s">
        <v>4459</v>
      </c>
      <c r="AI37" s="1466" t="s">
        <v>3767</v>
      </c>
      <c r="AJ37" s="1466" t="s">
        <v>9168</v>
      </c>
      <c r="AK37" s="1466" t="s">
        <v>1163</v>
      </c>
      <c r="AL37" s="1466" t="s">
        <v>8942</v>
      </c>
      <c r="AM37" s="1466" t="s">
        <v>9169</v>
      </c>
      <c r="AN37" s="1468" t="s">
        <v>9170</v>
      </c>
      <c r="AO37" s="1468" t="s">
        <v>3419</v>
      </c>
      <c r="AP37" s="1466" t="s">
        <v>5292</v>
      </c>
      <c r="AQ37" s="1466" t="s">
        <v>250</v>
      </c>
      <c r="AR37" s="1466" t="s">
        <v>4940</v>
      </c>
      <c r="AS37" s="1466" t="s">
        <v>9171</v>
      </c>
      <c r="AT37" s="1466" t="s">
        <v>9172</v>
      </c>
      <c r="AU37" s="1468" t="s">
        <v>9173</v>
      </c>
      <c r="AV37" s="1466" t="str">
        <f t="shared" si="1"/>
        <v>3:07</v>
      </c>
      <c r="AW37" s="1539" t="s">
        <v>9174</v>
      </c>
    </row>
    <row r="38" ht="15.75" customHeight="1">
      <c r="A38" s="1458" t="s">
        <v>4226</v>
      </c>
      <c r="B38" s="1459" t="s">
        <v>8372</v>
      </c>
      <c r="C38" s="1592">
        <v>0.05060185185185185</v>
      </c>
      <c r="D38" s="1273" t="s">
        <v>9175</v>
      </c>
      <c r="E38" s="1523" t="s">
        <v>3162</v>
      </c>
      <c r="F38" s="1523" t="s">
        <v>5878</v>
      </c>
      <c r="G38" s="1523" t="s">
        <v>9176</v>
      </c>
      <c r="H38" s="1510" t="s">
        <v>9177</v>
      </c>
      <c r="I38" s="1510" t="s">
        <v>1073</v>
      </c>
      <c r="J38" s="1525" t="s">
        <v>8566</v>
      </c>
      <c r="K38" s="1525" t="s">
        <v>7714</v>
      </c>
      <c r="L38" s="1525" t="s">
        <v>5484</v>
      </c>
      <c r="M38" s="1525" t="s">
        <v>9178</v>
      </c>
      <c r="N38" s="1525" t="s">
        <v>5213</v>
      </c>
      <c r="O38" s="1525" t="s">
        <v>9179</v>
      </c>
      <c r="P38" s="1525" t="s">
        <v>8770</v>
      </c>
      <c r="Q38" s="1526" t="s">
        <v>3625</v>
      </c>
      <c r="R38" s="1526" t="s">
        <v>5434</v>
      </c>
      <c r="S38" s="1526" t="s">
        <v>6356</v>
      </c>
      <c r="T38" s="1526" t="s">
        <v>9180</v>
      </c>
      <c r="U38" s="1526" t="s">
        <v>9181</v>
      </c>
      <c r="V38" s="1526" t="s">
        <v>3934</v>
      </c>
      <c r="W38" s="1527" t="s">
        <v>9182</v>
      </c>
      <c r="X38" s="1527" t="s">
        <v>7705</v>
      </c>
      <c r="Y38" s="1527" t="s">
        <v>5064</v>
      </c>
      <c r="Z38" s="1527" t="s">
        <v>1906</v>
      </c>
      <c r="AA38" s="1527" t="s">
        <v>9183</v>
      </c>
      <c r="AB38" s="1527" t="s">
        <v>8626</v>
      </c>
      <c r="AC38" s="1527" t="s">
        <v>5485</v>
      </c>
      <c r="AD38" s="1523" t="s">
        <v>6261</v>
      </c>
      <c r="AE38" s="1523" t="s">
        <v>8764</v>
      </c>
      <c r="AF38" s="1528" t="s">
        <v>9184</v>
      </c>
      <c r="AG38" s="1528" t="s">
        <v>9106</v>
      </c>
      <c r="AH38" s="1528" t="s">
        <v>9185</v>
      </c>
      <c r="AI38" s="1528" t="s">
        <v>5480</v>
      </c>
      <c r="AJ38" s="1528" t="s">
        <v>9186</v>
      </c>
      <c r="AK38" s="1528" t="s">
        <v>9187</v>
      </c>
      <c r="AL38" s="1528" t="s">
        <v>9188</v>
      </c>
      <c r="AM38" s="1515" t="s">
        <v>9189</v>
      </c>
      <c r="AN38" s="1515" t="s">
        <v>9190</v>
      </c>
      <c r="AO38" s="1515" t="s">
        <v>9191</v>
      </c>
      <c r="AP38" s="1515" t="s">
        <v>9192</v>
      </c>
      <c r="AQ38" s="1515" t="s">
        <v>9047</v>
      </c>
      <c r="AR38" s="1515" t="s">
        <v>9193</v>
      </c>
      <c r="AS38" s="1515" t="s">
        <v>4307</v>
      </c>
      <c r="AT38" s="1525" t="s">
        <v>9194</v>
      </c>
      <c r="AU38" s="1529" t="s">
        <v>9195</v>
      </c>
      <c r="AV38" s="1466" t="str">
        <f t="shared" si="1"/>
        <v>1:56</v>
      </c>
      <c r="AW38" s="1591"/>
    </row>
    <row r="39" ht="15.75" customHeight="1">
      <c r="A39" s="1472" t="s">
        <v>826</v>
      </c>
      <c r="B39" s="1459" t="s">
        <v>8372</v>
      </c>
      <c r="C39" s="1460">
        <v>0.05061342592592592</v>
      </c>
      <c r="D39" s="1273" t="s">
        <v>9196</v>
      </c>
      <c r="E39" s="1468" t="s">
        <v>8543</v>
      </c>
      <c r="F39" s="1468" t="s">
        <v>5364</v>
      </c>
      <c r="G39" s="1466" t="s">
        <v>9197</v>
      </c>
      <c r="H39" s="1468" t="s">
        <v>9198</v>
      </c>
      <c r="I39" s="1468" t="s">
        <v>388</v>
      </c>
      <c r="J39" s="1468" t="s">
        <v>6629</v>
      </c>
      <c r="K39" s="1466" t="s">
        <v>8784</v>
      </c>
      <c r="L39" s="1468" t="s">
        <v>9199</v>
      </c>
      <c r="M39" s="1468" t="s">
        <v>9200</v>
      </c>
      <c r="N39" s="1468" t="s">
        <v>4314</v>
      </c>
      <c r="O39" s="1468" t="s">
        <v>9201</v>
      </c>
      <c r="P39" s="1468" t="s">
        <v>1585</v>
      </c>
      <c r="Q39" s="1600" t="s">
        <v>9202</v>
      </c>
      <c r="R39" s="1468" t="s">
        <v>9203</v>
      </c>
      <c r="S39" s="1466" t="s">
        <v>9204</v>
      </c>
      <c r="T39" s="1468" t="s">
        <v>8900</v>
      </c>
      <c r="U39" s="1468" t="s">
        <v>7084</v>
      </c>
      <c r="V39" s="1468" t="s">
        <v>2470</v>
      </c>
      <c r="W39" s="1601" t="str">
        <f>HYPERLINK("https://www.youtube.com/watch?v=nn1ub1z3NYM","1:45.96")</f>
        <v>1:45.96</v>
      </c>
      <c r="X39" s="1468" t="s">
        <v>5593</v>
      </c>
      <c r="Y39" s="1466" t="s">
        <v>5470</v>
      </c>
      <c r="Z39" s="1468" t="s">
        <v>1499</v>
      </c>
      <c r="AA39" s="1468" t="s">
        <v>9205</v>
      </c>
      <c r="AB39" s="1468" t="s">
        <v>9206</v>
      </c>
      <c r="AC39" s="1468" t="s">
        <v>1048</v>
      </c>
      <c r="AD39" s="1468" t="s">
        <v>9207</v>
      </c>
      <c r="AE39" s="1600" t="s">
        <v>4612</v>
      </c>
      <c r="AF39" s="1466" t="s">
        <v>9208</v>
      </c>
      <c r="AG39" s="1468" t="s">
        <v>2081</v>
      </c>
      <c r="AH39" s="1468" t="s">
        <v>2961</v>
      </c>
      <c r="AI39" s="1468" t="s">
        <v>9209</v>
      </c>
      <c r="AJ39" s="1466" t="s">
        <v>7957</v>
      </c>
      <c r="AK39" s="1468" t="s">
        <v>9210</v>
      </c>
      <c r="AL39" s="1466" t="s">
        <v>4264</v>
      </c>
      <c r="AM39" s="1466" t="s">
        <v>9211</v>
      </c>
      <c r="AN39" s="1466" t="s">
        <v>2503</v>
      </c>
      <c r="AO39" s="1468" t="s">
        <v>5162</v>
      </c>
      <c r="AP39" s="1468" t="s">
        <v>9212</v>
      </c>
      <c r="AQ39" s="1468" t="s">
        <v>9213</v>
      </c>
      <c r="AR39" s="1468" t="s">
        <v>1368</v>
      </c>
      <c r="AS39" s="1468" t="s">
        <v>9214</v>
      </c>
      <c r="AT39" s="1468" t="s">
        <v>9215</v>
      </c>
      <c r="AU39" s="1468" t="s">
        <v>9216</v>
      </c>
      <c r="AV39" s="1466" t="str">
        <f t="shared" si="1"/>
        <v>2:25</v>
      </c>
      <c r="AW39" s="1501"/>
    </row>
    <row r="40">
      <c r="A40" s="1472" t="s">
        <v>9217</v>
      </c>
      <c r="B40" s="1499" t="s">
        <v>8372</v>
      </c>
      <c r="C40" s="1460">
        <v>0.050625</v>
      </c>
      <c r="D40" s="1602" t="s">
        <v>9218</v>
      </c>
      <c r="E40" s="1468" t="s">
        <v>4656</v>
      </c>
      <c r="F40" s="1468" t="s">
        <v>9219</v>
      </c>
      <c r="G40" s="1468" t="s">
        <v>8799</v>
      </c>
      <c r="H40" s="1468" t="s">
        <v>1653</v>
      </c>
      <c r="I40" s="1468" t="s">
        <v>1898</v>
      </c>
      <c r="J40" s="1468" t="s">
        <v>9220</v>
      </c>
      <c r="K40" s="1468" t="s">
        <v>3477</v>
      </c>
      <c r="L40" s="1468" t="s">
        <v>9221</v>
      </c>
      <c r="M40" s="1468" t="s">
        <v>9222</v>
      </c>
      <c r="N40" s="1468" t="s">
        <v>9223</v>
      </c>
      <c r="O40" s="1468" t="s">
        <v>9224</v>
      </c>
      <c r="P40" s="1468" t="s">
        <v>9102</v>
      </c>
      <c r="Q40" s="1468" t="s">
        <v>4584</v>
      </c>
      <c r="R40" s="1468" t="s">
        <v>3896</v>
      </c>
      <c r="S40" s="1468" t="s">
        <v>2536</v>
      </c>
      <c r="T40" s="1468" t="s">
        <v>2346</v>
      </c>
      <c r="U40" s="1468" t="s">
        <v>9225</v>
      </c>
      <c r="V40" s="1468" t="s">
        <v>2163</v>
      </c>
      <c r="W40" s="1468" t="s">
        <v>7557</v>
      </c>
      <c r="X40" s="1468" t="s">
        <v>9226</v>
      </c>
      <c r="Y40" s="1468" t="s">
        <v>9227</v>
      </c>
      <c r="Z40" s="1468" t="s">
        <v>9228</v>
      </c>
      <c r="AA40" s="1468" t="s">
        <v>9229</v>
      </c>
      <c r="AB40" s="1468"/>
      <c r="AC40" s="1468" t="s">
        <v>9230</v>
      </c>
      <c r="AD40" s="1468" t="s">
        <v>9231</v>
      </c>
      <c r="AE40" s="1468" t="s">
        <v>4885</v>
      </c>
      <c r="AF40" s="1468" t="s">
        <v>9232</v>
      </c>
      <c r="AG40" s="1468" t="s">
        <v>9233</v>
      </c>
      <c r="AH40" s="1468" t="s">
        <v>9234</v>
      </c>
      <c r="AI40" s="1468" t="s">
        <v>725</v>
      </c>
      <c r="AJ40" s="1468" t="s">
        <v>9235</v>
      </c>
      <c r="AK40" s="1468" t="s">
        <v>9236</v>
      </c>
      <c r="AL40" s="1468" t="s">
        <v>8965</v>
      </c>
      <c r="AM40" s="1468" t="s">
        <v>9237</v>
      </c>
      <c r="AN40" s="1468" t="s">
        <v>8452</v>
      </c>
      <c r="AO40" s="1468" t="s">
        <v>9238</v>
      </c>
      <c r="AP40" s="1468" t="s">
        <v>9239</v>
      </c>
      <c r="AQ40" s="1468" t="s">
        <v>9240</v>
      </c>
      <c r="AR40" s="1468" t="s">
        <v>6361</v>
      </c>
      <c r="AS40" s="1468" t="s">
        <v>6171</v>
      </c>
      <c r="AT40" s="1468" t="s">
        <v>8056</v>
      </c>
      <c r="AU40" s="1468" t="s">
        <v>9241</v>
      </c>
      <c r="AV40" s="1466" t="str">
        <f t="shared" si="1"/>
        <v>2:05</v>
      </c>
      <c r="AW40" s="1539"/>
    </row>
    <row r="41">
      <c r="A41" s="1472" t="s">
        <v>9242</v>
      </c>
      <c r="B41" s="1503" t="s">
        <v>8372</v>
      </c>
      <c r="C41" s="1460">
        <v>0.0506712962962963</v>
      </c>
      <c r="D41" s="1602" t="s">
        <v>9243</v>
      </c>
      <c r="E41" s="1509" t="s">
        <v>3162</v>
      </c>
      <c r="F41" s="1509" t="s">
        <v>8669</v>
      </c>
      <c r="G41" s="1509" t="s">
        <v>9244</v>
      </c>
      <c r="H41" s="1561" t="s">
        <v>9245</v>
      </c>
      <c r="I41" s="1561" t="s">
        <v>9246</v>
      </c>
      <c r="J41" s="1511" t="s">
        <v>9247</v>
      </c>
      <c r="K41" s="1511" t="s">
        <v>6908</v>
      </c>
      <c r="L41" s="1511" t="s">
        <v>4358</v>
      </c>
      <c r="M41" s="1511" t="s">
        <v>6909</v>
      </c>
      <c r="N41" s="1511" t="s">
        <v>9248</v>
      </c>
      <c r="O41" s="1511" t="s">
        <v>2196</v>
      </c>
      <c r="P41" s="1511" t="s">
        <v>6873</v>
      </c>
      <c r="Q41" s="1512" t="s">
        <v>7637</v>
      </c>
      <c r="R41" s="1512" t="s">
        <v>9249</v>
      </c>
      <c r="S41" s="1512" t="s">
        <v>9250</v>
      </c>
      <c r="T41" s="1512" t="s">
        <v>9251</v>
      </c>
      <c r="U41" s="1512" t="s">
        <v>9252</v>
      </c>
      <c r="V41" s="1512" t="s">
        <v>9253</v>
      </c>
      <c r="W41" s="1513" t="s">
        <v>9254</v>
      </c>
      <c r="X41" s="1513" t="s">
        <v>9255</v>
      </c>
      <c r="Y41" s="1513" t="s">
        <v>5986</v>
      </c>
      <c r="Z41" s="1513" t="s">
        <v>9256</v>
      </c>
      <c r="AA41" s="1468" t="s">
        <v>1759</v>
      </c>
      <c r="AB41" s="1513" t="s">
        <v>9257</v>
      </c>
      <c r="AC41" s="1513" t="s">
        <v>7505</v>
      </c>
      <c r="AD41" s="1509" t="s">
        <v>9258</v>
      </c>
      <c r="AE41" s="1509" t="s">
        <v>533</v>
      </c>
      <c r="AF41" s="1514" t="s">
        <v>9259</v>
      </c>
      <c r="AG41" s="1514" t="s">
        <v>3880</v>
      </c>
      <c r="AH41" s="1514" t="s">
        <v>5184</v>
      </c>
      <c r="AI41" s="1514" t="s">
        <v>9260</v>
      </c>
      <c r="AJ41" s="1514" t="s">
        <v>9261</v>
      </c>
      <c r="AK41" s="1514" t="s">
        <v>401</v>
      </c>
      <c r="AL41" s="1514" t="s">
        <v>2611</v>
      </c>
      <c r="AM41" s="1516" t="s">
        <v>8670</v>
      </c>
      <c r="AN41" s="1516" t="s">
        <v>8603</v>
      </c>
      <c r="AO41" s="1516" t="s">
        <v>8856</v>
      </c>
      <c r="AP41" s="1516" t="s">
        <v>9262</v>
      </c>
      <c r="AQ41" s="1516" t="s">
        <v>9263</v>
      </c>
      <c r="AR41" s="1516" t="s">
        <v>9264</v>
      </c>
      <c r="AS41" s="1516" t="s">
        <v>9265</v>
      </c>
      <c r="AT41" s="1511" t="s">
        <v>9266</v>
      </c>
      <c r="AU41" s="1497" t="s">
        <v>9049</v>
      </c>
      <c r="AV41" s="1466" t="str">
        <f t="shared" si="1"/>
        <v>3:31</v>
      </c>
      <c r="AW41" s="1591"/>
    </row>
    <row r="42" ht="15.75" customHeight="1">
      <c r="A42" s="1542" t="s">
        <v>9267</v>
      </c>
      <c r="B42" s="1459" t="s">
        <v>8372</v>
      </c>
      <c r="C42" s="1460">
        <v>0.05070601851851852</v>
      </c>
      <c r="D42" s="1273" t="s">
        <v>9268</v>
      </c>
      <c r="E42" s="1523" t="s">
        <v>3238</v>
      </c>
      <c r="F42" s="1523" t="s">
        <v>8604</v>
      </c>
      <c r="G42" s="1523" t="s">
        <v>9269</v>
      </c>
      <c r="H42" s="1510" t="s">
        <v>9270</v>
      </c>
      <c r="I42" s="1510" t="s">
        <v>388</v>
      </c>
      <c r="J42" s="1525" t="s">
        <v>2078</v>
      </c>
      <c r="K42" s="1525" t="s">
        <v>3453</v>
      </c>
      <c r="L42" s="1525" t="s">
        <v>5373</v>
      </c>
      <c r="M42" s="1525" t="s">
        <v>9271</v>
      </c>
      <c r="N42" s="1525" t="s">
        <v>9098</v>
      </c>
      <c r="O42" s="1525" t="s">
        <v>9272</v>
      </c>
      <c r="P42" s="1525" t="s">
        <v>5449</v>
      </c>
      <c r="Q42" s="1526" t="s">
        <v>9273</v>
      </c>
      <c r="R42" s="1526" t="s">
        <v>728</v>
      </c>
      <c r="S42" s="1526" t="s">
        <v>9238</v>
      </c>
      <c r="T42" s="1526" t="s">
        <v>9101</v>
      </c>
      <c r="U42" s="1526" t="s">
        <v>9274</v>
      </c>
      <c r="V42" s="1526" t="s">
        <v>2470</v>
      </c>
      <c r="W42" s="1527" t="s">
        <v>9275</v>
      </c>
      <c r="X42" s="1527" t="s">
        <v>8488</v>
      </c>
      <c r="Y42" s="1527" t="s">
        <v>9276</v>
      </c>
      <c r="Z42" s="1527" t="s">
        <v>8472</v>
      </c>
      <c r="AA42" s="1527" t="s">
        <v>9277</v>
      </c>
      <c r="AB42" s="1527" t="s">
        <v>2630</v>
      </c>
      <c r="AC42" s="1527" t="s">
        <v>2879</v>
      </c>
      <c r="AD42" s="1523" t="s">
        <v>9278</v>
      </c>
      <c r="AE42" s="1523" t="s">
        <v>5988</v>
      </c>
      <c r="AF42" s="1528" t="s">
        <v>8508</v>
      </c>
      <c r="AG42" s="1528" t="s">
        <v>9279</v>
      </c>
      <c r="AH42" s="1528" t="s">
        <v>2206</v>
      </c>
      <c r="AI42" s="1528" t="s">
        <v>6165</v>
      </c>
      <c r="AJ42" s="1528" t="s">
        <v>8907</v>
      </c>
      <c r="AK42" s="1528" t="s">
        <v>9280</v>
      </c>
      <c r="AL42" s="1528" t="s">
        <v>5340</v>
      </c>
      <c r="AM42" s="1515" t="s">
        <v>9128</v>
      </c>
      <c r="AN42" s="1515" t="s">
        <v>5340</v>
      </c>
      <c r="AO42" s="1515" t="s">
        <v>2288</v>
      </c>
      <c r="AP42" s="1515" t="s">
        <v>9281</v>
      </c>
      <c r="AQ42" s="1515" t="s">
        <v>9282</v>
      </c>
      <c r="AR42" s="1515" t="s">
        <v>9283</v>
      </c>
      <c r="AS42" s="1515" t="s">
        <v>4310</v>
      </c>
      <c r="AT42" s="1525" t="s">
        <v>9284</v>
      </c>
      <c r="AU42" s="1529" t="s">
        <v>9285</v>
      </c>
      <c r="AV42" s="1466" t="str">
        <f t="shared" si="1"/>
        <v>2:54</v>
      </c>
      <c r="AW42" s="1591"/>
    </row>
    <row r="43">
      <c r="A43" s="1505" t="s">
        <v>2816</v>
      </c>
      <c r="B43" s="1499" t="s">
        <v>8372</v>
      </c>
      <c r="C43" s="1460">
        <v>0.050826388888888886</v>
      </c>
      <c r="D43" s="1468" t="s">
        <v>9286</v>
      </c>
      <c r="E43" s="1468" t="s">
        <v>9287</v>
      </c>
      <c r="F43" s="1509" t="s">
        <v>9288</v>
      </c>
      <c r="G43" s="1468" t="s">
        <v>9289</v>
      </c>
      <c r="H43" s="1468" t="s">
        <v>6244</v>
      </c>
      <c r="I43" s="1468" t="s">
        <v>1358</v>
      </c>
      <c r="J43" s="1468" t="s">
        <v>9290</v>
      </c>
      <c r="K43" s="1468" t="s">
        <v>3857</v>
      </c>
      <c r="L43" s="1468" t="s">
        <v>9291</v>
      </c>
      <c r="M43" s="1468" t="s">
        <v>9292</v>
      </c>
      <c r="N43" s="1468" t="s">
        <v>7123</v>
      </c>
      <c r="O43" s="1468" t="s">
        <v>9293</v>
      </c>
      <c r="P43" s="1468" t="s">
        <v>8791</v>
      </c>
      <c r="Q43" s="1468" t="s">
        <v>9294</v>
      </c>
      <c r="R43" s="1468" t="s">
        <v>9295</v>
      </c>
      <c r="S43" s="1468" t="s">
        <v>9296</v>
      </c>
      <c r="T43" s="1468" t="s">
        <v>1785</v>
      </c>
      <c r="U43" s="1468" t="s">
        <v>9297</v>
      </c>
      <c r="V43" s="1468" t="s">
        <v>6953</v>
      </c>
      <c r="W43" s="1468" t="s">
        <v>5433</v>
      </c>
      <c r="X43" s="1468" t="s">
        <v>9298</v>
      </c>
      <c r="Y43" s="1468" t="s">
        <v>6866</v>
      </c>
      <c r="Z43" s="1468" t="s">
        <v>2028</v>
      </c>
      <c r="AA43" s="1513" t="s">
        <v>9299</v>
      </c>
      <c r="AB43" s="1468" t="s">
        <v>1906</v>
      </c>
      <c r="AC43" s="1468" t="s">
        <v>7505</v>
      </c>
      <c r="AD43" s="1468" t="s">
        <v>9300</v>
      </c>
      <c r="AE43" s="1468" t="s">
        <v>4885</v>
      </c>
      <c r="AF43" s="1468" t="s">
        <v>9301</v>
      </c>
      <c r="AG43" s="1468" t="s">
        <v>1178</v>
      </c>
      <c r="AH43" s="1468" t="s">
        <v>3829</v>
      </c>
      <c r="AI43" s="1468" t="s">
        <v>9302</v>
      </c>
      <c r="AJ43" s="1468" t="s">
        <v>9303</v>
      </c>
      <c r="AK43" s="1468" t="s">
        <v>9210</v>
      </c>
      <c r="AL43" s="1468" t="s">
        <v>4271</v>
      </c>
      <c r="AM43" s="1468" t="s">
        <v>9210</v>
      </c>
      <c r="AN43" s="1468" t="s">
        <v>8452</v>
      </c>
      <c r="AO43" s="1468" t="s">
        <v>7223</v>
      </c>
      <c r="AP43" s="1468" t="s">
        <v>9304</v>
      </c>
      <c r="AQ43" s="1468" t="s">
        <v>9305</v>
      </c>
      <c r="AR43" s="1468" t="s">
        <v>5095</v>
      </c>
      <c r="AS43" s="1468" t="s">
        <v>9306</v>
      </c>
      <c r="AT43" s="1468" t="s">
        <v>9307</v>
      </c>
      <c r="AU43" s="1468" t="s">
        <v>9308</v>
      </c>
      <c r="AV43" s="1466" t="str">
        <f t="shared" si="1"/>
        <v>2:25</v>
      </c>
      <c r="AW43" s="1539"/>
    </row>
    <row r="44" ht="15.75" customHeight="1">
      <c r="A44" s="1505" t="s">
        <v>4618</v>
      </c>
      <c r="B44" s="1459" t="s">
        <v>8372</v>
      </c>
      <c r="C44" s="1592">
        <v>0.050868055555555555</v>
      </c>
      <c r="D44" s="1273" t="s">
        <v>9309</v>
      </c>
      <c r="E44" s="1466" t="s">
        <v>7453</v>
      </c>
      <c r="F44" s="1466" t="s">
        <v>9310</v>
      </c>
      <c r="G44" s="1466" t="s">
        <v>9311</v>
      </c>
      <c r="H44" s="1466" t="s">
        <v>9141</v>
      </c>
      <c r="I44" s="1466" t="s">
        <v>1358</v>
      </c>
      <c r="J44" s="1466" t="s">
        <v>9264</v>
      </c>
      <c r="K44" s="1466" t="s">
        <v>8821</v>
      </c>
      <c r="L44" s="1466" t="s">
        <v>8672</v>
      </c>
      <c r="M44" s="1466" t="s">
        <v>5270</v>
      </c>
      <c r="N44" s="1466" t="s">
        <v>7915</v>
      </c>
      <c r="O44" s="1466" t="s">
        <v>9312</v>
      </c>
      <c r="P44" s="1466" t="s">
        <v>9313</v>
      </c>
      <c r="Q44" s="1466" t="s">
        <v>9314</v>
      </c>
      <c r="R44" s="1466" t="s">
        <v>7205</v>
      </c>
      <c r="S44" s="1466" t="s">
        <v>8654</v>
      </c>
      <c r="T44" s="1466" t="s">
        <v>4601</v>
      </c>
      <c r="U44" s="1466" t="s">
        <v>9315</v>
      </c>
      <c r="V44" s="1466" t="s">
        <v>8849</v>
      </c>
      <c r="W44" s="1466" t="s">
        <v>9316</v>
      </c>
      <c r="X44" s="1466" t="s">
        <v>8853</v>
      </c>
      <c r="Y44" s="1466" t="s">
        <v>3484</v>
      </c>
      <c r="Z44" s="1466" t="s">
        <v>9317</v>
      </c>
      <c r="AA44" s="1466" t="s">
        <v>9318</v>
      </c>
      <c r="AB44" s="1466" t="s">
        <v>1613</v>
      </c>
      <c r="AC44" s="1466" t="s">
        <v>2924</v>
      </c>
      <c r="AD44" s="1466" t="s">
        <v>9319</v>
      </c>
      <c r="AE44" s="1466" t="s">
        <v>615</v>
      </c>
      <c r="AF44" s="1466" t="s">
        <v>9320</v>
      </c>
      <c r="AG44" s="1466" t="s">
        <v>5813</v>
      </c>
      <c r="AH44" s="1466" t="s">
        <v>9321</v>
      </c>
      <c r="AI44" s="1466" t="s">
        <v>7320</v>
      </c>
      <c r="AJ44" s="1466" t="s">
        <v>9322</v>
      </c>
      <c r="AK44" s="1466" t="s">
        <v>5328</v>
      </c>
      <c r="AL44" s="1466" t="s">
        <v>9323</v>
      </c>
      <c r="AM44" s="1466" t="s">
        <v>9324</v>
      </c>
      <c r="AN44" s="1466" t="s">
        <v>3206</v>
      </c>
      <c r="AO44" s="1466" t="s">
        <v>8784</v>
      </c>
      <c r="AP44" s="1466" t="s">
        <v>9325</v>
      </c>
      <c r="AQ44" s="1466" t="s">
        <v>9326</v>
      </c>
      <c r="AR44" s="1466" t="s">
        <v>8663</v>
      </c>
      <c r="AS44" s="1466" t="s">
        <v>4988</v>
      </c>
      <c r="AT44" s="1466" t="s">
        <v>9327</v>
      </c>
      <c r="AU44" s="1466" t="s">
        <v>9328</v>
      </c>
      <c r="AV44" s="1466" t="str">
        <f t="shared" si="1"/>
        <v>2:44</v>
      </c>
      <c r="AW44" s="1485"/>
    </row>
    <row r="45" ht="15.75" customHeight="1">
      <c r="A45" s="1505" t="s">
        <v>1877</v>
      </c>
      <c r="B45" s="1603" t="s">
        <v>8424</v>
      </c>
      <c r="C45" s="1460">
        <v>0.05092592592592592</v>
      </c>
      <c r="D45" s="1604" t="s">
        <v>8425</v>
      </c>
      <c r="E45" s="1605" t="s">
        <v>8426</v>
      </c>
      <c r="F45" s="1604" t="s">
        <v>8427</v>
      </c>
      <c r="G45" s="1468" t="s">
        <v>9329</v>
      </c>
      <c r="H45" s="1604" t="s">
        <v>8429</v>
      </c>
      <c r="I45" s="1466" t="s">
        <v>1318</v>
      </c>
      <c r="J45" s="1523" t="s">
        <v>9330</v>
      </c>
      <c r="K45" s="1466" t="s">
        <v>9098</v>
      </c>
      <c r="L45" s="1523" t="s">
        <v>2315</v>
      </c>
      <c r="M45" s="1466" t="s">
        <v>2568</v>
      </c>
      <c r="N45" s="1604" t="s">
        <v>8432</v>
      </c>
      <c r="O45" s="1466" t="s">
        <v>9331</v>
      </c>
      <c r="P45" s="1523" t="s">
        <v>634</v>
      </c>
      <c r="Q45" s="1605" t="s">
        <v>8435</v>
      </c>
      <c r="R45" s="1604" t="s">
        <v>8436</v>
      </c>
      <c r="S45" s="1466" t="s">
        <v>1163</v>
      </c>
      <c r="T45" s="1523" t="s">
        <v>7561</v>
      </c>
      <c r="U45" s="1605" t="s">
        <v>8438</v>
      </c>
      <c r="V45" s="1604" t="s">
        <v>8439</v>
      </c>
      <c r="W45" s="1466" t="s">
        <v>9332</v>
      </c>
      <c r="X45" s="1604" t="s">
        <v>8441</v>
      </c>
      <c r="Y45" s="1466" t="s">
        <v>5569</v>
      </c>
      <c r="Z45" s="1509" t="s">
        <v>9333</v>
      </c>
      <c r="AA45" s="1466" t="s">
        <v>2290</v>
      </c>
      <c r="AB45" s="1523" t="s">
        <v>9334</v>
      </c>
      <c r="AC45" s="1468" t="s">
        <v>9335</v>
      </c>
      <c r="AD45" s="1523" t="s">
        <v>9336</v>
      </c>
      <c r="AE45" s="1468" t="s">
        <v>9337</v>
      </c>
      <c r="AF45" s="1523" t="s">
        <v>9338</v>
      </c>
      <c r="AG45" s="1466" t="s">
        <v>6784</v>
      </c>
      <c r="AH45" s="1509" t="s">
        <v>9221</v>
      </c>
      <c r="AI45" s="1605" t="s">
        <v>8447</v>
      </c>
      <c r="AJ45" s="1523" t="s">
        <v>9339</v>
      </c>
      <c r="AK45" s="1466" t="s">
        <v>5744</v>
      </c>
      <c r="AL45" s="1604" t="s">
        <v>8450</v>
      </c>
      <c r="AM45" s="1466" t="s">
        <v>8745</v>
      </c>
      <c r="AN45" s="1523" t="s">
        <v>3929</v>
      </c>
      <c r="AO45" s="1468" t="s">
        <v>4768</v>
      </c>
      <c r="AP45" s="1509" t="s">
        <v>9340</v>
      </c>
      <c r="AQ45" s="1468" t="s">
        <v>9341</v>
      </c>
      <c r="AR45" s="1509" t="s">
        <v>9342</v>
      </c>
      <c r="AS45" s="1466" t="s">
        <v>903</v>
      </c>
      <c r="AT45" s="1604" t="s">
        <v>8456</v>
      </c>
      <c r="AU45" s="1468" t="s">
        <v>9343</v>
      </c>
      <c r="AV45" s="1466" t="str">
        <f t="shared" si="1"/>
        <v>2:24</v>
      </c>
      <c r="AW45" s="1501"/>
    </row>
    <row r="46">
      <c r="A46" s="1505" t="s">
        <v>2569</v>
      </c>
      <c r="B46" s="1553" t="s">
        <v>8400</v>
      </c>
      <c r="C46" s="1460">
        <v>0.05092592592592592</v>
      </c>
      <c r="D46" s="1273" t="s">
        <v>9344</v>
      </c>
      <c r="E46" s="1509" t="s">
        <v>9345</v>
      </c>
      <c r="F46" s="1509" t="s">
        <v>9346</v>
      </c>
      <c r="G46" s="1509" t="s">
        <v>9347</v>
      </c>
      <c r="H46" s="1561" t="s">
        <v>9348</v>
      </c>
      <c r="I46" s="1561" t="s">
        <v>2783</v>
      </c>
      <c r="J46" s="1511" t="s">
        <v>8525</v>
      </c>
      <c r="K46" s="1511" t="s">
        <v>3816</v>
      </c>
      <c r="L46" s="1511" t="s">
        <v>5632</v>
      </c>
      <c r="M46" s="1511" t="s">
        <v>2897</v>
      </c>
      <c r="N46" s="1511" t="s">
        <v>9169</v>
      </c>
      <c r="O46" s="1511" t="s">
        <v>9349</v>
      </c>
      <c r="P46" s="1511" t="s">
        <v>772</v>
      </c>
      <c r="Q46" s="1512" t="s">
        <v>7531</v>
      </c>
      <c r="R46" s="1512" t="s">
        <v>7250</v>
      </c>
      <c r="S46" s="1512" t="s">
        <v>6357</v>
      </c>
      <c r="T46" s="1512" t="s">
        <v>9350</v>
      </c>
      <c r="U46" s="1606" t="s">
        <v>7693</v>
      </c>
      <c r="V46" s="1512" t="s">
        <v>9351</v>
      </c>
      <c r="W46" s="1513" t="s">
        <v>6550</v>
      </c>
      <c r="X46" s="1513" t="s">
        <v>9352</v>
      </c>
      <c r="Y46" s="1513" t="s">
        <v>9353</v>
      </c>
      <c r="Z46" s="1513" t="s">
        <v>7461</v>
      </c>
      <c r="AA46" s="1513" t="s">
        <v>1933</v>
      </c>
      <c r="AB46" s="1513" t="s">
        <v>9354</v>
      </c>
      <c r="AC46" s="1513" t="s">
        <v>2382</v>
      </c>
      <c r="AD46" s="1509" t="s">
        <v>9355</v>
      </c>
      <c r="AE46" s="1509" t="s">
        <v>5190</v>
      </c>
      <c r="AF46" s="1514" t="s">
        <v>9356</v>
      </c>
      <c r="AG46" s="1514" t="s">
        <v>5302</v>
      </c>
      <c r="AH46" s="1514" t="s">
        <v>4459</v>
      </c>
      <c r="AI46" s="1514" t="s">
        <v>9357</v>
      </c>
      <c r="AJ46" s="1607" t="s">
        <v>8417</v>
      </c>
      <c r="AK46" s="1514" t="s">
        <v>1613</v>
      </c>
      <c r="AL46" s="1514" t="s">
        <v>5745</v>
      </c>
      <c r="AM46" s="1516" t="s">
        <v>4006</v>
      </c>
      <c r="AN46" s="1516" t="s">
        <v>3579</v>
      </c>
      <c r="AO46" s="1516" t="s">
        <v>2422</v>
      </c>
      <c r="AP46" s="1516" t="s">
        <v>9358</v>
      </c>
      <c r="AQ46" s="1516" t="s">
        <v>4343</v>
      </c>
      <c r="AR46" s="1516" t="s">
        <v>7521</v>
      </c>
      <c r="AS46" s="1516" t="s">
        <v>6266</v>
      </c>
      <c r="AT46" s="1511" t="s">
        <v>9359</v>
      </c>
      <c r="AU46" s="1608" t="s">
        <v>9360</v>
      </c>
      <c r="AV46" s="1466" t="str">
        <f t="shared" si="1"/>
        <v>4:25</v>
      </c>
      <c r="AW46" s="1498"/>
    </row>
    <row r="47" ht="15.75" customHeight="1">
      <c r="A47" s="1458" t="s">
        <v>4412</v>
      </c>
      <c r="B47" s="1518" t="s">
        <v>8400</v>
      </c>
      <c r="C47" s="1460">
        <v>0.05100810185185185</v>
      </c>
      <c r="D47" s="1273" t="s">
        <v>9361</v>
      </c>
      <c r="E47" s="1509" t="s">
        <v>9362</v>
      </c>
      <c r="F47" s="1509" t="s">
        <v>9363</v>
      </c>
      <c r="G47" s="1523" t="s">
        <v>9364</v>
      </c>
      <c r="H47" s="1561" t="s">
        <v>9365</v>
      </c>
      <c r="I47" s="1561" t="s">
        <v>1318</v>
      </c>
      <c r="J47" s="1511" t="s">
        <v>5095</v>
      </c>
      <c r="K47" s="1511" t="s">
        <v>9095</v>
      </c>
      <c r="L47" s="1511" t="s">
        <v>4387</v>
      </c>
      <c r="M47" s="1511" t="s">
        <v>1450</v>
      </c>
      <c r="N47" s="1511" t="s">
        <v>9366</v>
      </c>
      <c r="O47" s="1511" t="s">
        <v>8548</v>
      </c>
      <c r="P47" s="1511" t="s">
        <v>9367</v>
      </c>
      <c r="Q47" s="1512" t="s">
        <v>9368</v>
      </c>
      <c r="R47" s="1512" t="s">
        <v>3333</v>
      </c>
      <c r="S47" s="1512" t="s">
        <v>6902</v>
      </c>
      <c r="T47" s="1512" t="s">
        <v>9369</v>
      </c>
      <c r="U47" s="1512" t="s">
        <v>9370</v>
      </c>
      <c r="V47" s="1526" t="s">
        <v>1273</v>
      </c>
      <c r="W47" s="1513" t="s">
        <v>9371</v>
      </c>
      <c r="X47" s="1513" t="s">
        <v>9150</v>
      </c>
      <c r="Y47" s="1513" t="s">
        <v>3900</v>
      </c>
      <c r="Z47" s="1513" t="s">
        <v>7481</v>
      </c>
      <c r="AA47" s="1513" t="s">
        <v>1025</v>
      </c>
      <c r="AB47" s="1513" t="s">
        <v>3958</v>
      </c>
      <c r="AC47" s="1527" t="s">
        <v>6496</v>
      </c>
      <c r="AD47" s="1509" t="s">
        <v>9372</v>
      </c>
      <c r="AE47" s="1523" t="s">
        <v>4873</v>
      </c>
      <c r="AF47" s="1514" t="s">
        <v>9373</v>
      </c>
      <c r="AG47" s="1514" t="s">
        <v>9374</v>
      </c>
      <c r="AH47" s="1514" t="s">
        <v>9375</v>
      </c>
      <c r="AI47" s="1514" t="s">
        <v>8727</v>
      </c>
      <c r="AJ47" s="1514" t="s">
        <v>9376</v>
      </c>
      <c r="AK47" s="1514" t="s">
        <v>9377</v>
      </c>
      <c r="AL47" s="1514" t="s">
        <v>4559</v>
      </c>
      <c r="AM47" s="1516" t="s">
        <v>9378</v>
      </c>
      <c r="AN47" s="1516" t="s">
        <v>3309</v>
      </c>
      <c r="AO47" s="1516" t="s">
        <v>9379</v>
      </c>
      <c r="AP47" s="1516" t="s">
        <v>9380</v>
      </c>
      <c r="AQ47" s="1516" t="s">
        <v>4343</v>
      </c>
      <c r="AR47" s="1516" t="s">
        <v>9381</v>
      </c>
      <c r="AS47" s="1516" t="s">
        <v>4497</v>
      </c>
      <c r="AT47" s="1511" t="s">
        <v>9382</v>
      </c>
      <c r="AU47" s="1497" t="s">
        <v>9383</v>
      </c>
      <c r="AV47" s="1466" t="str">
        <f t="shared" si="1"/>
        <v>3:17</v>
      </c>
      <c r="AW47" s="1504" t="s">
        <v>9384</v>
      </c>
    </row>
    <row r="48" ht="15.75" customHeight="1">
      <c r="A48" s="1505" t="s">
        <v>985</v>
      </c>
      <c r="B48" s="1503" t="s">
        <v>8400</v>
      </c>
      <c r="C48" s="1460">
        <v>0.05112268518518519</v>
      </c>
      <c r="D48" s="1509" t="s">
        <v>9385</v>
      </c>
      <c r="E48" s="1509" t="s">
        <v>4629</v>
      </c>
      <c r="F48" s="1509" t="s">
        <v>9386</v>
      </c>
      <c r="G48" s="1509" t="s">
        <v>9387</v>
      </c>
      <c r="H48" s="1273" t="s">
        <v>9388</v>
      </c>
      <c r="I48" s="1561" t="s">
        <v>4925</v>
      </c>
      <c r="J48" s="1511" t="s">
        <v>4009</v>
      </c>
      <c r="K48" s="1511" t="s">
        <v>9389</v>
      </c>
      <c r="L48" s="1462" t="s">
        <v>3500</v>
      </c>
      <c r="M48" s="1511" t="s">
        <v>4443</v>
      </c>
      <c r="N48" s="1511" t="s">
        <v>9128</v>
      </c>
      <c r="O48" s="1511" t="s">
        <v>9390</v>
      </c>
      <c r="P48" s="1511" t="s">
        <v>1523</v>
      </c>
      <c r="Q48" s="1512" t="s">
        <v>9391</v>
      </c>
      <c r="R48" s="1609" t="s">
        <v>9392</v>
      </c>
      <c r="S48" s="1512" t="s">
        <v>416</v>
      </c>
      <c r="T48" s="1512" t="s">
        <v>9393</v>
      </c>
      <c r="U48" s="1512" t="s">
        <v>9394</v>
      </c>
      <c r="V48" s="1512" t="s">
        <v>9395</v>
      </c>
      <c r="W48" s="1513" t="s">
        <v>9396</v>
      </c>
      <c r="X48" s="1513" t="s">
        <v>9397</v>
      </c>
      <c r="Y48" s="1610" t="s">
        <v>903</v>
      </c>
      <c r="Z48" s="1513" t="s">
        <v>9398</v>
      </c>
      <c r="AA48" s="1468" t="s">
        <v>9399</v>
      </c>
      <c r="AB48" s="1513" t="s">
        <v>155</v>
      </c>
      <c r="AC48" s="1589" t="s">
        <v>5027</v>
      </c>
      <c r="AD48" s="1509" t="s">
        <v>9400</v>
      </c>
      <c r="AE48" s="1509" t="s">
        <v>8446</v>
      </c>
      <c r="AF48" s="1514" t="s">
        <v>8564</v>
      </c>
      <c r="AG48" s="1514" t="s">
        <v>272</v>
      </c>
      <c r="AH48" s="1514" t="s">
        <v>463</v>
      </c>
      <c r="AI48" s="1514" t="s">
        <v>9401</v>
      </c>
      <c r="AJ48" s="1514" t="s">
        <v>9402</v>
      </c>
      <c r="AK48" s="1514" t="s">
        <v>4128</v>
      </c>
      <c r="AL48" s="1514" t="s">
        <v>9403</v>
      </c>
      <c r="AM48" s="1516" t="s">
        <v>9404</v>
      </c>
      <c r="AN48" s="1558" t="s">
        <v>3263</v>
      </c>
      <c r="AO48" s="1516" t="s">
        <v>6908</v>
      </c>
      <c r="AP48" s="1516" t="s">
        <v>9405</v>
      </c>
      <c r="AQ48" s="1516" t="s">
        <v>9406</v>
      </c>
      <c r="AR48" s="1516" t="s">
        <v>9407</v>
      </c>
      <c r="AS48" s="1516" t="s">
        <v>8330</v>
      </c>
      <c r="AT48" s="1511" t="s">
        <v>9408</v>
      </c>
      <c r="AU48" s="1497" t="s">
        <v>9409</v>
      </c>
      <c r="AV48" s="1466" t="str">
        <f t="shared" si="1"/>
        <v>4:57</v>
      </c>
      <c r="AW48" s="1591"/>
    </row>
    <row r="49">
      <c r="A49" s="1505" t="s">
        <v>2395</v>
      </c>
      <c r="B49" s="1499" t="s">
        <v>8400</v>
      </c>
      <c r="C49" s="1460">
        <v>0.05112268518518519</v>
      </c>
      <c r="D49" s="1468" t="s">
        <v>9410</v>
      </c>
      <c r="E49" s="1468" t="s">
        <v>4548</v>
      </c>
      <c r="F49" s="1468" t="s">
        <v>9411</v>
      </c>
      <c r="G49" s="1544" t="s">
        <v>8404</v>
      </c>
      <c r="H49" s="1273" t="s">
        <v>9412</v>
      </c>
      <c r="I49" s="1468" t="s">
        <v>764</v>
      </c>
      <c r="J49" s="1468" t="s">
        <v>6360</v>
      </c>
      <c r="K49" s="1468" t="s">
        <v>2491</v>
      </c>
      <c r="L49" s="1468" t="s">
        <v>1273</v>
      </c>
      <c r="M49" s="1468" t="s">
        <v>9413</v>
      </c>
      <c r="N49" s="1468" t="s">
        <v>8987</v>
      </c>
      <c r="O49" s="1468" t="s">
        <v>9414</v>
      </c>
      <c r="P49" s="1468" t="s">
        <v>3484</v>
      </c>
      <c r="Q49" s="1468" t="s">
        <v>9415</v>
      </c>
      <c r="R49" s="1468" t="s">
        <v>2227</v>
      </c>
      <c r="S49" s="1468" t="s">
        <v>3743</v>
      </c>
      <c r="T49" s="1468" t="s">
        <v>7705</v>
      </c>
      <c r="U49" s="1512" t="s">
        <v>8752</v>
      </c>
      <c r="V49" s="1468" t="s">
        <v>9416</v>
      </c>
      <c r="W49" s="1468" t="s">
        <v>9417</v>
      </c>
      <c r="X49" s="1468" t="s">
        <v>1485</v>
      </c>
      <c r="Y49" s="1468" t="s">
        <v>6870</v>
      </c>
      <c r="Z49" s="1468" t="s">
        <v>8612</v>
      </c>
      <c r="AA49" s="1513" t="s">
        <v>610</v>
      </c>
      <c r="AB49" s="1468" t="s">
        <v>9418</v>
      </c>
      <c r="AC49" s="1468" t="s">
        <v>5190</v>
      </c>
      <c r="AD49" s="1468" t="s">
        <v>8800</v>
      </c>
      <c r="AE49" s="1468" t="s">
        <v>3484</v>
      </c>
      <c r="AF49" s="1468" t="s">
        <v>9419</v>
      </c>
      <c r="AG49" s="1468" t="s">
        <v>9420</v>
      </c>
      <c r="AH49" s="1468" t="s">
        <v>2515</v>
      </c>
      <c r="AI49" s="1468" t="s">
        <v>5896</v>
      </c>
      <c r="AJ49" s="1468" t="s">
        <v>9421</v>
      </c>
      <c r="AK49" s="1468" t="s">
        <v>8856</v>
      </c>
      <c r="AL49" s="1468" t="s">
        <v>9422</v>
      </c>
      <c r="AM49" s="1468" t="s">
        <v>2563</v>
      </c>
      <c r="AN49" s="1468" t="s">
        <v>9423</v>
      </c>
      <c r="AO49" s="1468" t="s">
        <v>8522</v>
      </c>
      <c r="AP49" s="1468" t="s">
        <v>9424</v>
      </c>
      <c r="AQ49" s="1468" t="s">
        <v>9425</v>
      </c>
      <c r="AR49" s="1468" t="s">
        <v>2205</v>
      </c>
      <c r="AS49" s="1468" t="s">
        <v>6866</v>
      </c>
      <c r="AT49" s="1468" t="s">
        <v>9426</v>
      </c>
      <c r="AU49" s="1468" t="s">
        <v>9427</v>
      </c>
      <c r="AV49" s="1466" t="str">
        <f t="shared" si="1"/>
        <v>3:15</v>
      </c>
      <c r="AW49" s="1611"/>
    </row>
    <row r="50" ht="15.75" customHeight="1">
      <c r="A50" s="1458" t="s">
        <v>9428</v>
      </c>
      <c r="B50" s="1612" t="s">
        <v>8372</v>
      </c>
      <c r="C50" s="1460">
        <v>0.051180555555555556</v>
      </c>
      <c r="D50" s="1273" t="s">
        <v>9429</v>
      </c>
      <c r="E50" s="1468" t="s">
        <v>9430</v>
      </c>
      <c r="F50" s="1468" t="s">
        <v>4130</v>
      </c>
      <c r="G50" s="1468" t="s">
        <v>8073</v>
      </c>
      <c r="H50" s="1468" t="s">
        <v>9431</v>
      </c>
      <c r="I50" s="1468" t="s">
        <v>160</v>
      </c>
      <c r="J50" s="1468" t="s">
        <v>972</v>
      </c>
      <c r="K50" s="1468" t="s">
        <v>8931</v>
      </c>
      <c r="L50" s="1468" t="s">
        <v>8468</v>
      </c>
      <c r="M50" s="1468" t="s">
        <v>9432</v>
      </c>
      <c r="N50" s="1468" t="s">
        <v>9433</v>
      </c>
      <c r="O50" s="1468" t="s">
        <v>9434</v>
      </c>
      <c r="P50" s="1468" t="s">
        <v>3705</v>
      </c>
      <c r="Q50" s="1468" t="s">
        <v>7112</v>
      </c>
      <c r="R50" s="1468" t="s">
        <v>9435</v>
      </c>
      <c r="S50" s="1468" t="s">
        <v>8274</v>
      </c>
      <c r="T50" s="1466" t="s">
        <v>4176</v>
      </c>
      <c r="U50" s="1466" t="s">
        <v>9436</v>
      </c>
      <c r="V50" s="1468" t="s">
        <v>1816</v>
      </c>
      <c r="W50" s="1468" t="s">
        <v>9437</v>
      </c>
      <c r="X50" s="1468" t="s">
        <v>9438</v>
      </c>
      <c r="Y50" s="1468" t="s">
        <v>8791</v>
      </c>
      <c r="Z50" s="1468" t="s">
        <v>9439</v>
      </c>
      <c r="AA50" s="1468" t="s">
        <v>9440</v>
      </c>
      <c r="AB50" s="1468" t="s">
        <v>9441</v>
      </c>
      <c r="AC50" s="1468" t="s">
        <v>936</v>
      </c>
      <c r="AD50" s="1468" t="s">
        <v>9372</v>
      </c>
      <c r="AE50" s="1468" t="s">
        <v>3258</v>
      </c>
      <c r="AF50" s="1466" t="s">
        <v>9442</v>
      </c>
      <c r="AG50" s="1468" t="s">
        <v>387</v>
      </c>
      <c r="AH50" s="1468" t="s">
        <v>9443</v>
      </c>
      <c r="AI50" s="1468" t="s">
        <v>9444</v>
      </c>
      <c r="AJ50" s="1468" t="s">
        <v>9445</v>
      </c>
      <c r="AK50" s="1468" t="s">
        <v>9446</v>
      </c>
      <c r="AL50" s="1468" t="s">
        <v>9447</v>
      </c>
      <c r="AM50" s="1468" t="s">
        <v>7220</v>
      </c>
      <c r="AN50" s="1468" t="s">
        <v>9057</v>
      </c>
      <c r="AO50" s="1482" t="str">
        <f>HYPERLINK("https://clips.twitch.tv/AltruisticEmpathicManateeDoritosChip","1:20.90")</f>
        <v>1:20.90</v>
      </c>
      <c r="AP50" s="1468" t="s">
        <v>9448</v>
      </c>
      <c r="AQ50" s="1468" t="s">
        <v>9449</v>
      </c>
      <c r="AR50" s="1468" t="s">
        <v>9450</v>
      </c>
      <c r="AS50" s="1468" t="s">
        <v>9024</v>
      </c>
      <c r="AT50" s="1468" t="s">
        <v>9451</v>
      </c>
      <c r="AU50" s="1468" t="s">
        <v>9452</v>
      </c>
      <c r="AV50" s="1466" t="str">
        <f t="shared" si="1"/>
        <v>2:40</v>
      </c>
      <c r="AW50" s="1539" t="s">
        <v>9453</v>
      </c>
    </row>
    <row r="51" ht="15.75" customHeight="1">
      <c r="A51" s="1505" t="s">
        <v>3710</v>
      </c>
      <c r="B51" s="1603" t="s">
        <v>8372</v>
      </c>
      <c r="C51" s="1613">
        <v>0.05123738425925926</v>
      </c>
      <c r="D51" s="1509" t="s">
        <v>9454</v>
      </c>
      <c r="E51" s="1509" t="s">
        <v>3919</v>
      </c>
      <c r="F51" s="1509" t="s">
        <v>9455</v>
      </c>
      <c r="G51" s="1509" t="s">
        <v>8834</v>
      </c>
      <c r="H51" s="1561" t="s">
        <v>9456</v>
      </c>
      <c r="I51" s="1561" t="s">
        <v>9119</v>
      </c>
      <c r="J51" s="1511" t="s">
        <v>9095</v>
      </c>
      <c r="K51" s="1511" t="s">
        <v>6898</v>
      </c>
      <c r="L51" s="1511" t="s">
        <v>9457</v>
      </c>
      <c r="M51" s="1511" t="s">
        <v>8765</v>
      </c>
      <c r="N51" s="1614" t="s">
        <v>1162</v>
      </c>
      <c r="O51" s="1511" t="s">
        <v>3399</v>
      </c>
      <c r="P51" s="1511" t="s">
        <v>8507</v>
      </c>
      <c r="Q51" s="1512" t="s">
        <v>9458</v>
      </c>
      <c r="R51" s="1512" t="s">
        <v>8914</v>
      </c>
      <c r="S51" s="1512" t="s">
        <v>9459</v>
      </c>
      <c r="T51" s="1512" t="s">
        <v>9460</v>
      </c>
      <c r="U51" s="1512" t="s">
        <v>9461</v>
      </c>
      <c r="V51" s="1512" t="s">
        <v>4201</v>
      </c>
      <c r="W51" s="1513" t="s">
        <v>9462</v>
      </c>
      <c r="X51" s="1513" t="s">
        <v>9463</v>
      </c>
      <c r="Y51" s="1513" t="s">
        <v>9464</v>
      </c>
      <c r="Z51" s="1513" t="s">
        <v>1260</v>
      </c>
      <c r="AA51" s="1513" t="s">
        <v>8727</v>
      </c>
      <c r="AB51" s="1513" t="s">
        <v>9204</v>
      </c>
      <c r="AC51" s="1513" t="s">
        <v>481</v>
      </c>
      <c r="AD51" s="1509" t="s">
        <v>9465</v>
      </c>
      <c r="AE51" s="1509" t="s">
        <v>6277</v>
      </c>
      <c r="AF51" s="1514" t="s">
        <v>9466</v>
      </c>
      <c r="AG51" s="1514" t="s">
        <v>9467</v>
      </c>
      <c r="AH51" s="1514" t="s">
        <v>9468</v>
      </c>
      <c r="AI51" s="1514" t="s">
        <v>311</v>
      </c>
      <c r="AJ51" s="1514" t="s">
        <v>9469</v>
      </c>
      <c r="AK51" s="1470" t="s">
        <v>8898</v>
      </c>
      <c r="AL51" s="1514" t="s">
        <v>8408</v>
      </c>
      <c r="AM51" s="1516" t="s">
        <v>9470</v>
      </c>
      <c r="AN51" s="1516" t="s">
        <v>566</v>
      </c>
      <c r="AO51" s="1516" t="s">
        <v>9471</v>
      </c>
      <c r="AP51" s="1516" t="s">
        <v>9472</v>
      </c>
      <c r="AQ51" s="1273" t="s">
        <v>9473</v>
      </c>
      <c r="AR51" s="1615" t="s">
        <v>9474</v>
      </c>
      <c r="AS51" s="1516" t="s">
        <v>9475</v>
      </c>
      <c r="AT51" s="1511" t="s">
        <v>9476</v>
      </c>
      <c r="AU51" s="1497" t="s">
        <v>9477</v>
      </c>
      <c r="AV51" s="1466" t="str">
        <f t="shared" si="1"/>
        <v>4:25</v>
      </c>
      <c r="AW51" s="1504" t="s">
        <v>9478</v>
      </c>
    </row>
    <row r="52" ht="15.75" customHeight="1">
      <c r="A52" s="1505" t="s">
        <v>1628</v>
      </c>
      <c r="B52" s="1616" t="s">
        <v>8424</v>
      </c>
      <c r="C52" s="1592">
        <v>0.051319444444444445</v>
      </c>
      <c r="D52" s="1273" t="s">
        <v>9479</v>
      </c>
      <c r="E52" s="1466" t="s">
        <v>9480</v>
      </c>
      <c r="F52" s="1466" t="s">
        <v>9481</v>
      </c>
      <c r="G52" s="1466" t="s">
        <v>9482</v>
      </c>
      <c r="H52" s="1466" t="s">
        <v>5041</v>
      </c>
      <c r="I52" s="1466" t="s">
        <v>6276</v>
      </c>
      <c r="J52" s="1466" t="s">
        <v>9483</v>
      </c>
      <c r="K52" s="1466" t="s">
        <v>8774</v>
      </c>
      <c r="L52" s="1466" t="s">
        <v>3830</v>
      </c>
      <c r="M52" s="1466" t="s">
        <v>9249</v>
      </c>
      <c r="N52" s="1466" t="s">
        <v>9037</v>
      </c>
      <c r="O52" s="1466" t="s">
        <v>9484</v>
      </c>
      <c r="P52" s="1617" t="s">
        <v>8434</v>
      </c>
      <c r="Q52" s="1466" t="s">
        <v>9485</v>
      </c>
      <c r="R52" s="1466" t="s">
        <v>9486</v>
      </c>
      <c r="S52" s="1466" t="s">
        <v>1160</v>
      </c>
      <c r="T52" s="1466" t="s">
        <v>9487</v>
      </c>
      <c r="U52" s="1466" t="s">
        <v>1007</v>
      </c>
      <c r="V52" s="1466" t="s">
        <v>451</v>
      </c>
      <c r="W52" s="1466" t="s">
        <v>9488</v>
      </c>
      <c r="X52" s="1466" t="s">
        <v>194</v>
      </c>
      <c r="Y52" s="1466" t="s">
        <v>9489</v>
      </c>
      <c r="Z52" s="1466" t="s">
        <v>7225</v>
      </c>
      <c r="AA52" s="1466" t="s">
        <v>6165</v>
      </c>
      <c r="AB52" s="1466" t="s">
        <v>4427</v>
      </c>
      <c r="AC52" s="1466" t="s">
        <v>6021</v>
      </c>
      <c r="AD52" s="1466" t="s">
        <v>9490</v>
      </c>
      <c r="AE52" s="1617" t="s">
        <v>8446</v>
      </c>
      <c r="AF52" s="1617" t="s">
        <v>2667</v>
      </c>
      <c r="AG52" s="1466" t="s">
        <v>4538</v>
      </c>
      <c r="AH52" s="1466" t="s">
        <v>9491</v>
      </c>
      <c r="AI52" s="1466" t="s">
        <v>9492</v>
      </c>
      <c r="AJ52" s="1466" t="s">
        <v>9493</v>
      </c>
      <c r="AK52" s="1466" t="s">
        <v>5860</v>
      </c>
      <c r="AL52" s="1466" t="s">
        <v>6038</v>
      </c>
      <c r="AM52" s="1617" t="s">
        <v>8451</v>
      </c>
      <c r="AN52" s="1468" t="s">
        <v>2465</v>
      </c>
      <c r="AO52" s="1466" t="s">
        <v>4870</v>
      </c>
      <c r="AP52" s="1466" t="s">
        <v>9494</v>
      </c>
      <c r="AQ52" s="1466" t="s">
        <v>9495</v>
      </c>
      <c r="AR52" s="1466" t="s">
        <v>8864</v>
      </c>
      <c r="AS52" s="1466" t="s">
        <v>4432</v>
      </c>
      <c r="AT52" s="1466" t="s">
        <v>9496</v>
      </c>
      <c r="AU52" s="1466" t="s">
        <v>9497</v>
      </c>
      <c r="AV52" s="1466" t="str">
        <f t="shared" si="1"/>
        <v>3:15</v>
      </c>
      <c r="AW52" s="1539" t="s">
        <v>9498</v>
      </c>
    </row>
    <row r="53">
      <c r="A53" s="1505" t="s">
        <v>1799</v>
      </c>
      <c r="B53" s="1503" t="s">
        <v>8372</v>
      </c>
      <c r="C53" s="1460">
        <v>0.05133101851851852</v>
      </c>
      <c r="D53" s="1602" t="s">
        <v>9499</v>
      </c>
      <c r="E53" s="1509" t="s">
        <v>9500</v>
      </c>
      <c r="F53" s="1509" t="s">
        <v>9501</v>
      </c>
      <c r="G53" s="1509" t="s">
        <v>9502</v>
      </c>
      <c r="H53" s="1561" t="s">
        <v>9503</v>
      </c>
      <c r="I53" s="1561" t="s">
        <v>2879</v>
      </c>
      <c r="J53" s="1511" t="s">
        <v>1932</v>
      </c>
      <c r="K53" s="1511" t="s">
        <v>9504</v>
      </c>
      <c r="L53" s="1511" t="s">
        <v>4164</v>
      </c>
      <c r="M53" s="1511" t="s">
        <v>9505</v>
      </c>
      <c r="N53" s="1511" t="s">
        <v>8619</v>
      </c>
      <c r="O53" s="1511" t="s">
        <v>9506</v>
      </c>
      <c r="P53" s="1511" t="s">
        <v>8552</v>
      </c>
      <c r="Q53" s="1512" t="s">
        <v>9507</v>
      </c>
      <c r="R53" s="1512" t="s">
        <v>9295</v>
      </c>
      <c r="S53" s="1512" t="s">
        <v>9508</v>
      </c>
      <c r="T53" s="1512" t="s">
        <v>9299</v>
      </c>
      <c r="U53" s="1512" t="s">
        <v>9509</v>
      </c>
      <c r="V53" s="1512" t="s">
        <v>9073</v>
      </c>
      <c r="W53" s="1513" t="s">
        <v>9510</v>
      </c>
      <c r="X53" s="1513" t="s">
        <v>9511</v>
      </c>
      <c r="Y53" s="1513" t="s">
        <v>5437</v>
      </c>
      <c r="Z53" s="1513" t="s">
        <v>1499</v>
      </c>
      <c r="AA53" s="1513" t="s">
        <v>9512</v>
      </c>
      <c r="AB53" s="1513" t="s">
        <v>6079</v>
      </c>
      <c r="AC53" s="1513" t="s">
        <v>261</v>
      </c>
      <c r="AD53" s="1509" t="s">
        <v>8820</v>
      </c>
      <c r="AE53" s="1509" t="s">
        <v>5437</v>
      </c>
      <c r="AF53" s="1514" t="s">
        <v>9513</v>
      </c>
      <c r="AG53" s="1514" t="s">
        <v>5694</v>
      </c>
      <c r="AH53" s="1514" t="s">
        <v>3995</v>
      </c>
      <c r="AI53" s="1514" t="s">
        <v>9514</v>
      </c>
      <c r="AJ53" s="1514" t="s">
        <v>9515</v>
      </c>
      <c r="AK53" s="1514" t="s">
        <v>9438</v>
      </c>
      <c r="AL53" s="1514" t="s">
        <v>3998</v>
      </c>
      <c r="AM53" s="1516" t="s">
        <v>9516</v>
      </c>
      <c r="AN53" s="1516" t="s">
        <v>4004</v>
      </c>
      <c r="AO53" s="1516" t="s">
        <v>9517</v>
      </c>
      <c r="AP53" s="1516" t="s">
        <v>9518</v>
      </c>
      <c r="AQ53" s="1516" t="s">
        <v>9111</v>
      </c>
      <c r="AR53" s="1516" t="s">
        <v>9519</v>
      </c>
      <c r="AS53" s="1516" t="s">
        <v>9520</v>
      </c>
      <c r="AT53" s="1511" t="s">
        <v>9521</v>
      </c>
      <c r="AU53" s="1497" t="s">
        <v>9522</v>
      </c>
      <c r="AV53" s="1466" t="str">
        <f t="shared" si="1"/>
        <v>1:34</v>
      </c>
      <c r="AW53" s="1591"/>
    </row>
    <row r="54">
      <c r="A54" s="1505" t="s">
        <v>2899</v>
      </c>
      <c r="B54" s="1503" t="s">
        <v>8372</v>
      </c>
      <c r="C54" s="1460">
        <v>0.05134259259259259</v>
      </c>
      <c r="D54" s="1509" t="s">
        <v>9523</v>
      </c>
      <c r="E54" s="1509" t="s">
        <v>6273</v>
      </c>
      <c r="F54" s="1509" t="s">
        <v>9524</v>
      </c>
      <c r="G54" s="1509" t="s">
        <v>9525</v>
      </c>
      <c r="H54" s="1509" t="s">
        <v>9526</v>
      </c>
      <c r="I54" s="1509" t="s">
        <v>1358</v>
      </c>
      <c r="J54" s="1511" t="s">
        <v>4944</v>
      </c>
      <c r="K54" s="1511" t="s">
        <v>7107</v>
      </c>
      <c r="L54" s="1511" t="s">
        <v>4773</v>
      </c>
      <c r="M54" s="1511" t="s">
        <v>3492</v>
      </c>
      <c r="N54" s="1511" t="s">
        <v>1994</v>
      </c>
      <c r="O54" s="1511" t="s">
        <v>9527</v>
      </c>
      <c r="P54" s="1511" t="s">
        <v>4495</v>
      </c>
      <c r="Q54" s="1512" t="s">
        <v>9528</v>
      </c>
      <c r="R54" s="1512" t="s">
        <v>2586</v>
      </c>
      <c r="S54" s="1512" t="s">
        <v>9529</v>
      </c>
      <c r="T54" s="1512" t="s">
        <v>9530</v>
      </c>
      <c r="U54" s="1512" t="s">
        <v>9394</v>
      </c>
      <c r="V54" s="1512" t="s">
        <v>9531</v>
      </c>
      <c r="W54" s="1513" t="s">
        <v>9532</v>
      </c>
      <c r="X54" s="1513" t="s">
        <v>8447</v>
      </c>
      <c r="Y54" s="1513" t="s">
        <v>9123</v>
      </c>
      <c r="Z54" s="1513" t="s">
        <v>2945</v>
      </c>
      <c r="AA54" s="1468" t="s">
        <v>587</v>
      </c>
      <c r="AB54" s="1513" t="s">
        <v>8815</v>
      </c>
      <c r="AC54" s="1513" t="s">
        <v>8997</v>
      </c>
      <c r="AD54" s="1509" t="s">
        <v>9533</v>
      </c>
      <c r="AE54" s="1509" t="s">
        <v>9534</v>
      </c>
      <c r="AF54" s="1514" t="s">
        <v>9535</v>
      </c>
      <c r="AG54" s="1514" t="s">
        <v>9536</v>
      </c>
      <c r="AH54" s="1514" t="s">
        <v>1823</v>
      </c>
      <c r="AI54" s="1514" t="s">
        <v>421</v>
      </c>
      <c r="AJ54" s="1514" t="s">
        <v>9537</v>
      </c>
      <c r="AK54" s="1514" t="s">
        <v>9538</v>
      </c>
      <c r="AL54" s="1514" t="s">
        <v>5579</v>
      </c>
      <c r="AM54" s="1516" t="s">
        <v>9539</v>
      </c>
      <c r="AN54" s="1516" t="s">
        <v>6233</v>
      </c>
      <c r="AO54" s="1516" t="s">
        <v>9540</v>
      </c>
      <c r="AP54" s="1516" t="s">
        <v>9541</v>
      </c>
      <c r="AQ54" s="1516" t="s">
        <v>9111</v>
      </c>
      <c r="AR54" s="1516" t="s">
        <v>9542</v>
      </c>
      <c r="AS54" s="1516" t="s">
        <v>1822</v>
      </c>
      <c r="AT54" s="1511" t="s">
        <v>9543</v>
      </c>
      <c r="AU54" s="1497" t="s">
        <v>9427</v>
      </c>
      <c r="AV54" s="1466" t="str">
        <f t="shared" si="1"/>
        <v>2:56</v>
      </c>
      <c r="AW54" s="1504" t="s">
        <v>9544</v>
      </c>
    </row>
    <row r="55" ht="15.75" customHeight="1">
      <c r="A55" s="1472" t="s">
        <v>1413</v>
      </c>
      <c r="B55" s="1616" t="s">
        <v>8424</v>
      </c>
      <c r="C55" s="1592">
        <v>0.05134259259259259</v>
      </c>
      <c r="D55" s="1273" t="s">
        <v>9545</v>
      </c>
      <c r="E55" s="1523" t="s">
        <v>9546</v>
      </c>
      <c r="F55" s="1523" t="s">
        <v>9524</v>
      </c>
      <c r="G55" s="1523" t="s">
        <v>9547</v>
      </c>
      <c r="H55" s="1510" t="s">
        <v>9548</v>
      </c>
      <c r="I55" s="1618" t="s">
        <v>350</v>
      </c>
      <c r="J55" s="1525" t="s">
        <v>9549</v>
      </c>
      <c r="K55" s="1525" t="s">
        <v>3848</v>
      </c>
      <c r="L55" s="1619" t="s">
        <v>3773</v>
      </c>
      <c r="M55" s="1525" t="s">
        <v>5565</v>
      </c>
      <c r="N55" s="1525" t="s">
        <v>9550</v>
      </c>
      <c r="O55" s="1619" t="s">
        <v>8433</v>
      </c>
      <c r="P55" s="1525" t="s">
        <v>388</v>
      </c>
      <c r="Q55" s="1526" t="s">
        <v>9551</v>
      </c>
      <c r="R55" s="1526" t="s">
        <v>1619</v>
      </c>
      <c r="S55" s="1526" t="s">
        <v>8955</v>
      </c>
      <c r="T55" s="1620" t="s">
        <v>8437</v>
      </c>
      <c r="U55" s="1526" t="s">
        <v>9552</v>
      </c>
      <c r="V55" s="1526" t="s">
        <v>3997</v>
      </c>
      <c r="W55" s="1621" t="s">
        <v>8440</v>
      </c>
      <c r="X55" s="1527" t="s">
        <v>4280</v>
      </c>
      <c r="Y55" s="1527" t="s">
        <v>6276</v>
      </c>
      <c r="Z55" s="1527" t="s">
        <v>7472</v>
      </c>
      <c r="AA55" s="1527" t="s">
        <v>8898</v>
      </c>
      <c r="AB55" s="1621" t="s">
        <v>8444</v>
      </c>
      <c r="AC55" s="1527" t="s">
        <v>6371</v>
      </c>
      <c r="AD55" s="1516" t="s">
        <v>9553</v>
      </c>
      <c r="AE55" s="1523" t="s">
        <v>9554</v>
      </c>
      <c r="AF55" s="1528" t="s">
        <v>9555</v>
      </c>
      <c r="AG55" s="1528" t="s">
        <v>9556</v>
      </c>
      <c r="AH55" s="1528" t="s">
        <v>6153</v>
      </c>
      <c r="AI55" s="1528" t="s">
        <v>9557</v>
      </c>
      <c r="AJ55" s="1528" t="s">
        <v>9558</v>
      </c>
      <c r="AK55" s="1622" t="s">
        <v>8449</v>
      </c>
      <c r="AL55" s="1528" t="s">
        <v>1564</v>
      </c>
      <c r="AM55" s="1515" t="s">
        <v>9420</v>
      </c>
      <c r="AN55" s="1516" t="s">
        <v>4101</v>
      </c>
      <c r="AO55" s="1515" t="s">
        <v>9559</v>
      </c>
      <c r="AP55" s="1515" t="s">
        <v>9560</v>
      </c>
      <c r="AQ55" s="1515" t="s">
        <v>9561</v>
      </c>
      <c r="AR55" s="1515" t="s">
        <v>8462</v>
      </c>
      <c r="AS55" s="1515" t="s">
        <v>4612</v>
      </c>
      <c r="AT55" s="1525" t="s">
        <v>9562</v>
      </c>
      <c r="AU55" s="1529" t="s">
        <v>9563</v>
      </c>
      <c r="AV55" s="1466" t="str">
        <f t="shared" si="1"/>
        <v>1:58</v>
      </c>
      <c r="AW55" s="1591"/>
    </row>
    <row r="56" ht="15.75" customHeight="1">
      <c r="A56" s="1458" t="s">
        <v>3208</v>
      </c>
      <c r="B56" s="1459" t="s">
        <v>8372</v>
      </c>
      <c r="C56" s="1592">
        <v>0.05134259259259259</v>
      </c>
      <c r="D56" s="1273" t="s">
        <v>9564</v>
      </c>
      <c r="E56" s="1466" t="s">
        <v>9565</v>
      </c>
      <c r="F56" s="1466" t="s">
        <v>9566</v>
      </c>
      <c r="G56" s="1466" t="s">
        <v>7517</v>
      </c>
      <c r="H56" s="1466" t="s">
        <v>8608</v>
      </c>
      <c r="I56" s="1466" t="s">
        <v>6041</v>
      </c>
      <c r="J56" s="1466" t="s">
        <v>9567</v>
      </c>
      <c r="K56" s="1466" t="s">
        <v>3857</v>
      </c>
      <c r="L56" s="1466" t="s">
        <v>9568</v>
      </c>
      <c r="M56" s="1466" t="s">
        <v>9569</v>
      </c>
      <c r="N56" s="1466" t="s">
        <v>2747</v>
      </c>
      <c r="O56" s="1466" t="s">
        <v>9570</v>
      </c>
      <c r="P56" s="1466" t="s">
        <v>1087</v>
      </c>
      <c r="Q56" s="1466" t="s">
        <v>2455</v>
      </c>
      <c r="R56" s="1466" t="s">
        <v>9295</v>
      </c>
      <c r="S56" s="1466" t="s">
        <v>9161</v>
      </c>
      <c r="T56" s="1466" t="s">
        <v>9571</v>
      </c>
      <c r="U56" s="1466" t="s">
        <v>9572</v>
      </c>
      <c r="V56" s="1466" t="s">
        <v>4099</v>
      </c>
      <c r="W56" s="1466" t="s">
        <v>9573</v>
      </c>
      <c r="X56" s="1466" t="s">
        <v>9574</v>
      </c>
      <c r="Y56" s="1466" t="s">
        <v>388</v>
      </c>
      <c r="Z56" s="1466" t="s">
        <v>6902</v>
      </c>
      <c r="AA56" s="1466" t="s">
        <v>9106</v>
      </c>
      <c r="AB56" s="1466" t="s">
        <v>8492</v>
      </c>
      <c r="AC56" s="1466" t="s">
        <v>936</v>
      </c>
      <c r="AD56" s="1466" t="s">
        <v>9575</v>
      </c>
      <c r="AE56" s="1466" t="s">
        <v>388</v>
      </c>
      <c r="AF56" s="1466" t="s">
        <v>9576</v>
      </c>
      <c r="AG56" s="1466" t="s">
        <v>9577</v>
      </c>
      <c r="AH56" s="1466" t="s">
        <v>5158</v>
      </c>
      <c r="AI56" s="1466" t="s">
        <v>9578</v>
      </c>
      <c r="AJ56" s="1466" t="s">
        <v>9515</v>
      </c>
      <c r="AK56" s="1466" t="s">
        <v>7246</v>
      </c>
      <c r="AL56" s="1466" t="s">
        <v>3180</v>
      </c>
      <c r="AM56" s="1466" t="s">
        <v>4126</v>
      </c>
      <c r="AN56" s="1466" t="s">
        <v>9579</v>
      </c>
      <c r="AO56" s="1466" t="s">
        <v>8613</v>
      </c>
      <c r="AP56" s="1466" t="s">
        <v>9580</v>
      </c>
      <c r="AQ56" s="1466" t="s">
        <v>9581</v>
      </c>
      <c r="AR56" s="1466" t="s">
        <v>9582</v>
      </c>
      <c r="AS56" s="1515" t="s">
        <v>4404</v>
      </c>
      <c r="AT56" s="1466" t="s">
        <v>9583</v>
      </c>
      <c r="AU56" s="1466" t="s">
        <v>8754</v>
      </c>
      <c r="AV56" s="1466" t="str">
        <f t="shared" si="1"/>
        <v>2:27</v>
      </c>
      <c r="AW56" s="1539"/>
    </row>
    <row r="57" ht="15.75" customHeight="1">
      <c r="A57" s="1505" t="s">
        <v>1255</v>
      </c>
      <c r="B57" s="1499" t="s">
        <v>8424</v>
      </c>
      <c r="C57" s="1460">
        <v>0.05140046296296296</v>
      </c>
      <c r="D57" s="1468" t="s">
        <v>9584</v>
      </c>
      <c r="E57" s="1468" t="s">
        <v>1654</v>
      </c>
      <c r="F57" s="1468" t="s">
        <v>9585</v>
      </c>
      <c r="G57" s="1605" t="s">
        <v>8428</v>
      </c>
      <c r="H57" s="1273" t="s">
        <v>9586</v>
      </c>
      <c r="I57" s="1468" t="s">
        <v>1752</v>
      </c>
      <c r="J57" s="1605" t="s">
        <v>8430</v>
      </c>
      <c r="K57" s="1468" t="s">
        <v>9587</v>
      </c>
      <c r="L57" s="1468" t="s">
        <v>9588</v>
      </c>
      <c r="M57" s="1605" t="s">
        <v>8431</v>
      </c>
      <c r="N57" s="1468" t="s">
        <v>9589</v>
      </c>
      <c r="O57" s="1468" t="s">
        <v>9590</v>
      </c>
      <c r="P57" s="1468" t="s">
        <v>1048</v>
      </c>
      <c r="Q57" s="1468" t="s">
        <v>9391</v>
      </c>
      <c r="R57" s="1468" t="s">
        <v>9591</v>
      </c>
      <c r="S57" s="1468" t="s">
        <v>9592</v>
      </c>
      <c r="T57" s="1468" t="s">
        <v>3261</v>
      </c>
      <c r="U57" s="1468" t="s">
        <v>9310</v>
      </c>
      <c r="V57" s="1468" t="s">
        <v>5689</v>
      </c>
      <c r="W57" s="1468" t="s">
        <v>9593</v>
      </c>
      <c r="X57" s="1468" t="s">
        <v>625</v>
      </c>
      <c r="Y57" s="1468" t="s">
        <v>9594</v>
      </c>
      <c r="Z57" s="1468" t="s">
        <v>9595</v>
      </c>
      <c r="AA57" s="1623" t="s">
        <v>8443</v>
      </c>
      <c r="AB57" s="1468" t="s">
        <v>5842</v>
      </c>
      <c r="AC57" s="1468" t="s">
        <v>9596</v>
      </c>
      <c r="AD57" s="1468" t="s">
        <v>8736</v>
      </c>
      <c r="AE57" s="1468" t="s">
        <v>2592</v>
      </c>
      <c r="AF57" s="1468" t="s">
        <v>9597</v>
      </c>
      <c r="AG57" s="1605" t="s">
        <v>4596</v>
      </c>
      <c r="AH57" s="1605" t="s">
        <v>5166</v>
      </c>
      <c r="AI57" s="1468" t="s">
        <v>9598</v>
      </c>
      <c r="AJ57" s="1468" t="s">
        <v>9599</v>
      </c>
      <c r="AK57" s="1468" t="s">
        <v>7450</v>
      </c>
      <c r="AL57" s="1468" t="s">
        <v>3829</v>
      </c>
      <c r="AM57" s="1468" t="s">
        <v>9600</v>
      </c>
      <c r="AN57" s="1468" t="s">
        <v>3651</v>
      </c>
      <c r="AO57" s="1605" t="s">
        <v>8453</v>
      </c>
      <c r="AP57" s="1624" t="s">
        <v>8454</v>
      </c>
      <c r="AQ57" s="1468" t="s">
        <v>3283</v>
      </c>
      <c r="AR57" s="1468" t="s">
        <v>1615</v>
      </c>
      <c r="AS57" s="1468" t="s">
        <v>5130</v>
      </c>
      <c r="AT57" s="1468" t="s">
        <v>9601</v>
      </c>
      <c r="AU57" s="1468" t="s">
        <v>8754</v>
      </c>
      <c r="AV57" s="1466" t="str">
        <f t="shared" si="1"/>
        <v>2:22</v>
      </c>
      <c r="AW57" s="1501" t="s">
        <v>9602</v>
      </c>
    </row>
    <row r="58" ht="15.75" customHeight="1">
      <c r="A58" s="1505" t="s">
        <v>3982</v>
      </c>
      <c r="B58" s="1503" t="s">
        <v>8372</v>
      </c>
      <c r="C58" s="1460">
        <v>0.05153935185185185</v>
      </c>
      <c r="D58" s="1538" t="s">
        <v>9603</v>
      </c>
      <c r="E58" s="1538" t="s">
        <v>6556</v>
      </c>
      <c r="F58" s="1538" t="s">
        <v>9604</v>
      </c>
      <c r="G58" s="1538" t="s">
        <v>4878</v>
      </c>
      <c r="H58" s="1273" t="s">
        <v>9605</v>
      </c>
      <c r="I58" s="1538" t="s">
        <v>1358</v>
      </c>
      <c r="J58" s="1538" t="s">
        <v>9606</v>
      </c>
      <c r="K58" s="1538" t="s">
        <v>3525</v>
      </c>
      <c r="L58" s="1538" t="s">
        <v>4201</v>
      </c>
      <c r="M58" s="1538" t="s">
        <v>7035</v>
      </c>
      <c r="N58" s="1538" t="s">
        <v>9607</v>
      </c>
      <c r="O58" s="1538" t="s">
        <v>3765</v>
      </c>
      <c r="P58" s="1538" t="s">
        <v>6870</v>
      </c>
      <c r="Q58" s="1538" t="s">
        <v>9608</v>
      </c>
      <c r="R58" s="1538" t="s">
        <v>3333</v>
      </c>
      <c r="S58" s="1625" t="s">
        <v>9247</v>
      </c>
      <c r="T58" s="1538" t="s">
        <v>9056</v>
      </c>
      <c r="U58" s="1538" t="s">
        <v>9609</v>
      </c>
      <c r="V58" s="1538" t="s">
        <v>1782</v>
      </c>
      <c r="W58" s="1538" t="s">
        <v>9610</v>
      </c>
      <c r="X58" s="1538" t="s">
        <v>1672</v>
      </c>
      <c r="Y58" s="1538" t="s">
        <v>3538</v>
      </c>
      <c r="Z58" s="1538" t="s">
        <v>7216</v>
      </c>
      <c r="AA58" s="1538" t="s">
        <v>894</v>
      </c>
      <c r="AB58" s="1538" t="s">
        <v>9611</v>
      </c>
      <c r="AC58" s="1538" t="s">
        <v>9596</v>
      </c>
      <c r="AD58" s="1538" t="s">
        <v>9612</v>
      </c>
      <c r="AE58" s="1538" t="s">
        <v>4885</v>
      </c>
      <c r="AF58" s="1462" t="s">
        <v>9613</v>
      </c>
      <c r="AG58" s="1538" t="s">
        <v>9614</v>
      </c>
      <c r="AH58" s="1538" t="s">
        <v>9615</v>
      </c>
      <c r="AI58" s="1538" t="s">
        <v>9616</v>
      </c>
      <c r="AJ58" s="1538" t="s">
        <v>9617</v>
      </c>
      <c r="AK58" s="1538" t="s">
        <v>4999</v>
      </c>
      <c r="AL58" s="1538" t="s">
        <v>9422</v>
      </c>
      <c r="AM58" s="1538" t="s">
        <v>9598</v>
      </c>
      <c r="AN58" s="1538" t="s">
        <v>2581</v>
      </c>
      <c r="AO58" s="1538" t="s">
        <v>5603</v>
      </c>
      <c r="AP58" s="1625" t="s">
        <v>9358</v>
      </c>
      <c r="AQ58" s="1538" t="s">
        <v>9618</v>
      </c>
      <c r="AR58" s="1538" t="s">
        <v>4944</v>
      </c>
      <c r="AS58" s="1538" t="s">
        <v>9024</v>
      </c>
      <c r="AT58" s="1538" t="s">
        <v>9619</v>
      </c>
      <c r="AU58" s="1538" t="s">
        <v>9620</v>
      </c>
      <c r="AV58" s="1626" t="str">
        <f t="shared" si="1"/>
        <v>2:41</v>
      </c>
      <c r="AW58" s="1627" t="s">
        <v>9621</v>
      </c>
    </row>
    <row r="59" ht="15.75" customHeight="1">
      <c r="A59" s="1458" t="s">
        <v>1943</v>
      </c>
      <c r="B59" s="1459" t="s">
        <v>8372</v>
      </c>
      <c r="C59" s="1460">
        <v>0.05157407407407407</v>
      </c>
      <c r="D59" s="1273" t="s">
        <v>9622</v>
      </c>
      <c r="E59" s="1509" t="s">
        <v>9623</v>
      </c>
      <c r="F59" s="1509" t="s">
        <v>9624</v>
      </c>
      <c r="G59" s="1523" t="s">
        <v>9117</v>
      </c>
      <c r="H59" s="1510" t="s">
        <v>9625</v>
      </c>
      <c r="I59" s="1510" t="s">
        <v>2019</v>
      </c>
      <c r="J59" s="1525" t="s">
        <v>5408</v>
      </c>
      <c r="K59" s="1525" t="s">
        <v>3453</v>
      </c>
      <c r="L59" s="1525" t="s">
        <v>9626</v>
      </c>
      <c r="M59" s="1525" t="s">
        <v>9292</v>
      </c>
      <c r="N59" s="1525" t="s">
        <v>1229</v>
      </c>
      <c r="O59" s="1525" t="s">
        <v>9593</v>
      </c>
      <c r="P59" s="1525" t="s">
        <v>8596</v>
      </c>
      <c r="Q59" s="1526" t="s">
        <v>9627</v>
      </c>
      <c r="R59" s="1526" t="s">
        <v>9628</v>
      </c>
      <c r="S59" s="1526" t="s">
        <v>9629</v>
      </c>
      <c r="T59" s="1526" t="s">
        <v>7220</v>
      </c>
      <c r="U59" s="1526" t="s">
        <v>7153</v>
      </c>
      <c r="V59" s="1526" t="s">
        <v>5072</v>
      </c>
      <c r="W59" s="1527" t="s">
        <v>9630</v>
      </c>
      <c r="X59" s="1527" t="s">
        <v>9631</v>
      </c>
      <c r="Y59" s="1527" t="s">
        <v>9489</v>
      </c>
      <c r="Z59" s="1527" t="s">
        <v>8444</v>
      </c>
      <c r="AA59" s="1527" t="s">
        <v>5896</v>
      </c>
      <c r="AB59" s="1527" t="s">
        <v>5615</v>
      </c>
      <c r="AC59" s="1527" t="s">
        <v>6208</v>
      </c>
      <c r="AD59" s="1509" t="s">
        <v>9632</v>
      </c>
      <c r="AE59" s="1523" t="s">
        <v>5458</v>
      </c>
      <c r="AF59" s="1528" t="s">
        <v>9633</v>
      </c>
      <c r="AG59" s="1528" t="s">
        <v>9634</v>
      </c>
      <c r="AH59" s="1528" t="s">
        <v>9635</v>
      </c>
      <c r="AI59" s="1528" t="s">
        <v>1039</v>
      </c>
      <c r="AJ59" s="1528" t="s">
        <v>9636</v>
      </c>
      <c r="AK59" s="1514" t="s">
        <v>625</v>
      </c>
      <c r="AL59" s="1514" t="s">
        <v>9637</v>
      </c>
      <c r="AM59" s="1515" t="s">
        <v>3578</v>
      </c>
      <c r="AN59" s="1515" t="s">
        <v>9638</v>
      </c>
      <c r="AO59" s="1515" t="s">
        <v>9639</v>
      </c>
      <c r="AP59" s="1515" t="s">
        <v>9640</v>
      </c>
      <c r="AQ59" s="1515" t="s">
        <v>9641</v>
      </c>
      <c r="AR59" s="1516" t="s">
        <v>7714</v>
      </c>
      <c r="AS59" s="1515" t="s">
        <v>4404</v>
      </c>
      <c r="AT59" s="1525" t="s">
        <v>9642</v>
      </c>
      <c r="AU59" s="1529" t="s">
        <v>9643</v>
      </c>
      <c r="AV59" s="1466" t="str">
        <f t="shared" si="1"/>
        <v>4:40</v>
      </c>
      <c r="AW59" s="1591" t="s">
        <v>9644</v>
      </c>
    </row>
    <row r="60" ht="15.75" customHeight="1">
      <c r="A60" s="1505" t="s">
        <v>9645</v>
      </c>
      <c r="B60" s="1503" t="s">
        <v>8372</v>
      </c>
      <c r="C60" s="1460">
        <v>0.051631944444444446</v>
      </c>
      <c r="D60" s="1509" t="s">
        <v>9646</v>
      </c>
      <c r="E60" s="1509" t="s">
        <v>6423</v>
      </c>
      <c r="F60" s="1509" t="s">
        <v>8604</v>
      </c>
      <c r="G60" s="1509" t="s">
        <v>9647</v>
      </c>
      <c r="H60" s="1561" t="s">
        <v>9648</v>
      </c>
      <c r="I60" s="1561" t="s">
        <v>9649</v>
      </c>
      <c r="J60" s="1511" t="s">
        <v>9650</v>
      </c>
      <c r="K60" s="1511" t="s">
        <v>7450</v>
      </c>
      <c r="L60" s="1511" t="s">
        <v>4451</v>
      </c>
      <c r="M60" s="1511" t="s">
        <v>9651</v>
      </c>
      <c r="N60" s="1511" t="s">
        <v>6157</v>
      </c>
      <c r="O60" s="1511" t="s">
        <v>9652</v>
      </c>
      <c r="P60" s="1511" t="s">
        <v>6456</v>
      </c>
      <c r="Q60" s="1512" t="s">
        <v>9653</v>
      </c>
      <c r="R60" s="1512" t="s">
        <v>9486</v>
      </c>
      <c r="S60" s="1512" t="s">
        <v>5529</v>
      </c>
      <c r="T60" s="1512" t="s">
        <v>6011</v>
      </c>
      <c r="U60" s="1512" t="s">
        <v>9654</v>
      </c>
      <c r="V60" s="1512" t="s">
        <v>9655</v>
      </c>
      <c r="W60" s="1513" t="s">
        <v>9656</v>
      </c>
      <c r="X60" s="1513" t="s">
        <v>625</v>
      </c>
      <c r="Y60" s="1513" t="s">
        <v>5062</v>
      </c>
      <c r="Z60" s="1513" t="s">
        <v>9657</v>
      </c>
      <c r="AA60" s="1468" t="s">
        <v>9658</v>
      </c>
      <c r="AB60" s="1513" t="s">
        <v>9257</v>
      </c>
      <c r="AC60" s="1513" t="s">
        <v>4671</v>
      </c>
      <c r="AD60" s="1509" t="s">
        <v>9659</v>
      </c>
      <c r="AE60" s="1509" t="s">
        <v>8888</v>
      </c>
      <c r="AF60" s="1628" t="s">
        <v>9660</v>
      </c>
      <c r="AG60" s="1514" t="s">
        <v>6526</v>
      </c>
      <c r="AH60" s="1514" t="s">
        <v>9635</v>
      </c>
      <c r="AI60" s="1514" t="s">
        <v>4049</v>
      </c>
      <c r="AJ60" s="1514" t="s">
        <v>9661</v>
      </c>
      <c r="AK60" s="1514" t="s">
        <v>1520</v>
      </c>
      <c r="AL60" s="1514" t="s">
        <v>3430</v>
      </c>
      <c r="AM60" s="1516" t="s">
        <v>5896</v>
      </c>
      <c r="AN60" s="1516" t="s">
        <v>5579</v>
      </c>
      <c r="AO60" s="1516" t="s">
        <v>6359</v>
      </c>
      <c r="AP60" s="1516" t="s">
        <v>9662</v>
      </c>
      <c r="AQ60" s="1516" t="s">
        <v>3461</v>
      </c>
      <c r="AR60" s="1516" t="s">
        <v>9223</v>
      </c>
      <c r="AS60" s="1516" t="s">
        <v>4024</v>
      </c>
      <c r="AT60" s="1511" t="s">
        <v>9663</v>
      </c>
      <c r="AU60" s="1497" t="s">
        <v>9664</v>
      </c>
      <c r="AV60" s="1466" t="str">
        <f t="shared" si="1"/>
        <v>2:25</v>
      </c>
      <c r="AW60" s="1588" t="s">
        <v>9665</v>
      </c>
    </row>
    <row r="61" ht="15.75" customHeight="1">
      <c r="A61" s="1542" t="s">
        <v>9666</v>
      </c>
      <c r="B61" s="1459" t="s">
        <v>8372</v>
      </c>
      <c r="C61" s="1592">
        <v>0.051631944444444446</v>
      </c>
      <c r="D61" s="1273" t="s">
        <v>9667</v>
      </c>
      <c r="E61" s="1626" t="s">
        <v>9668</v>
      </c>
      <c r="F61" s="1626" t="s">
        <v>8454</v>
      </c>
      <c r="G61" s="1626" t="s">
        <v>9669</v>
      </c>
      <c r="H61" s="1626" t="s">
        <v>9670</v>
      </c>
      <c r="I61" s="1626" t="s">
        <v>9596</v>
      </c>
      <c r="J61" s="1626" t="s">
        <v>3454</v>
      </c>
      <c r="K61" s="1626" t="s">
        <v>9671</v>
      </c>
      <c r="L61" s="1626" t="s">
        <v>5301</v>
      </c>
      <c r="M61" s="1626" t="s">
        <v>709</v>
      </c>
      <c r="N61" s="1626" t="s">
        <v>9672</v>
      </c>
      <c r="O61" s="1626" t="s">
        <v>4680</v>
      </c>
      <c r="P61" s="1626" t="s">
        <v>8406</v>
      </c>
      <c r="Q61" s="1626" t="s">
        <v>9673</v>
      </c>
      <c r="R61" s="1626" t="s">
        <v>9674</v>
      </c>
      <c r="S61" s="1626" t="s">
        <v>9450</v>
      </c>
      <c r="T61" s="1626" t="s">
        <v>9516</v>
      </c>
      <c r="U61" s="1626" t="s">
        <v>9675</v>
      </c>
      <c r="V61" s="1626" t="s">
        <v>9676</v>
      </c>
      <c r="W61" s="1626" t="s">
        <v>9677</v>
      </c>
      <c r="X61" s="1626" t="s">
        <v>9598</v>
      </c>
      <c r="Y61" s="1626" t="s">
        <v>4671</v>
      </c>
      <c r="Z61" s="1626" t="s">
        <v>7144</v>
      </c>
      <c r="AA61" s="1626" t="s">
        <v>9019</v>
      </c>
      <c r="AB61" s="1626" t="s">
        <v>9678</v>
      </c>
      <c r="AC61" s="1626" t="s">
        <v>388</v>
      </c>
      <c r="AD61" s="1626" t="s">
        <v>5934</v>
      </c>
      <c r="AE61" s="1626" t="s">
        <v>2879</v>
      </c>
      <c r="AF61" s="1626" t="s">
        <v>9364</v>
      </c>
      <c r="AG61" s="1626" t="s">
        <v>9679</v>
      </c>
      <c r="AH61" s="1626" t="s">
        <v>5342</v>
      </c>
      <c r="AI61" s="1626" t="s">
        <v>4068</v>
      </c>
      <c r="AJ61" s="1626" t="s">
        <v>9680</v>
      </c>
      <c r="AK61" s="1626" t="s">
        <v>9512</v>
      </c>
      <c r="AL61" s="1626" t="s">
        <v>4476</v>
      </c>
      <c r="AM61" s="1626" t="s">
        <v>9681</v>
      </c>
      <c r="AN61" s="1626" t="s">
        <v>8235</v>
      </c>
      <c r="AO61" s="1626" t="s">
        <v>5080</v>
      </c>
      <c r="AP61" s="1626" t="s">
        <v>9682</v>
      </c>
      <c r="AQ61" s="1626" t="s">
        <v>3544</v>
      </c>
      <c r="AR61" s="1626" t="s">
        <v>9039</v>
      </c>
      <c r="AS61" s="1626" t="s">
        <v>4657</v>
      </c>
      <c r="AT61" s="1626" t="s">
        <v>9683</v>
      </c>
      <c r="AU61" s="1629" t="str">
        <f>HYPERLINK("https://splits.io/pc9","1:16:48")</f>
        <v>1:16:48</v>
      </c>
      <c r="AV61" s="1626" t="str">
        <f t="shared" si="1"/>
        <v>2:27</v>
      </c>
      <c r="AW61" s="1630" t="s">
        <v>9684</v>
      </c>
    </row>
    <row r="62" ht="15.75" customHeight="1">
      <c r="A62" s="1458" t="s">
        <v>5612</v>
      </c>
      <c r="B62" s="1459" t="s">
        <v>8372</v>
      </c>
      <c r="C62" s="1592">
        <v>0.051631944444444446</v>
      </c>
      <c r="D62" s="1273" t="s">
        <v>9685</v>
      </c>
      <c r="E62" s="1626" t="s">
        <v>6556</v>
      </c>
      <c r="F62" s="1626" t="s">
        <v>9686</v>
      </c>
      <c r="G62" s="1626" t="s">
        <v>5245</v>
      </c>
      <c r="H62" s="1626" t="s">
        <v>9270</v>
      </c>
      <c r="I62" s="1626" t="s">
        <v>4671</v>
      </c>
      <c r="J62" s="1626" t="s">
        <v>8593</v>
      </c>
      <c r="K62" s="1626" t="s">
        <v>8271</v>
      </c>
      <c r="L62" s="1626" t="s">
        <v>5708</v>
      </c>
      <c r="M62" s="1626" t="s">
        <v>865</v>
      </c>
      <c r="N62" s="1626" t="s">
        <v>9687</v>
      </c>
      <c r="O62" s="1626" t="s">
        <v>9484</v>
      </c>
      <c r="P62" s="1626" t="s">
        <v>9367</v>
      </c>
      <c r="Q62" s="1626" t="s">
        <v>9688</v>
      </c>
      <c r="R62" s="1626" t="s">
        <v>9628</v>
      </c>
      <c r="S62" s="1626" t="s">
        <v>7099</v>
      </c>
      <c r="T62" s="1626" t="s">
        <v>9689</v>
      </c>
      <c r="U62" s="1626" t="s">
        <v>9690</v>
      </c>
      <c r="V62" s="1626" t="s">
        <v>9691</v>
      </c>
      <c r="W62" s="1626" t="s">
        <v>9692</v>
      </c>
      <c r="X62" s="1626" t="s">
        <v>9693</v>
      </c>
      <c r="Y62" s="1626" t="s">
        <v>1166</v>
      </c>
      <c r="Z62" s="1626" t="s">
        <v>4763</v>
      </c>
      <c r="AA62" s="1626" t="s">
        <v>9694</v>
      </c>
      <c r="AB62" s="1626" t="s">
        <v>7174</v>
      </c>
      <c r="AC62" s="1626" t="s">
        <v>9695</v>
      </c>
      <c r="AD62" s="1626" t="s">
        <v>9696</v>
      </c>
      <c r="AE62" s="1538" t="s">
        <v>5437</v>
      </c>
      <c r="AF62" s="1626" t="s">
        <v>9697</v>
      </c>
      <c r="AG62" s="1626" t="s">
        <v>9698</v>
      </c>
      <c r="AH62" s="1626" t="s">
        <v>2202</v>
      </c>
      <c r="AI62" s="1626" t="s">
        <v>5167</v>
      </c>
      <c r="AJ62" s="1626" t="s">
        <v>8051</v>
      </c>
      <c r="AK62" s="1626" t="s">
        <v>1703</v>
      </c>
      <c r="AL62" s="1626" t="s">
        <v>5579</v>
      </c>
      <c r="AM62" s="1626" t="s">
        <v>9699</v>
      </c>
      <c r="AN62" s="1626" t="s">
        <v>9700</v>
      </c>
      <c r="AO62" s="1626" t="s">
        <v>8642</v>
      </c>
      <c r="AP62" s="1626" t="s">
        <v>9701</v>
      </c>
      <c r="AQ62" s="1626" t="s">
        <v>9702</v>
      </c>
      <c r="AR62" s="1626" t="s">
        <v>4749</v>
      </c>
      <c r="AS62" s="1626" t="s">
        <v>2949</v>
      </c>
      <c r="AT62" s="1626" t="s">
        <v>9703</v>
      </c>
      <c r="AU62" s="1626" t="s">
        <v>9704</v>
      </c>
      <c r="AV62" s="1626" t="str">
        <f t="shared" si="1"/>
        <v>3:33</v>
      </c>
      <c r="AW62" s="1630"/>
    </row>
    <row r="63" ht="15.75" customHeight="1">
      <c r="A63" s="1458" t="s">
        <v>4205</v>
      </c>
      <c r="B63" s="1459" t="s">
        <v>8372</v>
      </c>
      <c r="C63" s="1592">
        <v>0.05164351851851852</v>
      </c>
      <c r="D63" s="1273" t="s">
        <v>9705</v>
      </c>
      <c r="E63" s="1626" t="s">
        <v>8543</v>
      </c>
      <c r="F63" s="1626" t="s">
        <v>9706</v>
      </c>
      <c r="G63" s="1626" t="s">
        <v>8428</v>
      </c>
      <c r="H63" s="1626" t="s">
        <v>9707</v>
      </c>
      <c r="I63" s="1626" t="s">
        <v>1358</v>
      </c>
      <c r="J63" s="1626" t="s">
        <v>804</v>
      </c>
      <c r="K63" s="1626" t="s">
        <v>7061</v>
      </c>
      <c r="L63" s="1626" t="s">
        <v>3579</v>
      </c>
      <c r="M63" s="1626" t="s">
        <v>9651</v>
      </c>
      <c r="N63" s="1626" t="s">
        <v>8697</v>
      </c>
      <c r="O63" s="1626" t="s">
        <v>9371</v>
      </c>
      <c r="P63" s="1626" t="s">
        <v>5113</v>
      </c>
      <c r="Q63" s="1626" t="s">
        <v>9708</v>
      </c>
      <c r="R63" s="1626" t="s">
        <v>3601</v>
      </c>
      <c r="S63" s="1626" t="s">
        <v>9709</v>
      </c>
      <c r="T63" s="1626" t="s">
        <v>9710</v>
      </c>
      <c r="U63" s="1626" t="s">
        <v>9711</v>
      </c>
      <c r="V63" s="1626" t="s">
        <v>9712</v>
      </c>
      <c r="W63" s="1626" t="s">
        <v>9713</v>
      </c>
      <c r="X63" s="1626" t="s">
        <v>604</v>
      </c>
      <c r="Y63" s="1626" t="s">
        <v>9714</v>
      </c>
      <c r="Z63" s="1626" t="s">
        <v>7472</v>
      </c>
      <c r="AA63" s="1626" t="s">
        <v>5532</v>
      </c>
      <c r="AB63" s="1626" t="s">
        <v>6360</v>
      </c>
      <c r="AC63" s="1626" t="s">
        <v>6496</v>
      </c>
      <c r="AD63" s="1626" t="s">
        <v>9715</v>
      </c>
      <c r="AE63" s="1626" t="s">
        <v>1914</v>
      </c>
      <c r="AF63" s="1626" t="s">
        <v>9716</v>
      </c>
      <c r="AG63" s="1626" t="s">
        <v>524</v>
      </c>
      <c r="AH63" s="1626" t="s">
        <v>5342</v>
      </c>
      <c r="AI63" s="1626" t="s">
        <v>9717</v>
      </c>
      <c r="AJ63" s="1626" t="s">
        <v>9718</v>
      </c>
      <c r="AK63" s="1626" t="s">
        <v>9719</v>
      </c>
      <c r="AL63" s="1626" t="s">
        <v>5110</v>
      </c>
      <c r="AM63" s="1626" t="s">
        <v>9165</v>
      </c>
      <c r="AN63" s="1626" t="s">
        <v>8760</v>
      </c>
      <c r="AO63" s="1626" t="s">
        <v>8462</v>
      </c>
      <c r="AP63" s="1626" t="s">
        <v>9720</v>
      </c>
      <c r="AQ63" s="1626" t="s">
        <v>9721</v>
      </c>
      <c r="AR63" s="1626" t="s">
        <v>3477</v>
      </c>
      <c r="AS63" s="1626" t="s">
        <v>9722</v>
      </c>
      <c r="AT63" s="1626" t="s">
        <v>9513</v>
      </c>
      <c r="AU63" s="1626" t="s">
        <v>9723</v>
      </c>
      <c r="AV63" s="1626" t="str">
        <f t="shared" si="1"/>
        <v>3:13</v>
      </c>
      <c r="AW63" s="1630" t="s">
        <v>9724</v>
      </c>
    </row>
    <row r="64" ht="15.75" customHeight="1">
      <c r="A64" s="1472" t="s">
        <v>826</v>
      </c>
      <c r="B64" s="1616" t="s">
        <v>8424</v>
      </c>
      <c r="C64" s="1592">
        <v>0.05167824074074074</v>
      </c>
      <c r="D64" s="1273" t="s">
        <v>9725</v>
      </c>
      <c r="E64" s="1626" t="s">
        <v>9726</v>
      </c>
      <c r="F64" s="1626" t="s">
        <v>9727</v>
      </c>
      <c r="G64" s="1626" t="s">
        <v>9728</v>
      </c>
      <c r="H64" s="1626" t="s">
        <v>9729</v>
      </c>
      <c r="I64" s="1626" t="s">
        <v>1902</v>
      </c>
      <c r="J64" s="1626" t="s">
        <v>9589</v>
      </c>
      <c r="K64" s="1626" t="s">
        <v>8674</v>
      </c>
      <c r="L64" s="1626" t="s">
        <v>1816</v>
      </c>
      <c r="M64" s="1626" t="s">
        <v>7205</v>
      </c>
      <c r="N64" s="1626" t="s">
        <v>9730</v>
      </c>
      <c r="O64" s="1626" t="s">
        <v>9731</v>
      </c>
      <c r="P64" s="1626" t="s">
        <v>2405</v>
      </c>
      <c r="Q64" s="1626" t="s">
        <v>718</v>
      </c>
      <c r="R64" s="1626" t="s">
        <v>9732</v>
      </c>
      <c r="S64" s="1626" t="s">
        <v>9733</v>
      </c>
      <c r="T64" s="1626" t="s">
        <v>9734</v>
      </c>
      <c r="U64" s="1626" t="s">
        <v>9325</v>
      </c>
      <c r="V64" s="1626" t="s">
        <v>486</v>
      </c>
      <c r="W64" s="1626" t="s">
        <v>5737</v>
      </c>
      <c r="X64" s="1626" t="s">
        <v>9735</v>
      </c>
      <c r="Y64" s="1626" t="s">
        <v>870</v>
      </c>
      <c r="Z64" s="1626" t="s">
        <v>3958</v>
      </c>
      <c r="AA64" s="1626" t="s">
        <v>1616</v>
      </c>
      <c r="AB64" s="1626" t="s">
        <v>8970</v>
      </c>
      <c r="AC64" s="1626" t="s">
        <v>9736</v>
      </c>
      <c r="AD64" s="1538" t="s">
        <v>9737</v>
      </c>
      <c r="AE64" s="1626" t="s">
        <v>1928</v>
      </c>
      <c r="AF64" s="1626" t="s">
        <v>9208</v>
      </c>
      <c r="AG64" s="1626" t="s">
        <v>6636</v>
      </c>
      <c r="AH64" s="1626" t="s">
        <v>4451</v>
      </c>
      <c r="AI64" s="1626" t="s">
        <v>6143</v>
      </c>
      <c r="AJ64" s="1626" t="s">
        <v>9738</v>
      </c>
      <c r="AK64" s="1626" t="s">
        <v>3260</v>
      </c>
      <c r="AL64" s="1626" t="s">
        <v>5166</v>
      </c>
      <c r="AM64" s="1626" t="s">
        <v>9739</v>
      </c>
      <c r="AN64" s="1626" t="s">
        <v>9740</v>
      </c>
      <c r="AO64" s="1626" t="s">
        <v>9741</v>
      </c>
      <c r="AP64" s="1626" t="s">
        <v>9742</v>
      </c>
      <c r="AQ64" s="1626" t="s">
        <v>9743</v>
      </c>
      <c r="AR64" s="1626" t="s">
        <v>9744</v>
      </c>
      <c r="AS64" s="1626" t="s">
        <v>9745</v>
      </c>
      <c r="AT64" s="1626" t="s">
        <v>9746</v>
      </c>
      <c r="AU64" s="1626" t="s">
        <v>9747</v>
      </c>
      <c r="AV64" s="1626" t="str">
        <f t="shared" si="1"/>
        <v>2:51</v>
      </c>
      <c r="AW64" s="1631"/>
    </row>
    <row r="65" ht="15.75" customHeight="1">
      <c r="A65" s="1505" t="s">
        <v>4618</v>
      </c>
      <c r="B65" s="1518" t="s">
        <v>8400</v>
      </c>
      <c r="C65" s="1592">
        <v>0.05170138888888889</v>
      </c>
      <c r="D65" s="1273" t="s">
        <v>9748</v>
      </c>
      <c r="E65" s="1626" t="s">
        <v>4241</v>
      </c>
      <c r="F65" s="1626" t="s">
        <v>9315</v>
      </c>
      <c r="G65" s="1626" t="s">
        <v>8799</v>
      </c>
      <c r="H65" s="1626" t="s">
        <v>9749</v>
      </c>
      <c r="I65" s="1626" t="s">
        <v>9750</v>
      </c>
      <c r="J65" s="1626" t="s">
        <v>9330</v>
      </c>
      <c r="K65" s="1626" t="s">
        <v>8642</v>
      </c>
      <c r="L65" s="1626" t="s">
        <v>4027</v>
      </c>
      <c r="M65" s="1626" t="s">
        <v>7407</v>
      </c>
      <c r="N65" s="1626" t="s">
        <v>5940</v>
      </c>
      <c r="O65" s="1626" t="s">
        <v>9434</v>
      </c>
      <c r="P65" s="1626" t="s">
        <v>481</v>
      </c>
      <c r="Q65" s="1626" t="s">
        <v>2822</v>
      </c>
      <c r="R65" s="1626" t="s">
        <v>9751</v>
      </c>
      <c r="S65" s="1626" t="s">
        <v>9639</v>
      </c>
      <c r="T65" s="1626" t="s">
        <v>2747</v>
      </c>
      <c r="U65" s="1626" t="s">
        <v>9752</v>
      </c>
      <c r="V65" s="1626" t="s">
        <v>9753</v>
      </c>
      <c r="W65" s="1626" t="s">
        <v>9677</v>
      </c>
      <c r="X65" s="1626" t="s">
        <v>3578</v>
      </c>
      <c r="Y65" s="1626" t="s">
        <v>2382</v>
      </c>
      <c r="Z65" s="1626" t="s">
        <v>489</v>
      </c>
      <c r="AA65" s="1626" t="s">
        <v>625</v>
      </c>
      <c r="AB65" s="1626" t="s">
        <v>9754</v>
      </c>
      <c r="AC65" s="1626" t="s">
        <v>925</v>
      </c>
      <c r="AD65" s="1626" t="s">
        <v>9388</v>
      </c>
      <c r="AE65" s="1626" t="s">
        <v>676</v>
      </c>
      <c r="AF65" s="1626" t="s">
        <v>9755</v>
      </c>
      <c r="AG65" s="1626" t="s">
        <v>9756</v>
      </c>
      <c r="AH65" s="1626" t="s">
        <v>9757</v>
      </c>
      <c r="AI65" s="1626" t="s">
        <v>9758</v>
      </c>
      <c r="AJ65" s="1626" t="s">
        <v>9759</v>
      </c>
      <c r="AK65" s="1626" t="s">
        <v>9334</v>
      </c>
      <c r="AL65" s="1626" t="s">
        <v>9760</v>
      </c>
      <c r="AM65" s="1626" t="s">
        <v>9616</v>
      </c>
      <c r="AN65" s="1626" t="s">
        <v>9761</v>
      </c>
      <c r="AO65" s="1626" t="s">
        <v>9379</v>
      </c>
      <c r="AP65" s="1626" t="s">
        <v>3193</v>
      </c>
      <c r="AQ65" s="1626" t="s">
        <v>9762</v>
      </c>
      <c r="AR65" s="1626" t="s">
        <v>9763</v>
      </c>
      <c r="AS65" s="1626" t="s">
        <v>6266</v>
      </c>
      <c r="AT65" s="1626" t="s">
        <v>9764</v>
      </c>
      <c r="AU65" s="1626" t="s">
        <v>9765</v>
      </c>
      <c r="AV65" s="1626" t="str">
        <f t="shared" si="1"/>
        <v>2:37</v>
      </c>
      <c r="AW65" s="1631" t="s">
        <v>9766</v>
      </c>
    </row>
    <row r="66" ht="15.75" customHeight="1">
      <c r="A66" s="1505" t="s">
        <v>4971</v>
      </c>
      <c r="B66" s="1499" t="s">
        <v>8400</v>
      </c>
      <c r="C66" s="1460">
        <v>0.05171296296296296</v>
      </c>
      <c r="D66" s="1602" t="s">
        <v>9767</v>
      </c>
      <c r="E66" s="1538" t="s">
        <v>9768</v>
      </c>
      <c r="F66" s="1538" t="s">
        <v>1466</v>
      </c>
      <c r="G66" s="1538" t="s">
        <v>9769</v>
      </c>
      <c r="H66" s="1538" t="s">
        <v>9770</v>
      </c>
      <c r="I66" s="1538" t="s">
        <v>9771</v>
      </c>
      <c r="J66" s="1538" t="s">
        <v>972</v>
      </c>
      <c r="K66" s="1538" t="s">
        <v>4853</v>
      </c>
      <c r="L66" s="1538" t="s">
        <v>1806</v>
      </c>
      <c r="M66" s="1632" t="s">
        <v>9772</v>
      </c>
      <c r="N66" s="1538" t="s">
        <v>9773</v>
      </c>
      <c r="O66" s="1538" t="s">
        <v>1776</v>
      </c>
      <c r="P66" s="1538" t="s">
        <v>5062</v>
      </c>
      <c r="Q66" s="1538" t="s">
        <v>9774</v>
      </c>
      <c r="R66" s="1538" t="s">
        <v>9775</v>
      </c>
      <c r="S66" s="1538" t="s">
        <v>3706</v>
      </c>
      <c r="T66" s="1538" t="s">
        <v>9776</v>
      </c>
      <c r="U66" s="1538" t="s">
        <v>9566</v>
      </c>
      <c r="V66" s="1632" t="s">
        <v>9777</v>
      </c>
      <c r="W66" s="1632" t="s">
        <v>9778</v>
      </c>
      <c r="X66" s="1538" t="s">
        <v>9440</v>
      </c>
      <c r="Y66" s="1273" t="s">
        <v>9119</v>
      </c>
      <c r="Z66" s="1538" t="s">
        <v>1518</v>
      </c>
      <c r="AA66" s="1538" t="s">
        <v>1400</v>
      </c>
      <c r="AB66" s="1632" t="s">
        <v>9779</v>
      </c>
      <c r="AC66" s="1538" t="s">
        <v>1914</v>
      </c>
      <c r="AD66" s="1538" t="s">
        <v>9780</v>
      </c>
      <c r="AE66" s="1538" t="s">
        <v>3788</v>
      </c>
      <c r="AF66" s="1538" t="s">
        <v>9781</v>
      </c>
      <c r="AG66" s="1538" t="s">
        <v>524</v>
      </c>
      <c r="AH66" s="1538" t="s">
        <v>9782</v>
      </c>
      <c r="AI66" s="1538" t="s">
        <v>5370</v>
      </c>
      <c r="AJ66" s="1538" t="s">
        <v>9783</v>
      </c>
      <c r="AK66" s="1538" t="s">
        <v>9784</v>
      </c>
      <c r="AL66" s="1538" t="s">
        <v>1657</v>
      </c>
      <c r="AM66" s="1538" t="s">
        <v>9607</v>
      </c>
      <c r="AN66" s="1538" t="s">
        <v>9785</v>
      </c>
      <c r="AO66" s="1538" t="s">
        <v>2719</v>
      </c>
      <c r="AP66" s="1538" t="s">
        <v>1992</v>
      </c>
      <c r="AQ66" s="1538" t="s">
        <v>756</v>
      </c>
      <c r="AR66" s="1538" t="s">
        <v>9407</v>
      </c>
      <c r="AS66" s="1538" t="s">
        <v>6874</v>
      </c>
      <c r="AT66" s="1538" t="s">
        <v>9786</v>
      </c>
      <c r="AU66" s="1538" t="s">
        <v>9787</v>
      </c>
      <c r="AV66" s="1626" t="str">
        <f t="shared" si="1"/>
        <v>4:14</v>
      </c>
      <c r="AW66" s="1627" t="s">
        <v>9788</v>
      </c>
    </row>
    <row r="67" ht="15.75" customHeight="1">
      <c r="A67" s="1505" t="s">
        <v>2137</v>
      </c>
      <c r="B67" s="1612" t="s">
        <v>8400</v>
      </c>
      <c r="C67" s="1460">
        <v>0.05173611111111111</v>
      </c>
      <c r="D67" s="1273" t="s">
        <v>9789</v>
      </c>
      <c r="E67" s="1538" t="s">
        <v>9790</v>
      </c>
      <c r="F67" s="1538" t="s">
        <v>9791</v>
      </c>
      <c r="G67" s="1538" t="s">
        <v>9792</v>
      </c>
      <c r="H67" s="1538" t="s">
        <v>7339</v>
      </c>
      <c r="I67" s="1538" t="s">
        <v>494</v>
      </c>
      <c r="J67" s="1538" t="s">
        <v>8740</v>
      </c>
      <c r="K67" s="1538" t="s">
        <v>9793</v>
      </c>
      <c r="L67" s="1538" t="s">
        <v>6951</v>
      </c>
      <c r="M67" s="1538" t="s">
        <v>3495</v>
      </c>
      <c r="N67" s="1538" t="s">
        <v>9794</v>
      </c>
      <c r="O67" s="1538" t="s">
        <v>9795</v>
      </c>
      <c r="P67" s="1538" t="s">
        <v>3718</v>
      </c>
      <c r="Q67" s="1538" t="s">
        <v>9796</v>
      </c>
      <c r="R67" s="1538" t="s">
        <v>9732</v>
      </c>
      <c r="S67" s="1538" t="s">
        <v>5504</v>
      </c>
      <c r="T67" s="1538" t="s">
        <v>9797</v>
      </c>
      <c r="U67" s="1538" t="s">
        <v>9798</v>
      </c>
      <c r="V67" s="1538" t="s">
        <v>360</v>
      </c>
      <c r="W67" s="1538" t="s">
        <v>5536</v>
      </c>
      <c r="X67" s="1538" t="s">
        <v>9634</v>
      </c>
      <c r="Y67" s="1538" t="s">
        <v>1166</v>
      </c>
      <c r="Z67" s="1538" t="s">
        <v>9799</v>
      </c>
      <c r="AA67" s="1538" t="s">
        <v>9019</v>
      </c>
      <c r="AB67" s="1538" t="s">
        <v>6358</v>
      </c>
      <c r="AC67" s="1538" t="s">
        <v>160</v>
      </c>
      <c r="AD67" s="1538" t="s">
        <v>9659</v>
      </c>
      <c r="AE67" s="1538" t="s">
        <v>9091</v>
      </c>
      <c r="AF67" s="1538" t="s">
        <v>9105</v>
      </c>
      <c r="AG67" s="1538" t="s">
        <v>4814</v>
      </c>
      <c r="AH67" s="1538" t="s">
        <v>9800</v>
      </c>
      <c r="AI67" s="1538" t="s">
        <v>9801</v>
      </c>
      <c r="AJ67" s="1538" t="s">
        <v>9802</v>
      </c>
      <c r="AK67" s="1538" t="s">
        <v>8708</v>
      </c>
      <c r="AL67" s="1538" t="s">
        <v>9803</v>
      </c>
      <c r="AM67" s="1538" t="s">
        <v>2805</v>
      </c>
      <c r="AN67" s="1538" t="s">
        <v>5110</v>
      </c>
      <c r="AO67" s="1538" t="s">
        <v>9559</v>
      </c>
      <c r="AP67" s="1538" t="s">
        <v>9804</v>
      </c>
      <c r="AQ67" s="1538" t="s">
        <v>9805</v>
      </c>
      <c r="AR67" s="1538" t="s">
        <v>418</v>
      </c>
      <c r="AS67" s="1538" t="s">
        <v>9806</v>
      </c>
      <c r="AT67" s="1538" t="s">
        <v>9807</v>
      </c>
      <c r="AU67" s="1538" t="s">
        <v>9808</v>
      </c>
      <c r="AV67" s="1626" t="str">
        <f t="shared" si="1"/>
        <v>3:51</v>
      </c>
      <c r="AW67" s="1627" t="s">
        <v>9809</v>
      </c>
    </row>
    <row r="68" ht="15.75" customHeight="1">
      <c r="A68" s="1505" t="s">
        <v>7751</v>
      </c>
      <c r="B68" s="1503" t="s">
        <v>8424</v>
      </c>
      <c r="C68" s="1460">
        <v>0.051805555555555556</v>
      </c>
      <c r="D68" s="1538" t="s">
        <v>9810</v>
      </c>
      <c r="E68" s="1538" t="s">
        <v>9811</v>
      </c>
      <c r="F68" s="1273" t="s">
        <v>9812</v>
      </c>
      <c r="G68" s="1538" t="s">
        <v>9813</v>
      </c>
      <c r="H68" s="1477" t="s">
        <v>9814</v>
      </c>
      <c r="I68" s="1477">
        <v>49.81</v>
      </c>
      <c r="J68" s="1477" t="s">
        <v>9815</v>
      </c>
      <c r="K68" s="1477" t="s">
        <v>6040</v>
      </c>
      <c r="L68" s="1477">
        <v>59.57</v>
      </c>
      <c r="M68" s="1477" t="s">
        <v>9816</v>
      </c>
      <c r="N68" s="1477" t="s">
        <v>9817</v>
      </c>
      <c r="O68" s="1476" t="s">
        <v>7257</v>
      </c>
      <c r="P68" s="1476" t="s">
        <v>9818</v>
      </c>
      <c r="Q68" s="1476" t="s">
        <v>9819</v>
      </c>
      <c r="R68" s="1477" t="s">
        <v>9820</v>
      </c>
      <c r="S68" s="1477" t="s">
        <v>9450</v>
      </c>
      <c r="T68" s="1477" t="s">
        <v>9821</v>
      </c>
      <c r="U68" s="1477" t="s">
        <v>9822</v>
      </c>
      <c r="V68" s="1477" t="s">
        <v>4355</v>
      </c>
      <c r="W68" s="1477" t="s">
        <v>9823</v>
      </c>
      <c r="X68" s="1477" t="s">
        <v>9824</v>
      </c>
      <c r="Y68" s="1476" t="s">
        <v>9335</v>
      </c>
      <c r="Z68" s="1633" t="s">
        <v>8442</v>
      </c>
      <c r="AA68" s="1477" t="s">
        <v>197</v>
      </c>
      <c r="AB68" s="1476" t="s">
        <v>4256</v>
      </c>
      <c r="AC68" s="1477">
        <v>49.53</v>
      </c>
      <c r="AD68" s="1477" t="s">
        <v>1856</v>
      </c>
      <c r="AE68" s="1476" t="s">
        <v>9825</v>
      </c>
      <c r="AF68" s="1477" t="s">
        <v>8601</v>
      </c>
      <c r="AG68" s="1477" t="s">
        <v>9826</v>
      </c>
      <c r="AH68" s="1477">
        <v>59.93</v>
      </c>
      <c r="AI68" s="1477" t="s">
        <v>9827</v>
      </c>
      <c r="AJ68" s="1477" t="s">
        <v>9828</v>
      </c>
      <c r="AK68" s="1477" t="s">
        <v>5726</v>
      </c>
      <c r="AL68" s="1477">
        <v>59.13</v>
      </c>
      <c r="AM68" s="1477" t="s">
        <v>9763</v>
      </c>
      <c r="AN68" s="1477">
        <v>57.86</v>
      </c>
      <c r="AO68" s="1477" t="s">
        <v>7560</v>
      </c>
      <c r="AP68" s="1477" t="s">
        <v>9829</v>
      </c>
      <c r="AQ68" s="1477" t="s">
        <v>9341</v>
      </c>
      <c r="AR68" s="1477" t="s">
        <v>5959</v>
      </c>
      <c r="AS68" s="1477">
        <v>47.67</v>
      </c>
      <c r="AT68" s="1538" t="s">
        <v>9830</v>
      </c>
      <c r="AU68" s="1538" t="s">
        <v>9831</v>
      </c>
      <c r="AV68" s="1626" t="str">
        <f t="shared" si="1"/>
        <v>2:57</v>
      </c>
      <c r="AW68" s="1634" t="s">
        <v>9832</v>
      </c>
    </row>
    <row r="69">
      <c r="A69" s="1635" t="s">
        <v>1323</v>
      </c>
      <c r="B69" s="1499" t="s">
        <v>8400</v>
      </c>
      <c r="C69" s="1636">
        <v>0.05181712962962963</v>
      </c>
      <c r="D69" s="1462" t="s">
        <v>9833</v>
      </c>
      <c r="E69" s="1548" t="s">
        <v>9834</v>
      </c>
      <c r="F69" s="1548" t="s">
        <v>9835</v>
      </c>
      <c r="G69" s="1548" t="s">
        <v>9836</v>
      </c>
      <c r="H69" s="1548" t="s">
        <v>9837</v>
      </c>
      <c r="I69" s="1462" t="s">
        <v>4965</v>
      </c>
      <c r="J69" s="1548" t="s">
        <v>8725</v>
      </c>
      <c r="K69" s="1548" t="s">
        <v>9010</v>
      </c>
      <c r="L69" s="1462" t="s">
        <v>9800</v>
      </c>
      <c r="M69" s="1462" t="s">
        <v>1451</v>
      </c>
      <c r="N69" s="1548" t="s">
        <v>9302</v>
      </c>
      <c r="O69" s="1548" t="s">
        <v>7311</v>
      </c>
      <c r="P69" s="1548" t="s">
        <v>8895</v>
      </c>
      <c r="Q69" s="1548" t="s">
        <v>9838</v>
      </c>
      <c r="R69" s="1462" t="s">
        <v>3092</v>
      </c>
      <c r="S69" s="1548" t="s">
        <v>4867</v>
      </c>
      <c r="T69" s="1462" t="s">
        <v>9839</v>
      </c>
      <c r="U69" s="1548" t="s">
        <v>9840</v>
      </c>
      <c r="V69" s="1548" t="s">
        <v>9753</v>
      </c>
      <c r="W69" s="1462" t="s">
        <v>9841</v>
      </c>
      <c r="X69" s="1462" t="s">
        <v>9397</v>
      </c>
      <c r="Y69" s="1462" t="s">
        <v>9842</v>
      </c>
      <c r="Z69" s="1548" t="s">
        <v>6124</v>
      </c>
      <c r="AA69" s="1548" t="s">
        <v>887</v>
      </c>
      <c r="AB69" s="1462" t="s">
        <v>9843</v>
      </c>
      <c r="AC69" s="1548" t="s">
        <v>2019</v>
      </c>
      <c r="AD69" s="1462" t="s">
        <v>9844</v>
      </c>
      <c r="AE69" s="1548" t="s">
        <v>6456</v>
      </c>
      <c r="AF69" s="1462" t="s">
        <v>9513</v>
      </c>
      <c r="AG69" s="1462" t="s">
        <v>401</v>
      </c>
      <c r="AH69" s="1462" t="s">
        <v>9845</v>
      </c>
      <c r="AI69" s="1548" t="s">
        <v>244</v>
      </c>
      <c r="AJ69" s="1548" t="s">
        <v>9846</v>
      </c>
      <c r="AK69" s="1548" t="s">
        <v>9109</v>
      </c>
      <c r="AL69" s="1548" t="s">
        <v>4685</v>
      </c>
      <c r="AM69" s="1462" t="s">
        <v>9847</v>
      </c>
      <c r="AN69" s="1462" t="s">
        <v>9159</v>
      </c>
      <c r="AO69" s="1462" t="s">
        <v>9848</v>
      </c>
      <c r="AP69" s="1548" t="s">
        <v>9849</v>
      </c>
      <c r="AQ69" s="1548" t="s">
        <v>9850</v>
      </c>
      <c r="AR69" s="1548" t="s">
        <v>9851</v>
      </c>
      <c r="AS69" s="1548" t="s">
        <v>353</v>
      </c>
      <c r="AT69" s="1462" t="s">
        <v>9852</v>
      </c>
      <c r="AU69" s="1468" t="s">
        <v>9853</v>
      </c>
      <c r="AV69" s="1529" t="str">
        <f t="shared" si="1"/>
        <v>3:49</v>
      </c>
      <c r="AW69" s="1637" t="s">
        <v>9854</v>
      </c>
    </row>
    <row r="70" ht="15.75" customHeight="1">
      <c r="A70" s="1458" t="s">
        <v>3006</v>
      </c>
      <c r="B70" s="1518" t="s">
        <v>8400</v>
      </c>
      <c r="C70" s="1592">
        <v>0.051863425925925924</v>
      </c>
      <c r="D70" s="1273" t="s">
        <v>9855</v>
      </c>
      <c r="E70" s="1626" t="s">
        <v>6251</v>
      </c>
      <c r="F70" s="1626" t="s">
        <v>9856</v>
      </c>
      <c r="G70" s="1626" t="s">
        <v>9857</v>
      </c>
      <c r="H70" s="1626" t="s">
        <v>9858</v>
      </c>
      <c r="I70" s="1626" t="s">
        <v>2036</v>
      </c>
      <c r="J70" s="1626" t="s">
        <v>1754</v>
      </c>
      <c r="K70" s="1626" t="s">
        <v>1590</v>
      </c>
      <c r="L70" s="1626" t="s">
        <v>3014</v>
      </c>
      <c r="M70" s="1626" t="s">
        <v>9628</v>
      </c>
      <c r="N70" s="1626" t="s">
        <v>4999</v>
      </c>
      <c r="O70" s="1626" t="s">
        <v>9859</v>
      </c>
      <c r="P70" s="1626" t="s">
        <v>1233</v>
      </c>
      <c r="Q70" s="1626" t="s">
        <v>9860</v>
      </c>
      <c r="R70" s="1626" t="s">
        <v>9861</v>
      </c>
      <c r="S70" s="1626" t="s">
        <v>9862</v>
      </c>
      <c r="T70" s="1626" t="s">
        <v>9863</v>
      </c>
      <c r="U70" s="1626" t="s">
        <v>9864</v>
      </c>
      <c r="V70" s="1626" t="s">
        <v>9416</v>
      </c>
      <c r="W70" s="1626" t="s">
        <v>9865</v>
      </c>
      <c r="X70" s="1626" t="s">
        <v>9758</v>
      </c>
      <c r="Y70" s="1626" t="s">
        <v>3142</v>
      </c>
      <c r="Z70" s="1626" t="s">
        <v>9866</v>
      </c>
      <c r="AA70" s="1626" t="s">
        <v>9867</v>
      </c>
      <c r="AB70" s="1626" t="s">
        <v>8274</v>
      </c>
      <c r="AC70" s="1626" t="s">
        <v>925</v>
      </c>
      <c r="AD70" s="1626" t="s">
        <v>9868</v>
      </c>
      <c r="AE70" s="1626" t="s">
        <v>1184</v>
      </c>
      <c r="AF70" s="1626" t="s">
        <v>9869</v>
      </c>
      <c r="AG70" s="1626" t="s">
        <v>9870</v>
      </c>
      <c r="AH70" s="1626" t="s">
        <v>5301</v>
      </c>
      <c r="AI70" s="1626" t="s">
        <v>9801</v>
      </c>
      <c r="AJ70" s="1626" t="s">
        <v>9871</v>
      </c>
      <c r="AK70" s="1626" t="s">
        <v>1906</v>
      </c>
      <c r="AL70" s="1626" t="s">
        <v>9845</v>
      </c>
      <c r="AM70" s="1626" t="s">
        <v>9872</v>
      </c>
      <c r="AN70" s="1626" t="s">
        <v>9323</v>
      </c>
      <c r="AO70" s="1626" t="s">
        <v>8595</v>
      </c>
      <c r="AP70" s="1626" t="s">
        <v>9873</v>
      </c>
      <c r="AQ70" s="1626" t="s">
        <v>9874</v>
      </c>
      <c r="AR70" s="1626" t="s">
        <v>2177</v>
      </c>
      <c r="AS70" s="1626" t="s">
        <v>4740</v>
      </c>
      <c r="AT70" s="1626" t="s">
        <v>9875</v>
      </c>
      <c r="AU70" s="1626" t="s">
        <v>9876</v>
      </c>
      <c r="AV70" s="1626" t="str">
        <f t="shared" si="1"/>
        <v>2:06</v>
      </c>
      <c r="AW70" s="1627" t="s">
        <v>9877</v>
      </c>
    </row>
    <row r="71" ht="15.75" customHeight="1">
      <c r="A71" s="1458" t="s">
        <v>1129</v>
      </c>
      <c r="B71" s="1459" t="s">
        <v>8372</v>
      </c>
      <c r="C71" s="1592">
        <v>0.051875</v>
      </c>
      <c r="D71" s="1273" t="s">
        <v>9878</v>
      </c>
      <c r="E71" s="1626" t="s">
        <v>3252</v>
      </c>
      <c r="F71" s="1626" t="s">
        <v>9879</v>
      </c>
      <c r="G71" s="1626" t="s">
        <v>9880</v>
      </c>
      <c r="H71" s="1626" t="s">
        <v>9881</v>
      </c>
      <c r="I71" s="1626" t="s">
        <v>9882</v>
      </c>
      <c r="J71" s="1626" t="s">
        <v>2520</v>
      </c>
      <c r="K71" s="1626" t="s">
        <v>9883</v>
      </c>
      <c r="L71" s="1626" t="s">
        <v>8463</v>
      </c>
      <c r="M71" s="1626" t="s">
        <v>7425</v>
      </c>
      <c r="N71" s="1626" t="s">
        <v>9516</v>
      </c>
      <c r="O71" s="1626" t="s">
        <v>4465</v>
      </c>
      <c r="P71" s="1626" t="s">
        <v>1523</v>
      </c>
      <c r="Q71" s="1626" t="s">
        <v>9884</v>
      </c>
      <c r="R71" s="1626" t="s">
        <v>9125</v>
      </c>
      <c r="S71" s="1626" t="s">
        <v>4430</v>
      </c>
      <c r="T71" s="1626" t="s">
        <v>9885</v>
      </c>
      <c r="U71" s="1626" t="s">
        <v>9675</v>
      </c>
      <c r="V71" s="1626" t="s">
        <v>6262</v>
      </c>
      <c r="W71" s="1626" t="s">
        <v>4465</v>
      </c>
      <c r="X71" s="1626" t="s">
        <v>9302</v>
      </c>
      <c r="Y71" s="1626" t="s">
        <v>9337</v>
      </c>
      <c r="Z71" s="1626" t="s">
        <v>9886</v>
      </c>
      <c r="AA71" s="1626" t="s">
        <v>421</v>
      </c>
      <c r="AB71" s="1626" t="s">
        <v>619</v>
      </c>
      <c r="AC71" s="1626" t="s">
        <v>9887</v>
      </c>
      <c r="AD71" s="1626" t="s">
        <v>9715</v>
      </c>
      <c r="AE71" s="1626" t="s">
        <v>936</v>
      </c>
      <c r="AF71" s="1626" t="s">
        <v>9888</v>
      </c>
      <c r="AG71" s="1626" t="s">
        <v>9889</v>
      </c>
      <c r="AH71" s="1626" t="s">
        <v>9626</v>
      </c>
      <c r="AI71" s="1626" t="s">
        <v>9890</v>
      </c>
      <c r="AJ71" s="1626" t="s">
        <v>9891</v>
      </c>
      <c r="AK71" s="1626" t="s">
        <v>9892</v>
      </c>
      <c r="AL71" s="1626" t="s">
        <v>5535</v>
      </c>
      <c r="AM71" s="1626" t="s">
        <v>9893</v>
      </c>
      <c r="AN71" s="1626" t="s">
        <v>6083</v>
      </c>
      <c r="AO71" s="1538" t="s">
        <v>9474</v>
      </c>
      <c r="AP71" s="1626" t="s">
        <v>9894</v>
      </c>
      <c r="AQ71" s="1626" t="s">
        <v>9895</v>
      </c>
      <c r="AR71" s="1626" t="s">
        <v>9146</v>
      </c>
      <c r="AS71" s="1626" t="s">
        <v>9214</v>
      </c>
      <c r="AT71" s="1626" t="s">
        <v>9896</v>
      </c>
      <c r="AU71" s="1538" t="s">
        <v>9897</v>
      </c>
      <c r="AV71" s="1626" t="str">
        <f t="shared" si="1"/>
        <v>0:37</v>
      </c>
      <c r="AW71" s="1631" t="s">
        <v>9898</v>
      </c>
    </row>
    <row r="72">
      <c r="A72" s="1505" t="s">
        <v>7722</v>
      </c>
      <c r="B72" s="1499" t="s">
        <v>8372</v>
      </c>
      <c r="C72" s="1460">
        <v>0.05188657407407407</v>
      </c>
      <c r="D72" s="1538" t="s">
        <v>9899</v>
      </c>
      <c r="E72" s="1273" t="s">
        <v>862</v>
      </c>
      <c r="F72" s="1273" t="s">
        <v>9900</v>
      </c>
      <c r="G72" s="1273" t="s">
        <v>9901</v>
      </c>
      <c r="H72" s="1273" t="s">
        <v>9902</v>
      </c>
      <c r="I72" s="1273" t="s">
        <v>676</v>
      </c>
      <c r="J72" s="1273" t="s">
        <v>4128</v>
      </c>
      <c r="K72" s="1273" t="s">
        <v>9120</v>
      </c>
      <c r="L72" s="1273" t="s">
        <v>2699</v>
      </c>
      <c r="M72" s="1273" t="s">
        <v>9903</v>
      </c>
      <c r="N72" s="1273" t="s">
        <v>4006</v>
      </c>
      <c r="O72" s="1273" t="s">
        <v>9904</v>
      </c>
      <c r="P72" s="1273" t="s">
        <v>5115</v>
      </c>
      <c r="Q72" s="1273" t="s">
        <v>9905</v>
      </c>
      <c r="R72" s="1273" t="s">
        <v>5486</v>
      </c>
      <c r="S72" s="1273" t="s">
        <v>9906</v>
      </c>
      <c r="T72" s="1273" t="s">
        <v>8447</v>
      </c>
      <c r="U72" s="1273" t="s">
        <v>9907</v>
      </c>
      <c r="V72" s="1273" t="s">
        <v>5399</v>
      </c>
      <c r="W72" s="1273" t="s">
        <v>9908</v>
      </c>
      <c r="X72" s="1273" t="s">
        <v>9909</v>
      </c>
      <c r="Y72" s="1273" t="s">
        <v>9910</v>
      </c>
      <c r="Z72" s="1273" t="s">
        <v>9131</v>
      </c>
      <c r="AA72" s="1273" t="s">
        <v>5087</v>
      </c>
      <c r="AB72" s="1273" t="s">
        <v>685</v>
      </c>
      <c r="AC72" s="1273" t="s">
        <v>9911</v>
      </c>
      <c r="AD72" s="1273" t="s">
        <v>9912</v>
      </c>
      <c r="AE72" s="1273" t="s">
        <v>5759</v>
      </c>
      <c r="AF72" s="1273" t="s">
        <v>9913</v>
      </c>
      <c r="AG72" s="1273" t="s">
        <v>2435</v>
      </c>
      <c r="AH72" s="1273" t="s">
        <v>2699</v>
      </c>
      <c r="AI72" s="1273" t="s">
        <v>196</v>
      </c>
      <c r="AJ72" s="1273" t="s">
        <v>9914</v>
      </c>
      <c r="AK72" s="1273" t="s">
        <v>9138</v>
      </c>
      <c r="AL72" s="1273" t="s">
        <v>9588</v>
      </c>
      <c r="AM72" s="1273" t="s">
        <v>9107</v>
      </c>
      <c r="AN72" s="1273" t="s">
        <v>3489</v>
      </c>
      <c r="AO72" s="1273" t="s">
        <v>8588</v>
      </c>
      <c r="AP72" s="1273" t="s">
        <v>9541</v>
      </c>
      <c r="AQ72" s="1273" t="s">
        <v>9895</v>
      </c>
      <c r="AR72" s="1273" t="s">
        <v>9915</v>
      </c>
      <c r="AS72" s="1273" t="s">
        <v>6266</v>
      </c>
      <c r="AT72" s="1273" t="s">
        <v>9916</v>
      </c>
      <c r="AU72" s="1538" t="s">
        <v>9917</v>
      </c>
      <c r="AV72" s="1626" t="str">
        <f t="shared" si="1"/>
        <v>4:21</v>
      </c>
      <c r="AW72" s="1627" t="s">
        <v>9918</v>
      </c>
    </row>
    <row r="73" ht="15.75" customHeight="1">
      <c r="A73" s="1458" t="s">
        <v>4803</v>
      </c>
      <c r="B73" s="1616" t="s">
        <v>8424</v>
      </c>
      <c r="C73" s="1460">
        <v>0.051909722222222225</v>
      </c>
      <c r="D73" s="1638" t="s">
        <v>9919</v>
      </c>
      <c r="E73" s="1534" t="s">
        <v>2192</v>
      </c>
      <c r="F73" s="1534" t="s">
        <v>9920</v>
      </c>
      <c r="G73" s="1534" t="s">
        <v>9921</v>
      </c>
      <c r="H73" s="1534" t="s">
        <v>9922</v>
      </c>
      <c r="I73" s="1638">
        <v>49.97</v>
      </c>
      <c r="J73" s="1534" t="s">
        <v>2175</v>
      </c>
      <c r="K73" s="1534" t="s">
        <v>9923</v>
      </c>
      <c r="L73" s="1534" t="s">
        <v>5048</v>
      </c>
      <c r="M73" s="1534" t="s">
        <v>2883</v>
      </c>
      <c r="N73" s="1534" t="s">
        <v>4687</v>
      </c>
      <c r="O73" s="1534" t="s">
        <v>5731</v>
      </c>
      <c r="P73" s="1638">
        <v>48.99</v>
      </c>
      <c r="Q73" s="1534" t="s">
        <v>9924</v>
      </c>
      <c r="R73" s="1534" t="s">
        <v>5705</v>
      </c>
      <c r="S73" s="1534" t="s">
        <v>4197</v>
      </c>
      <c r="T73" s="1534" t="s">
        <v>9925</v>
      </c>
      <c r="U73" s="1534" t="s">
        <v>9926</v>
      </c>
      <c r="V73" s="1534" t="s">
        <v>2441</v>
      </c>
      <c r="W73" s="1534" t="s">
        <v>9927</v>
      </c>
      <c r="X73" s="1534" t="s">
        <v>9631</v>
      </c>
      <c r="Y73" s="1639">
        <v>47.93</v>
      </c>
      <c r="Z73" s="1534" t="s">
        <v>9928</v>
      </c>
      <c r="AA73" s="1534" t="s">
        <v>5036</v>
      </c>
      <c r="AB73" s="1534" t="s">
        <v>9611</v>
      </c>
      <c r="AC73" s="1633">
        <v>49.24</v>
      </c>
      <c r="AD73" s="1534" t="s">
        <v>9030</v>
      </c>
      <c r="AE73" s="1638">
        <v>49.87</v>
      </c>
      <c r="AF73" s="1534" t="s">
        <v>9929</v>
      </c>
      <c r="AG73" s="1534" t="s">
        <v>9930</v>
      </c>
      <c r="AH73" s="1638">
        <v>59.9</v>
      </c>
      <c r="AI73" s="1534" t="s">
        <v>9931</v>
      </c>
      <c r="AJ73" s="1640" t="s">
        <v>8448</v>
      </c>
      <c r="AK73" s="1534" t="s">
        <v>1947</v>
      </c>
      <c r="AL73" s="1638">
        <v>58.74</v>
      </c>
      <c r="AM73" s="1534" t="s">
        <v>1994</v>
      </c>
      <c r="AN73" s="1638">
        <v>57.51</v>
      </c>
      <c r="AO73" s="1534" t="s">
        <v>4834</v>
      </c>
      <c r="AP73" s="1534" t="s">
        <v>9932</v>
      </c>
      <c r="AQ73" s="1534" t="s">
        <v>3283</v>
      </c>
      <c r="AR73" s="1640" t="s">
        <v>6359</v>
      </c>
      <c r="AS73" s="1638">
        <v>47.44</v>
      </c>
      <c r="AT73" s="1534" t="s">
        <v>9933</v>
      </c>
      <c r="AU73" s="1538" t="s">
        <v>9934</v>
      </c>
      <c r="AV73" s="1626" t="str">
        <f t="shared" si="1"/>
        <v>2:59</v>
      </c>
      <c r="AW73" s="1627" t="s">
        <v>7697</v>
      </c>
    </row>
    <row r="74">
      <c r="A74" s="1505" t="s">
        <v>8317</v>
      </c>
      <c r="B74" s="1503" t="s">
        <v>8372</v>
      </c>
      <c r="C74" s="1460">
        <v>0.05193287037037037</v>
      </c>
      <c r="D74" s="1602" t="s">
        <v>9935</v>
      </c>
      <c r="E74" s="1538" t="s">
        <v>7453</v>
      </c>
      <c r="F74" s="1538" t="s">
        <v>9936</v>
      </c>
      <c r="G74" s="1538" t="s">
        <v>9937</v>
      </c>
      <c r="H74" s="1538" t="s">
        <v>9938</v>
      </c>
      <c r="I74" s="1538" t="s">
        <v>2405</v>
      </c>
      <c r="J74" s="1538" t="s">
        <v>4225</v>
      </c>
      <c r="K74" s="1538" t="s">
        <v>9058</v>
      </c>
      <c r="L74" s="1538"/>
      <c r="M74" s="1538" t="s">
        <v>7068</v>
      </c>
      <c r="N74" s="1538" t="s">
        <v>9283</v>
      </c>
      <c r="O74" s="1538" t="s">
        <v>8440</v>
      </c>
      <c r="P74" s="1538" t="s">
        <v>9534</v>
      </c>
      <c r="Q74" s="1538" t="s">
        <v>9939</v>
      </c>
      <c r="R74" s="1538" t="s">
        <v>9940</v>
      </c>
      <c r="S74" s="1538" t="s">
        <v>8815</v>
      </c>
      <c r="T74" s="1538" t="s">
        <v>9075</v>
      </c>
      <c r="U74" s="1538" t="s">
        <v>2254</v>
      </c>
      <c r="V74" s="1538" t="s">
        <v>8849</v>
      </c>
      <c r="W74" s="1538" t="s">
        <v>5731</v>
      </c>
      <c r="X74" s="1538" t="s">
        <v>625</v>
      </c>
      <c r="Y74" s="1538" t="s">
        <v>8829</v>
      </c>
      <c r="Z74" s="1538" t="s">
        <v>8472</v>
      </c>
      <c r="AA74" s="1538" t="s">
        <v>7573</v>
      </c>
      <c r="AB74" s="1538" t="s">
        <v>9542</v>
      </c>
      <c r="AC74" s="1538" t="s">
        <v>2924</v>
      </c>
      <c r="AD74" s="1538" t="s">
        <v>9941</v>
      </c>
      <c r="AE74" s="1538" t="s">
        <v>9942</v>
      </c>
      <c r="AF74" s="1538" t="s">
        <v>9943</v>
      </c>
      <c r="AG74" s="1538" t="s">
        <v>9679</v>
      </c>
      <c r="AH74" s="1538" t="s">
        <v>9944</v>
      </c>
      <c r="AI74" s="1538" t="s">
        <v>9945</v>
      </c>
      <c r="AJ74" s="1538" t="s">
        <v>9946</v>
      </c>
      <c r="AK74" s="1538" t="s">
        <v>9947</v>
      </c>
      <c r="AL74" s="1538" t="s">
        <v>3137</v>
      </c>
      <c r="AM74" s="1538" t="s">
        <v>9948</v>
      </c>
      <c r="AN74" s="1538" t="s">
        <v>3500</v>
      </c>
      <c r="AO74" s="1538" t="s">
        <v>9949</v>
      </c>
      <c r="AP74" s="1538" t="s">
        <v>9950</v>
      </c>
      <c r="AQ74" s="1538" t="s">
        <v>9951</v>
      </c>
      <c r="AR74" s="1538" t="s">
        <v>9952</v>
      </c>
      <c r="AS74" s="1538" t="s">
        <v>3759</v>
      </c>
      <c r="AT74" s="1538" t="s">
        <v>9953</v>
      </c>
      <c r="AU74" s="1538" t="s">
        <v>9954</v>
      </c>
      <c r="AV74" s="1626" t="str">
        <f t="shared" si="1"/>
        <v>4:12</v>
      </c>
      <c r="AW74" s="1631"/>
    </row>
    <row r="75">
      <c r="A75" s="1505" t="s">
        <v>3594</v>
      </c>
      <c r="B75" s="1499" t="s">
        <v>8372</v>
      </c>
      <c r="C75" s="1460">
        <v>0.05196759259259259</v>
      </c>
      <c r="D75" s="1273" t="s">
        <v>9955</v>
      </c>
      <c r="E75" s="1538" t="s">
        <v>9956</v>
      </c>
      <c r="F75" s="1538" t="s">
        <v>1298</v>
      </c>
      <c r="G75" s="1538" t="s">
        <v>9957</v>
      </c>
      <c r="H75" s="1273" t="s">
        <v>9958</v>
      </c>
      <c r="I75" s="1538" t="s">
        <v>9649</v>
      </c>
      <c r="J75" s="1538" t="s">
        <v>4005</v>
      </c>
      <c r="K75" s="1538" t="s">
        <v>9264</v>
      </c>
      <c r="L75" s="1538" t="s">
        <v>4875</v>
      </c>
      <c r="M75" s="1538" t="s">
        <v>3154</v>
      </c>
      <c r="N75" s="1538" t="s">
        <v>9959</v>
      </c>
      <c r="O75" s="1538" t="s">
        <v>9960</v>
      </c>
      <c r="P75" s="1538" t="s">
        <v>8415</v>
      </c>
      <c r="Q75" s="1538" t="s">
        <v>9961</v>
      </c>
      <c r="R75" s="1538" t="s">
        <v>3154</v>
      </c>
      <c r="S75" s="1462" t="s">
        <v>2332</v>
      </c>
      <c r="T75" s="1538" t="s">
        <v>9512</v>
      </c>
      <c r="U75" s="1538" t="s">
        <v>9675</v>
      </c>
      <c r="V75" s="1538" t="s">
        <v>9073</v>
      </c>
      <c r="W75" s="1538" t="s">
        <v>9962</v>
      </c>
      <c r="X75" s="1538" t="s">
        <v>9694</v>
      </c>
      <c r="Y75" s="1538" t="s">
        <v>593</v>
      </c>
      <c r="Z75" s="1538" t="s">
        <v>9963</v>
      </c>
      <c r="AA75" s="1538" t="s">
        <v>9165</v>
      </c>
      <c r="AB75" s="1538" t="s">
        <v>489</v>
      </c>
      <c r="AC75" s="1538" t="s">
        <v>1073</v>
      </c>
      <c r="AD75" s="1538" t="s">
        <v>8384</v>
      </c>
      <c r="AE75" s="1538" t="s">
        <v>8791</v>
      </c>
      <c r="AF75" s="1538" t="s">
        <v>9964</v>
      </c>
      <c r="AG75" s="1538" t="s">
        <v>3621</v>
      </c>
      <c r="AH75" s="1538" t="s">
        <v>4961</v>
      </c>
      <c r="AI75" s="1538" t="s">
        <v>5987</v>
      </c>
      <c r="AJ75" s="1538" t="s">
        <v>9965</v>
      </c>
      <c r="AK75" s="1538" t="s">
        <v>460</v>
      </c>
      <c r="AL75" s="1538" t="s">
        <v>2206</v>
      </c>
      <c r="AM75" s="1538" t="s">
        <v>3247</v>
      </c>
      <c r="AN75" s="1538" t="s">
        <v>650</v>
      </c>
      <c r="AO75" s="1538" t="s">
        <v>9966</v>
      </c>
      <c r="AP75" s="1538" t="s">
        <v>9961</v>
      </c>
      <c r="AQ75" s="1538" t="s">
        <v>9967</v>
      </c>
      <c r="AR75" s="1538" t="s">
        <v>4005</v>
      </c>
      <c r="AS75" s="1538" t="s">
        <v>903</v>
      </c>
      <c r="AT75" s="1538" t="s">
        <v>9968</v>
      </c>
      <c r="AU75" s="1538" t="s">
        <v>9969</v>
      </c>
      <c r="AV75" s="1538" t="s">
        <v>8258</v>
      </c>
      <c r="AW75" s="1634" t="s">
        <v>9970</v>
      </c>
    </row>
    <row r="76" ht="15.75" customHeight="1">
      <c r="A76" s="1542" t="s">
        <v>9971</v>
      </c>
      <c r="B76" s="1459" t="s">
        <v>8372</v>
      </c>
      <c r="C76" s="1592">
        <v>0.05199074074074074</v>
      </c>
      <c r="D76" s="1273" t="s">
        <v>9972</v>
      </c>
      <c r="E76" s="1626" t="s">
        <v>9973</v>
      </c>
      <c r="F76" s="1626" t="s">
        <v>9974</v>
      </c>
      <c r="G76" s="1626" t="s">
        <v>9975</v>
      </c>
      <c r="H76" s="1626" t="s">
        <v>7368</v>
      </c>
      <c r="I76" s="1626" t="s">
        <v>9489</v>
      </c>
      <c r="J76" s="1626" t="s">
        <v>9976</v>
      </c>
      <c r="K76" s="1626" t="s">
        <v>9977</v>
      </c>
      <c r="L76" s="1626" t="s">
        <v>3014</v>
      </c>
      <c r="M76" s="1626" t="s">
        <v>9978</v>
      </c>
      <c r="N76" s="1626" t="s">
        <v>9210</v>
      </c>
      <c r="O76" s="1626" t="s">
        <v>9979</v>
      </c>
      <c r="P76" s="1626" t="s">
        <v>2371</v>
      </c>
      <c r="Q76" s="1626" t="s">
        <v>4975</v>
      </c>
      <c r="R76" s="1626" t="s">
        <v>5237</v>
      </c>
      <c r="S76" s="1626" t="s">
        <v>4806</v>
      </c>
      <c r="T76" s="1626" t="s">
        <v>5694</v>
      </c>
      <c r="U76" s="1626" t="s">
        <v>9980</v>
      </c>
      <c r="V76" s="1626" t="s">
        <v>6262</v>
      </c>
      <c r="W76" s="1626" t="s">
        <v>7730</v>
      </c>
      <c r="X76" s="1626" t="s">
        <v>9981</v>
      </c>
      <c r="Y76" s="1626" t="s">
        <v>2019</v>
      </c>
      <c r="Z76" s="1626" t="s">
        <v>9982</v>
      </c>
      <c r="AA76" s="1626" t="s">
        <v>9631</v>
      </c>
      <c r="AB76" s="1626" t="s">
        <v>9983</v>
      </c>
      <c r="AC76" s="1626" t="s">
        <v>8446</v>
      </c>
      <c r="AD76" s="1626" t="s">
        <v>9984</v>
      </c>
      <c r="AE76" s="1626" t="s">
        <v>6496</v>
      </c>
      <c r="AF76" s="1626" t="s">
        <v>9985</v>
      </c>
      <c r="AG76" s="1626" t="s">
        <v>9892</v>
      </c>
      <c r="AH76" s="1626" t="s">
        <v>9986</v>
      </c>
      <c r="AI76" s="1626" t="s">
        <v>9987</v>
      </c>
      <c r="AJ76" s="1626" t="s">
        <v>9988</v>
      </c>
      <c r="AK76" s="1626" t="s">
        <v>809</v>
      </c>
      <c r="AL76" s="1626" t="s">
        <v>3206</v>
      </c>
      <c r="AM76" s="1626" t="s">
        <v>9401</v>
      </c>
      <c r="AN76" s="1626" t="s">
        <v>9989</v>
      </c>
      <c r="AO76" s="1538" t="s">
        <v>7325</v>
      </c>
      <c r="AP76" s="1538" t="s">
        <v>9990</v>
      </c>
      <c r="AQ76" s="1626" t="s">
        <v>5273</v>
      </c>
      <c r="AR76" s="1626" t="s">
        <v>9991</v>
      </c>
      <c r="AS76" s="1626" t="s">
        <v>1091</v>
      </c>
      <c r="AT76" s="1626" t="s">
        <v>9535</v>
      </c>
      <c r="AU76" s="1629" t="str">
        <f>HYPERLINK("https://splits.io/m3t","1:18:40")</f>
        <v>1:18:40</v>
      </c>
      <c r="AV76" s="1626" t="str">
        <f t="shared" ref="AV76:AV79" si="2">TEXT(AU76-C76,"m:ss")</f>
        <v>3:48</v>
      </c>
      <c r="AW76" s="1630" t="s">
        <v>9992</v>
      </c>
    </row>
    <row r="77" ht="15.75" customHeight="1">
      <c r="A77" s="1542" t="s">
        <v>9993</v>
      </c>
      <c r="B77" s="1459" t="s">
        <v>8372</v>
      </c>
      <c r="C77" s="1592">
        <v>0.052002314814814814</v>
      </c>
      <c r="D77" s="1273" t="s">
        <v>9994</v>
      </c>
      <c r="E77" s="1626" t="s">
        <v>8665</v>
      </c>
      <c r="F77" s="1626" t="s">
        <v>9995</v>
      </c>
      <c r="G77" s="1626" t="s">
        <v>9996</v>
      </c>
      <c r="H77" s="1626" t="s">
        <v>9997</v>
      </c>
      <c r="I77" s="1626" t="s">
        <v>3501</v>
      </c>
      <c r="J77" s="1626" t="s">
        <v>9095</v>
      </c>
      <c r="K77" s="1626" t="s">
        <v>4430</v>
      </c>
      <c r="L77" s="1626" t="s">
        <v>3446</v>
      </c>
      <c r="M77" s="1626" t="s">
        <v>9674</v>
      </c>
      <c r="N77" s="1626" t="s">
        <v>4468</v>
      </c>
      <c r="O77" s="1626" t="s">
        <v>9998</v>
      </c>
      <c r="P77" s="1626" t="s">
        <v>9999</v>
      </c>
      <c r="Q77" s="1626" t="s">
        <v>4829</v>
      </c>
      <c r="R77" s="1626" t="s">
        <v>1451</v>
      </c>
      <c r="S77" s="1626" t="s">
        <v>9180</v>
      </c>
      <c r="T77" s="1626" t="s">
        <v>525</v>
      </c>
      <c r="U77" s="1626" t="s">
        <v>1841</v>
      </c>
      <c r="V77" s="1626" t="s">
        <v>464</v>
      </c>
      <c r="W77" s="1626" t="s">
        <v>5608</v>
      </c>
      <c r="X77" s="1626" t="s">
        <v>9444</v>
      </c>
      <c r="Y77" s="1626" t="s">
        <v>2382</v>
      </c>
      <c r="Z77" s="1626" t="s">
        <v>5381</v>
      </c>
      <c r="AA77" s="1626" t="s">
        <v>9210</v>
      </c>
      <c r="AB77" s="1626" t="s">
        <v>10000</v>
      </c>
      <c r="AC77" s="1626" t="s">
        <v>2879</v>
      </c>
      <c r="AD77" s="1626" t="s">
        <v>10001</v>
      </c>
      <c r="AE77" s="1626" t="s">
        <v>5115</v>
      </c>
      <c r="AF77" s="1626" t="s">
        <v>10002</v>
      </c>
      <c r="AG77" s="1626" t="s">
        <v>10003</v>
      </c>
      <c r="AH77" s="1626" t="s">
        <v>2202</v>
      </c>
      <c r="AI77" s="1626" t="s">
        <v>10004</v>
      </c>
      <c r="AJ77" s="1626" t="s">
        <v>10005</v>
      </c>
      <c r="AK77" s="1626" t="s">
        <v>4580</v>
      </c>
      <c r="AL77" s="1626" t="s">
        <v>8793</v>
      </c>
      <c r="AM77" s="1626" t="s">
        <v>1456</v>
      </c>
      <c r="AN77" s="1626" t="s">
        <v>8547</v>
      </c>
      <c r="AO77" s="1626" t="s">
        <v>8844</v>
      </c>
      <c r="AP77" s="1626" t="s">
        <v>10006</v>
      </c>
      <c r="AQ77" s="1626" t="s">
        <v>10007</v>
      </c>
      <c r="AR77" s="1626" t="s">
        <v>9925</v>
      </c>
      <c r="AS77" s="1626" t="s">
        <v>10008</v>
      </c>
      <c r="AT77" s="1626" t="s">
        <v>10009</v>
      </c>
      <c r="AU77" s="1626" t="s">
        <v>10010</v>
      </c>
      <c r="AV77" s="1626" t="str">
        <f t="shared" si="2"/>
        <v>3:32</v>
      </c>
      <c r="AW77" s="1630" t="s">
        <v>10011</v>
      </c>
    </row>
    <row r="78" ht="15.75" customHeight="1">
      <c r="A78" s="1542" t="s">
        <v>10012</v>
      </c>
      <c r="B78" s="1518" t="s">
        <v>8400</v>
      </c>
      <c r="C78" s="1592">
        <v>0.05201388888888889</v>
      </c>
      <c r="D78" s="1273" t="s">
        <v>10013</v>
      </c>
      <c r="E78" s="1538" t="s">
        <v>10014</v>
      </c>
      <c r="F78" s="1626" t="s">
        <v>10015</v>
      </c>
      <c r="G78" s="1626" t="s">
        <v>10016</v>
      </c>
      <c r="H78" s="1626" t="s">
        <v>1650</v>
      </c>
      <c r="I78" s="1626" t="s">
        <v>10017</v>
      </c>
      <c r="J78" s="1626" t="s">
        <v>10018</v>
      </c>
      <c r="K78" s="1626" t="s">
        <v>4197</v>
      </c>
      <c r="L78" s="1626" t="s">
        <v>10019</v>
      </c>
      <c r="M78" s="1626" t="s">
        <v>10020</v>
      </c>
      <c r="N78" s="1626" t="s">
        <v>10021</v>
      </c>
      <c r="O78" s="1626" t="s">
        <v>10022</v>
      </c>
      <c r="P78" s="1626" t="s">
        <v>160</v>
      </c>
      <c r="Q78" s="1626" t="s">
        <v>10023</v>
      </c>
      <c r="R78" s="1626" t="s">
        <v>7250</v>
      </c>
      <c r="S78" s="1626" t="s">
        <v>10024</v>
      </c>
      <c r="T78" s="1626" t="s">
        <v>10025</v>
      </c>
      <c r="U78" s="1626" t="s">
        <v>10026</v>
      </c>
      <c r="V78" s="1626" t="s">
        <v>7990</v>
      </c>
      <c r="W78" s="1626" t="s">
        <v>10027</v>
      </c>
      <c r="X78" s="1626" t="s">
        <v>9444</v>
      </c>
      <c r="Y78" s="1626" t="s">
        <v>302</v>
      </c>
      <c r="Z78" s="1626" t="s">
        <v>2399</v>
      </c>
      <c r="AA78" s="1626" t="s">
        <v>5747</v>
      </c>
      <c r="AB78" s="1626" t="s">
        <v>8689</v>
      </c>
      <c r="AC78" s="1626" t="s">
        <v>853</v>
      </c>
      <c r="AD78" s="1626" t="s">
        <v>10028</v>
      </c>
      <c r="AE78" s="1626" t="s">
        <v>1166</v>
      </c>
      <c r="AF78" s="1626" t="s">
        <v>10029</v>
      </c>
      <c r="AG78" s="1626" t="s">
        <v>2805</v>
      </c>
      <c r="AH78" s="1626" t="s">
        <v>5943</v>
      </c>
      <c r="AI78" s="1626" t="s">
        <v>1570</v>
      </c>
      <c r="AJ78" s="1626" t="s">
        <v>10030</v>
      </c>
      <c r="AK78" s="1626" t="s">
        <v>3477</v>
      </c>
      <c r="AL78" s="1626" t="s">
        <v>3830</v>
      </c>
      <c r="AM78" s="1626" t="s">
        <v>928</v>
      </c>
      <c r="AN78" s="1626" t="s">
        <v>9760</v>
      </c>
      <c r="AO78" s="1626" t="s">
        <v>2205</v>
      </c>
      <c r="AP78" s="1626" t="s">
        <v>10031</v>
      </c>
      <c r="AQ78" s="1626" t="s">
        <v>1004</v>
      </c>
      <c r="AR78" s="1626" t="s">
        <v>8441</v>
      </c>
      <c r="AS78" s="1626" t="s">
        <v>9520</v>
      </c>
      <c r="AT78" s="1626" t="s">
        <v>10032</v>
      </c>
      <c r="AU78" s="1626" t="s">
        <v>10033</v>
      </c>
      <c r="AV78" s="1626" t="str">
        <f t="shared" si="2"/>
        <v>2:58</v>
      </c>
      <c r="AW78" s="1631" t="s">
        <v>10034</v>
      </c>
    </row>
    <row r="79" ht="15.75" customHeight="1">
      <c r="A79" s="1458" t="s">
        <v>6330</v>
      </c>
      <c r="B79" s="1518" t="s">
        <v>8400</v>
      </c>
      <c r="C79" s="1592">
        <v>0.05207175925925926</v>
      </c>
      <c r="D79" s="1273" t="s">
        <v>10035</v>
      </c>
      <c r="E79" s="1626" t="s">
        <v>10036</v>
      </c>
      <c r="F79" s="1626" t="s">
        <v>10037</v>
      </c>
      <c r="G79" s="1626" t="s">
        <v>10038</v>
      </c>
      <c r="H79" s="1626" t="s">
        <v>8906</v>
      </c>
      <c r="I79" s="1626" t="s">
        <v>4851</v>
      </c>
      <c r="J79" s="1626" t="s">
        <v>9002</v>
      </c>
      <c r="K79" s="1626" t="s">
        <v>9639</v>
      </c>
      <c r="L79" s="1626" t="s">
        <v>10039</v>
      </c>
      <c r="M79" s="1626" t="s">
        <v>2683</v>
      </c>
      <c r="N79" s="1626" t="s">
        <v>10040</v>
      </c>
      <c r="O79" s="1626" t="s">
        <v>10041</v>
      </c>
      <c r="P79" s="1626" t="s">
        <v>764</v>
      </c>
      <c r="Q79" s="1626" t="s">
        <v>10042</v>
      </c>
      <c r="R79" s="1626" t="s">
        <v>4869</v>
      </c>
      <c r="S79" s="1626" t="s">
        <v>5891</v>
      </c>
      <c r="T79" s="1626" t="s">
        <v>5694</v>
      </c>
      <c r="U79" s="1626" t="s">
        <v>10043</v>
      </c>
      <c r="V79" s="1626" t="s">
        <v>2441</v>
      </c>
      <c r="W79" s="1626" t="s">
        <v>8445</v>
      </c>
      <c r="X79" s="1626" t="s">
        <v>10044</v>
      </c>
      <c r="Y79" s="1626" t="s">
        <v>1318</v>
      </c>
      <c r="Z79" s="1626" t="s">
        <v>7196</v>
      </c>
      <c r="AA79" s="1626" t="s">
        <v>1484</v>
      </c>
      <c r="AB79" s="1626" t="s">
        <v>10045</v>
      </c>
      <c r="AC79" s="1626" t="s">
        <v>238</v>
      </c>
      <c r="AD79" s="1626" t="s">
        <v>10046</v>
      </c>
      <c r="AE79" s="1626" t="s">
        <v>6021</v>
      </c>
      <c r="AF79" s="1626" t="s">
        <v>10047</v>
      </c>
      <c r="AG79" s="1626" t="s">
        <v>9444</v>
      </c>
      <c r="AH79" s="1626" t="s">
        <v>6954</v>
      </c>
      <c r="AI79" s="1626" t="s">
        <v>9801</v>
      </c>
      <c r="AJ79" s="1626" t="s">
        <v>10048</v>
      </c>
      <c r="AK79" s="1626" t="s">
        <v>10049</v>
      </c>
      <c r="AL79" s="1626" t="s">
        <v>4273</v>
      </c>
      <c r="AM79" s="1626" t="s">
        <v>9557</v>
      </c>
      <c r="AN79" s="1626" t="s">
        <v>3830</v>
      </c>
      <c r="AO79" s="1626" t="s">
        <v>4197</v>
      </c>
      <c r="AP79" s="1626" t="s">
        <v>9294</v>
      </c>
      <c r="AQ79" s="1626" t="s">
        <v>10050</v>
      </c>
      <c r="AR79" s="1626" t="s">
        <v>1483</v>
      </c>
      <c r="AS79" s="1626" t="s">
        <v>5986</v>
      </c>
      <c r="AT79" s="1626" t="s">
        <v>7517</v>
      </c>
      <c r="AU79" s="1626" t="s">
        <v>10051</v>
      </c>
      <c r="AV79" s="1626" t="str">
        <f t="shared" si="2"/>
        <v>3:10</v>
      </c>
      <c r="AW79" s="1631" t="s">
        <v>10052</v>
      </c>
    </row>
    <row r="80">
      <c r="A80" s="1635" t="s">
        <v>3914</v>
      </c>
      <c r="B80" s="1616" t="s">
        <v>8424</v>
      </c>
      <c r="C80" s="1641">
        <v>0.052141203703703703</v>
      </c>
      <c r="D80" s="1273" t="s">
        <v>10053</v>
      </c>
      <c r="E80" s="1509" t="s">
        <v>2916</v>
      </c>
      <c r="F80" s="1509" t="s">
        <v>10054</v>
      </c>
      <c r="G80" s="1534" t="s">
        <v>10055</v>
      </c>
      <c r="H80" s="1534" t="s">
        <v>10056</v>
      </c>
      <c r="I80" s="1534" t="s">
        <v>2366</v>
      </c>
      <c r="J80" s="1534" t="s">
        <v>6790</v>
      </c>
      <c r="K80" s="1642" t="s">
        <v>6048</v>
      </c>
      <c r="L80" s="1643" t="s">
        <v>6951</v>
      </c>
      <c r="M80" s="1534" t="s">
        <v>10057</v>
      </c>
      <c r="N80" s="1534" t="s">
        <v>5694</v>
      </c>
      <c r="O80" s="1534" t="s">
        <v>5489</v>
      </c>
      <c r="P80" s="1534" t="s">
        <v>1914</v>
      </c>
      <c r="Q80" s="1534" t="s">
        <v>10058</v>
      </c>
      <c r="R80" s="1534" t="s">
        <v>10059</v>
      </c>
      <c r="S80" s="1644" t="s">
        <v>2252</v>
      </c>
      <c r="T80" s="1534" t="s">
        <v>8831</v>
      </c>
      <c r="U80" s="1534" t="s">
        <v>3359</v>
      </c>
      <c r="V80" s="1534" t="s">
        <v>10060</v>
      </c>
      <c r="W80" s="1534" t="s">
        <v>10061</v>
      </c>
      <c r="X80" s="1534" t="s">
        <v>4454</v>
      </c>
      <c r="Y80" s="1534" t="s">
        <v>3538</v>
      </c>
      <c r="Z80" s="1534" t="s">
        <v>4167</v>
      </c>
      <c r="AA80" s="1534" t="s">
        <v>401</v>
      </c>
      <c r="AB80" s="1534" t="s">
        <v>622</v>
      </c>
      <c r="AC80" s="1534" t="s">
        <v>6021</v>
      </c>
      <c r="AD80" s="1462" t="s">
        <v>8759</v>
      </c>
      <c r="AE80" s="1534" t="s">
        <v>477</v>
      </c>
      <c r="AF80" s="1534" t="s">
        <v>10062</v>
      </c>
      <c r="AG80" s="1534" t="s">
        <v>10063</v>
      </c>
      <c r="AH80" s="1534" t="s">
        <v>4525</v>
      </c>
      <c r="AI80" s="1534" t="s">
        <v>10064</v>
      </c>
      <c r="AJ80" s="1534" t="s">
        <v>10065</v>
      </c>
      <c r="AK80" s="1534" t="s">
        <v>10066</v>
      </c>
      <c r="AL80" s="1534" t="s">
        <v>4977</v>
      </c>
      <c r="AM80" s="1534" t="s">
        <v>9681</v>
      </c>
      <c r="AN80" s="1534" t="s">
        <v>4358</v>
      </c>
      <c r="AO80" s="1534" t="s">
        <v>8740</v>
      </c>
      <c r="AP80" s="1534" t="s">
        <v>10067</v>
      </c>
      <c r="AQ80" s="1642" t="s">
        <v>8455</v>
      </c>
      <c r="AR80" s="1534" t="s">
        <v>10068</v>
      </c>
      <c r="AS80" s="1640" t="s">
        <v>753</v>
      </c>
      <c r="AT80" s="1534" t="s">
        <v>10069</v>
      </c>
      <c r="AU80" s="1497" t="s">
        <v>10070</v>
      </c>
      <c r="AV80" s="1497" t="s">
        <v>10071</v>
      </c>
      <c r="AW80" s="1645" t="s">
        <v>10072</v>
      </c>
    </row>
    <row r="81">
      <c r="A81" s="1505" t="s">
        <v>3855</v>
      </c>
      <c r="B81" s="1503" t="s">
        <v>8372</v>
      </c>
      <c r="C81" s="1460">
        <v>0.0522337962962963</v>
      </c>
      <c r="D81" s="1602" t="s">
        <v>10073</v>
      </c>
      <c r="E81" s="1538" t="s">
        <v>10074</v>
      </c>
      <c r="F81" s="1538" t="s">
        <v>10075</v>
      </c>
      <c r="G81" s="1538" t="s">
        <v>10076</v>
      </c>
      <c r="H81" s="1538" t="s">
        <v>10077</v>
      </c>
      <c r="I81" s="1538" t="s">
        <v>141</v>
      </c>
      <c r="J81" s="1538" t="s">
        <v>8066</v>
      </c>
      <c r="K81" s="1538" t="s">
        <v>4430</v>
      </c>
      <c r="L81" s="1538" t="s">
        <v>6061</v>
      </c>
      <c r="M81" s="1538" t="s">
        <v>10078</v>
      </c>
      <c r="N81" s="1538" t="s">
        <v>10079</v>
      </c>
      <c r="O81" s="1538" t="s">
        <v>10080</v>
      </c>
      <c r="P81" s="1538" t="s">
        <v>5115</v>
      </c>
      <c r="Q81" s="1538" t="s">
        <v>4816</v>
      </c>
      <c r="R81" s="1538" t="s">
        <v>6046</v>
      </c>
      <c r="S81" s="1538" t="s">
        <v>604</v>
      </c>
      <c r="T81" s="1538" t="s">
        <v>9847</v>
      </c>
      <c r="U81" s="1538" t="s">
        <v>8786</v>
      </c>
      <c r="V81" s="1538" t="s">
        <v>10081</v>
      </c>
      <c r="W81" s="1538" t="s">
        <v>10082</v>
      </c>
      <c r="X81" s="1538" t="s">
        <v>3621</v>
      </c>
      <c r="Y81" s="1538" t="s">
        <v>758</v>
      </c>
      <c r="Z81" s="1538" t="s">
        <v>10083</v>
      </c>
      <c r="AA81" s="1273" t="s">
        <v>8968</v>
      </c>
      <c r="AB81" s="1538" t="s">
        <v>6898</v>
      </c>
      <c r="AC81" s="1538" t="s">
        <v>9825</v>
      </c>
      <c r="AD81" s="1538" t="s">
        <v>7365</v>
      </c>
      <c r="AE81" s="1538" t="s">
        <v>4873</v>
      </c>
      <c r="AF81" s="1469" t="s">
        <v>10084</v>
      </c>
      <c r="AG81" s="1538" t="s">
        <v>10085</v>
      </c>
      <c r="AH81" s="1538" t="s">
        <v>5035</v>
      </c>
      <c r="AI81" s="1538" t="s">
        <v>6521</v>
      </c>
      <c r="AJ81" s="1538" t="s">
        <v>10086</v>
      </c>
      <c r="AK81" s="1538" t="s">
        <v>10087</v>
      </c>
      <c r="AL81" s="1538" t="s">
        <v>9761</v>
      </c>
      <c r="AM81" s="1538" t="s">
        <v>10088</v>
      </c>
      <c r="AN81" s="1538" t="s">
        <v>1081</v>
      </c>
      <c r="AO81" s="1538" t="s">
        <v>10089</v>
      </c>
      <c r="AP81" s="1538" t="s">
        <v>5538</v>
      </c>
      <c r="AQ81" s="1538" t="s">
        <v>10090</v>
      </c>
      <c r="AR81" s="1538" t="s">
        <v>688</v>
      </c>
      <c r="AS81" s="1469" t="s">
        <v>2821</v>
      </c>
      <c r="AT81" s="1538" t="s">
        <v>10091</v>
      </c>
      <c r="AU81" s="1538" t="s">
        <v>10092</v>
      </c>
      <c r="AV81" s="1626" t="str">
        <f t="shared" ref="AV81:AV99" si="3">TEXT(AU81-C81,"m:ss")</f>
        <v>4:32</v>
      </c>
      <c r="AW81" s="1627" t="s">
        <v>10093</v>
      </c>
    </row>
    <row r="82">
      <c r="A82" s="1505" t="s">
        <v>5146</v>
      </c>
      <c r="B82" s="1499" t="s">
        <v>8400</v>
      </c>
      <c r="C82" s="1460">
        <v>0.05232638888888889</v>
      </c>
      <c r="D82" s="1602" t="s">
        <v>10094</v>
      </c>
      <c r="E82" s="1538" t="s">
        <v>1230</v>
      </c>
      <c r="F82" s="1538" t="s">
        <v>10095</v>
      </c>
      <c r="G82" s="1538" t="s">
        <v>10096</v>
      </c>
      <c r="H82" s="1538" t="s">
        <v>10097</v>
      </c>
      <c r="I82" s="1538" t="s">
        <v>1259</v>
      </c>
      <c r="J82" s="1538" t="s">
        <v>7649</v>
      </c>
      <c r="K82" s="1538" t="s">
        <v>9650</v>
      </c>
      <c r="L82" s="1538" t="s">
        <v>10098</v>
      </c>
      <c r="M82" s="1538" t="s">
        <v>7393</v>
      </c>
      <c r="N82" s="1538" t="s">
        <v>10099</v>
      </c>
      <c r="O82" s="1538" t="s">
        <v>10100</v>
      </c>
      <c r="P82" s="1538" t="s">
        <v>517</v>
      </c>
      <c r="Q82" s="1538" t="s">
        <v>9485</v>
      </c>
      <c r="R82" s="1538" t="s">
        <v>5298</v>
      </c>
      <c r="S82" s="1538" t="s">
        <v>9302</v>
      </c>
      <c r="T82" s="1538" t="s">
        <v>10101</v>
      </c>
      <c r="U82" s="1538" t="s">
        <v>10102</v>
      </c>
      <c r="V82" s="1538" t="s">
        <v>10103</v>
      </c>
      <c r="W82" s="1538" t="s">
        <v>6131</v>
      </c>
      <c r="X82" s="1538" t="s">
        <v>311</v>
      </c>
      <c r="Y82" s="1538" t="s">
        <v>6372</v>
      </c>
      <c r="Z82" s="1538" t="s">
        <v>781</v>
      </c>
      <c r="AA82" s="1626" t="s">
        <v>9302</v>
      </c>
      <c r="AB82" s="1538" t="s">
        <v>10104</v>
      </c>
      <c r="AC82" s="1538" t="s">
        <v>6041</v>
      </c>
      <c r="AD82" s="1538" t="s">
        <v>10105</v>
      </c>
      <c r="AE82" s="1538" t="s">
        <v>223</v>
      </c>
      <c r="AF82" s="1538" t="s">
        <v>7983</v>
      </c>
      <c r="AG82" s="1538" t="s">
        <v>3103</v>
      </c>
      <c r="AH82" s="1538" t="s">
        <v>1806</v>
      </c>
      <c r="AI82" s="1538" t="s">
        <v>420</v>
      </c>
      <c r="AJ82" s="1538" t="s">
        <v>10106</v>
      </c>
      <c r="AK82" s="1538" t="s">
        <v>10107</v>
      </c>
      <c r="AL82" s="1538" t="s">
        <v>9803</v>
      </c>
      <c r="AM82" s="1538" t="s">
        <v>2805</v>
      </c>
      <c r="AN82" s="1538" t="s">
        <v>5829</v>
      </c>
      <c r="AO82" s="1538" t="s">
        <v>3572</v>
      </c>
      <c r="AP82" s="1538" t="s">
        <v>10108</v>
      </c>
      <c r="AQ82" s="1538" t="s">
        <v>7392</v>
      </c>
      <c r="AR82" s="1538" t="s">
        <v>6040</v>
      </c>
      <c r="AS82" s="1538" t="s">
        <v>10109</v>
      </c>
      <c r="AT82" s="1538" t="s">
        <v>10110</v>
      </c>
      <c r="AU82" s="1538" t="s">
        <v>10111</v>
      </c>
      <c r="AV82" s="1626" t="str">
        <f t="shared" si="3"/>
        <v>3:48</v>
      </c>
      <c r="AW82" s="1631"/>
    </row>
    <row r="83" ht="15.75" customHeight="1">
      <c r="A83" s="1458" t="s">
        <v>10112</v>
      </c>
      <c r="B83" s="1459" t="s">
        <v>8372</v>
      </c>
      <c r="C83" s="1592">
        <v>0.05240740740740741</v>
      </c>
      <c r="D83" s="1273" t="s">
        <v>10113</v>
      </c>
      <c r="E83" s="1626" t="s">
        <v>1654</v>
      </c>
      <c r="F83" s="1626" t="s">
        <v>7664</v>
      </c>
      <c r="G83" s="1626" t="s">
        <v>9783</v>
      </c>
      <c r="H83" s="1626" t="s">
        <v>10114</v>
      </c>
      <c r="I83" s="1626" t="s">
        <v>10115</v>
      </c>
      <c r="J83" s="1626" t="s">
        <v>10116</v>
      </c>
      <c r="K83" s="1626" t="s">
        <v>10117</v>
      </c>
      <c r="L83" s="1626" t="s">
        <v>4459</v>
      </c>
      <c r="M83" s="1626" t="s">
        <v>3164</v>
      </c>
      <c r="N83" s="1626" t="s">
        <v>4760</v>
      </c>
      <c r="O83" s="1626" t="s">
        <v>10118</v>
      </c>
      <c r="P83" s="1626" t="s">
        <v>10119</v>
      </c>
      <c r="Q83" s="1626" t="s">
        <v>4208</v>
      </c>
      <c r="R83" s="1626" t="s">
        <v>2227</v>
      </c>
      <c r="S83" s="1626" t="s">
        <v>9559</v>
      </c>
      <c r="T83" s="1626" t="s">
        <v>5036</v>
      </c>
      <c r="U83" s="1626" t="s">
        <v>10120</v>
      </c>
      <c r="V83" s="1626" t="s">
        <v>10121</v>
      </c>
      <c r="W83" s="1626" t="s">
        <v>10122</v>
      </c>
      <c r="X83" s="1626" t="s">
        <v>10123</v>
      </c>
      <c r="Y83" s="1626" t="s">
        <v>6276</v>
      </c>
      <c r="Z83" s="1626" t="s">
        <v>9982</v>
      </c>
      <c r="AA83" s="1626" t="s">
        <v>1933</v>
      </c>
      <c r="AB83" s="1626" t="s">
        <v>10124</v>
      </c>
      <c r="AC83" s="1626" t="s">
        <v>1538</v>
      </c>
      <c r="AD83" s="1626" t="s">
        <v>10125</v>
      </c>
      <c r="AE83" s="1626" t="s">
        <v>1538</v>
      </c>
      <c r="AF83" s="1626" t="s">
        <v>10126</v>
      </c>
      <c r="AG83" s="1626" t="s">
        <v>9717</v>
      </c>
      <c r="AH83" s="1626" t="s">
        <v>2100</v>
      </c>
      <c r="AI83" s="1626" t="s">
        <v>3145</v>
      </c>
      <c r="AJ83" s="1626" t="s">
        <v>10127</v>
      </c>
      <c r="AK83" s="1626" t="s">
        <v>6899</v>
      </c>
      <c r="AL83" s="1626" t="s">
        <v>10128</v>
      </c>
      <c r="AM83" s="1626" t="s">
        <v>1190</v>
      </c>
      <c r="AN83" s="1626" t="s">
        <v>2917</v>
      </c>
      <c r="AO83" s="1626" t="s">
        <v>10129</v>
      </c>
      <c r="AP83" s="1626" t="s">
        <v>3509</v>
      </c>
      <c r="AQ83" s="1626" t="s">
        <v>10130</v>
      </c>
      <c r="AR83" s="1626" t="s">
        <v>10131</v>
      </c>
      <c r="AS83" s="1626" t="s">
        <v>9024</v>
      </c>
      <c r="AT83" s="1626" t="s">
        <v>9108</v>
      </c>
      <c r="AU83" s="1626" t="s">
        <v>10132</v>
      </c>
      <c r="AV83" s="1626" t="str">
        <f t="shared" si="3"/>
        <v>3:40</v>
      </c>
      <c r="AW83" s="1630" t="s">
        <v>10133</v>
      </c>
    </row>
    <row r="84" ht="15.75" customHeight="1">
      <c r="A84" s="1542" t="s">
        <v>10134</v>
      </c>
      <c r="B84" s="1459" t="s">
        <v>8372</v>
      </c>
      <c r="C84" s="1592">
        <v>0.05263888888888889</v>
      </c>
      <c r="D84" s="1273" t="s">
        <v>10135</v>
      </c>
      <c r="E84" s="1626" t="s">
        <v>9834</v>
      </c>
      <c r="F84" s="1626" t="s">
        <v>10136</v>
      </c>
      <c r="G84" s="1626" t="s">
        <v>10137</v>
      </c>
      <c r="H84" s="1626" t="s">
        <v>10138</v>
      </c>
      <c r="I84" s="1626" t="s">
        <v>10139</v>
      </c>
      <c r="J84" s="1626" t="s">
        <v>10140</v>
      </c>
      <c r="K84" s="1626" t="s">
        <v>4128</v>
      </c>
      <c r="L84" s="1626" t="s">
        <v>4201</v>
      </c>
      <c r="M84" s="1626" t="s">
        <v>9129</v>
      </c>
      <c r="N84" s="1626" t="s">
        <v>10141</v>
      </c>
      <c r="O84" s="1626" t="s">
        <v>8414</v>
      </c>
      <c r="P84" s="1626" t="s">
        <v>481</v>
      </c>
      <c r="Q84" s="1626" t="s">
        <v>10142</v>
      </c>
      <c r="R84" s="1626" t="s">
        <v>5486</v>
      </c>
      <c r="S84" s="1626" t="s">
        <v>1909</v>
      </c>
      <c r="T84" s="1626" t="s">
        <v>10143</v>
      </c>
      <c r="U84" s="1626" t="s">
        <v>10144</v>
      </c>
      <c r="V84" s="1626" t="s">
        <v>10145</v>
      </c>
      <c r="W84" s="1626" t="s">
        <v>10146</v>
      </c>
      <c r="X84" s="1626" t="s">
        <v>5641</v>
      </c>
      <c r="Y84" s="1626" t="s">
        <v>1538</v>
      </c>
      <c r="Z84" s="1626" t="s">
        <v>6360</v>
      </c>
      <c r="AA84" s="1538" t="s">
        <v>7578</v>
      </c>
      <c r="AB84" s="1626" t="s">
        <v>9022</v>
      </c>
      <c r="AC84" s="1626" t="s">
        <v>9842</v>
      </c>
      <c r="AD84" s="1626" t="s">
        <v>2954</v>
      </c>
      <c r="AE84" s="1626" t="s">
        <v>1073</v>
      </c>
      <c r="AF84" s="1626" t="s">
        <v>10147</v>
      </c>
      <c r="AG84" s="1626" t="s">
        <v>2707</v>
      </c>
      <c r="AH84" s="1626" t="s">
        <v>6516</v>
      </c>
      <c r="AI84" s="1626" t="s">
        <v>10148</v>
      </c>
      <c r="AJ84" s="1626" t="s">
        <v>10149</v>
      </c>
      <c r="AK84" s="1626" t="s">
        <v>9440</v>
      </c>
      <c r="AL84" s="1626" t="s">
        <v>10150</v>
      </c>
      <c r="AM84" s="1626" t="s">
        <v>10151</v>
      </c>
      <c r="AN84" s="1626" t="s">
        <v>3829</v>
      </c>
      <c r="AO84" s="1626" t="s">
        <v>8740</v>
      </c>
      <c r="AP84" s="1626" t="s">
        <v>10152</v>
      </c>
      <c r="AQ84" s="1626" t="s">
        <v>10153</v>
      </c>
      <c r="AR84" s="1626" t="s">
        <v>154</v>
      </c>
      <c r="AS84" s="1626" t="s">
        <v>1091</v>
      </c>
      <c r="AT84" s="1626" t="s">
        <v>10154</v>
      </c>
      <c r="AU84" s="1626" t="s">
        <v>10155</v>
      </c>
      <c r="AV84" s="1626" t="str">
        <f t="shared" si="3"/>
        <v>4:28</v>
      </c>
      <c r="AW84" s="1630" t="s">
        <v>10156</v>
      </c>
    </row>
    <row r="85">
      <c r="A85" s="1505" t="s">
        <v>3473</v>
      </c>
      <c r="B85" s="1603" t="s">
        <v>8424</v>
      </c>
      <c r="C85" s="1460">
        <v>0.052662037037037035</v>
      </c>
      <c r="D85" s="1273" t="s">
        <v>10157</v>
      </c>
      <c r="E85" s="1273" t="s">
        <v>529</v>
      </c>
      <c r="F85" s="1273" t="s">
        <v>10158</v>
      </c>
      <c r="G85" s="1273" t="s">
        <v>10159</v>
      </c>
      <c r="H85" s="1273" t="s">
        <v>8616</v>
      </c>
      <c r="I85" s="1273" t="s">
        <v>10160</v>
      </c>
      <c r="J85" s="1273" t="s">
        <v>156</v>
      </c>
      <c r="K85" s="1273" t="s">
        <v>10161</v>
      </c>
      <c r="L85" s="1273" t="s">
        <v>2700</v>
      </c>
      <c r="M85" s="1273" t="s">
        <v>268</v>
      </c>
      <c r="N85" s="1273" t="s">
        <v>8877</v>
      </c>
      <c r="O85" s="1273" t="s">
        <v>10162</v>
      </c>
      <c r="P85" s="1273" t="s">
        <v>2058</v>
      </c>
      <c r="Q85" s="1273" t="s">
        <v>3416</v>
      </c>
      <c r="R85" s="1273" t="s">
        <v>10163</v>
      </c>
      <c r="S85" s="1273" t="s">
        <v>10164</v>
      </c>
      <c r="T85" s="1273" t="s">
        <v>10165</v>
      </c>
      <c r="U85" s="1273" t="s">
        <v>10166</v>
      </c>
      <c r="V85" s="1273" t="s">
        <v>10167</v>
      </c>
      <c r="W85" s="1273" t="s">
        <v>10168</v>
      </c>
      <c r="X85" s="1273" t="s">
        <v>2671</v>
      </c>
      <c r="Y85" s="1273" t="s">
        <v>2836</v>
      </c>
      <c r="Z85" s="1273" t="s">
        <v>6137</v>
      </c>
      <c r="AA85" s="1538" t="s">
        <v>10169</v>
      </c>
      <c r="AB85" s="1273" t="s">
        <v>10170</v>
      </c>
      <c r="AC85" s="1273" t="s">
        <v>6371</v>
      </c>
      <c r="AD85" s="1646" t="s">
        <v>8445</v>
      </c>
      <c r="AE85" s="1273" t="s">
        <v>335</v>
      </c>
      <c r="AF85" s="1273" t="s">
        <v>10171</v>
      </c>
      <c r="AG85" s="1273" t="s">
        <v>7313</v>
      </c>
      <c r="AH85" s="1273" t="s">
        <v>3661</v>
      </c>
      <c r="AI85" s="1273" t="s">
        <v>10172</v>
      </c>
      <c r="AJ85" s="1273" t="s">
        <v>10173</v>
      </c>
      <c r="AK85" s="1273" t="s">
        <v>10174</v>
      </c>
      <c r="AL85" s="1273" t="s">
        <v>4595</v>
      </c>
      <c r="AM85" s="1273" t="s">
        <v>5607</v>
      </c>
      <c r="AN85" s="1646" t="s">
        <v>8452</v>
      </c>
      <c r="AO85" s="1273" t="s">
        <v>10175</v>
      </c>
      <c r="AP85" s="1273" t="s">
        <v>10176</v>
      </c>
      <c r="AQ85" s="1273" t="s">
        <v>10177</v>
      </c>
      <c r="AR85" s="1273" t="s">
        <v>5860</v>
      </c>
      <c r="AS85" s="1273" t="s">
        <v>6838</v>
      </c>
      <c r="AT85" s="1273" t="s">
        <v>10178</v>
      </c>
      <c r="AU85" s="1647" t="s">
        <v>10179</v>
      </c>
      <c r="AV85" s="1626" t="str">
        <f t="shared" si="3"/>
        <v>4:43</v>
      </c>
      <c r="AW85" s="1634" t="s">
        <v>10180</v>
      </c>
    </row>
    <row r="86" ht="15.75" customHeight="1">
      <c r="A86" s="1505" t="s">
        <v>10181</v>
      </c>
      <c r="B86" s="1499" t="s">
        <v>8372</v>
      </c>
      <c r="C86" s="1460">
        <v>0.05267361111111111</v>
      </c>
      <c r="D86" s="1602" t="s">
        <v>9523</v>
      </c>
      <c r="E86" s="1538" t="s">
        <v>862</v>
      </c>
      <c r="F86" s="1538" t="s">
        <v>7338</v>
      </c>
      <c r="G86" s="1538" t="s">
        <v>10182</v>
      </c>
      <c r="H86" s="1538" t="s">
        <v>10183</v>
      </c>
      <c r="I86" s="1538" t="s">
        <v>5531</v>
      </c>
      <c r="J86" s="1273" t="s">
        <v>10184</v>
      </c>
      <c r="K86" s="1538" t="s">
        <v>10185</v>
      </c>
      <c r="L86" s="1538" t="s">
        <v>3661</v>
      </c>
      <c r="M86" s="1538" t="s">
        <v>7295</v>
      </c>
      <c r="N86" s="1538" t="s">
        <v>10186</v>
      </c>
      <c r="O86" s="1538" t="s">
        <v>10187</v>
      </c>
      <c r="P86" s="1538" t="s">
        <v>9489</v>
      </c>
      <c r="Q86" s="1538" t="s">
        <v>10188</v>
      </c>
      <c r="R86" s="1538" t="s">
        <v>5548</v>
      </c>
      <c r="S86" s="1538" t="s">
        <v>7331</v>
      </c>
      <c r="T86" s="1538" t="s">
        <v>10189</v>
      </c>
      <c r="U86" s="1538" t="s">
        <v>10190</v>
      </c>
      <c r="V86" s="1538" t="s">
        <v>3934</v>
      </c>
      <c r="W86" s="1538" t="s">
        <v>10191</v>
      </c>
      <c r="X86" s="1538" t="s">
        <v>2435</v>
      </c>
      <c r="Y86" s="1538" t="s">
        <v>9091</v>
      </c>
      <c r="Z86" s="1538" t="s">
        <v>8566</v>
      </c>
      <c r="AA86" s="1538" t="s">
        <v>10192</v>
      </c>
      <c r="AB86" s="1538" t="s">
        <v>9709</v>
      </c>
      <c r="AC86" s="1538" t="s">
        <v>8939</v>
      </c>
      <c r="AD86" s="1538" t="s">
        <v>10193</v>
      </c>
      <c r="AE86" s="1538" t="s">
        <v>2405</v>
      </c>
      <c r="AF86" s="1538" t="s">
        <v>10194</v>
      </c>
      <c r="AG86" s="1538" t="s">
        <v>10195</v>
      </c>
      <c r="AH86" s="1538" t="s">
        <v>4201</v>
      </c>
      <c r="AI86" s="1538" t="s">
        <v>10196</v>
      </c>
      <c r="AJ86" s="1538" t="s">
        <v>10197</v>
      </c>
      <c r="AK86" s="1538" t="s">
        <v>1685</v>
      </c>
      <c r="AL86" s="1538" t="s">
        <v>2596</v>
      </c>
      <c r="AM86" s="1538" t="s">
        <v>1685</v>
      </c>
      <c r="AN86" s="1538" t="s">
        <v>2596</v>
      </c>
      <c r="AO86" s="1538" t="s">
        <v>5959</v>
      </c>
      <c r="AP86" s="1538" t="s">
        <v>10198</v>
      </c>
      <c r="AQ86" s="1538" t="s">
        <v>2155</v>
      </c>
      <c r="AR86" s="1538" t="s">
        <v>10007</v>
      </c>
      <c r="AS86" s="1538" t="s">
        <v>10199</v>
      </c>
      <c r="AT86" s="1538" t="s">
        <v>10200</v>
      </c>
      <c r="AU86" s="1538" t="s">
        <v>10201</v>
      </c>
      <c r="AV86" s="1626" t="str">
        <f t="shared" si="3"/>
        <v>5:58</v>
      </c>
      <c r="AW86" s="1627" t="s">
        <v>10202</v>
      </c>
    </row>
    <row r="87" ht="15.75" customHeight="1">
      <c r="A87" s="1458" t="s">
        <v>5880</v>
      </c>
      <c r="B87" s="1518" t="s">
        <v>8400</v>
      </c>
      <c r="C87" s="1592">
        <v>0.05275462962962963</v>
      </c>
      <c r="D87" s="1273" t="s">
        <v>10203</v>
      </c>
      <c r="E87" s="1626" t="s">
        <v>9546</v>
      </c>
      <c r="F87" s="1626" t="s">
        <v>10204</v>
      </c>
      <c r="G87" s="1626" t="s">
        <v>8601</v>
      </c>
      <c r="H87" s="1626" t="s">
        <v>7168</v>
      </c>
      <c r="I87" s="1626" t="s">
        <v>2268</v>
      </c>
      <c r="J87" s="1626" t="s">
        <v>4144</v>
      </c>
      <c r="K87" s="1626" t="s">
        <v>9862</v>
      </c>
      <c r="L87" s="1626" t="s">
        <v>5216</v>
      </c>
      <c r="M87" s="1626" t="s">
        <v>4127</v>
      </c>
      <c r="N87" s="1626" t="s">
        <v>10205</v>
      </c>
      <c r="O87" s="1626" t="s">
        <v>10206</v>
      </c>
      <c r="P87" s="1626" t="s">
        <v>6107</v>
      </c>
      <c r="Q87" s="1626" t="s">
        <v>10207</v>
      </c>
      <c r="R87" s="1626" t="s">
        <v>10208</v>
      </c>
      <c r="S87" s="1626" t="s">
        <v>8390</v>
      </c>
      <c r="T87" s="1626" t="s">
        <v>2601</v>
      </c>
      <c r="U87" s="1626" t="s">
        <v>496</v>
      </c>
      <c r="V87" s="1626" t="s">
        <v>4095</v>
      </c>
      <c r="W87" s="1626" t="s">
        <v>10209</v>
      </c>
      <c r="X87" s="1626" t="s">
        <v>10210</v>
      </c>
      <c r="Y87" s="1626" t="s">
        <v>5626</v>
      </c>
      <c r="Z87" s="1626" t="s">
        <v>8689</v>
      </c>
      <c r="AA87" s="1626" t="s">
        <v>10211</v>
      </c>
      <c r="AB87" s="1626" t="s">
        <v>489</v>
      </c>
      <c r="AC87" s="1626" t="s">
        <v>9736</v>
      </c>
      <c r="AD87" s="1626" t="s">
        <v>10212</v>
      </c>
      <c r="AE87" s="1626" t="s">
        <v>10213</v>
      </c>
      <c r="AF87" s="1626" t="s">
        <v>9261</v>
      </c>
      <c r="AG87" s="1626" t="s">
        <v>3112</v>
      </c>
      <c r="AH87" s="1626" t="s">
        <v>721</v>
      </c>
      <c r="AI87" s="1626" t="s">
        <v>5244</v>
      </c>
      <c r="AJ87" s="1626" t="s">
        <v>10214</v>
      </c>
      <c r="AK87" s="1626" t="s">
        <v>8814</v>
      </c>
      <c r="AL87" s="1626" t="s">
        <v>5308</v>
      </c>
      <c r="AM87" s="1626" t="s">
        <v>3100</v>
      </c>
      <c r="AN87" s="1626" t="s">
        <v>6242</v>
      </c>
      <c r="AO87" s="1626" t="s">
        <v>10215</v>
      </c>
      <c r="AP87" s="1626" t="s">
        <v>10216</v>
      </c>
      <c r="AQ87" s="1626" t="s">
        <v>10217</v>
      </c>
      <c r="AR87" s="1626" t="s">
        <v>9797</v>
      </c>
      <c r="AS87" s="1626" t="s">
        <v>8701</v>
      </c>
      <c r="AT87" s="1626" t="s">
        <v>10218</v>
      </c>
      <c r="AU87" s="1626" t="s">
        <v>10219</v>
      </c>
      <c r="AV87" s="1626" t="str">
        <f t="shared" si="3"/>
        <v>3:59</v>
      </c>
      <c r="AW87" s="1631" t="s">
        <v>10220</v>
      </c>
    </row>
    <row r="88" ht="15.75" customHeight="1">
      <c r="A88" s="1542" t="s">
        <v>10221</v>
      </c>
      <c r="B88" s="1616" t="s">
        <v>8424</v>
      </c>
      <c r="C88" s="1592">
        <v>0.05291666666666667</v>
      </c>
      <c r="D88" s="1273" t="s">
        <v>10222</v>
      </c>
      <c r="E88" s="1626" t="s">
        <v>10223</v>
      </c>
      <c r="F88" s="1626" t="s">
        <v>5750</v>
      </c>
      <c r="G88" s="1626" t="s">
        <v>9402</v>
      </c>
      <c r="H88" s="1626" t="s">
        <v>9729</v>
      </c>
      <c r="I88" s="1626" t="s">
        <v>2886</v>
      </c>
      <c r="J88" s="1626" t="s">
        <v>10224</v>
      </c>
      <c r="K88" s="1626" t="s">
        <v>5372</v>
      </c>
      <c r="L88" s="1626" t="s">
        <v>7635</v>
      </c>
      <c r="M88" s="1626" t="s">
        <v>10225</v>
      </c>
      <c r="N88" s="1626" t="s">
        <v>10226</v>
      </c>
      <c r="O88" s="1626" t="s">
        <v>10227</v>
      </c>
      <c r="P88" s="1626" t="s">
        <v>9596</v>
      </c>
      <c r="Q88" s="1626" t="s">
        <v>10228</v>
      </c>
      <c r="R88" s="1626" t="s">
        <v>9486</v>
      </c>
      <c r="S88" s="1626" t="s">
        <v>4535</v>
      </c>
      <c r="T88" s="1626" t="s">
        <v>8600</v>
      </c>
      <c r="U88" s="1626" t="s">
        <v>5378</v>
      </c>
      <c r="V88" s="1626" t="s">
        <v>1149</v>
      </c>
      <c r="W88" s="1626" t="s">
        <v>1896</v>
      </c>
      <c r="X88" s="1626" t="s">
        <v>3139</v>
      </c>
      <c r="Y88" s="1626" t="s">
        <v>655</v>
      </c>
      <c r="Z88" s="1626" t="s">
        <v>10229</v>
      </c>
      <c r="AA88" s="1538" t="s">
        <v>7568</v>
      </c>
      <c r="AB88" s="1626" t="s">
        <v>3525</v>
      </c>
      <c r="AC88" s="1626" t="s">
        <v>2382</v>
      </c>
      <c r="AD88" s="1626" t="s">
        <v>10230</v>
      </c>
      <c r="AE88" s="1626" t="s">
        <v>10231</v>
      </c>
      <c r="AF88" s="1626" t="s">
        <v>10232</v>
      </c>
      <c r="AG88" s="1626" t="s">
        <v>10233</v>
      </c>
      <c r="AH88" s="1626" t="s">
        <v>10234</v>
      </c>
      <c r="AI88" s="1626" t="s">
        <v>10235</v>
      </c>
      <c r="AJ88" s="1626" t="s">
        <v>10236</v>
      </c>
      <c r="AK88" s="1626" t="s">
        <v>10237</v>
      </c>
      <c r="AL88" s="1626" t="s">
        <v>1657</v>
      </c>
      <c r="AM88" s="1626" t="s">
        <v>3262</v>
      </c>
      <c r="AN88" s="1626" t="s">
        <v>10238</v>
      </c>
      <c r="AO88" s="1626" t="s">
        <v>10239</v>
      </c>
      <c r="AP88" s="1626" t="s">
        <v>3097</v>
      </c>
      <c r="AQ88" s="1626" t="s">
        <v>10240</v>
      </c>
      <c r="AR88" s="1626" t="s">
        <v>10143</v>
      </c>
      <c r="AS88" s="1626" t="s">
        <v>4281</v>
      </c>
      <c r="AT88" s="1626" t="s">
        <v>10241</v>
      </c>
      <c r="AU88" s="1626" t="s">
        <v>10242</v>
      </c>
      <c r="AV88" s="1626" t="str">
        <f t="shared" si="3"/>
        <v>2:38</v>
      </c>
      <c r="AW88" s="1631"/>
    </row>
    <row r="89" ht="15.75" customHeight="1">
      <c r="A89" s="1505" t="s">
        <v>6172</v>
      </c>
      <c r="B89" s="1503" t="s">
        <v>8372</v>
      </c>
      <c r="C89" s="1460">
        <v>0.05324074074074074</v>
      </c>
      <c r="D89" s="1273" t="s">
        <v>10243</v>
      </c>
      <c r="E89" s="1273" t="s">
        <v>10244</v>
      </c>
      <c r="F89" s="1273" t="s">
        <v>10245</v>
      </c>
      <c r="G89" s="1273" t="s">
        <v>9135</v>
      </c>
      <c r="H89" s="1273" t="s">
        <v>10246</v>
      </c>
      <c r="I89" s="1273" t="s">
        <v>6021</v>
      </c>
      <c r="J89" s="1273" t="s">
        <v>1785</v>
      </c>
      <c r="K89" s="1273" t="s">
        <v>4318</v>
      </c>
      <c r="L89" s="1273" t="s">
        <v>10247</v>
      </c>
      <c r="M89" s="1273" t="s">
        <v>10248</v>
      </c>
      <c r="N89" s="1273" t="s">
        <v>10249</v>
      </c>
      <c r="O89" s="1273" t="s">
        <v>10250</v>
      </c>
      <c r="P89" s="1273" t="s">
        <v>10251</v>
      </c>
      <c r="Q89" s="1273" t="s">
        <v>10252</v>
      </c>
      <c r="R89" s="1273" t="s">
        <v>8387</v>
      </c>
      <c r="S89" s="1273" t="s">
        <v>10123</v>
      </c>
      <c r="T89" s="1273" t="s">
        <v>10253</v>
      </c>
      <c r="U89" s="1273" t="s">
        <v>10254</v>
      </c>
      <c r="V89" s="1273" t="s">
        <v>2721</v>
      </c>
      <c r="W89" s="1273" t="s">
        <v>10255</v>
      </c>
      <c r="X89" s="1273" t="s">
        <v>10256</v>
      </c>
      <c r="Y89" s="1273" t="s">
        <v>5531</v>
      </c>
      <c r="Z89" s="1273" t="s">
        <v>4061</v>
      </c>
      <c r="AA89" s="1538" t="s">
        <v>10257</v>
      </c>
      <c r="AB89" s="1273" t="s">
        <v>9529</v>
      </c>
      <c r="AC89" s="1273" t="s">
        <v>5485</v>
      </c>
      <c r="AD89" s="1273" t="s">
        <v>10258</v>
      </c>
      <c r="AE89" s="1273" t="s">
        <v>9337</v>
      </c>
      <c r="AF89" s="1273" t="s">
        <v>10259</v>
      </c>
      <c r="AG89" s="1273" t="s">
        <v>10063</v>
      </c>
      <c r="AH89" s="1273" t="s">
        <v>5609</v>
      </c>
      <c r="AI89" s="1273" t="s">
        <v>10260</v>
      </c>
      <c r="AJ89" s="1273" t="s">
        <v>10261</v>
      </c>
      <c r="AK89" s="1538" t="s">
        <v>10262</v>
      </c>
      <c r="AL89" s="1273" t="s">
        <v>9845</v>
      </c>
      <c r="AM89" s="1273" t="s">
        <v>10263</v>
      </c>
      <c r="AN89" s="1273" t="s">
        <v>9676</v>
      </c>
      <c r="AO89" s="1273" t="s">
        <v>4568</v>
      </c>
      <c r="AP89" s="1273" t="s">
        <v>10264</v>
      </c>
      <c r="AQ89" s="1273" t="s">
        <v>10265</v>
      </c>
      <c r="AR89" s="1538" t="s">
        <v>3660</v>
      </c>
      <c r="AS89" s="1273" t="s">
        <v>10266</v>
      </c>
      <c r="AT89" s="1273" t="s">
        <v>10267</v>
      </c>
      <c r="AU89" s="1538" t="s">
        <v>10179</v>
      </c>
      <c r="AV89" s="1626" t="str">
        <f t="shared" si="3"/>
        <v>3:53</v>
      </c>
      <c r="AW89" s="1627" t="s">
        <v>10268</v>
      </c>
    </row>
    <row r="90">
      <c r="A90" s="1505" t="s">
        <v>4696</v>
      </c>
      <c r="B90" s="1499" t="s">
        <v>8424</v>
      </c>
      <c r="C90" s="1460">
        <v>0.05331018518518518</v>
      </c>
      <c r="D90" s="1538" t="s">
        <v>10269</v>
      </c>
      <c r="E90" s="1538" t="s">
        <v>7715</v>
      </c>
      <c r="F90" s="1538" t="s">
        <v>10037</v>
      </c>
      <c r="G90" s="1538" t="s">
        <v>10270</v>
      </c>
      <c r="H90" s="1273" t="s">
        <v>10271</v>
      </c>
      <c r="I90" s="1538" t="s">
        <v>10272</v>
      </c>
      <c r="J90" s="1538" t="s">
        <v>9773</v>
      </c>
      <c r="K90" s="1538" t="s">
        <v>8595</v>
      </c>
      <c r="L90" s="1538" t="s">
        <v>4092</v>
      </c>
      <c r="M90" s="1538" t="s">
        <v>10273</v>
      </c>
      <c r="N90" s="1538" t="s">
        <v>9557</v>
      </c>
      <c r="O90" s="1538" t="s">
        <v>10274</v>
      </c>
      <c r="P90" s="1538" t="s">
        <v>6041</v>
      </c>
      <c r="Q90" s="1538" t="s">
        <v>10275</v>
      </c>
      <c r="R90" s="1538" t="s">
        <v>2135</v>
      </c>
      <c r="S90" s="1538" t="s">
        <v>7585</v>
      </c>
      <c r="T90" s="1538" t="s">
        <v>7148</v>
      </c>
      <c r="U90" s="1538" t="s">
        <v>10276</v>
      </c>
      <c r="V90" s="1538" t="s">
        <v>9753</v>
      </c>
      <c r="W90" s="1538" t="s">
        <v>10277</v>
      </c>
      <c r="X90" s="1538" t="s">
        <v>6785</v>
      </c>
      <c r="Y90" s="1538" t="s">
        <v>5417</v>
      </c>
      <c r="Z90" s="1538" t="s">
        <v>9559</v>
      </c>
      <c r="AA90" s="1538" t="s">
        <v>10278</v>
      </c>
      <c r="AB90" s="1538" t="s">
        <v>3377</v>
      </c>
      <c r="AC90" s="1538" t="s">
        <v>10279</v>
      </c>
      <c r="AD90" s="1538" t="s">
        <v>10280</v>
      </c>
      <c r="AE90" s="1538" t="s">
        <v>5626</v>
      </c>
      <c r="AF90" s="1538" t="s">
        <v>10281</v>
      </c>
      <c r="AG90" s="1538" t="s">
        <v>10282</v>
      </c>
      <c r="AH90" s="1538" t="s">
        <v>10283</v>
      </c>
      <c r="AI90" s="1538" t="s">
        <v>10284</v>
      </c>
      <c r="AJ90" s="1538" t="s">
        <v>10285</v>
      </c>
      <c r="AK90" s="1538" t="s">
        <v>2177</v>
      </c>
      <c r="AL90" s="1538" t="s">
        <v>2146</v>
      </c>
      <c r="AM90" s="1538" t="s">
        <v>10286</v>
      </c>
      <c r="AN90" s="1538" t="s">
        <v>10287</v>
      </c>
      <c r="AO90" s="1538" t="s">
        <v>10288</v>
      </c>
      <c r="AP90" s="1538" t="s">
        <v>2677</v>
      </c>
      <c r="AQ90" s="1538" t="s">
        <v>10289</v>
      </c>
      <c r="AR90" s="1538" t="s">
        <v>1671</v>
      </c>
      <c r="AS90" s="1538" t="s">
        <v>903</v>
      </c>
      <c r="AT90" s="1538" t="s">
        <v>10290</v>
      </c>
      <c r="AU90" s="1538" t="s">
        <v>10291</v>
      </c>
      <c r="AV90" s="1626" t="str">
        <f t="shared" si="3"/>
        <v>4:18</v>
      </c>
      <c r="AW90" s="1631"/>
    </row>
    <row r="91" ht="15.75" customHeight="1">
      <c r="A91" s="1542" t="s">
        <v>10292</v>
      </c>
      <c r="B91" s="1616" t="s">
        <v>8424</v>
      </c>
      <c r="C91" s="1460">
        <v>0.05348379629629629</v>
      </c>
      <c r="D91" s="1273" t="s">
        <v>10293</v>
      </c>
      <c r="E91" s="1626" t="s">
        <v>10074</v>
      </c>
      <c r="F91" s="1626" t="s">
        <v>6241</v>
      </c>
      <c r="G91" s="1626" t="s">
        <v>10294</v>
      </c>
      <c r="H91" s="1626" t="s">
        <v>10295</v>
      </c>
      <c r="I91" s="1626" t="s">
        <v>2337</v>
      </c>
      <c r="J91" s="1626" t="s">
        <v>8892</v>
      </c>
      <c r="K91" s="1626" t="s">
        <v>8437</v>
      </c>
      <c r="L91" s="1626" t="s">
        <v>4758</v>
      </c>
      <c r="M91" s="1626" t="s">
        <v>8915</v>
      </c>
      <c r="N91" s="1626" t="s">
        <v>10296</v>
      </c>
      <c r="O91" s="1626" t="s">
        <v>4360</v>
      </c>
      <c r="P91" s="1626" t="s">
        <v>853</v>
      </c>
      <c r="Q91" s="1538" t="s">
        <v>10297</v>
      </c>
      <c r="R91" s="1626" t="s">
        <v>9820</v>
      </c>
      <c r="S91" s="1626" t="s">
        <v>9167</v>
      </c>
      <c r="T91" s="1626" t="s">
        <v>10044</v>
      </c>
      <c r="U91" s="1626" t="s">
        <v>10298</v>
      </c>
      <c r="V91" s="1626" t="s">
        <v>3272</v>
      </c>
      <c r="W91" s="1626" t="s">
        <v>3637</v>
      </c>
      <c r="X91" s="1626" t="s">
        <v>3019</v>
      </c>
      <c r="Y91" s="1626" t="s">
        <v>114</v>
      </c>
      <c r="Z91" s="1626" t="s">
        <v>8784</v>
      </c>
      <c r="AA91" s="1538" t="s">
        <v>10299</v>
      </c>
      <c r="AB91" s="1626" t="s">
        <v>9567</v>
      </c>
      <c r="AC91" s="1626" t="s">
        <v>1155</v>
      </c>
      <c r="AD91" s="1626" t="s">
        <v>10300</v>
      </c>
      <c r="AE91" s="1626" t="s">
        <v>581</v>
      </c>
      <c r="AF91" s="1538" t="s">
        <v>10301</v>
      </c>
      <c r="AG91" s="1626" t="s">
        <v>5668</v>
      </c>
      <c r="AH91" s="1626" t="s">
        <v>9035</v>
      </c>
      <c r="AI91" s="1626" t="s">
        <v>2626</v>
      </c>
      <c r="AJ91" s="1626" t="s">
        <v>10302</v>
      </c>
      <c r="AK91" s="1626" t="s">
        <v>8821</v>
      </c>
      <c r="AL91" s="1626" t="s">
        <v>10303</v>
      </c>
      <c r="AM91" s="1626" t="s">
        <v>8396</v>
      </c>
      <c r="AN91" s="1626" t="s">
        <v>9845</v>
      </c>
      <c r="AO91" s="1626" t="s">
        <v>8774</v>
      </c>
      <c r="AP91" s="1626" t="s">
        <v>10304</v>
      </c>
      <c r="AQ91" s="1626" t="s">
        <v>4456</v>
      </c>
      <c r="AR91" s="1626" t="s">
        <v>154</v>
      </c>
      <c r="AS91" s="1626" t="s">
        <v>8611</v>
      </c>
      <c r="AT91" s="1626" t="s">
        <v>4658</v>
      </c>
      <c r="AU91" s="1626" t="s">
        <v>10305</v>
      </c>
      <c r="AV91" s="1626" t="str">
        <f t="shared" si="3"/>
        <v>3:27</v>
      </c>
      <c r="AW91" s="1627" t="s">
        <v>10306</v>
      </c>
    </row>
    <row r="92">
      <c r="A92" s="1505" t="s">
        <v>5325</v>
      </c>
      <c r="B92" s="1503" t="s">
        <v>8372</v>
      </c>
      <c r="C92" s="1460">
        <v>0.05376157407407407</v>
      </c>
      <c r="D92" s="1538" t="s">
        <v>10307</v>
      </c>
      <c r="E92" s="1538" t="s">
        <v>10308</v>
      </c>
      <c r="F92" s="1538" t="s">
        <v>10309</v>
      </c>
      <c r="G92" s="1538" t="s">
        <v>10310</v>
      </c>
      <c r="H92" s="1648" t="s">
        <v>10311</v>
      </c>
      <c r="I92" s="1273" t="s">
        <v>238</v>
      </c>
      <c r="J92" s="1538" t="s">
        <v>9440</v>
      </c>
      <c r="K92" s="1538" t="s">
        <v>10312</v>
      </c>
      <c r="L92" s="1538" t="s">
        <v>2509</v>
      </c>
      <c r="M92" s="1538" t="s">
        <v>1326</v>
      </c>
      <c r="N92" s="1538" t="s">
        <v>10313</v>
      </c>
      <c r="O92" s="1538" t="s">
        <v>10314</v>
      </c>
      <c r="P92" s="1538" t="s">
        <v>950</v>
      </c>
      <c r="Q92" s="1538" t="s">
        <v>4380</v>
      </c>
      <c r="R92" s="1538" t="s">
        <v>10315</v>
      </c>
      <c r="S92" s="1649" t="s">
        <v>10316</v>
      </c>
      <c r="T92" s="1649" t="s">
        <v>8966</v>
      </c>
      <c r="U92" s="1538" t="s">
        <v>10317</v>
      </c>
      <c r="V92" s="1538" t="s">
        <v>10318</v>
      </c>
      <c r="W92" s="1538" t="s">
        <v>7552</v>
      </c>
      <c r="X92" s="1538" t="s">
        <v>10319</v>
      </c>
      <c r="Y92" s="1538" t="s">
        <v>2111</v>
      </c>
      <c r="Z92" s="1538" t="s">
        <v>9567</v>
      </c>
      <c r="AA92" s="1538" t="s">
        <v>10320</v>
      </c>
      <c r="AB92" s="1538" t="s">
        <v>10321</v>
      </c>
      <c r="AC92" s="1538" t="s">
        <v>7505</v>
      </c>
      <c r="AD92" s="1538" t="s">
        <v>5795</v>
      </c>
      <c r="AE92" s="1538" t="s">
        <v>2382</v>
      </c>
      <c r="AF92" s="1538" t="s">
        <v>7590</v>
      </c>
      <c r="AG92" s="1538" t="s">
        <v>10322</v>
      </c>
      <c r="AH92" s="1538" t="s">
        <v>8996</v>
      </c>
      <c r="AI92" s="1538" t="s">
        <v>7385</v>
      </c>
      <c r="AJ92" s="1538" t="s">
        <v>10323</v>
      </c>
      <c r="AK92" s="1538" t="s">
        <v>4749</v>
      </c>
      <c r="AL92" s="1538" t="s">
        <v>10324</v>
      </c>
      <c r="AM92" s="1538" t="s">
        <v>4761</v>
      </c>
      <c r="AN92" s="1538" t="s">
        <v>10325</v>
      </c>
      <c r="AO92" s="1538" t="s">
        <v>8386</v>
      </c>
      <c r="AP92" s="1538" t="s">
        <v>10326</v>
      </c>
      <c r="AQ92" s="1538" t="s">
        <v>10327</v>
      </c>
      <c r="AR92" s="1538" t="s">
        <v>5111</v>
      </c>
      <c r="AS92" s="1538" t="s">
        <v>8560</v>
      </c>
      <c r="AT92" s="1538" t="s">
        <v>10328</v>
      </c>
      <c r="AU92" s="1538" t="s">
        <v>10329</v>
      </c>
      <c r="AV92" s="1626" t="str">
        <f t="shared" si="3"/>
        <v>4:58</v>
      </c>
      <c r="AW92" s="1650"/>
    </row>
    <row r="93" ht="15.75" customHeight="1">
      <c r="A93" s="1542" t="s">
        <v>6278</v>
      </c>
      <c r="B93" s="1616" t="s">
        <v>8424</v>
      </c>
      <c r="C93" s="1592">
        <v>0.05386574074074074</v>
      </c>
      <c r="D93" s="1626" t="s">
        <v>10330</v>
      </c>
      <c r="E93" s="1626" t="s">
        <v>7127</v>
      </c>
      <c r="F93" s="1626" t="s">
        <v>10331</v>
      </c>
      <c r="G93" s="1626" t="s">
        <v>4325</v>
      </c>
      <c r="H93" s="1626" t="s">
        <v>10332</v>
      </c>
      <c r="I93" s="1626" t="s">
        <v>10272</v>
      </c>
      <c r="J93" s="1626" t="s">
        <v>10333</v>
      </c>
      <c r="K93" s="1626" t="s">
        <v>10334</v>
      </c>
      <c r="L93" s="1626" t="s">
        <v>1432</v>
      </c>
      <c r="M93" s="1626" t="s">
        <v>4505</v>
      </c>
      <c r="N93" s="1626" t="s">
        <v>7287</v>
      </c>
      <c r="O93" s="1626" t="s">
        <v>10335</v>
      </c>
      <c r="P93" s="1626" t="s">
        <v>6041</v>
      </c>
      <c r="Q93" s="1626" t="s">
        <v>10336</v>
      </c>
      <c r="R93" s="1626" t="s">
        <v>10337</v>
      </c>
      <c r="S93" s="1626" t="s">
        <v>10338</v>
      </c>
      <c r="T93" s="1626" t="s">
        <v>9550</v>
      </c>
      <c r="U93" s="1626" t="s">
        <v>10339</v>
      </c>
      <c r="V93" s="1626" t="s">
        <v>10340</v>
      </c>
      <c r="W93" s="1626" t="s">
        <v>10341</v>
      </c>
      <c r="X93" s="1626" t="s">
        <v>1397</v>
      </c>
      <c r="Y93" s="1626" t="s">
        <v>1802</v>
      </c>
      <c r="Z93" s="1626" t="s">
        <v>9010</v>
      </c>
      <c r="AA93" s="1273" t="s">
        <v>10342</v>
      </c>
      <c r="AB93" s="1626" t="s">
        <v>10343</v>
      </c>
      <c r="AC93" s="1626" t="s">
        <v>6867</v>
      </c>
      <c r="AD93" s="1626" t="s">
        <v>10344</v>
      </c>
      <c r="AE93" s="1626" t="s">
        <v>10345</v>
      </c>
      <c r="AF93" s="1626" t="s">
        <v>9891</v>
      </c>
      <c r="AG93" s="1626" t="s">
        <v>10346</v>
      </c>
      <c r="AH93" s="1626" t="s">
        <v>10347</v>
      </c>
      <c r="AI93" s="1626" t="s">
        <v>3502</v>
      </c>
      <c r="AJ93" s="1626" t="s">
        <v>10348</v>
      </c>
      <c r="AK93" s="1626" t="s">
        <v>3070</v>
      </c>
      <c r="AL93" s="1626" t="s">
        <v>4562</v>
      </c>
      <c r="AM93" s="1626" t="s">
        <v>9538</v>
      </c>
      <c r="AN93" s="1626" t="s">
        <v>9073</v>
      </c>
      <c r="AO93" s="1538" t="s">
        <v>9251</v>
      </c>
      <c r="AP93" s="1626" t="s">
        <v>10349</v>
      </c>
      <c r="AQ93" s="1626" t="s">
        <v>10350</v>
      </c>
      <c r="AR93" s="1626" t="s">
        <v>10351</v>
      </c>
      <c r="AS93" s="1626" t="s">
        <v>8791</v>
      </c>
      <c r="AT93" s="1626" t="s">
        <v>10352</v>
      </c>
      <c r="AU93" s="1626" t="s">
        <v>10291</v>
      </c>
      <c r="AV93" s="1626" t="str">
        <f t="shared" si="3"/>
        <v>3:30</v>
      </c>
      <c r="AW93" s="1631"/>
    </row>
    <row r="94">
      <c r="A94" s="1505" t="s">
        <v>5194</v>
      </c>
      <c r="B94" s="1503" t="s">
        <v>8424</v>
      </c>
      <c r="C94" s="1460">
        <v>0.05482638888888889</v>
      </c>
      <c r="D94" s="1602" t="s">
        <v>10353</v>
      </c>
      <c r="E94" s="1538" t="s">
        <v>9160</v>
      </c>
      <c r="F94" s="1538" t="s">
        <v>10354</v>
      </c>
      <c r="G94" s="1538" t="s">
        <v>10355</v>
      </c>
      <c r="H94" s="1538" t="s">
        <v>10356</v>
      </c>
      <c r="I94" s="1538" t="s">
        <v>10357</v>
      </c>
      <c r="J94" s="1538" t="s">
        <v>10358</v>
      </c>
      <c r="K94" s="1538" t="s">
        <v>9571</v>
      </c>
      <c r="L94" s="1538" t="s">
        <v>10359</v>
      </c>
      <c r="M94" s="1538" t="s">
        <v>1669</v>
      </c>
      <c r="N94" s="1538" t="s">
        <v>10360</v>
      </c>
      <c r="O94" s="1538" t="s">
        <v>10361</v>
      </c>
      <c r="P94" s="1538" t="s">
        <v>6276</v>
      </c>
      <c r="Q94" s="1538" t="s">
        <v>10362</v>
      </c>
      <c r="R94" s="1538" t="s">
        <v>8789</v>
      </c>
      <c r="S94" s="1538" t="s">
        <v>10363</v>
      </c>
      <c r="T94" s="1538" t="s">
        <v>10278</v>
      </c>
      <c r="U94" s="1538" t="s">
        <v>10364</v>
      </c>
      <c r="V94" s="1538" t="s">
        <v>929</v>
      </c>
      <c r="W94" s="1538" t="s">
        <v>10365</v>
      </c>
      <c r="X94" s="1538" t="s">
        <v>10366</v>
      </c>
      <c r="Y94" s="1538" t="s">
        <v>1760</v>
      </c>
      <c r="Z94" s="1538" t="s">
        <v>9589</v>
      </c>
      <c r="AA94" s="1538" t="s">
        <v>2411</v>
      </c>
      <c r="AB94" s="1538" t="s">
        <v>5297</v>
      </c>
      <c r="AC94" s="1538" t="s">
        <v>10367</v>
      </c>
      <c r="AD94" s="1538" t="s">
        <v>10368</v>
      </c>
      <c r="AE94" s="1538" t="s">
        <v>1538</v>
      </c>
      <c r="AF94" s="1538" t="s">
        <v>10369</v>
      </c>
      <c r="AG94" s="1538" t="s">
        <v>10370</v>
      </c>
      <c r="AH94" s="1538" t="s">
        <v>10371</v>
      </c>
      <c r="AI94" s="1538" t="s">
        <v>10372</v>
      </c>
      <c r="AJ94" s="1538" t="s">
        <v>10373</v>
      </c>
      <c r="AK94" s="1538" t="s">
        <v>244</v>
      </c>
      <c r="AL94" s="1538" t="s">
        <v>6951</v>
      </c>
      <c r="AM94" s="1538" t="s">
        <v>4329</v>
      </c>
      <c r="AN94" s="1538" t="s">
        <v>10374</v>
      </c>
      <c r="AO94" s="1538" t="s">
        <v>1785</v>
      </c>
      <c r="AP94" s="1538" t="s">
        <v>971</v>
      </c>
      <c r="AQ94" s="1538" t="s">
        <v>10375</v>
      </c>
      <c r="AR94" s="1538" t="s">
        <v>10376</v>
      </c>
      <c r="AS94" s="1538" t="s">
        <v>2172</v>
      </c>
      <c r="AT94" s="1538" t="s">
        <v>10377</v>
      </c>
      <c r="AU94" s="1538" t="s">
        <v>10378</v>
      </c>
      <c r="AV94" s="1626" t="str">
        <f t="shared" si="3"/>
        <v>3:40</v>
      </c>
      <c r="AW94" s="1627" t="s">
        <v>10379</v>
      </c>
    </row>
    <row r="95">
      <c r="A95" s="1505" t="s">
        <v>5379</v>
      </c>
      <c r="B95" s="1503" t="s">
        <v>8372</v>
      </c>
      <c r="C95" s="1460">
        <v>0.05482638888888889</v>
      </c>
      <c r="D95" s="1481" t="s">
        <v>10380</v>
      </c>
      <c r="E95" s="1481" t="s">
        <v>9009</v>
      </c>
      <c r="F95" s="1481" t="s">
        <v>10381</v>
      </c>
      <c r="G95" s="1481" t="s">
        <v>10382</v>
      </c>
      <c r="H95" s="1481" t="s">
        <v>10383</v>
      </c>
      <c r="I95" s="1481">
        <v>50.26</v>
      </c>
      <c r="J95" s="1481" t="s">
        <v>10358</v>
      </c>
      <c r="K95" s="1481" t="s">
        <v>10384</v>
      </c>
      <c r="L95" s="1481" t="s">
        <v>10385</v>
      </c>
      <c r="M95" s="1481" t="s">
        <v>2201</v>
      </c>
      <c r="N95" s="1481" t="s">
        <v>10386</v>
      </c>
      <c r="O95" s="1481" t="s">
        <v>10387</v>
      </c>
      <c r="P95" s="1481">
        <v>49.15</v>
      </c>
      <c r="Q95" s="1481" t="s">
        <v>10388</v>
      </c>
      <c r="R95" s="1481" t="s">
        <v>3230</v>
      </c>
      <c r="S95" s="1481" t="s">
        <v>10389</v>
      </c>
      <c r="T95" s="1481" t="s">
        <v>5036</v>
      </c>
      <c r="U95" s="1481" t="s">
        <v>10390</v>
      </c>
      <c r="V95" s="1481" t="s">
        <v>10391</v>
      </c>
      <c r="W95" s="1481" t="s">
        <v>10392</v>
      </c>
      <c r="X95" s="1481" t="s">
        <v>10393</v>
      </c>
      <c r="Y95" s="1481">
        <v>51.87</v>
      </c>
      <c r="Z95" s="1481" t="s">
        <v>6040</v>
      </c>
      <c r="AA95" s="1481" t="s">
        <v>6253</v>
      </c>
      <c r="AB95" s="1481" t="s">
        <v>1909</v>
      </c>
      <c r="AC95" s="1481">
        <v>49.75</v>
      </c>
      <c r="AD95" s="1481" t="s">
        <v>10394</v>
      </c>
      <c r="AE95" s="1481">
        <v>50.16</v>
      </c>
      <c r="AF95" s="1481" t="s">
        <v>10395</v>
      </c>
      <c r="AG95" s="1481" t="s">
        <v>10396</v>
      </c>
      <c r="AH95" s="1481" t="s">
        <v>6128</v>
      </c>
      <c r="AI95" s="1481" t="s">
        <v>1924</v>
      </c>
      <c r="AJ95" s="1481" t="s">
        <v>10397</v>
      </c>
      <c r="AK95" s="1481" t="s">
        <v>10313</v>
      </c>
      <c r="AL95" s="1481">
        <v>59.29</v>
      </c>
      <c r="AM95" s="1481" t="s">
        <v>4456</v>
      </c>
      <c r="AN95" s="1481" t="s">
        <v>620</v>
      </c>
      <c r="AO95" s="1481" t="s">
        <v>8916</v>
      </c>
      <c r="AP95" s="1481" t="s">
        <v>10398</v>
      </c>
      <c r="AQ95" s="1481" t="s">
        <v>10399</v>
      </c>
      <c r="AR95" s="1481" t="s">
        <v>7191</v>
      </c>
      <c r="AS95" s="1481">
        <v>47.7</v>
      </c>
      <c r="AT95" s="1481" t="s">
        <v>10400</v>
      </c>
      <c r="AU95" s="1488" t="s">
        <v>10401</v>
      </c>
      <c r="AV95" s="1626" t="str">
        <f t="shared" si="3"/>
        <v>5:51</v>
      </c>
      <c r="AW95" s="1634" t="s">
        <v>10402</v>
      </c>
    </row>
    <row r="96">
      <c r="A96" s="1505" t="s">
        <v>5446</v>
      </c>
      <c r="B96" s="1499" t="s">
        <v>8372</v>
      </c>
      <c r="C96" s="1460">
        <v>0.05559027777777778</v>
      </c>
      <c r="D96" s="1602" t="s">
        <v>10403</v>
      </c>
      <c r="E96" s="1538" t="s">
        <v>10404</v>
      </c>
      <c r="F96" s="1538" t="s">
        <v>10405</v>
      </c>
      <c r="G96" s="1538" t="s">
        <v>8070</v>
      </c>
      <c r="H96" s="1538" t="s">
        <v>5761</v>
      </c>
      <c r="I96" s="1538" t="s">
        <v>1911</v>
      </c>
      <c r="J96" s="1538" t="s">
        <v>10406</v>
      </c>
      <c r="K96" s="1538" t="s">
        <v>6045</v>
      </c>
      <c r="L96" s="1538" t="s">
        <v>8215</v>
      </c>
      <c r="M96" s="1538" t="s">
        <v>7196</v>
      </c>
      <c r="N96" s="1538" t="s">
        <v>10407</v>
      </c>
      <c r="O96" s="1538" t="s">
        <v>10408</v>
      </c>
      <c r="P96" s="1538" t="s">
        <v>291</v>
      </c>
      <c r="Q96" s="1538" t="s">
        <v>1751</v>
      </c>
      <c r="R96" s="1538" t="s">
        <v>10409</v>
      </c>
      <c r="S96" s="1538" t="s">
        <v>5185</v>
      </c>
      <c r="T96" s="1538" t="s">
        <v>10410</v>
      </c>
      <c r="U96" s="1538" t="s">
        <v>10411</v>
      </c>
      <c r="V96" s="1538" t="s">
        <v>6274</v>
      </c>
      <c r="W96" s="1538" t="s">
        <v>9141</v>
      </c>
      <c r="X96" s="1538" t="s">
        <v>10412</v>
      </c>
      <c r="Y96" s="1538" t="s">
        <v>2968</v>
      </c>
      <c r="Z96" s="1538" t="s">
        <v>10413</v>
      </c>
      <c r="AA96" s="1538" t="s">
        <v>10172</v>
      </c>
      <c r="AB96" s="1538" t="s">
        <v>3453</v>
      </c>
      <c r="AC96" s="1538" t="s">
        <v>4671</v>
      </c>
      <c r="AD96" s="1538" t="s">
        <v>9411</v>
      </c>
      <c r="AE96" s="1538" t="s">
        <v>947</v>
      </c>
      <c r="AF96" s="1538" t="s">
        <v>10414</v>
      </c>
      <c r="AG96" s="1538" t="s">
        <v>3695</v>
      </c>
      <c r="AH96" s="1538" t="s">
        <v>8104</v>
      </c>
      <c r="AI96" s="1538" t="s">
        <v>10415</v>
      </c>
      <c r="AJ96" s="1538" t="s">
        <v>10416</v>
      </c>
      <c r="AK96" s="1538" t="s">
        <v>4499</v>
      </c>
      <c r="AL96" s="1538" t="s">
        <v>125</v>
      </c>
      <c r="AM96" s="1538" t="s">
        <v>10417</v>
      </c>
      <c r="AN96" s="1538" t="s">
        <v>10418</v>
      </c>
      <c r="AO96" s="1538" t="s">
        <v>1039</v>
      </c>
      <c r="AP96" s="1538" t="s">
        <v>10419</v>
      </c>
      <c r="AQ96" s="1538" t="s">
        <v>10420</v>
      </c>
      <c r="AR96" s="1538" t="s">
        <v>10421</v>
      </c>
      <c r="AS96" s="1538" t="s">
        <v>917</v>
      </c>
      <c r="AT96" s="1538" t="s">
        <v>10422</v>
      </c>
      <c r="AU96" s="1538" t="s">
        <v>10423</v>
      </c>
      <c r="AV96" s="1626" t="str">
        <f t="shared" si="3"/>
        <v>5:05</v>
      </c>
      <c r="AW96" s="1627" t="s">
        <v>10424</v>
      </c>
    </row>
    <row r="97">
      <c r="A97" s="1505" t="s">
        <v>4865</v>
      </c>
      <c r="B97" s="1499" t="s">
        <v>8400</v>
      </c>
      <c r="C97" s="1540">
        <v>0.05565972222222222</v>
      </c>
      <c r="D97" s="1538" t="s">
        <v>10425</v>
      </c>
      <c r="E97" s="1538" t="s">
        <v>3251</v>
      </c>
      <c r="F97" s="1538" t="s">
        <v>10426</v>
      </c>
      <c r="G97" s="1538" t="s">
        <v>10427</v>
      </c>
      <c r="H97" s="1273" t="s">
        <v>8857</v>
      </c>
      <c r="I97" s="1538" t="s">
        <v>3449</v>
      </c>
      <c r="J97" s="1538" t="s">
        <v>9150</v>
      </c>
      <c r="K97" s="1538" t="s">
        <v>804</v>
      </c>
      <c r="L97" s="1538" t="s">
        <v>10428</v>
      </c>
      <c r="M97" s="1538" t="s">
        <v>10429</v>
      </c>
      <c r="N97" s="1538" t="s">
        <v>6149</v>
      </c>
      <c r="O97" s="1538" t="s">
        <v>10430</v>
      </c>
      <c r="P97" s="1538" t="s">
        <v>9825</v>
      </c>
      <c r="Q97" s="1538" t="s">
        <v>10431</v>
      </c>
      <c r="R97" s="1538" t="s">
        <v>9591</v>
      </c>
      <c r="S97" s="1538" t="s">
        <v>420</v>
      </c>
      <c r="T97" s="1538" t="s">
        <v>10432</v>
      </c>
      <c r="U97" s="1538" t="s">
        <v>10433</v>
      </c>
      <c r="V97" s="1538" t="s">
        <v>10434</v>
      </c>
      <c r="W97" s="1538" t="s">
        <v>10435</v>
      </c>
      <c r="X97" s="1538" t="s">
        <v>10436</v>
      </c>
      <c r="Y97" s="1538" t="s">
        <v>2382</v>
      </c>
      <c r="Z97" s="1538" t="s">
        <v>5260</v>
      </c>
      <c r="AA97" s="1538" t="s">
        <v>9758</v>
      </c>
      <c r="AB97" s="1538" t="s">
        <v>10117</v>
      </c>
      <c r="AC97" s="1538" t="s">
        <v>9596</v>
      </c>
      <c r="AD97" s="1538" t="s">
        <v>10437</v>
      </c>
      <c r="AE97" s="1538" t="s">
        <v>10438</v>
      </c>
      <c r="AF97" s="1538" t="s">
        <v>10439</v>
      </c>
      <c r="AG97" s="1538" t="s">
        <v>10440</v>
      </c>
      <c r="AH97" s="1538" t="s">
        <v>10441</v>
      </c>
      <c r="AI97" s="1538" t="s">
        <v>10442</v>
      </c>
      <c r="AJ97" s="1538" t="s">
        <v>10443</v>
      </c>
      <c r="AK97" s="1538" t="s">
        <v>7148</v>
      </c>
      <c r="AL97" s="1538" t="s">
        <v>3723</v>
      </c>
      <c r="AM97" s="1538" t="s">
        <v>4761</v>
      </c>
      <c r="AN97" s="1538" t="s">
        <v>10444</v>
      </c>
      <c r="AO97" s="1538" t="s">
        <v>1975</v>
      </c>
      <c r="AP97" s="1538" t="s">
        <v>10445</v>
      </c>
      <c r="AQ97" s="1538" t="s">
        <v>10446</v>
      </c>
      <c r="AR97" s="1538" t="s">
        <v>10447</v>
      </c>
      <c r="AS97" s="1538" t="s">
        <v>2229</v>
      </c>
      <c r="AT97" s="1538" t="s">
        <v>10448</v>
      </c>
      <c r="AU97" s="1538" t="s">
        <v>10449</v>
      </c>
      <c r="AV97" s="1626" t="str">
        <f t="shared" si="3"/>
        <v>8:24</v>
      </c>
      <c r="AW97" s="1627" t="s">
        <v>9453</v>
      </c>
    </row>
    <row r="98">
      <c r="A98" s="1542" t="s">
        <v>10450</v>
      </c>
      <c r="B98" s="1518" t="s">
        <v>8400</v>
      </c>
      <c r="C98" s="1592">
        <v>0.057881944444444444</v>
      </c>
      <c r="D98" s="1538" t="s">
        <v>10451</v>
      </c>
      <c r="E98" s="1626" t="s">
        <v>10452</v>
      </c>
      <c r="F98" s="1538" t="s">
        <v>10453</v>
      </c>
      <c r="G98" s="1538" t="s">
        <v>10454</v>
      </c>
      <c r="H98" s="1626" t="s">
        <v>10455</v>
      </c>
      <c r="I98" s="1626" t="s">
        <v>1027</v>
      </c>
      <c r="J98" s="1626" t="s">
        <v>10456</v>
      </c>
      <c r="K98" s="1626" t="s">
        <v>3562</v>
      </c>
      <c r="L98" s="1626" t="s">
        <v>3612</v>
      </c>
      <c r="M98" s="1626" t="s">
        <v>6629</v>
      </c>
      <c r="N98" s="1626" t="s">
        <v>10457</v>
      </c>
      <c r="O98" s="1626" t="s">
        <v>10458</v>
      </c>
      <c r="P98" s="1626" t="s">
        <v>2353</v>
      </c>
      <c r="Q98" s="1626" t="s">
        <v>10459</v>
      </c>
      <c r="R98" s="1626" t="s">
        <v>10460</v>
      </c>
      <c r="S98" s="1626" t="s">
        <v>10461</v>
      </c>
      <c r="T98" s="1626" t="s">
        <v>1758</v>
      </c>
      <c r="U98" s="1626" t="s">
        <v>10462</v>
      </c>
      <c r="V98" s="1626" t="s">
        <v>10463</v>
      </c>
      <c r="W98" s="1626" t="s">
        <v>10464</v>
      </c>
      <c r="X98" s="1626" t="s">
        <v>10465</v>
      </c>
      <c r="Y98" s="1626" t="s">
        <v>2802</v>
      </c>
      <c r="Z98" s="1626" t="s">
        <v>10466</v>
      </c>
      <c r="AA98" s="1538" t="s">
        <v>10467</v>
      </c>
      <c r="AB98" s="1626" t="s">
        <v>8892</v>
      </c>
      <c r="AC98" s="1626" t="s">
        <v>3413</v>
      </c>
      <c r="AD98" s="1626" t="s">
        <v>5226</v>
      </c>
      <c r="AE98" s="1626" t="s">
        <v>2603</v>
      </c>
      <c r="AF98" s="1626" t="s">
        <v>10468</v>
      </c>
      <c r="AG98" s="1626" t="s">
        <v>5671</v>
      </c>
      <c r="AH98" s="1626" t="s">
        <v>10469</v>
      </c>
      <c r="AI98" s="1626" t="s">
        <v>4783</v>
      </c>
      <c r="AJ98" s="1626" t="s">
        <v>10470</v>
      </c>
      <c r="AK98" s="1626" t="s">
        <v>10471</v>
      </c>
      <c r="AL98" s="1626" t="s">
        <v>3911</v>
      </c>
      <c r="AM98" s="1626" t="s">
        <v>4792</v>
      </c>
      <c r="AN98" s="1626" t="s">
        <v>10472</v>
      </c>
      <c r="AO98" s="1626" t="s">
        <v>9826</v>
      </c>
      <c r="AP98" s="1626" t="s">
        <v>10473</v>
      </c>
      <c r="AQ98" s="1626" t="s">
        <v>7167</v>
      </c>
      <c r="AR98" s="1626" t="s">
        <v>10474</v>
      </c>
      <c r="AS98" s="1626" t="s">
        <v>615</v>
      </c>
      <c r="AT98" s="1626" t="s">
        <v>10475</v>
      </c>
      <c r="AU98" s="1626" t="s">
        <v>10476</v>
      </c>
      <c r="AV98" s="1626" t="str">
        <f t="shared" si="3"/>
        <v>2:11</v>
      </c>
      <c r="AW98" s="1631" t="s">
        <v>10477</v>
      </c>
    </row>
    <row r="99" ht="15.75" customHeight="1">
      <c r="A99" s="1505" t="s">
        <v>6113</v>
      </c>
      <c r="B99" s="1518" t="s">
        <v>8400</v>
      </c>
      <c r="C99" s="1460">
        <v>0.06635416666666667</v>
      </c>
      <c r="D99" s="1273" t="s">
        <v>10478</v>
      </c>
      <c r="E99" s="1273" t="s">
        <v>8271</v>
      </c>
      <c r="F99" s="1273" t="s">
        <v>8974</v>
      </c>
      <c r="G99" s="1273" t="s">
        <v>10479</v>
      </c>
      <c r="H99" s="1273" t="s">
        <v>10480</v>
      </c>
      <c r="I99" s="1273" t="s">
        <v>3422</v>
      </c>
      <c r="J99" s="1273" t="s">
        <v>10481</v>
      </c>
      <c r="K99" s="1273" t="s">
        <v>3881</v>
      </c>
      <c r="L99" s="1273" t="s">
        <v>7197</v>
      </c>
      <c r="M99" s="1273" t="s">
        <v>864</v>
      </c>
      <c r="N99" s="1273" t="s">
        <v>10482</v>
      </c>
      <c r="O99" s="1273" t="s">
        <v>10483</v>
      </c>
      <c r="P99" s="1273" t="s">
        <v>5139</v>
      </c>
      <c r="Q99" s="1273" t="s">
        <v>10484</v>
      </c>
      <c r="R99" s="1273" t="s">
        <v>4514</v>
      </c>
      <c r="S99" s="1273" t="s">
        <v>10485</v>
      </c>
      <c r="T99" s="1273" t="s">
        <v>10365</v>
      </c>
      <c r="U99" s="1273" t="s">
        <v>10486</v>
      </c>
      <c r="V99" s="1273" t="s">
        <v>7715</v>
      </c>
      <c r="W99" s="1273" t="s">
        <v>10487</v>
      </c>
      <c r="X99" s="1273" t="s">
        <v>10488</v>
      </c>
      <c r="Y99" s="1273" t="s">
        <v>755</v>
      </c>
      <c r="Z99" s="1273" t="s">
        <v>10489</v>
      </c>
      <c r="AA99" s="1626"/>
      <c r="AB99" s="1273" t="s">
        <v>10490</v>
      </c>
      <c r="AC99" s="1273" t="s">
        <v>883</v>
      </c>
      <c r="AD99" s="1273" t="s">
        <v>10491</v>
      </c>
      <c r="AE99" s="1273" t="s">
        <v>10492</v>
      </c>
      <c r="AF99" s="1273" t="s">
        <v>10493</v>
      </c>
      <c r="AG99" s="1273" t="s">
        <v>10494</v>
      </c>
      <c r="AH99" s="1273" t="s">
        <v>4103</v>
      </c>
      <c r="AI99" s="1273" t="s">
        <v>10495</v>
      </c>
      <c r="AJ99" s="1273" t="s">
        <v>10496</v>
      </c>
      <c r="AK99" s="1273" t="s">
        <v>10497</v>
      </c>
      <c r="AL99" s="1273" t="s">
        <v>10498</v>
      </c>
      <c r="AM99" s="1273" t="s">
        <v>10499</v>
      </c>
      <c r="AN99" s="1273" t="s">
        <v>9014</v>
      </c>
      <c r="AO99" s="1273" t="s">
        <v>2316</v>
      </c>
      <c r="AP99" s="1273" t="s">
        <v>10500</v>
      </c>
      <c r="AQ99" s="1273" t="s">
        <v>129</v>
      </c>
      <c r="AR99" s="1273" t="s">
        <v>10501</v>
      </c>
      <c r="AS99" s="1273" t="s">
        <v>4011</v>
      </c>
      <c r="AT99" s="1273" t="s">
        <v>10502</v>
      </c>
      <c r="AU99" s="1521" t="s">
        <v>10503</v>
      </c>
      <c r="AV99" s="1626" t="str">
        <f t="shared" si="3"/>
        <v>9:53</v>
      </c>
      <c r="AW99" s="1634" t="s">
        <v>10504</v>
      </c>
    </row>
    <row r="100">
      <c r="A100" s="1505" t="s">
        <v>4624</v>
      </c>
      <c r="B100" s="1503" t="s">
        <v>8400</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8416</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8400</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8850</v>
      </c>
      <c r="X101" s="1481"/>
      <c r="Y101" s="1481"/>
      <c r="Z101" s="1481"/>
      <c r="AA101" s="1481"/>
      <c r="AB101" s="1651" t="s">
        <v>2810</v>
      </c>
      <c r="AC101" s="1481"/>
      <c r="AD101" s="1481"/>
      <c r="AE101" s="1488"/>
      <c r="AF101" s="1481"/>
      <c r="AG101" s="1481"/>
      <c r="AH101" s="1481"/>
      <c r="AI101" s="1481"/>
      <c r="AJ101" s="1481"/>
      <c r="AK101" s="1481"/>
      <c r="AL101" s="1481"/>
      <c r="AM101" s="1651" t="s">
        <v>2422</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8334</v>
      </c>
      <c r="C1" s="1391" t="s">
        <v>8335</v>
      </c>
      <c r="D1" s="1668" t="s">
        <v>10505</v>
      </c>
      <c r="E1" s="1669" t="s">
        <v>6545</v>
      </c>
      <c r="F1" s="1670" t="s">
        <v>6834</v>
      </c>
      <c r="G1" s="1671" t="s">
        <v>38</v>
      </c>
      <c r="H1" s="1672" t="s">
        <v>36</v>
      </c>
      <c r="I1" s="1668" t="s">
        <v>10506</v>
      </c>
      <c r="J1" s="1673" t="s">
        <v>39</v>
      </c>
      <c r="K1" s="1674" t="s">
        <v>6775</v>
      </c>
      <c r="L1" s="1399" t="s">
        <v>8367</v>
      </c>
      <c r="M1" s="1675" t="s">
        <v>8368</v>
      </c>
      <c r="N1" s="1676" t="s">
        <v>8369</v>
      </c>
      <c r="O1" s="1389" t="s">
        <v>8370</v>
      </c>
    </row>
    <row r="2" ht="15.75" customHeight="1">
      <c r="A2" s="1402" t="s">
        <v>8371</v>
      </c>
      <c r="B2" s="1677" t="s">
        <v>8372</v>
      </c>
      <c r="C2" s="1678">
        <v>0.04982638888888889</v>
      </c>
      <c r="D2" s="1679" t="s">
        <v>10507</v>
      </c>
      <c r="E2" s="1680" t="s">
        <v>10508</v>
      </c>
      <c r="F2" s="1681" t="s">
        <v>10509</v>
      </c>
      <c r="G2" s="1682" t="s">
        <v>10510</v>
      </c>
      <c r="H2" s="1683" t="s">
        <v>10511</v>
      </c>
      <c r="I2" s="1684" t="s">
        <v>10512</v>
      </c>
      <c r="J2" s="1685" t="s">
        <v>10513</v>
      </c>
      <c r="K2" s="1686" t="s">
        <v>10514</v>
      </c>
      <c r="L2" s="1687" t="s">
        <v>8397</v>
      </c>
      <c r="M2" s="1678">
        <v>0.050590277777777776</v>
      </c>
      <c r="N2" s="1688" t="str">
        <f t="shared" ref="N2:N39" si="1">TEXT(M2-C2, "m:ss")</f>
        <v>1:06</v>
      </c>
      <c r="O2" s="1426"/>
    </row>
    <row r="3" ht="15.75" customHeight="1">
      <c r="A3" s="1427" t="s">
        <v>8399</v>
      </c>
      <c r="B3" s="1689" t="s">
        <v>8400</v>
      </c>
      <c r="C3" s="1690">
        <v>0.051458333333333335</v>
      </c>
      <c r="D3" s="1430" t="s">
        <v>10515</v>
      </c>
      <c r="E3" s="1691" t="s">
        <v>5806</v>
      </c>
      <c r="F3" s="1432" t="s">
        <v>10516</v>
      </c>
      <c r="G3" s="1433" t="s">
        <v>10517</v>
      </c>
      <c r="H3" s="1436" t="s">
        <v>10518</v>
      </c>
      <c r="I3" s="1430" t="s">
        <v>10519</v>
      </c>
      <c r="J3" s="1438" t="s">
        <v>10520</v>
      </c>
      <c r="K3" s="1440" t="s">
        <v>10521</v>
      </c>
      <c r="L3" s="1441" t="s">
        <v>9005</v>
      </c>
      <c r="M3" s="1690">
        <v>0.05236111111111111</v>
      </c>
      <c r="N3" s="1692" t="str">
        <f t="shared" si="1"/>
        <v>1:18</v>
      </c>
    </row>
    <row r="4" ht="15.75" customHeight="1">
      <c r="A4" s="1443" t="s">
        <v>8423</v>
      </c>
      <c r="B4" s="1693" t="s">
        <v>8424</v>
      </c>
      <c r="C4" s="1694">
        <f>C23</f>
        <v>0.05158564815</v>
      </c>
      <c r="D4" s="1446" t="s">
        <v>10522</v>
      </c>
      <c r="E4" s="1695" t="s">
        <v>10523</v>
      </c>
      <c r="F4" s="1448" t="s">
        <v>10524</v>
      </c>
      <c r="G4" s="1449" t="s">
        <v>10525</v>
      </c>
      <c r="H4" s="1450" t="s">
        <v>10526</v>
      </c>
      <c r="I4" s="1446" t="s">
        <v>10527</v>
      </c>
      <c r="J4" s="1452" t="s">
        <v>10528</v>
      </c>
      <c r="K4" s="1453" t="s">
        <v>10529</v>
      </c>
      <c r="L4" s="1455" t="s">
        <v>8456</v>
      </c>
      <c r="M4" s="1696">
        <f>M23</f>
        <v>0.0521412037</v>
      </c>
      <c r="N4" s="1696" t="str">
        <f t="shared" si="1"/>
        <v>0:48</v>
      </c>
    </row>
    <row r="5" ht="15.75" customHeight="1">
      <c r="A5" s="1635" t="s">
        <v>1060</v>
      </c>
      <c r="B5" s="1612" t="s">
        <v>8372</v>
      </c>
      <c r="C5" s="1697">
        <v>0.04997685185185185</v>
      </c>
      <c r="D5" s="1698" t="s">
        <v>10507</v>
      </c>
      <c r="E5" s="1482" t="s">
        <v>10530</v>
      </c>
      <c r="F5" s="1698" t="s">
        <v>10509</v>
      </c>
      <c r="G5" s="1698" t="s">
        <v>10510</v>
      </c>
      <c r="H5" s="1699" t="s">
        <v>10531</v>
      </c>
      <c r="I5" s="1479" t="s">
        <v>10532</v>
      </c>
      <c r="J5" s="1479" t="s">
        <v>10533</v>
      </c>
      <c r="K5" s="1698" t="s">
        <v>10514</v>
      </c>
      <c r="L5" s="1479" t="s">
        <v>2065</v>
      </c>
      <c r="M5" s="1520" t="s">
        <v>8398</v>
      </c>
      <c r="N5" s="1700" t="str">
        <f t="shared" si="1"/>
        <v>0:53</v>
      </c>
      <c r="O5" s="1479" t="s">
        <v>10534</v>
      </c>
    </row>
    <row r="6" ht="15.75" customHeight="1">
      <c r="A6" s="1701" t="s">
        <v>436</v>
      </c>
      <c r="B6" s="1459" t="s">
        <v>8372</v>
      </c>
      <c r="C6" s="1702">
        <v>0.04998842592592593</v>
      </c>
      <c r="D6" s="1479" t="s">
        <v>10535</v>
      </c>
      <c r="E6" s="1703" t="s">
        <v>10508</v>
      </c>
      <c r="F6" s="1479" t="s">
        <v>10536</v>
      </c>
      <c r="G6" s="1479" t="s">
        <v>10537</v>
      </c>
      <c r="H6" s="1520" t="s">
        <v>10511</v>
      </c>
      <c r="I6" s="1479" t="s">
        <v>10538</v>
      </c>
      <c r="J6" s="1520" t="s">
        <v>10513</v>
      </c>
      <c r="K6" s="1479" t="s">
        <v>10539</v>
      </c>
      <c r="L6" s="1479" t="s">
        <v>8473</v>
      </c>
      <c r="M6" s="1479" t="s">
        <v>8494</v>
      </c>
      <c r="N6" s="1704" t="str">
        <f t="shared" si="1"/>
        <v>1:18</v>
      </c>
      <c r="O6" s="1479" t="s">
        <v>10540</v>
      </c>
    </row>
    <row r="7" ht="15.75" customHeight="1">
      <c r="A7" s="1664" t="s">
        <v>1877</v>
      </c>
      <c r="B7" s="1459" t="s">
        <v>8372</v>
      </c>
      <c r="C7" s="1697">
        <v>0.050150462962962966</v>
      </c>
      <c r="D7" s="1479" t="s">
        <v>10541</v>
      </c>
      <c r="E7" s="1479" t="s">
        <v>10542</v>
      </c>
      <c r="F7" s="1479" t="s">
        <v>10543</v>
      </c>
      <c r="G7" s="1479" t="s">
        <v>10544</v>
      </c>
      <c r="H7" s="1479" t="s">
        <v>10545</v>
      </c>
      <c r="I7" s="1479" t="s">
        <v>10546</v>
      </c>
      <c r="J7" s="1479" t="s">
        <v>10547</v>
      </c>
      <c r="K7" s="1479" t="s">
        <v>10548</v>
      </c>
      <c r="L7" s="1479" t="s">
        <v>10549</v>
      </c>
      <c r="M7" s="1705">
        <v>0.05077546296296296</v>
      </c>
      <c r="N7" s="1704" t="str">
        <f t="shared" si="1"/>
        <v>0:54</v>
      </c>
      <c r="O7" s="1479" t="s">
        <v>10540</v>
      </c>
    </row>
    <row r="8" ht="15.75" customHeight="1">
      <c r="A8" s="1701" t="s">
        <v>6256</v>
      </c>
      <c r="B8" s="1553" t="s">
        <v>8372</v>
      </c>
      <c r="C8" s="1706">
        <v>0.05025462962962963</v>
      </c>
      <c r="D8" s="1707" t="s">
        <v>10550</v>
      </c>
      <c r="E8" s="1480" t="s">
        <v>10551</v>
      </c>
      <c r="F8" s="1479" t="s">
        <v>10552</v>
      </c>
      <c r="G8" s="1479" t="s">
        <v>10553</v>
      </c>
      <c r="H8" s="1479" t="s">
        <v>10554</v>
      </c>
      <c r="I8" s="1479" t="s">
        <v>10336</v>
      </c>
      <c r="J8" s="1479" t="s">
        <v>10555</v>
      </c>
      <c r="K8" s="1479" t="s">
        <v>10556</v>
      </c>
      <c r="L8" s="1479" t="s">
        <v>8580</v>
      </c>
      <c r="M8" s="1705" t="s">
        <v>8581</v>
      </c>
      <c r="N8" s="1704" t="str">
        <f t="shared" si="1"/>
        <v>0:36</v>
      </c>
      <c r="O8" s="1479"/>
    </row>
    <row r="9" ht="15.75" customHeight="1">
      <c r="A9" s="1664" t="s">
        <v>6332</v>
      </c>
      <c r="B9" s="1459" t="s">
        <v>8372</v>
      </c>
      <c r="C9" s="1706">
        <v>0.050416666666666665</v>
      </c>
      <c r="D9" s="1479" t="s">
        <v>10557</v>
      </c>
      <c r="E9" s="1480" t="s">
        <v>10558</v>
      </c>
      <c r="F9" s="1482" t="s">
        <v>10559</v>
      </c>
      <c r="G9" s="1482" t="s">
        <v>10560</v>
      </c>
      <c r="H9" s="1479" t="s">
        <v>10561</v>
      </c>
      <c r="I9" s="1520" t="s">
        <v>10512</v>
      </c>
      <c r="J9" s="1479" t="s">
        <v>10562</v>
      </c>
      <c r="K9" s="1479" t="s">
        <v>10563</v>
      </c>
      <c r="L9" s="1482" t="s">
        <v>10549</v>
      </c>
      <c r="M9" s="1705">
        <v>0.0512037037037037</v>
      </c>
      <c r="N9" s="1704" t="str">
        <f t="shared" si="1"/>
        <v>1:08</v>
      </c>
      <c r="O9" s="1479" t="s">
        <v>10540</v>
      </c>
    </row>
    <row r="10">
      <c r="A10" s="1708" t="s">
        <v>912</v>
      </c>
      <c r="B10" s="1709" t="s">
        <v>8372</v>
      </c>
      <c r="C10" s="1706">
        <v>0.05047453703703704</v>
      </c>
      <c r="D10" s="1547" t="s">
        <v>10564</v>
      </c>
      <c r="E10" s="1480" t="s">
        <v>10565</v>
      </c>
      <c r="F10" s="1699" t="s">
        <v>10566</v>
      </c>
      <c r="G10" s="1479" t="s">
        <v>10567</v>
      </c>
      <c r="H10" s="1479" t="s">
        <v>10568</v>
      </c>
      <c r="I10" s="1479" t="s">
        <v>10569</v>
      </c>
      <c r="J10" s="1479" t="s">
        <v>10570</v>
      </c>
      <c r="K10" s="1479" t="s">
        <v>10571</v>
      </c>
      <c r="L10" s="1479" t="s">
        <v>3523</v>
      </c>
      <c r="M10" s="1705">
        <v>0.051354166666666666</v>
      </c>
      <c r="N10" s="1704" t="str">
        <f t="shared" si="1"/>
        <v>1:16</v>
      </c>
      <c r="O10" s="1479" t="s">
        <v>10572</v>
      </c>
    </row>
    <row r="11" ht="15.75" customHeight="1">
      <c r="A11" s="1635" t="s">
        <v>1551</v>
      </c>
      <c r="B11" s="1403" t="s">
        <v>8372</v>
      </c>
      <c r="C11" s="1706">
        <v>0.05061342592592592</v>
      </c>
      <c r="D11" s="1710" t="s">
        <v>10573</v>
      </c>
      <c r="E11" s="1480" t="s">
        <v>10574</v>
      </c>
      <c r="F11" s="1711" t="s">
        <v>10575</v>
      </c>
      <c r="G11" s="1479" t="s">
        <v>10576</v>
      </c>
      <c r="H11" s="1711" t="s">
        <v>10577</v>
      </c>
      <c r="I11" s="1711" t="s">
        <v>10578</v>
      </c>
      <c r="J11" s="1479" t="s">
        <v>10579</v>
      </c>
      <c r="K11" s="1479" t="s">
        <v>10580</v>
      </c>
      <c r="L11" s="1479" t="s">
        <v>3460</v>
      </c>
      <c r="M11" s="1705">
        <v>0.05122685185185185</v>
      </c>
      <c r="N11" s="1704" t="str">
        <f t="shared" si="1"/>
        <v>0:53</v>
      </c>
      <c r="O11" s="1479" t="s">
        <v>10581</v>
      </c>
    </row>
    <row r="12" ht="15.75" customHeight="1">
      <c r="A12" s="1652" t="s">
        <v>2006</v>
      </c>
      <c r="B12" s="1459" t="s">
        <v>8372</v>
      </c>
      <c r="C12" s="1702">
        <v>0.05061342592592592</v>
      </c>
      <c r="D12" s="1547" t="s">
        <v>10582</v>
      </c>
      <c r="E12" s="1712" t="s">
        <v>10583</v>
      </c>
      <c r="F12" s="1479" t="s">
        <v>10584</v>
      </c>
      <c r="G12" s="1479" t="s">
        <v>10585</v>
      </c>
      <c r="H12" s="1479" t="s">
        <v>10586</v>
      </c>
      <c r="I12" s="1479" t="s">
        <v>10587</v>
      </c>
      <c r="J12" s="1479" t="s">
        <v>10588</v>
      </c>
      <c r="K12" s="1479" t="s">
        <v>10589</v>
      </c>
      <c r="L12" s="1479" t="s">
        <v>6249</v>
      </c>
      <c r="M12" s="1705">
        <v>0.05153935185185185</v>
      </c>
      <c r="N12" s="1704" t="str">
        <f t="shared" si="1"/>
        <v>1:20</v>
      </c>
      <c r="O12" s="1479" t="s">
        <v>10540</v>
      </c>
    </row>
    <row r="13" ht="15.75" customHeight="1">
      <c r="A13" s="1701" t="s">
        <v>330</v>
      </c>
      <c r="B13" s="1459" t="s">
        <v>8372</v>
      </c>
      <c r="C13" s="1702">
        <v>0.05068287037037037</v>
      </c>
      <c r="D13" s="1479" t="s">
        <v>10590</v>
      </c>
      <c r="E13" s="1712" t="s">
        <v>10591</v>
      </c>
      <c r="F13" s="1479" t="s">
        <v>10592</v>
      </c>
      <c r="G13" s="1479" t="s">
        <v>10593</v>
      </c>
      <c r="H13" s="1479" t="s">
        <v>10594</v>
      </c>
      <c r="I13" s="1479" t="s">
        <v>10595</v>
      </c>
      <c r="J13" s="1479" t="s">
        <v>10596</v>
      </c>
      <c r="K13" s="1479" t="s">
        <v>10597</v>
      </c>
      <c r="L13" s="1496" t="s">
        <v>8397</v>
      </c>
      <c r="M13" s="1705">
        <v>0.05164351851851852</v>
      </c>
      <c r="N13" s="1704" t="str">
        <f t="shared" si="1"/>
        <v>1:23</v>
      </c>
      <c r="O13" s="1479" t="s">
        <v>10540</v>
      </c>
    </row>
    <row r="14" ht="15.75" customHeight="1">
      <c r="A14" s="1713" t="s">
        <v>2636</v>
      </c>
      <c r="B14" s="1459" t="s">
        <v>8372</v>
      </c>
      <c r="C14" s="1714">
        <v>0.05103009259259259</v>
      </c>
      <c r="D14" s="1479" t="s">
        <v>10598</v>
      </c>
      <c r="E14" s="1712" t="s">
        <v>10147</v>
      </c>
      <c r="F14" s="1479" t="s">
        <v>10599</v>
      </c>
      <c r="G14" s="1479" t="s">
        <v>10600</v>
      </c>
      <c r="H14" s="1699" t="s">
        <v>10601</v>
      </c>
      <c r="I14" s="1479" t="s">
        <v>10602</v>
      </c>
      <c r="J14" s="1479" t="s">
        <v>10603</v>
      </c>
      <c r="K14" s="1479" t="s">
        <v>10604</v>
      </c>
      <c r="L14" s="1479" t="s">
        <v>10605</v>
      </c>
      <c r="M14" s="1705">
        <v>0.051909722222222225</v>
      </c>
      <c r="N14" s="1704" t="str">
        <f t="shared" si="1"/>
        <v>1:16</v>
      </c>
      <c r="O14" s="1479" t="s">
        <v>10540</v>
      </c>
    </row>
    <row r="15">
      <c r="A15" s="1715" t="s">
        <v>3093</v>
      </c>
      <c r="B15" s="1716" t="s">
        <v>8372</v>
      </c>
      <c r="C15" s="1702">
        <v>0.05113321759259259</v>
      </c>
      <c r="D15" s="1717" t="s">
        <v>10606</v>
      </c>
      <c r="E15" s="1718" t="s">
        <v>10607</v>
      </c>
      <c r="F15" s="1699" t="s">
        <v>10608</v>
      </c>
      <c r="G15" s="1699" t="s">
        <v>10609</v>
      </c>
      <c r="H15" s="1699" t="s">
        <v>10610</v>
      </c>
      <c r="I15" s="1699" t="s">
        <v>10611</v>
      </c>
      <c r="J15" s="1699" t="s">
        <v>10612</v>
      </c>
      <c r="K15" s="1699" t="s">
        <v>10613</v>
      </c>
      <c r="L15" s="1699" t="s">
        <v>8974</v>
      </c>
      <c r="M15" s="1705">
        <v>0.05224537037037037</v>
      </c>
      <c r="N15" s="1705" t="str">
        <f t="shared" si="1"/>
        <v>1:36</v>
      </c>
      <c r="O15" s="1479"/>
    </row>
    <row r="16" ht="15.75" customHeight="1">
      <c r="A16" s="1719" t="s">
        <v>2248</v>
      </c>
      <c r="B16" s="1553" t="s">
        <v>8372</v>
      </c>
      <c r="C16" s="1702">
        <v>0.051145833333333335</v>
      </c>
      <c r="D16" s="1547" t="s">
        <v>10614</v>
      </c>
      <c r="E16" s="1480" t="s">
        <v>10615</v>
      </c>
      <c r="F16" s="1479" t="s">
        <v>10616</v>
      </c>
      <c r="G16" s="1479" t="s">
        <v>10617</v>
      </c>
      <c r="H16" s="1479" t="s">
        <v>10618</v>
      </c>
      <c r="I16" s="1479" t="s">
        <v>10619</v>
      </c>
      <c r="J16" s="1479" t="s">
        <v>10620</v>
      </c>
      <c r="K16" s="1479" t="s">
        <v>10621</v>
      </c>
      <c r="L16" s="1479" t="s">
        <v>2887</v>
      </c>
      <c r="M16" s="1705">
        <v>0.05228009259259259</v>
      </c>
      <c r="N16" s="1704" t="str">
        <f t="shared" si="1"/>
        <v>1:38</v>
      </c>
      <c r="O16" s="1479" t="s">
        <v>10622</v>
      </c>
    </row>
    <row r="17" ht="15.75" customHeight="1">
      <c r="A17" s="1701" t="s">
        <v>1413</v>
      </c>
      <c r="B17" s="1459" t="s">
        <v>8372</v>
      </c>
      <c r="C17" s="1702">
        <v>0.05122685185185185</v>
      </c>
      <c r="D17" s="1479" t="s">
        <v>10623</v>
      </c>
      <c r="E17" s="1712" t="s">
        <v>8428</v>
      </c>
      <c r="F17" s="1479" t="s">
        <v>10624</v>
      </c>
      <c r="G17" s="1479" t="s">
        <v>10625</v>
      </c>
      <c r="H17" s="1479" t="s">
        <v>10510</v>
      </c>
      <c r="I17" s="1479" t="s">
        <v>8377</v>
      </c>
      <c r="J17" s="1479" t="s">
        <v>10626</v>
      </c>
      <c r="K17" s="1479" t="s">
        <v>10627</v>
      </c>
      <c r="L17" s="1479" t="s">
        <v>10628</v>
      </c>
      <c r="M17" s="1705">
        <v>0.052037037037037034</v>
      </c>
      <c r="N17" s="1704" t="str">
        <f t="shared" si="1"/>
        <v>1:10</v>
      </c>
      <c r="O17" s="1479" t="s">
        <v>10540</v>
      </c>
    </row>
    <row r="18" ht="15.75" customHeight="1">
      <c r="A18" s="1719" t="s">
        <v>1720</v>
      </c>
      <c r="B18" s="1553" t="s">
        <v>8372</v>
      </c>
      <c r="C18" s="1702">
        <v>0.05122685185185185</v>
      </c>
      <c r="D18" s="1707" t="s">
        <v>10629</v>
      </c>
      <c r="E18" s="1480" t="s">
        <v>10630</v>
      </c>
      <c r="F18" s="1479" t="s">
        <v>10631</v>
      </c>
      <c r="G18" s="1479" t="s">
        <v>10632</v>
      </c>
      <c r="H18" s="1479" t="s">
        <v>10633</v>
      </c>
      <c r="I18" s="1479" t="s">
        <v>10634</v>
      </c>
      <c r="J18" s="1479" t="s">
        <v>10635</v>
      </c>
      <c r="K18" s="1479" t="s">
        <v>10636</v>
      </c>
      <c r="L18" s="1479" t="s">
        <v>5874</v>
      </c>
      <c r="M18" s="1705">
        <v>0.05224537037037037</v>
      </c>
      <c r="N18" s="1704" t="str">
        <f t="shared" si="1"/>
        <v>1:28</v>
      </c>
      <c r="O18" s="1479" t="s">
        <v>10637</v>
      </c>
    </row>
    <row r="19" ht="15.75" customHeight="1">
      <c r="A19" s="1719" t="s">
        <v>6321</v>
      </c>
      <c r="B19" s="1553" t="s">
        <v>8372</v>
      </c>
      <c r="C19" s="1702">
        <v>0.05133101851851852</v>
      </c>
      <c r="D19" s="1479" t="s">
        <v>10638</v>
      </c>
      <c r="E19" s="1480" t="s">
        <v>10639</v>
      </c>
      <c r="F19" s="1479" t="s">
        <v>10640</v>
      </c>
      <c r="G19" s="1482" t="s">
        <v>10641</v>
      </c>
      <c r="H19" s="1482" t="s">
        <v>10642</v>
      </c>
      <c r="I19" s="1479" t="s">
        <v>10643</v>
      </c>
      <c r="J19" s="1479" t="s">
        <v>10644</v>
      </c>
      <c r="K19" s="1479" t="s">
        <v>10645</v>
      </c>
      <c r="L19" s="1479" t="s">
        <v>10646</v>
      </c>
      <c r="M19" s="1705">
        <v>0.05197916666666667</v>
      </c>
      <c r="N19" s="1704" t="str">
        <f t="shared" si="1"/>
        <v>0:56</v>
      </c>
      <c r="O19" s="1479" t="s">
        <v>10647</v>
      </c>
    </row>
    <row r="20" ht="15.75" customHeight="1">
      <c r="A20" s="1664" t="s">
        <v>8780</v>
      </c>
      <c r="B20" s="1459" t="s">
        <v>8372</v>
      </c>
      <c r="C20" s="1706">
        <v>0.05144675925925926</v>
      </c>
      <c r="D20" s="1479" t="s">
        <v>10648</v>
      </c>
      <c r="E20" s="1712" t="s">
        <v>10649</v>
      </c>
      <c r="F20" s="1479" t="s">
        <v>10650</v>
      </c>
      <c r="G20" s="1479" t="s">
        <v>10651</v>
      </c>
      <c r="H20" s="1479" t="s">
        <v>10652</v>
      </c>
      <c r="I20" s="1479" t="s">
        <v>10653</v>
      </c>
      <c r="J20" s="1479" t="s">
        <v>10654</v>
      </c>
      <c r="K20" s="1479" t="s">
        <v>10655</v>
      </c>
      <c r="L20" s="1720" t="s">
        <v>8671</v>
      </c>
      <c r="M20" s="1705">
        <v>0.05258101851851852</v>
      </c>
      <c r="N20" s="1704" t="str">
        <f t="shared" si="1"/>
        <v>1:38</v>
      </c>
      <c r="O20" s="1479" t="s">
        <v>10540</v>
      </c>
    </row>
    <row r="21" ht="15.75" customHeight="1">
      <c r="A21" s="1719" t="s">
        <v>8990</v>
      </c>
      <c r="B21" s="1553" t="s">
        <v>8400</v>
      </c>
      <c r="C21" s="1702">
        <v>0.05146990740740741</v>
      </c>
      <c r="D21" s="1721" t="s">
        <v>10515</v>
      </c>
      <c r="E21" s="1480" t="s">
        <v>9975</v>
      </c>
      <c r="F21" s="1721" t="s">
        <v>10516</v>
      </c>
      <c r="G21" s="1721" t="s">
        <v>10517</v>
      </c>
      <c r="H21" s="1721" t="s">
        <v>10518</v>
      </c>
      <c r="I21" s="1479" t="s">
        <v>10656</v>
      </c>
      <c r="J21" s="1721" t="s">
        <v>10520</v>
      </c>
      <c r="K21" s="1721" t="s">
        <v>10521</v>
      </c>
      <c r="L21" s="1722" t="s">
        <v>9005</v>
      </c>
      <c r="M21" s="1723">
        <v>0.05236111111111111</v>
      </c>
      <c r="N21" s="1704" t="str">
        <f t="shared" si="1"/>
        <v>1:17</v>
      </c>
      <c r="O21" s="1479" t="s">
        <v>10540</v>
      </c>
    </row>
    <row r="22" ht="15.75" customHeight="1">
      <c r="A22" s="1701" t="s">
        <v>826</v>
      </c>
      <c r="B22" s="1459" t="s">
        <v>8372</v>
      </c>
      <c r="C22" s="1706">
        <v>0.051550925925925924</v>
      </c>
      <c r="D22" s="1479" t="s">
        <v>10657</v>
      </c>
      <c r="E22" s="1712" t="s">
        <v>9943</v>
      </c>
      <c r="F22" s="1479" t="s">
        <v>10658</v>
      </c>
      <c r="G22" s="1479" t="s">
        <v>10659</v>
      </c>
      <c r="H22" s="1479" t="s">
        <v>10660</v>
      </c>
      <c r="I22" s="1479" t="s">
        <v>10661</v>
      </c>
      <c r="J22" s="1479" t="s">
        <v>10662</v>
      </c>
      <c r="K22" s="1479" t="s">
        <v>10663</v>
      </c>
      <c r="L22" s="1720" t="s">
        <v>10664</v>
      </c>
      <c r="M22" s="1705">
        <v>0.05229166666666667</v>
      </c>
      <c r="N22" s="1704" t="str">
        <f t="shared" si="1"/>
        <v>1:04</v>
      </c>
      <c r="O22" s="1479" t="s">
        <v>10540</v>
      </c>
    </row>
    <row r="23">
      <c r="A23" s="1715" t="s">
        <v>1877</v>
      </c>
      <c r="B23" s="1612" t="s">
        <v>8424</v>
      </c>
      <c r="C23" s="1702">
        <v>0.05158564814814815</v>
      </c>
      <c r="D23" s="1724" t="s">
        <v>10522</v>
      </c>
      <c r="E23" s="1725" t="s">
        <v>10523</v>
      </c>
      <c r="F23" s="1724" t="s">
        <v>10524</v>
      </c>
      <c r="G23" s="1724" t="s">
        <v>10525</v>
      </c>
      <c r="H23" s="1724" t="s">
        <v>10526</v>
      </c>
      <c r="I23" s="1724" t="s">
        <v>10527</v>
      </c>
      <c r="J23" s="1724" t="s">
        <v>10528</v>
      </c>
      <c r="K23" s="1724" t="s">
        <v>10529</v>
      </c>
      <c r="L23" s="1724" t="s">
        <v>8456</v>
      </c>
      <c r="M23" s="1726">
        <v>0.052141203703703703</v>
      </c>
      <c r="N23" s="1704" t="str">
        <f t="shared" si="1"/>
        <v>0:48</v>
      </c>
      <c r="O23" s="1479" t="s">
        <v>10665</v>
      </c>
    </row>
    <row r="24" ht="15.75" customHeight="1">
      <c r="A24" s="1635" t="s">
        <v>2816</v>
      </c>
      <c r="B24" s="1553" t="s">
        <v>8372</v>
      </c>
      <c r="C24" s="1706">
        <v>0.051706365740740744</v>
      </c>
      <c r="D24" s="1547" t="s">
        <v>10666</v>
      </c>
      <c r="E24" s="1480" t="s">
        <v>10667</v>
      </c>
      <c r="F24" s="1479" t="s">
        <v>10668</v>
      </c>
      <c r="G24" s="1479" t="s">
        <v>10669</v>
      </c>
      <c r="H24" s="1479" t="s">
        <v>10670</v>
      </c>
      <c r="I24" s="1479" t="s">
        <v>10671</v>
      </c>
      <c r="J24" s="1479" t="s">
        <v>10672</v>
      </c>
      <c r="K24" s="1479" t="s">
        <v>10673</v>
      </c>
      <c r="L24" s="1479" t="s">
        <v>9307</v>
      </c>
      <c r="M24" s="1705">
        <v>0.0525</v>
      </c>
      <c r="N24" s="1705" t="str">
        <f t="shared" si="1"/>
        <v>1:09</v>
      </c>
      <c r="O24" s="1479"/>
    </row>
    <row r="25" ht="15.75" customHeight="1">
      <c r="A25" s="1727" t="s">
        <v>2091</v>
      </c>
      <c r="B25" s="1603" t="s">
        <v>8372</v>
      </c>
      <c r="C25" s="1706">
        <v>0.05171296296296296</v>
      </c>
      <c r="D25" s="1728" t="s">
        <v>10674</v>
      </c>
      <c r="E25" s="1728" t="s">
        <v>10675</v>
      </c>
      <c r="F25" s="1728" t="s">
        <v>10676</v>
      </c>
      <c r="G25" s="1728" t="s">
        <v>10677</v>
      </c>
      <c r="H25" s="1547" t="s">
        <v>10678</v>
      </c>
      <c r="I25" s="1728" t="s">
        <v>10679</v>
      </c>
      <c r="J25" s="1547" t="s">
        <v>10680</v>
      </c>
      <c r="K25" s="1728" t="s">
        <v>10681</v>
      </c>
      <c r="L25" s="1547" t="s">
        <v>7868</v>
      </c>
      <c r="M25" s="1705">
        <v>0.054375</v>
      </c>
      <c r="N25" s="1704" t="str">
        <f t="shared" si="1"/>
        <v>3:50</v>
      </c>
      <c r="O25" s="1479" t="s">
        <v>10682</v>
      </c>
    </row>
    <row r="26" ht="15.75" customHeight="1">
      <c r="A26" s="1719" t="s">
        <v>2863</v>
      </c>
      <c r="B26" s="1553" t="s">
        <v>8372</v>
      </c>
      <c r="C26" s="1702">
        <v>0.05180160879629629</v>
      </c>
      <c r="D26" s="1547" t="s">
        <v>10683</v>
      </c>
      <c r="E26" s="1480" t="s">
        <v>10684</v>
      </c>
      <c r="F26" s="1479" t="s">
        <v>10685</v>
      </c>
      <c r="G26" s="1479" t="s">
        <v>10686</v>
      </c>
      <c r="H26" s="1479" t="s">
        <v>10687</v>
      </c>
      <c r="I26" s="1479" t="s">
        <v>10688</v>
      </c>
      <c r="J26" s="1479" t="s">
        <v>10689</v>
      </c>
      <c r="K26" s="1479" t="s">
        <v>10690</v>
      </c>
      <c r="L26" s="1479" t="s">
        <v>10691</v>
      </c>
      <c r="M26" s="1705">
        <v>0.05303240740740741</v>
      </c>
      <c r="N26" s="1704" t="str">
        <f t="shared" si="1"/>
        <v>1:46</v>
      </c>
      <c r="O26" s="1479"/>
    </row>
    <row r="27" ht="15.75" customHeight="1">
      <c r="A27" s="1635" t="s">
        <v>1255</v>
      </c>
      <c r="B27" s="1612" t="s">
        <v>8424</v>
      </c>
      <c r="C27" s="1706">
        <v>0.052088194444444444</v>
      </c>
      <c r="D27" s="1547" t="s">
        <v>10692</v>
      </c>
      <c r="E27" s="1480" t="s">
        <v>10693</v>
      </c>
      <c r="F27" s="1479" t="s">
        <v>10694</v>
      </c>
      <c r="G27" s="1479" t="s">
        <v>10695</v>
      </c>
      <c r="H27" s="1479" t="s">
        <v>10696</v>
      </c>
      <c r="I27" s="1479" t="s">
        <v>10697</v>
      </c>
      <c r="J27" s="1479" t="s">
        <v>10698</v>
      </c>
      <c r="K27" s="1479" t="s">
        <v>10699</v>
      </c>
      <c r="L27" s="1479" t="s">
        <v>9601</v>
      </c>
      <c r="M27" s="1705">
        <v>0.053043981481481484</v>
      </c>
      <c r="N27" s="1704" t="str">
        <f t="shared" si="1"/>
        <v>1:23</v>
      </c>
      <c r="O27" s="1479" t="s">
        <v>10540</v>
      </c>
    </row>
    <row r="28" ht="15.75" customHeight="1">
      <c r="A28" s="1719" t="s">
        <v>2214</v>
      </c>
      <c r="B28" s="1612" t="s">
        <v>8400</v>
      </c>
      <c r="C28" s="1706">
        <v>0.052118055555555556</v>
      </c>
      <c r="D28" s="1707" t="s">
        <v>10700</v>
      </c>
      <c r="E28" s="1480" t="s">
        <v>10701</v>
      </c>
      <c r="F28" s="1479" t="s">
        <v>10702</v>
      </c>
      <c r="G28" s="1479" t="s">
        <v>10703</v>
      </c>
      <c r="H28" s="1479" t="s">
        <v>10704</v>
      </c>
      <c r="I28" s="1479" t="s">
        <v>10705</v>
      </c>
      <c r="J28" s="1479" t="s">
        <v>10706</v>
      </c>
      <c r="K28" s="1479" t="s">
        <v>10707</v>
      </c>
      <c r="L28" s="1479" t="s">
        <v>8922</v>
      </c>
      <c r="M28" s="1705">
        <v>0.053460648148148146</v>
      </c>
      <c r="N28" s="1704" t="str">
        <f t="shared" si="1"/>
        <v>1:56</v>
      </c>
      <c r="O28" s="1479" t="s">
        <v>10708</v>
      </c>
    </row>
    <row r="29" ht="15.75" customHeight="1">
      <c r="A29" s="1635" t="s">
        <v>2569</v>
      </c>
      <c r="B29" s="1553" t="s">
        <v>8400</v>
      </c>
      <c r="C29" s="1706">
        <v>0.05215277777777778</v>
      </c>
      <c r="D29" s="1479" t="s">
        <v>10709</v>
      </c>
      <c r="E29" s="1721" t="s">
        <v>5806</v>
      </c>
      <c r="F29" s="1479" t="s">
        <v>10710</v>
      </c>
      <c r="G29" s="1479" t="s">
        <v>10711</v>
      </c>
      <c r="H29" s="1479" t="s">
        <v>10712</v>
      </c>
      <c r="I29" s="1479" t="s">
        <v>10574</v>
      </c>
      <c r="J29" s="1479" t="s">
        <v>10713</v>
      </c>
      <c r="K29" s="1479" t="s">
        <v>10714</v>
      </c>
      <c r="L29" s="1479" t="s">
        <v>9359</v>
      </c>
      <c r="M29" s="1705">
        <v>0.05399305555555556</v>
      </c>
      <c r="N29" s="1704" t="str">
        <f t="shared" si="1"/>
        <v>2:39</v>
      </c>
      <c r="O29" s="1479" t="s">
        <v>10715</v>
      </c>
    </row>
    <row r="30" ht="15.75" customHeight="1">
      <c r="A30" s="1719" t="s">
        <v>2899</v>
      </c>
      <c r="B30" s="1553" t="s">
        <v>8372</v>
      </c>
      <c r="C30" s="1729">
        <v>0.05216435185185185</v>
      </c>
      <c r="D30" s="1479" t="s">
        <v>10716</v>
      </c>
      <c r="E30" s="1480" t="s">
        <v>10717</v>
      </c>
      <c r="F30" s="1479" t="s">
        <v>10718</v>
      </c>
      <c r="G30" s="1479" t="s">
        <v>10719</v>
      </c>
      <c r="H30" s="1479" t="s">
        <v>10720</v>
      </c>
      <c r="I30" s="1479" t="s">
        <v>10721</v>
      </c>
      <c r="J30" s="1479" t="s">
        <v>10722</v>
      </c>
      <c r="K30" s="1479" t="s">
        <v>10723</v>
      </c>
      <c r="L30" s="1479" t="s">
        <v>10724</v>
      </c>
      <c r="M30" s="1730">
        <v>0.05337962962962963</v>
      </c>
      <c r="N30" s="1704" t="str">
        <f t="shared" si="1"/>
        <v>1:45</v>
      </c>
      <c r="O30" s="1479" t="s">
        <v>10725</v>
      </c>
    </row>
    <row r="31" ht="15.75" customHeight="1">
      <c r="A31" s="1635" t="s">
        <v>736</v>
      </c>
      <c r="B31" s="1553" t="s">
        <v>8400</v>
      </c>
      <c r="C31" s="1706">
        <v>0.05224537037037037</v>
      </c>
      <c r="D31" s="1479" t="s">
        <v>10726</v>
      </c>
      <c r="E31" s="1731" t="s">
        <v>10727</v>
      </c>
      <c r="F31" s="1479" t="s">
        <v>10728</v>
      </c>
      <c r="G31" s="1479" t="s">
        <v>10729</v>
      </c>
      <c r="H31" s="1479" t="s">
        <v>10730</v>
      </c>
      <c r="I31" s="1721" t="s">
        <v>10519</v>
      </c>
      <c r="J31" s="1479" t="s">
        <v>10731</v>
      </c>
      <c r="K31" s="1482" t="s">
        <v>10732</v>
      </c>
      <c r="L31" s="1479" t="s">
        <v>10733</v>
      </c>
      <c r="M31" s="1705">
        <v>0.053043981481481484</v>
      </c>
      <c r="N31" s="1704" t="str">
        <f t="shared" si="1"/>
        <v>1:09</v>
      </c>
      <c r="O31" s="1479" t="s">
        <v>10734</v>
      </c>
    </row>
    <row r="32" ht="15.75" customHeight="1">
      <c r="A32" s="1719" t="s">
        <v>2863</v>
      </c>
      <c r="B32" s="1612" t="s">
        <v>8400</v>
      </c>
      <c r="C32" s="1702">
        <v>0.052316898148148154</v>
      </c>
      <c r="D32" s="1547" t="s">
        <v>10735</v>
      </c>
      <c r="E32" s="1480" t="s">
        <v>10736</v>
      </c>
      <c r="F32" s="1479" t="s">
        <v>10737</v>
      </c>
      <c r="G32" s="1479" t="s">
        <v>10738</v>
      </c>
      <c r="H32" s="1479" t="s">
        <v>10739</v>
      </c>
      <c r="I32" s="1479" t="s">
        <v>10740</v>
      </c>
      <c r="J32" s="1479" t="s">
        <v>10741</v>
      </c>
      <c r="K32" s="1479" t="s">
        <v>10742</v>
      </c>
      <c r="L32" s="1479" t="s">
        <v>9082</v>
      </c>
      <c r="M32" s="1705">
        <v>0.0537625</v>
      </c>
      <c r="N32" s="1704" t="str">
        <f t="shared" si="1"/>
        <v>2:05</v>
      </c>
      <c r="O32" s="1479" t="s">
        <v>10540</v>
      </c>
    </row>
    <row r="33" ht="15.75" customHeight="1">
      <c r="A33" s="1635" t="s">
        <v>3982</v>
      </c>
      <c r="B33" s="1553" t="s">
        <v>8372</v>
      </c>
      <c r="C33" s="1706">
        <v>0.05238425925925926</v>
      </c>
      <c r="D33" s="1707" t="s">
        <v>10743</v>
      </c>
      <c r="E33" s="1480" t="s">
        <v>10717</v>
      </c>
      <c r="F33" s="1479" t="s">
        <v>10744</v>
      </c>
      <c r="G33" s="1732" t="s">
        <v>10745</v>
      </c>
      <c r="H33" s="1479" t="s">
        <v>10746</v>
      </c>
      <c r="I33" s="1479" t="s">
        <v>10747</v>
      </c>
      <c r="J33" s="1479" t="s">
        <v>10748</v>
      </c>
      <c r="K33" s="1479" t="s">
        <v>10749</v>
      </c>
      <c r="L33" s="1479" t="s">
        <v>9619</v>
      </c>
      <c r="M33" s="1705">
        <v>0.05340277777777778</v>
      </c>
      <c r="N33" s="1704" t="str">
        <f t="shared" si="1"/>
        <v>1:28</v>
      </c>
      <c r="O33" s="1479" t="s">
        <v>10750</v>
      </c>
    </row>
    <row r="34" ht="15.75" customHeight="1">
      <c r="A34" s="1719" t="s">
        <v>9645</v>
      </c>
      <c r="B34" s="1553" t="s">
        <v>8372</v>
      </c>
      <c r="C34" s="1702">
        <v>0.05268518518518518</v>
      </c>
      <c r="D34" s="1547" t="s">
        <v>10751</v>
      </c>
      <c r="E34" s="1480" t="s">
        <v>10752</v>
      </c>
      <c r="F34" s="1479" t="s">
        <v>10753</v>
      </c>
      <c r="G34" s="1479" t="s">
        <v>10754</v>
      </c>
      <c r="H34" s="1479" t="s">
        <v>10755</v>
      </c>
      <c r="I34" s="1479" t="s">
        <v>10756</v>
      </c>
      <c r="J34" s="1479" t="s">
        <v>10757</v>
      </c>
      <c r="K34" s="1479" t="s">
        <v>10758</v>
      </c>
      <c r="L34" s="1479" t="s">
        <v>9663</v>
      </c>
      <c r="M34" s="1705">
        <v>0.05331018518518518</v>
      </c>
      <c r="N34" s="1704" t="str">
        <f t="shared" si="1"/>
        <v>0:54</v>
      </c>
      <c r="O34" s="1479" t="s">
        <v>10759</v>
      </c>
    </row>
    <row r="35" ht="15.75" customHeight="1">
      <c r="A35" s="1733" t="s">
        <v>3710</v>
      </c>
      <c r="B35" s="1709" t="s">
        <v>8372</v>
      </c>
      <c r="C35" s="1702">
        <v>0.05270034722222223</v>
      </c>
      <c r="D35" s="1707" t="s">
        <v>10760</v>
      </c>
      <c r="E35" s="1480" t="s">
        <v>10761</v>
      </c>
      <c r="F35" s="1479" t="s">
        <v>10762</v>
      </c>
      <c r="G35" s="1479" t="s">
        <v>10763</v>
      </c>
      <c r="H35" s="1479" t="s">
        <v>10764</v>
      </c>
      <c r="I35" s="1479" t="s">
        <v>10765</v>
      </c>
      <c r="J35" s="1479" t="s">
        <v>10766</v>
      </c>
      <c r="K35" s="1479" t="s">
        <v>10767</v>
      </c>
      <c r="L35" s="1479" t="s">
        <v>10768</v>
      </c>
      <c r="M35" s="1705">
        <v>0.05425925925925926</v>
      </c>
      <c r="N35" s="1704" t="str">
        <f t="shared" si="1"/>
        <v>2:15</v>
      </c>
      <c r="O35" s="1479" t="s">
        <v>10540</v>
      </c>
    </row>
    <row r="36">
      <c r="A36" s="1734" t="s">
        <v>3383</v>
      </c>
      <c r="B36" s="1709" t="s">
        <v>8372</v>
      </c>
      <c r="C36" s="1702">
        <v>0.053009259259259256</v>
      </c>
      <c r="D36" s="1707" t="s">
        <v>10769</v>
      </c>
      <c r="E36" s="1480" t="s">
        <v>10770</v>
      </c>
      <c r="F36" s="1479" t="s">
        <v>10771</v>
      </c>
      <c r="G36" s="1479" t="s">
        <v>10772</v>
      </c>
      <c r="H36" s="1479" t="s">
        <v>10773</v>
      </c>
      <c r="I36" s="1479" t="s">
        <v>10774</v>
      </c>
      <c r="J36" s="1479" t="s">
        <v>10775</v>
      </c>
      <c r="K36" s="1479" t="s">
        <v>10776</v>
      </c>
      <c r="L36" s="1479" t="s">
        <v>10777</v>
      </c>
      <c r="M36" s="1705">
        <v>0.05372685185185185</v>
      </c>
      <c r="N36" s="1704" t="str">
        <f t="shared" si="1"/>
        <v>1:02</v>
      </c>
      <c r="O36" s="1479" t="s">
        <v>10540</v>
      </c>
    </row>
    <row r="37" ht="15.75" customHeight="1">
      <c r="A37" s="1635" t="s">
        <v>3594</v>
      </c>
      <c r="B37" s="1553" t="s">
        <v>8372</v>
      </c>
      <c r="C37" s="1706">
        <v>0.05340277777777778</v>
      </c>
      <c r="D37" s="1547" t="s">
        <v>10778</v>
      </c>
      <c r="E37" s="1480" t="s">
        <v>10779</v>
      </c>
      <c r="F37" s="1479" t="s">
        <v>10780</v>
      </c>
      <c r="G37" s="1479" t="s">
        <v>10781</v>
      </c>
      <c r="H37" s="1479" t="s">
        <v>10782</v>
      </c>
      <c r="I37" s="1479" t="s">
        <v>10783</v>
      </c>
      <c r="J37" s="1479" t="s">
        <v>10784</v>
      </c>
      <c r="K37" s="1479" t="s">
        <v>10785</v>
      </c>
      <c r="L37" s="1479" t="s">
        <v>10786</v>
      </c>
      <c r="M37" s="1705">
        <v>0.05466435185185185</v>
      </c>
      <c r="N37" s="1704" t="str">
        <f t="shared" si="1"/>
        <v>1:49</v>
      </c>
      <c r="O37" s="1479" t="s">
        <v>10787</v>
      </c>
    </row>
    <row r="38" ht="15.75" customHeight="1">
      <c r="A38" s="1635" t="s">
        <v>985</v>
      </c>
      <c r="B38" s="1689" t="s">
        <v>8400</v>
      </c>
      <c r="C38" s="1706">
        <v>0.05378472222222222</v>
      </c>
      <c r="D38" s="1547" t="s">
        <v>10788</v>
      </c>
      <c r="E38" s="1480" t="s">
        <v>10789</v>
      </c>
      <c r="F38" s="1479" t="s">
        <v>10790</v>
      </c>
      <c r="G38" s="1479" t="s">
        <v>10791</v>
      </c>
      <c r="H38" s="1479" t="s">
        <v>10792</v>
      </c>
      <c r="I38" s="1479" t="s">
        <v>7983</v>
      </c>
      <c r="J38" s="1479" t="s">
        <v>10793</v>
      </c>
      <c r="K38" s="1479" t="s">
        <v>10794</v>
      </c>
      <c r="L38" s="1479" t="s">
        <v>9408</v>
      </c>
      <c r="M38" s="1705">
        <v>0.054560185185185184</v>
      </c>
      <c r="N38" s="1704" t="str">
        <f t="shared" si="1"/>
        <v>1:07</v>
      </c>
      <c r="O38" s="1479"/>
    </row>
    <row r="39" ht="15.75" customHeight="1">
      <c r="A39" s="1635" t="s">
        <v>4865</v>
      </c>
      <c r="B39" s="1612" t="s">
        <v>8400</v>
      </c>
      <c r="C39" s="1706">
        <v>0.05748842592592593</v>
      </c>
      <c r="D39" s="1547" t="s">
        <v>10795</v>
      </c>
      <c r="E39" s="1480" t="s">
        <v>10796</v>
      </c>
      <c r="F39" s="1479" t="s">
        <v>10797</v>
      </c>
      <c r="G39" s="1479" t="s">
        <v>10798</v>
      </c>
      <c r="H39" s="1479" t="s">
        <v>10799</v>
      </c>
      <c r="I39" s="1479" t="s">
        <v>10800</v>
      </c>
      <c r="J39" s="1479" t="s">
        <v>10801</v>
      </c>
      <c r="K39" s="1479" t="s">
        <v>10802</v>
      </c>
      <c r="L39" s="1479" t="s">
        <v>10448</v>
      </c>
      <c r="M39" s="1705">
        <v>0.06149305555555556</v>
      </c>
      <c r="N39" s="1704" t="str">
        <f t="shared" si="1"/>
        <v>5:46</v>
      </c>
      <c r="O39" s="1479" t="s">
        <v>10540</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8334</v>
      </c>
      <c r="C1" s="1759" t="s">
        <v>10505</v>
      </c>
      <c r="D1" s="1760" t="s">
        <v>6545</v>
      </c>
      <c r="E1" s="1761" t="s">
        <v>6834</v>
      </c>
      <c r="F1" s="1762" t="s">
        <v>38</v>
      </c>
      <c r="G1" s="1763" t="s">
        <v>36</v>
      </c>
      <c r="H1" s="1759" t="s">
        <v>10506</v>
      </c>
      <c r="I1" s="1764" t="s">
        <v>39</v>
      </c>
      <c r="J1" s="1765" t="s">
        <v>6775</v>
      </c>
      <c r="K1" s="1389" t="s">
        <v>8368</v>
      </c>
      <c r="L1" s="1389" t="s">
        <v>8370</v>
      </c>
    </row>
    <row r="2" ht="15.75" customHeight="1">
      <c r="A2" s="1402" t="s">
        <v>8371</v>
      </c>
      <c r="B2" s="1677" t="s">
        <v>8372</v>
      </c>
      <c r="C2" s="1679" t="s">
        <v>10507</v>
      </c>
      <c r="D2" s="1407" t="s">
        <v>10803</v>
      </c>
      <c r="E2" s="1766" t="s">
        <v>10804</v>
      </c>
      <c r="F2" s="1767" t="s">
        <v>10805</v>
      </c>
      <c r="G2" s="1768" t="s">
        <v>10806</v>
      </c>
      <c r="H2" s="1679" t="s">
        <v>10807</v>
      </c>
      <c r="I2" s="1769" t="s">
        <v>10808</v>
      </c>
      <c r="J2" s="1770" t="s">
        <v>10809</v>
      </c>
      <c r="K2" s="1771" t="s">
        <v>8398</v>
      </c>
      <c r="L2" s="1772"/>
    </row>
    <row r="3" ht="15.75" customHeight="1">
      <c r="A3" s="1427" t="s">
        <v>8399</v>
      </c>
      <c r="B3" s="1689" t="s">
        <v>8400</v>
      </c>
      <c r="C3" s="1430" t="s">
        <v>10709</v>
      </c>
      <c r="D3" s="1431" t="s">
        <v>10810</v>
      </c>
      <c r="E3" s="1432" t="s">
        <v>10811</v>
      </c>
      <c r="F3" s="1433" t="s">
        <v>10812</v>
      </c>
      <c r="G3" s="1436" t="s">
        <v>10813</v>
      </c>
      <c r="H3" s="1430" t="s">
        <v>10814</v>
      </c>
      <c r="I3" s="1438" t="s">
        <v>10815</v>
      </c>
      <c r="J3" s="1440" t="s">
        <v>10816</v>
      </c>
      <c r="K3" s="1690">
        <v>0.053043981481481484</v>
      </c>
    </row>
    <row r="4" ht="15.75" customHeight="1">
      <c r="A4" s="1443" t="s">
        <v>8423</v>
      </c>
      <c r="B4" s="1693" t="s">
        <v>8424</v>
      </c>
      <c r="C4" s="1446" t="s">
        <v>10692</v>
      </c>
      <c r="D4" s="1447" t="s">
        <v>10817</v>
      </c>
      <c r="E4" s="1448" t="s">
        <v>10818</v>
      </c>
      <c r="F4" s="1449" t="s">
        <v>10819</v>
      </c>
      <c r="G4" s="1450" t="s">
        <v>10820</v>
      </c>
      <c r="H4" s="1446" t="s">
        <v>10821</v>
      </c>
      <c r="I4" s="1452" t="s">
        <v>10822</v>
      </c>
      <c r="J4" s="1453" t="s">
        <v>10823</v>
      </c>
      <c r="K4" s="1694">
        <v>0.053043981481481484</v>
      </c>
    </row>
    <row r="5" ht="15.75" customHeight="1">
      <c r="A5" s="1635" t="s">
        <v>1060</v>
      </c>
      <c r="B5" s="1553" t="s">
        <v>8372</v>
      </c>
      <c r="C5" s="1698" t="s">
        <v>10507</v>
      </c>
      <c r="D5" s="1698" t="s">
        <v>10803</v>
      </c>
      <c r="E5" s="1698" t="s">
        <v>10804</v>
      </c>
      <c r="F5" s="1698" t="s">
        <v>10805</v>
      </c>
      <c r="G5" s="1698" t="s">
        <v>10806</v>
      </c>
      <c r="H5" s="1698" t="s">
        <v>10807</v>
      </c>
      <c r="I5" s="1698" t="s">
        <v>10808</v>
      </c>
      <c r="J5" s="1698" t="s">
        <v>10809</v>
      </c>
      <c r="K5" s="1773" t="s">
        <v>8398</v>
      </c>
      <c r="L5" s="1479" t="s">
        <v>10824</v>
      </c>
    </row>
    <row r="6" ht="15.75" customHeight="1">
      <c r="A6" s="1774" t="s">
        <v>6256</v>
      </c>
      <c r="B6" s="1553" t="s">
        <v>8372</v>
      </c>
      <c r="C6" s="1643" t="s">
        <v>10550</v>
      </c>
      <c r="D6" s="1479" t="s">
        <v>10825</v>
      </c>
      <c r="E6" s="1479" t="s">
        <v>10826</v>
      </c>
      <c r="F6" s="1479" t="s">
        <v>10827</v>
      </c>
      <c r="G6" s="1479" t="s">
        <v>10828</v>
      </c>
      <c r="H6" s="1479" t="s">
        <v>10829</v>
      </c>
      <c r="I6" s="1479" t="s">
        <v>10830</v>
      </c>
      <c r="J6" s="1479" t="s">
        <v>10831</v>
      </c>
      <c r="K6" s="1479" t="s">
        <v>8581</v>
      </c>
      <c r="L6" s="1479"/>
    </row>
    <row r="7" ht="15.75" customHeight="1">
      <c r="A7" s="1664" t="s">
        <v>1877</v>
      </c>
      <c r="B7" s="1775" t="s">
        <v>8372</v>
      </c>
      <c r="C7" s="1479" t="s">
        <v>10541</v>
      </c>
      <c r="D7" s="1479" t="s">
        <v>10832</v>
      </c>
      <c r="E7" s="1699" t="s">
        <v>10833</v>
      </c>
      <c r="F7" s="1482" t="s">
        <v>10834</v>
      </c>
      <c r="G7" s="1776" t="s">
        <v>10835</v>
      </c>
      <c r="H7" s="1776" t="s">
        <v>10836</v>
      </c>
      <c r="I7" s="1479" t="s">
        <v>10837</v>
      </c>
      <c r="J7" s="1777" t="s">
        <v>10838</v>
      </c>
      <c r="K7" s="1777" t="s">
        <v>8537</v>
      </c>
      <c r="L7" s="1479" t="s">
        <v>10839</v>
      </c>
    </row>
    <row r="8" ht="15.75" customHeight="1">
      <c r="A8" s="1701" t="s">
        <v>436</v>
      </c>
      <c r="B8" s="1459" t="s">
        <v>8372</v>
      </c>
      <c r="C8" s="1482" t="s">
        <v>10535</v>
      </c>
      <c r="D8" s="1479" t="s">
        <v>10840</v>
      </c>
      <c r="E8" s="1479" t="s">
        <v>10841</v>
      </c>
      <c r="F8" s="1479" t="s">
        <v>10842</v>
      </c>
      <c r="G8" s="1479" t="s">
        <v>10843</v>
      </c>
      <c r="H8" s="1479" t="s">
        <v>10844</v>
      </c>
      <c r="I8" s="1479" t="s">
        <v>10845</v>
      </c>
      <c r="J8" s="1479" t="s">
        <v>10846</v>
      </c>
      <c r="K8" s="1479" t="s">
        <v>8494</v>
      </c>
      <c r="L8" s="1479"/>
    </row>
    <row r="9" ht="15.75" customHeight="1">
      <c r="A9" s="1664" t="s">
        <v>6332</v>
      </c>
      <c r="B9" s="1459" t="s">
        <v>8372</v>
      </c>
      <c r="C9" s="1479" t="s">
        <v>10847</v>
      </c>
      <c r="D9" s="1479" t="s">
        <v>10848</v>
      </c>
      <c r="E9" s="1479" t="s">
        <v>10849</v>
      </c>
      <c r="F9" s="1482" t="s">
        <v>10850</v>
      </c>
      <c r="G9" s="1482" t="s">
        <v>10851</v>
      </c>
      <c r="H9" s="1778" t="s">
        <v>10852</v>
      </c>
      <c r="I9" s="1482" t="s">
        <v>10853</v>
      </c>
      <c r="J9" s="1482" t="s">
        <v>10854</v>
      </c>
      <c r="K9" s="1479" t="s">
        <v>8516</v>
      </c>
      <c r="L9" s="1479"/>
    </row>
    <row r="10" ht="15.75" customHeight="1">
      <c r="A10" s="1635" t="s">
        <v>1551</v>
      </c>
      <c r="B10" s="1553" t="s">
        <v>8372</v>
      </c>
      <c r="C10" s="1779" t="s">
        <v>10573</v>
      </c>
      <c r="D10" s="1711" t="s">
        <v>10855</v>
      </c>
      <c r="E10" s="1711" t="s">
        <v>10856</v>
      </c>
      <c r="F10" s="1479" t="s">
        <v>10857</v>
      </c>
      <c r="G10" s="1732" t="s">
        <v>10858</v>
      </c>
      <c r="H10" s="1732" t="s">
        <v>10859</v>
      </c>
      <c r="I10" s="1732" t="s">
        <v>10860</v>
      </c>
      <c r="J10" s="1732" t="s">
        <v>10861</v>
      </c>
      <c r="K10" s="1732" t="s">
        <v>8732</v>
      </c>
      <c r="L10" s="1479" t="s">
        <v>10862</v>
      </c>
    </row>
    <row r="11" ht="15.75" customHeight="1">
      <c r="A11" s="1719" t="s">
        <v>912</v>
      </c>
      <c r="B11" s="1612" t="s">
        <v>8372</v>
      </c>
      <c r="C11" s="1780" t="s">
        <v>10564</v>
      </c>
      <c r="D11" s="1479" t="s">
        <v>10863</v>
      </c>
      <c r="E11" s="1479" t="s">
        <v>10864</v>
      </c>
      <c r="F11" s="1479" t="s">
        <v>10865</v>
      </c>
      <c r="G11" s="1479" t="s">
        <v>10866</v>
      </c>
      <c r="H11" s="1479" t="s">
        <v>10867</v>
      </c>
      <c r="I11" s="1479" t="s">
        <v>10868</v>
      </c>
      <c r="J11" s="1479" t="s">
        <v>10869</v>
      </c>
      <c r="K11" s="1479" t="s">
        <v>8605</v>
      </c>
      <c r="L11" s="1479" t="s">
        <v>10870</v>
      </c>
    </row>
    <row r="12" ht="15.75" customHeight="1">
      <c r="A12" s="1652" t="s">
        <v>2006</v>
      </c>
      <c r="B12" s="1459" t="s">
        <v>8372</v>
      </c>
      <c r="C12" s="1779" t="s">
        <v>10582</v>
      </c>
      <c r="D12" s="1479" t="s">
        <v>10871</v>
      </c>
      <c r="E12" s="1479" t="s">
        <v>10872</v>
      </c>
      <c r="F12" s="1479" t="s">
        <v>10873</v>
      </c>
      <c r="G12" s="1479" t="s">
        <v>10874</v>
      </c>
      <c r="H12" s="1479" t="s">
        <v>10875</v>
      </c>
      <c r="I12" s="1479" t="s">
        <v>10876</v>
      </c>
      <c r="J12" s="1479" t="s">
        <v>10877</v>
      </c>
      <c r="K12" s="1479" t="s">
        <v>8710</v>
      </c>
      <c r="L12" s="1479"/>
    </row>
    <row r="13" ht="15.75" customHeight="1">
      <c r="A13" s="1701" t="s">
        <v>330</v>
      </c>
      <c r="B13" s="1459" t="s">
        <v>8372</v>
      </c>
      <c r="C13" s="1479" t="s">
        <v>10878</v>
      </c>
      <c r="D13" s="1479" t="s">
        <v>10879</v>
      </c>
      <c r="E13" s="1479" t="s">
        <v>10880</v>
      </c>
      <c r="F13" s="1479" t="s">
        <v>10881</v>
      </c>
      <c r="G13" s="1479" t="s">
        <v>10882</v>
      </c>
      <c r="H13" s="1479" t="s">
        <v>10883</v>
      </c>
      <c r="I13" s="1479" t="s">
        <v>10884</v>
      </c>
      <c r="J13" s="1479" t="s">
        <v>10885</v>
      </c>
      <c r="K13" s="1479" t="s">
        <v>8561</v>
      </c>
      <c r="L13" s="1479"/>
    </row>
    <row r="14" ht="16.5" customHeight="1">
      <c r="A14" s="1713" t="s">
        <v>2636</v>
      </c>
      <c r="B14" s="1459" t="s">
        <v>8372</v>
      </c>
      <c r="C14" s="1479" t="s">
        <v>10598</v>
      </c>
      <c r="D14" s="1479" t="s">
        <v>10886</v>
      </c>
      <c r="E14" s="1479" t="s">
        <v>10887</v>
      </c>
      <c r="F14" s="1479" t="s">
        <v>10888</v>
      </c>
      <c r="G14" s="1479" t="s">
        <v>10889</v>
      </c>
      <c r="H14" s="1479" t="s">
        <v>10890</v>
      </c>
      <c r="I14" s="1479" t="s">
        <v>10891</v>
      </c>
      <c r="J14" s="1479" t="s">
        <v>10892</v>
      </c>
      <c r="K14" s="1479" t="s">
        <v>10893</v>
      </c>
      <c r="L14" s="1479" t="s">
        <v>10894</v>
      </c>
    </row>
    <row r="15" ht="15.0" customHeight="1">
      <c r="A15" s="1727" t="s">
        <v>1628</v>
      </c>
      <c r="B15" s="1603" t="s">
        <v>8372</v>
      </c>
      <c r="C15" s="1780" t="s">
        <v>10895</v>
      </c>
      <c r="D15" s="1479" t="s">
        <v>10896</v>
      </c>
      <c r="E15" s="1479" t="s">
        <v>10897</v>
      </c>
      <c r="F15" s="1479" t="s">
        <v>10898</v>
      </c>
      <c r="G15" s="1479" t="s">
        <v>10899</v>
      </c>
      <c r="H15" s="1479" t="s">
        <v>10900</v>
      </c>
      <c r="I15" s="1479" t="s">
        <v>10901</v>
      </c>
      <c r="J15" s="1479" t="s">
        <v>10902</v>
      </c>
      <c r="K15" s="1479" t="s">
        <v>9061</v>
      </c>
      <c r="L15" s="1479"/>
    </row>
    <row r="16" ht="15.75" customHeight="1">
      <c r="A16" s="1635" t="s">
        <v>6321</v>
      </c>
      <c r="B16" s="1459" t="s">
        <v>8372</v>
      </c>
      <c r="C16" s="1479" t="s">
        <v>10638</v>
      </c>
      <c r="D16" s="1479" t="s">
        <v>10903</v>
      </c>
      <c r="E16" s="1479" t="s">
        <v>10904</v>
      </c>
      <c r="F16" s="1479" t="s">
        <v>10905</v>
      </c>
      <c r="G16" s="1479" t="s">
        <v>10906</v>
      </c>
      <c r="H16" s="1479" t="s">
        <v>10907</v>
      </c>
      <c r="I16" s="1479" t="s">
        <v>10908</v>
      </c>
      <c r="J16" s="1479" t="s">
        <v>10909</v>
      </c>
      <c r="K16" s="1479" t="s">
        <v>8903</v>
      </c>
      <c r="L16" s="1479" t="s">
        <v>10910</v>
      </c>
    </row>
    <row r="17" ht="15.75" customHeight="1">
      <c r="A17" s="1701" t="s">
        <v>1413</v>
      </c>
      <c r="B17" s="1459" t="s">
        <v>8372</v>
      </c>
      <c r="C17" s="1479" t="s">
        <v>10911</v>
      </c>
      <c r="D17" s="1479" t="s">
        <v>10912</v>
      </c>
      <c r="E17" s="1479" t="s">
        <v>10913</v>
      </c>
      <c r="F17" s="1479" t="s">
        <v>10914</v>
      </c>
      <c r="G17" s="1479" t="s">
        <v>10915</v>
      </c>
      <c r="H17" s="1479" t="s">
        <v>10916</v>
      </c>
      <c r="I17" s="1479" t="s">
        <v>10917</v>
      </c>
      <c r="J17" s="1479" t="s">
        <v>10918</v>
      </c>
      <c r="K17" s="1479" t="s">
        <v>8879</v>
      </c>
      <c r="L17" s="1479"/>
    </row>
    <row r="18" ht="15.75" customHeight="1">
      <c r="A18" s="1635" t="s">
        <v>3093</v>
      </c>
      <c r="B18" s="1553" t="s">
        <v>8372</v>
      </c>
      <c r="C18" s="1717" t="s">
        <v>10606</v>
      </c>
      <c r="D18" s="1699" t="s">
        <v>10919</v>
      </c>
      <c r="E18" s="1699" t="s">
        <v>10920</v>
      </c>
      <c r="F18" s="1699" t="s">
        <v>10921</v>
      </c>
      <c r="G18" s="1699" t="s">
        <v>10922</v>
      </c>
      <c r="H18" s="1699" t="s">
        <v>10923</v>
      </c>
      <c r="I18" s="1699" t="s">
        <v>10924</v>
      </c>
      <c r="J18" s="1699" t="s">
        <v>10925</v>
      </c>
      <c r="K18" s="1699" t="s">
        <v>8975</v>
      </c>
      <c r="L18" s="1479"/>
    </row>
    <row r="19" ht="15.75" customHeight="1">
      <c r="A19" s="1635" t="s">
        <v>2248</v>
      </c>
      <c r="B19" s="1612" t="s">
        <v>8372</v>
      </c>
      <c r="C19" s="1780" t="s">
        <v>10614</v>
      </c>
      <c r="D19" s="1479" t="s">
        <v>10926</v>
      </c>
      <c r="E19" s="1479" t="s">
        <v>10927</v>
      </c>
      <c r="F19" s="1479" t="s">
        <v>10928</v>
      </c>
      <c r="G19" s="1479" t="s">
        <v>10929</v>
      </c>
      <c r="H19" s="1479" t="s">
        <v>10930</v>
      </c>
      <c r="I19" s="1479" t="s">
        <v>10931</v>
      </c>
      <c r="J19" s="1479" t="s">
        <v>10932</v>
      </c>
      <c r="K19" s="1479" t="s">
        <v>8778</v>
      </c>
      <c r="L19" s="1479" t="s">
        <v>10933</v>
      </c>
    </row>
    <row r="20" ht="15.75" customHeight="1">
      <c r="A20" s="1701" t="s">
        <v>826</v>
      </c>
      <c r="B20" s="1459" t="s">
        <v>8372</v>
      </c>
      <c r="C20" s="1479" t="s">
        <v>10934</v>
      </c>
      <c r="D20" s="1479" t="s">
        <v>10935</v>
      </c>
      <c r="E20" s="1479" t="s">
        <v>10936</v>
      </c>
      <c r="F20" s="1479" t="s">
        <v>10937</v>
      </c>
      <c r="G20" s="1479" t="s">
        <v>10938</v>
      </c>
      <c r="H20" s="1479" t="s">
        <v>10939</v>
      </c>
      <c r="I20" s="1479" t="s">
        <v>10940</v>
      </c>
      <c r="J20" s="1479" t="s">
        <v>10941</v>
      </c>
      <c r="K20" s="1479" t="s">
        <v>9216</v>
      </c>
      <c r="L20" s="1479"/>
    </row>
    <row r="21" ht="15.75" customHeight="1">
      <c r="A21" s="1635" t="s">
        <v>1720</v>
      </c>
      <c r="B21" s="1553" t="s">
        <v>8372</v>
      </c>
      <c r="C21" s="1479" t="s">
        <v>10942</v>
      </c>
      <c r="D21" s="1479" t="s">
        <v>10943</v>
      </c>
      <c r="E21" s="1732" t="s">
        <v>10944</v>
      </c>
      <c r="F21" s="1479" t="s">
        <v>10945</v>
      </c>
      <c r="G21" s="1479" t="s">
        <v>10946</v>
      </c>
      <c r="H21" s="1479" t="s">
        <v>10947</v>
      </c>
      <c r="I21" s="1479" t="s">
        <v>10948</v>
      </c>
      <c r="J21" s="1479" t="s">
        <v>10949</v>
      </c>
      <c r="K21" s="1479" t="s">
        <v>8949</v>
      </c>
      <c r="L21" s="1479"/>
    </row>
    <row r="22" ht="15.75" customHeight="1">
      <c r="A22" s="1664" t="s">
        <v>8780</v>
      </c>
      <c r="B22" s="1459" t="s">
        <v>8372</v>
      </c>
      <c r="C22" s="1479" t="s">
        <v>10648</v>
      </c>
      <c r="D22" s="1479" t="s">
        <v>10950</v>
      </c>
      <c r="E22" s="1479" t="s">
        <v>10951</v>
      </c>
      <c r="F22" s="1479" t="s">
        <v>10952</v>
      </c>
      <c r="G22" s="1479" t="s">
        <v>10953</v>
      </c>
      <c r="H22" s="1479" t="s">
        <v>10954</v>
      </c>
      <c r="I22" s="1479" t="s">
        <v>10955</v>
      </c>
      <c r="J22" s="1479" t="s">
        <v>10956</v>
      </c>
      <c r="K22" s="1479" t="s">
        <v>8796</v>
      </c>
      <c r="L22" s="1479"/>
    </row>
    <row r="23" ht="15.75" customHeight="1">
      <c r="A23" s="1635" t="s">
        <v>736</v>
      </c>
      <c r="B23" s="1553" t="s">
        <v>8400</v>
      </c>
      <c r="C23" s="1479" t="s">
        <v>10957</v>
      </c>
      <c r="D23" s="1721" t="s">
        <v>10810</v>
      </c>
      <c r="E23" s="1721" t="s">
        <v>10811</v>
      </c>
      <c r="F23" s="1721" t="s">
        <v>10812</v>
      </c>
      <c r="G23" s="1721" t="s">
        <v>10813</v>
      </c>
      <c r="H23" s="1721" t="s">
        <v>10814</v>
      </c>
      <c r="I23" s="1721" t="s">
        <v>10815</v>
      </c>
      <c r="J23" s="1721" t="s">
        <v>10816</v>
      </c>
      <c r="K23" s="1721" t="s">
        <v>8754</v>
      </c>
      <c r="L23" s="1479" t="s">
        <v>10958</v>
      </c>
    </row>
    <row r="24" ht="15.75" customHeight="1">
      <c r="A24" s="1719" t="s">
        <v>1255</v>
      </c>
      <c r="B24" s="1553" t="s">
        <v>8424</v>
      </c>
      <c r="C24" s="1604" t="s">
        <v>10692</v>
      </c>
      <c r="D24" s="1604" t="s">
        <v>10817</v>
      </c>
      <c r="E24" s="1604" t="s">
        <v>10818</v>
      </c>
      <c r="F24" s="1604" t="s">
        <v>10819</v>
      </c>
      <c r="G24" s="1604" t="s">
        <v>10820</v>
      </c>
      <c r="H24" s="1604" t="s">
        <v>10821</v>
      </c>
      <c r="I24" s="1604" t="s">
        <v>10822</v>
      </c>
      <c r="J24" s="1604" t="s">
        <v>10823</v>
      </c>
      <c r="K24" s="1604" t="s">
        <v>8754</v>
      </c>
      <c r="L24" s="1479"/>
    </row>
    <row r="25" ht="16.5" customHeight="1">
      <c r="A25" s="1719" t="s">
        <v>10959</v>
      </c>
      <c r="B25" s="1553" t="s">
        <v>8372</v>
      </c>
      <c r="C25" s="1728" t="s">
        <v>10674</v>
      </c>
      <c r="D25" s="1479" t="s">
        <v>10960</v>
      </c>
      <c r="E25" s="1479" t="s">
        <v>10961</v>
      </c>
      <c r="F25" s="1479" t="s">
        <v>10962</v>
      </c>
      <c r="G25" s="1479" t="s">
        <v>10953</v>
      </c>
      <c r="H25" s="1479" t="s">
        <v>10963</v>
      </c>
      <c r="I25" s="1479" t="s">
        <v>10964</v>
      </c>
      <c r="J25" s="1479" t="s">
        <v>10965</v>
      </c>
      <c r="K25" s="1479" t="s">
        <v>9383</v>
      </c>
      <c r="L25" s="1479"/>
    </row>
    <row r="26" ht="15.75" customHeight="1">
      <c r="A26" s="1719" t="s">
        <v>2899</v>
      </c>
      <c r="B26" s="1553" t="s">
        <v>8372</v>
      </c>
      <c r="C26" s="1479" t="s">
        <v>10966</v>
      </c>
      <c r="D26" s="1479" t="s">
        <v>10967</v>
      </c>
      <c r="E26" s="1479" t="s">
        <v>10968</v>
      </c>
      <c r="F26" s="1479" t="s">
        <v>10969</v>
      </c>
      <c r="G26" s="1479" t="s">
        <v>10970</v>
      </c>
      <c r="H26" s="1479" t="s">
        <v>10971</v>
      </c>
      <c r="I26" s="1479" t="s">
        <v>10972</v>
      </c>
      <c r="J26" s="1479" t="s">
        <v>10973</v>
      </c>
      <c r="K26" s="1479" t="s">
        <v>10974</v>
      </c>
      <c r="L26" s="1479" t="s">
        <v>10975</v>
      </c>
    </row>
    <row r="27">
      <c r="A27" s="1734" t="s">
        <v>2863</v>
      </c>
      <c r="B27" s="1709" t="s">
        <v>8400</v>
      </c>
      <c r="C27" s="1780" t="s">
        <v>10976</v>
      </c>
      <c r="D27" s="1479"/>
      <c r="E27" s="1479" t="s">
        <v>10977</v>
      </c>
      <c r="F27" s="1479" t="s">
        <v>10978</v>
      </c>
      <c r="G27" s="1479"/>
      <c r="H27" s="1479"/>
      <c r="I27" s="1479"/>
      <c r="J27" s="1479"/>
      <c r="K27" s="1479" t="s">
        <v>9497</v>
      </c>
      <c r="L27" s="1479"/>
    </row>
    <row r="28">
      <c r="A28" s="1715" t="s">
        <v>2214</v>
      </c>
      <c r="B28" s="1612" t="s">
        <v>8400</v>
      </c>
      <c r="C28" s="1479" t="s">
        <v>10700</v>
      </c>
      <c r="D28" s="1479" t="s">
        <v>10979</v>
      </c>
      <c r="E28" s="1479" t="s">
        <v>10980</v>
      </c>
      <c r="F28" s="1479" t="s">
        <v>10981</v>
      </c>
      <c r="G28" s="1479" t="s">
        <v>10982</v>
      </c>
      <c r="H28" s="1479" t="s">
        <v>10983</v>
      </c>
      <c r="I28" s="1479" t="s">
        <v>10984</v>
      </c>
      <c r="J28" s="1479" t="s">
        <v>10985</v>
      </c>
      <c r="K28" s="1479" t="s">
        <v>10986</v>
      </c>
      <c r="L28" s="1479" t="s">
        <v>10987</v>
      </c>
    </row>
    <row r="29" ht="15.75" customHeight="1">
      <c r="A29" s="1635" t="s">
        <v>2569</v>
      </c>
      <c r="B29" s="1603" t="s">
        <v>8400</v>
      </c>
      <c r="C29" s="1721" t="s">
        <v>10709</v>
      </c>
      <c r="D29" s="1479" t="s">
        <v>10988</v>
      </c>
      <c r="E29" s="1479" t="s">
        <v>10989</v>
      </c>
      <c r="F29" s="1479" t="s">
        <v>10990</v>
      </c>
      <c r="G29" s="1479" t="s">
        <v>10991</v>
      </c>
      <c r="H29" s="1479" t="s">
        <v>10992</v>
      </c>
      <c r="I29" s="1479" t="s">
        <v>10993</v>
      </c>
      <c r="J29" s="1479" t="s">
        <v>10994</v>
      </c>
      <c r="K29" s="1479" t="s">
        <v>9360</v>
      </c>
      <c r="L29" s="1479"/>
    </row>
    <row r="30" ht="15.75" customHeight="1">
      <c r="A30" s="1719" t="s">
        <v>5379</v>
      </c>
      <c r="B30" s="1553" t="s">
        <v>8372</v>
      </c>
      <c r="C30" s="1780" t="s">
        <v>10995</v>
      </c>
      <c r="D30" s="1479" t="s">
        <v>10996</v>
      </c>
      <c r="E30" s="1479" t="s">
        <v>10997</v>
      </c>
      <c r="F30" s="1479" t="s">
        <v>10998</v>
      </c>
      <c r="G30" s="1479" t="s">
        <v>10999</v>
      </c>
      <c r="H30" s="1479" t="s">
        <v>11000</v>
      </c>
      <c r="I30" s="1479" t="s">
        <v>11001</v>
      </c>
      <c r="J30" s="1479" t="s">
        <v>11002</v>
      </c>
      <c r="K30" s="1479" t="s">
        <v>11003</v>
      </c>
      <c r="L30" s="1479" t="s">
        <v>11004</v>
      </c>
    </row>
    <row r="31" ht="15.75" customHeight="1">
      <c r="A31" s="1719" t="s">
        <v>4865</v>
      </c>
      <c r="B31" s="1553" t="s">
        <v>8400</v>
      </c>
      <c r="C31" s="1780" t="s">
        <v>10795</v>
      </c>
      <c r="D31" s="1479" t="s">
        <v>11005</v>
      </c>
      <c r="E31" s="1479" t="s">
        <v>11006</v>
      </c>
      <c r="F31" s="1479" t="s">
        <v>11007</v>
      </c>
      <c r="G31" s="1479" t="s">
        <v>11008</v>
      </c>
      <c r="H31" s="1479" t="s">
        <v>11009</v>
      </c>
      <c r="I31" s="1479" t="s">
        <v>11010</v>
      </c>
      <c r="J31" s="1479" t="s">
        <v>11011</v>
      </c>
      <c r="K31" s="1479" t="s">
        <v>10449</v>
      </c>
      <c r="L31" s="1479" t="s">
        <v>11012</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4254</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3982</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4254</v>
      </c>
      <c r="D13" s="1800" t="s">
        <v>11037</v>
      </c>
      <c r="E13" s="1799" t="s">
        <v>11021</v>
      </c>
      <c r="F13" s="1801">
        <v>44250.0</v>
      </c>
    </row>
    <row r="14" ht="15.75" customHeight="1">
      <c r="A14" s="1797" t="s">
        <v>11038</v>
      </c>
      <c r="B14" s="1802" t="s">
        <v>11023</v>
      </c>
      <c r="C14" s="1799" t="s">
        <v>4226</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5194</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5379</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1628</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1628</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7072</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10134</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2248</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4254</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6091</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2450</v>
      </c>
      <c r="D90" s="1813" t="s">
        <v>11084</v>
      </c>
      <c r="E90" s="1799" t="s">
        <v>11021</v>
      </c>
      <c r="F90" s="1814">
        <v>43925.0</v>
      </c>
    </row>
    <row r="91">
      <c r="A91" s="1809"/>
      <c r="B91" s="1803" t="s">
        <v>11026</v>
      </c>
      <c r="C91" s="1799" t="s">
        <v>4696</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6006</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5194</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6069</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2137</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5194</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4108</v>
      </c>
      <c r="D127" s="1822">
        <v>0.06892361111111112</v>
      </c>
      <c r="E127" s="1799" t="s">
        <v>11031</v>
      </c>
      <c r="F127" s="1801">
        <v>44652.0</v>
      </c>
    </row>
    <row r="128">
      <c r="A128" s="1821"/>
      <c r="B128" s="1803" t="s">
        <v>11026</v>
      </c>
      <c r="C128" s="1808" t="s">
        <v>5325</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2450</v>
      </c>
      <c r="D133" s="1827" t="s">
        <v>11102</v>
      </c>
      <c r="E133" s="1799" t="s">
        <v>11021</v>
      </c>
      <c r="F133" s="1801">
        <v>45152.0</v>
      </c>
    </row>
    <row r="134">
      <c r="A134" s="1821"/>
      <c r="B134" s="1802" t="s">
        <v>11023</v>
      </c>
      <c r="C134" s="1799" t="s">
        <v>4226</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