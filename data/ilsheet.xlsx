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<sst xmlns="http://schemas.openxmlformats.org/spreadsheetml/2006/main" count="26591" uniqueCount="11021">
  <si>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</si>
  <si>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</si>
  <si>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</si>
  <si>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</si>
  <si>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</si>
  <si>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</si>
  <si>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</si>
  <si>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</si>
  <si>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</si>
  <si>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</si>
  <si>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</si>
  <si>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</si>
  <si>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</si>
  <si>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</si>
  <si>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</si>
  <si>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</si>
  <si>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</si>
  <si>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</si>
  <si>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</si>
  <si>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</si>
  <si>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</si>
  <si>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</si>
  <si>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</si>
  <si>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</si>
  <si>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</si>
  <si>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</si>
  <si>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</si>
  <si>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</si>
  <si>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</si>
  <si>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</si>
  <si>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</si>
  <si>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</si>
  <si>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</si>
  <si>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</si>
  <si>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</si>
  <si>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</si>
  <si>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</si>
  <si>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</si>
  <si>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</si>
  <si>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</si>
  <si>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</si>
  <si>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</si>
  <si>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</si>
  <si>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</si>
  <si>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</si>
  <si>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</si>
  <si>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</si>
  <si>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</si>
  <si>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</si>
  <si>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</si>
  <si>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</si>
  <si>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</si>
  <si>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</si>
  <si>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</si>
  <si>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</si>
  <si>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</si>
  <si>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</si>
  <si>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</si>
  <si>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</si>
  <si>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</si>
  <si>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</si>
  <si>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</si>
  <si>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</si>
  <si>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</si>
  <si>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</si>
  <si>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</si>
  <si>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</si>
  <si>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</si>
  <si>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</si>
  <si>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</si>
  <si>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</si>
  <si>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</si>
  <si>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</si>
  <si>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</si>
  <si>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</si>
  <si>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</si>
  <si>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</si>
  <si>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</si>
  <si>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</si>
  <si>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</si>
  <si>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</si>
  <si>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</si>
  <si>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</si>
  <si>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</si>
  <si>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</si>
  <si>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</si>
  <si>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</si>
  <si>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</si>
  <si>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</si>
  <si>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</si>
  <si>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</si>
  <si>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</si>
  <si>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</si>
  <si>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</si>
  <si>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</si>
  <si>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</si>
  <si>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</si>
  <si>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</si>
  <si>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</si>
  <si>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</si>
  <si>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</si>
  <si>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</si>
  <si>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</si>
  <si>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</si>
  <si>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</si>
  <si>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</si>
  <si>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</si>
  <si>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</si>
  <si>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</si>
  <si>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</si>
  <si>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</si>
  <si>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</si>
  <si>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</si>
  <si>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</si>
  <si>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</si>
  <si>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</si>
  <si>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</si>
  <si>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</si>
  <si>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</si>
  <si>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</si>
  <si>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</si>
  <si>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</si>
  <si>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</si>
  <si>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</si>
  <si>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</si>
  <si>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</si>
  <si>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</si>
  <si>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</si>
  <si>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</si>
  <si>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</si>
  <si>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</si>
  <si>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</si>
  <si>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</si>
  <si>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</si>
  <si>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</si>
  <si>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</si>
  <si>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</si>
  <si>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</si>
  <si>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</si>
  <si>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</si>
  <si>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</si>
  <si>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</si>
  <si>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</si>
  <si>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</si>
  <si>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</si>
  <si>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</si>
  <si>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</si>
  <si>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</si>
  <si>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</si>
  <si>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</si>
  <si>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</si>
  <si>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</si>
  <si>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</si>
  <si>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</si>
  <si>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</si>
  <si>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</si>
  <si>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</si>
  <si>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</si>
  <si>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</si>
  <si>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</si>
  <si>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</si>
  <si>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</si>
  <si>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</si>
  <si>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</si>
  <si>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</si>
  <si>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</si>
  <si>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</si>
  <si>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</si>
  <si>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</si>
  <si>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</si>
  <si>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</si>
  <si>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</si>
  <si>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</si>
  <si>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</si>
  <si>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</si>
  <si>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</si>
  <si>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</si>
  <si>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</si>
  <si>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</si>
  <si>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</si>
  <si>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</si>
  <si>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</si>
  <si>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</si>
  <si>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</si>
  <si>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</si>
  <si>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</si>
  <si>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</si>
  <si>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</si>
  <si>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</si>
  <si>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</si>
  <si>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</si>
  <si>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</si>
  <si>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</si>
  <si>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</si>
  <si>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</si>
  <si>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</si>
  <si>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</si>
  <si>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</si>
  <si>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</si>
  <si>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</si>
  <si>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</si>
  <si>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</si>
  <si>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</si>
  <si>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</si>
  <si>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</si>
  <si>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</si>
  <si>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</si>
  <si>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</si>
  <si>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</si>
  <si>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</si>
  <si>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</si>
  <si>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</si>
  <si>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</si>
  <si>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</si>
  <si>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</si>
  <si>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</si>
  <si>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</si>
  <si>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</si>
  <si>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</si>
  <si>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</si>
  <si>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</si>
  <si>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</si>
  <si>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</si>
  <si>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</si>
  <si>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</si>
  <si>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</si>
  <si>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</si>
  <si>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</si>
  <si>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</si>
  <si>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</si>
  <si>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</si>
  <si>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</si>
  <si>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</si>
  <si>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</si>
  <si>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</si>
  <si>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</si>
  <si>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</si>
  <si>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</si>
  <si>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</si>
  <si>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</si>
  <si>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</si>
  <si>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</si>
  <si>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</si>
  <si>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</si>
  <si>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</si>
  <si>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</si>
  <si>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</si>
  <si>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</si>
  <si>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</si>
  <si>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</si>
  <si>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</si>
  <si>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</si>
  <si>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</si>
  <si>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</si>
  <si>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</si>
  <si>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</si>
  <si>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</si>
  <si>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</si>
  <si>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</si>
  <si>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</si>
  <si>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</si>
  <si>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</si>
  <si>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</si>
  <si>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</si>
  <si>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</si>
  <si>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</si>
  <si>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</si>
  <si>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</si>
  <si>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</si>
  <si>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</si>
  <si>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</si>
  <si>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</si>
  <si>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</si>
  <si>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</si>
  <si>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</si>
  <si>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</si>
  <si>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</si>
  <si>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</si>
  <si>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</si>
  <si>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</si>
  <si>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</si>
  <si>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</si>
  <si>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</si>
  <si>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</si>
  <si>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</si>
  <si>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</si>
  <si>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</si>
  <si>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</si>
  <si>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</si>
  <si>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</si>
  <si>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</si>
  <si>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</si>
  <si>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</si>
  <si>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</si>
  <si>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</si>
  <si>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</si>
  <si>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</si>
  <si>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</si>
  <si>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</si>
  <si>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</si>
  <si>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</si>
  <si>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</si>
  <si>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</si>
  <si>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</si>
  <si>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</si>
  <si>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</si>
  <si>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</si>
  <si>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</si>
  <si>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</si>
  <si>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</si>
  <si>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</si>
  <si>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</si>
  <si>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</si>
  <si>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</si>
  <si>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</si>
  <si>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</si>
  <si>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</si>
  <si>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</si>
  <si>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</si>
  <si>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</si>
  <si>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</si>
  <si>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</si>
  <si>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</si>
  <si>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</si>
  <si>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</si>
  <si>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</si>
  <si>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</si>
  <si>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</si>
  <si>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</si>
  <si>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</si>
  <si>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</si>
  <si>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</si>
  <si>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</si>
  <si>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</si>
  <si>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</si>
  <si>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</si>
  <si>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</si>
  <si>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</si>
  <si>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</si>
  <si>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</si>
  <si>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</si>
  <si>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</si>
  <si>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</si>
  <si>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</si>
  <si>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</si>
  <si>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</si>
  <si>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</si>
  <si>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</si>
  <si>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</si>
  <si>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</si>
  <si>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</si>
  <si>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</si>
  <si>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</si>
  <si>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</si>
  <si>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</si>
  <si>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</si>
  <si>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</si>
  <si>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</si>
  <si>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</si>
  <si>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</si>
  <si>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</si>
  <si>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</si>
  <si>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</si>
  <si>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</si>
  <si>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</si>
  <si>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</si>
  <si>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</si>
  <si>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</si>
  <si>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</si>
  <si>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</si>
  <si>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</si>
  <si>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</si>
  <si>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</si>
  <si>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</si>
  <si>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</si>
  <si>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</si>
  <si>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</si>
  <si>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</si>
  <si>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</si>
  <si>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</si>
  <si>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</si>
  <si>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</si>
  <si>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</si>
  <si>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</si>
  <si>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</si>
  <si>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</si>
  <si>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</si>
  <si>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</si>
  <si>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</si>
  <si>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</si>
  <si>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</si>
  <si>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</si>
  <si>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</si>
  <si>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</si>
  <si>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</si>
  <si>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</si>
  <si>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</si>
  <si>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</si>
  <si>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</si>
  <si>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</si>
  <si>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</si>
  <si>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</si>
  <si>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</si>
  <si>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</si>
  <si>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</si>
  <si>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</si>
  <si>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</si>
  <si>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</si>
  <si>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</si>
  <si>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</si>
  <si>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</si>
  <si>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</si>
  <si>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</si>
  <si>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</si>
  <si>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</si>
  <si>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</si>
  <si>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</si>
  <si>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</si>
  <si>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</si>
  <si>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</si>
  <si>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</si>
  <si>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</si>
  <si>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</si>
  <si>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</si>
  <si>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</si>
  <si>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</si>
  <si>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</si>
  <si>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</si>
  <si>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</si>
  <si>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</si>
  <si>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</si>
  <si>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</si>
  <si>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</si>
  <si>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</si>
  <si>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</si>
  <si>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</si>
  <si>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</si>
  <si>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</si>
  <si>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</si>
  <si>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</si>
  <si>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</si>
  <si>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</si>
  <si>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</si>
  <si>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</si>
  <si>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</si>
  <si>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</si>
  <si>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</si>
  <si>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</si>
  <si>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</si>
  <si>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</si>
  <si>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</si>
  <si>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</si>
  <si>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</si>
  <si>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</si>
  <si>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</si>
  <si>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</si>
  <si>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</si>
  <si>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</si>
  <si>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</si>
  <si>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</si>
  <si>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</si>
  <si>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</si>
  <si>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</si>
  <si>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</si>
  <si>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</si>
  <si>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</si>
  <si>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</si>
  <si>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</si>
  <si>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</si>
  <si>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</si>
  <si>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</si>
  <si>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</si>
  <si>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</si>
  <si>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</si>
  <si>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</si>
  <si>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</si>
  <si>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</si>
  <si>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</si>
  <si>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</si>
  <si>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</si>
  <si>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</si>
  <si>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</si>
  <si>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</si>
  <si>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</si>
  <si>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</si>
  <si>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</si>
  <si>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</si>
  <si>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</si>
  <si>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</si>
  <si>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</si>
  <si>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</si>
  <si>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</si>
  <si>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</si>
  <si>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</si>
  <si>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</si>
  <si>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</si>
  <si>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</si>
  <si>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</si>
  <si>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</si>
  <si>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</si>
  <si>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</si>
  <si>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</si>
  <si>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</si>
  <si>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</si>
  <si>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</si>
  <si>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</si>
  <si>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</si>
  <si>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</si>
  <si>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</si>
  <si>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</si>
  <si>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</si>
  <si>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</si>
  <si>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</si>
  <si>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</si>
  <si>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</si>
  <si>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</si>
  <si>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</si>
  <si>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</si>
  <si>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</si>
  <si>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</si>
  <si>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</si>
  <si>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</si>
  <si>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</si>
  <si>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</si>
  <si>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</si>
  <si>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</si>
  <si>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</si>
  <si>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</si>
  <si>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</si>
  <si>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</si>
  <si>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</si>
  <si>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</si>
  <si>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</si>
  <si>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</si>
  <si>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</si>
  <si>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</si>
  <si>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</si>
  <si>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</si>
  <si>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</si>
  <si>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</si>
  <si>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</si>
  <si>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</si>
  <si>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</si>
  <si>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</si>
  <si>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</si>
  <si>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</si>
  <si>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</si>
  <si>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</si>
  <si>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</si>
  <si>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</si>
  <si>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</si>
  <si>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</si>
  <si>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</si>
  <si>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</si>
  <si>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</si>
  <si>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</si>
  <si>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</si>
  <si>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</si>
  <si>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</si>
  <si>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</si>
  <si>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</si>
  <si>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</si>
  <si>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</si>
  <si>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</si>
  <si>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</si>
  <si>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</si>
  <si>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</si>
  <si>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</si>
  <si>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</si>
  <si>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</si>
  <si>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</si>
  <si>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</si>
  <si>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</si>
  <si>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</si>
  <si>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</si>
  <si>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</si>
  <si>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</si>
  <si>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</si>
  <si>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</si>
  <si>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</si>
  <si>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</si>
  <si>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</si>
  <si>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</si>
  <si>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</si>
  <si>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</si>
  <si>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</si>
  <si>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</si>
  <si>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</si>
  <si>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</si>
  <si>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</si>
  <si>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</si>
  <si>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</si>
  <si>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</si>
  <si>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</si>
  <si>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</si>
  <si>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</si>
  <si>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</si>
  <si>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</si>
  <si>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</si>
  <si>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</si>
  <si>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</si>
  <si>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</si>
  <si>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</si>
  <si>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</si>
  <si>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</si>
  <si>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</si>
  <si>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</si>
  <si>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</si>
  <si>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</si>
  <si>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</si>
  <si>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</si>
  <si>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</si>
  <si>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</si>
  <si>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</si>
  <si>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</si>
  <si>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</si>
  <si>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</si>
  <si>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</si>
  <si>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</si>
  <si>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</si>
  <si>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</si>
  <si>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</si>
  <si>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</si>
  <si>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</si>
  <si>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</si>
  <si>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</si>
  <si>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</si>
  <si>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</si>
  <si>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</si>
  <si>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</si>
  <si>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</si>
  <si>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</si>
  <si>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</si>
  <si>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</si>
  <si>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</si>
  <si>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</si>
  <si>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</si>
  <si>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</si>
  <si>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</si>
  <si>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</si>
  <si>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</si>
  <si>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</si>
  <si>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</si>
  <si>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</si>
  <si>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</si>
  <si>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</si>
  <si>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</si>
  <si>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</si>
  <si>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</si>
  <si>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</si>
  <si>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</si>
  <si>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</si>
  <si>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</si>
  <si>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</si>
  <si>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</si>
  <si>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</si>
  <si>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</si>
  <si>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</si>
  <si>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</si>
  <si>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</si>
  <si>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</si>
  <si>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</si>
  <si>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</si>
  <si>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</si>
  <si>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</si>
  <si>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</si>
  <si>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</si>
  <si>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</si>
  <si>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</si>
  <si>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</si>
  <si>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</si>
  <si>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</si>
  <si>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</si>
  <si>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</si>
  <si>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</si>
  <si>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</si>
  <si>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</si>
  <si>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</si>
  <si>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</si>
  <si>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</si>
  <si>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</si>
  <si>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</si>
  <si>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</si>
  <si>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</si>
  <si>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</si>
  <si>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</si>
  <si>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</si>
  <si>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</si>
  <si>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</si>
  <si>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</si>
  <si>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</si>
  <si>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</si>
  <si>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</si>
  <si>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</si>
  <si>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</si>
  <si>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</si>
  <si>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</si>
  <si>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</si>
  <si>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</si>
  <si>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</si>
  <si>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</si>
  <si>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</si>
  <si>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</si>
  <si>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</si>
  <si>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</si>
  <si>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</si>
  <si>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</si>
  <si>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</si>
  <si>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</si>
  <si>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</si>
  <si>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</si>
  <si>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</si>
  <si>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</si>
  <si>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</si>
  <si>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</si>
  <si>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</si>
  <si>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</si>
  <si>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</si>
  <si>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</si>
  <si>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</si>
  <si>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</si>
  <si>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</si>
  <si>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</si>
  <si>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</si>
  <si>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</si>
  <si>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</si>
  <si>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</si>
  <si>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</si>
  <si>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</si>
  <si>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</si>
  <si>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</si>
  <si>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</si>
  <si>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</si>
  <si>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</si>
  <si>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</si>
  <si>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</si>
  <si>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</si>
  <si>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</si>
  <si>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</si>
  <si>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</si>
  <si>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</si>
  <si>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</si>
  <si>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</si>
  <si>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</si>
  <si>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</si>
  <si>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</si>
  <si>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</si>
  <si>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</si>
  <si>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</si>
  <si>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</si>
  <si>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</si>
  <si>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</si>
  <si>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</si>
  <si>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</si>
  <si>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</si>
  <si>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</si>
  <si>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</si>
  <si>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</si>
  <si>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</si>
  <si>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</si>
  <si>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</si>
  <si>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</si>
  <si>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</si>
  <si>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</si>
  <si>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</si>
  <si>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</si>
  <si>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</si>
  <si>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</si>
  <si>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</si>
  <si>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</si>
  <si>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</si>
  <si>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</si>
  <si>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</si>
  <si>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</si>
  <si>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</si>
  <si>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</si>
  <si>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</si>
  <si>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</si>
  <si>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</si>
  <si>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</si>
  <si>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</si>
  <si>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</si>
  <si>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</si>
  <si>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</si>
  <si>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</si>
  <si>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</si>
  <si>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</si>
  <si>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</si>
  <si>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</si>
  <si>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</si>
  <si>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</si>
  <si>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</si>
  <si>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</si>
  <si>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</si>
  <si>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</si>
  <si>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</si>
  <si>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</si>
  <si>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</si>
  <si>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</si>
  <si>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</si>
  <si>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</si>
  <si>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</si>
  <si>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</si>
  <si>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</si>
  <si>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</si>
  <si>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</si>
  <si>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</si>
  <si>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</si>
  <si>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</si>
  <si>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</si>
  <si>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</si>
  <si>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</si>
  <si>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</si>
  <si>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</si>
  <si>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</si>
  <si>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</si>
  <si>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</si>
  <si>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</si>
  <si>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</si>
  <si>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</si>
  <si>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</si>
  <si>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</si>
  <si>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</si>
  <si>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</si>
  <si>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</si>
  <si>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</si>
  <si>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</si>
  <si>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</si>
  <si>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</si>
  <si>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</si>
  <si>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</si>
  <si>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</si>
  <si>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</si>
  <si>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</si>
  <si>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</si>
  <si>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</si>
  <si>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</si>
  <si>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</si>
  <si>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</si>
  <si>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</si>
  <si>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</si>
  <si>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</si>
  <si>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</si>
  <si>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</si>
  <si>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</si>
  <si>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</si>
  <si>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</si>
  <si>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</si>
  <si>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</si>
  <si>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</si>
  <si>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</si>
  <si>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</si>
  <si>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</si>
  <si>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</si>
  <si>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</si>
  <si>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</si>
  <si>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</si>
  <si>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</si>
  <si>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</si>
  <si>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</si>
  <si>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</si>
  <si>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</si>
  <si>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</si>
  <si>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</si>
  <si>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</si>
  <si>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</si>
  <si>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</si>
  <si>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</si>
  <si>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</si>
  <si>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</si>
  <si>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</si>
  <si>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</si>
  <si>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</si>
  <si>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</si>
  <si>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</si>
  <si>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</si>
  <si>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</si>
  <si>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</si>
  <si>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</si>
  <si>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</si>
  <si>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</si>
  <si>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</si>
  <si>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</si>
  <si>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</si>
  <si>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</si>
  <si>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</si>
  <si>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</si>
  <si>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</si>
  <si>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</si>
  <si>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</si>
  <si>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</si>
  <si>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</si>
  <si>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</si>
  <si>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</si>
  <si>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</si>
  <si>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</si>
  <si>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</si>
  <si>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</si>
  <si>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</si>
  <si>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</si>
  <si>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</si>
  <si>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</si>
  <si>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</si>
  <si>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</si>
  <si>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</si>
  <si>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</si>
  <si>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</si>
  <si>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</si>
  <si>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</si>
  <si>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</si>
  <si>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</si>
  <si>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</si>
  <si>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</si>
  <si>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</si>
  <si>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</si>
  <si>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</si>
  <si>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</si>
  <si>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</si>
  <si>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</si>
  <si>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</si>
  <si>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</si>
  <si>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</si>
  <si>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</si>
  <si>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</si>
  <si>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</si>
  <si>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</si>
  <si>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</si>
  <si>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</si>
  <si>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</si>
  <si>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</si>
  <si>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</si>
  <si>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</si>
  <si>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</si>
  <si>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</si>
  <si>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</si>
  <si>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</si>
  <si>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</si>
  <si>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</si>
  <si>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</si>
  <si>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</si>
  <si>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</si>
  <si>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</si>
  <si>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</si>
  <si>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</si>
  <si>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</si>
  <si>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</si>
  <si>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</si>
  <si>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</si>
  <si>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</si>
  <si>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</si>
  <si>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</si>
  <si>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</si>
  <si>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</si>
  <si>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</si>
  <si>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</si>
  <si>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</si>
  <si>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</si>
  <si>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</si>
  <si>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</si>
  <si>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</si>
  <si>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</si>
  <si>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</si>
  <si>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</si>
  <si>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</si>
  <si>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</si>
  <si>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</si>
  <si>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</si>
  <si>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</si>
  <si>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</si>
  <si>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</si>
  <si>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</si>
  <si>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</si>
  <si>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</si>
  <si>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</si>
  <si>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</si>
  <si>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</si>
  <si>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</si>
  <si>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</si>
  <si>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</si>
  <si>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</si>
  <si>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</si>
  <si>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</si>
  <si>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</si>
  <si>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</si>
  <si>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</si>
  <si>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</si>
  <si>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</si>
  <si>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</si>
  <si>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</si>
  <si>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</si>
  <si>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</si>
  <si>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</si>
  <si>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</si>
  <si>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</si>
  <si>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</si>
  <si>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</si>
  <si>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</si>
  <si>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</si>
  <si>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</si>
  <si>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</si>
  <si>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</si>
  <si>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</si>
  <si>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</si>
  <si>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</si>
  <si>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</si>
  <si>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</si>
  <si>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</si>
  <si>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</si>
  <si>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</si>
  <si>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</si>
  <si>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</si>
  <si>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</si>
  <si>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</si>
  <si>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</si>
  <si>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</si>
  <si>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</si>
  <si>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</si>
  <si>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</si>
  <si>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</si>
  <si>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</si>
  <si>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</si>
  <si>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</si>
  <si>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</si>
  <si>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</si>
  <si>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</si>
  <si>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</si>
  <si>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</si>
  <si>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</si>
  <si>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</si>
  <si>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</si>
  <si>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</si>
  <si>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</si>
  <si>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</si>
  <si>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</si>
  <si>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</si>
  <si>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</si>
  <si>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</si>
  <si>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</si>
  <si>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</si>
  <si>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</si>
  <si>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</si>
  <si>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</si>
  <si>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</si>
  <si>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</si>
  <si>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</si>
  <si>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</si>
  <si>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</si>
  <si>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</si>
  <si>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</si>
  <si>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</si>
  <si>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</si>
  <si>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</si>
  <si>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</si>
  <si>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</si>
  <si>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</si>
  <si>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</si>
  <si>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</si>
  <si>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</si>
  <si>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</si>
  <si>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</si>
  <si>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</si>
  <si>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</si>
  <si>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</si>
  <si>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</si>
  <si>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</si>
  <si>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</si>
  <si>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</si>
  <si>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</si>
  <si>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</si>
  <si>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</si>
  <si>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</si>
  <si>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</si>
  <si>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</si>
  <si>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</si>
  <si>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</si>
  <si>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</si>
  <si>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</si>
  <si>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</si>
  <si>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</si>
  <si>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</si>
  <si>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</si>
  <si>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</si>
  <si>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</si>
  <si>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</si>
  <si>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</si>
  <si>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</si>
  <si>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</si>
  <si>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</si>
  <si>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</si>
  <si>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</si>
  <si>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</si>
  <si>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</si>
  <si>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</si>
  <si>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</si>
  <si>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</si>
  <si>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</si>
  <si>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</si>
  <si>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</si>
  <si>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</si>
  <si>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</si>
  <si>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</si>
  <si>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</si>
  <si>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</si>
  <si>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</si>
  <si>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</si>
  <si>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</si>
  <si>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</si>
  <si>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</si>
  <si>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</si>
  <si>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</si>
  <si>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</si>
  <si>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</si>
  <si>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</si>
  <si>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</si>
  <si>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</si>
  <si>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</si>
  <si>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</si>
  <si>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</si>
  <si>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</si>
  <si>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</si>
  <si>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</si>
  <si>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</si>
  <si>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</si>
  <si>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</si>
  <si>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</si>
  <si>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</si>
  <si>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</si>
  <si>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</si>
  <si>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</si>
  <si>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</si>
  <si>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</si>
  <si>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</si>
  <si>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</si>
  <si>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</si>
  <si>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</si>
  <si>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</si>
  <si>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</si>
  <si>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</si>
  <si>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</si>
  <si>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</si>
  <si>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</si>
  <si>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</si>
  <si>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</si>
  <si>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</si>
  <si>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</si>
  <si>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</si>
  <si>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</si>
  <si>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</si>
  <si>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</si>
  <si>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</si>
  <si>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</si>
  <si>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</si>
  <si>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</si>
  <si>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</si>
  <si>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</si>
  <si>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</si>
  <si>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</si>
  <si>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</si>
  <si>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</si>
  <si>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</si>
  <si>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</si>
  <si>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</si>
  <si>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</si>
  <si>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</si>
  <si>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</si>
  <si>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</si>
  <si>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</si>
  <si>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</si>
  <si>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</si>
  <si>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</si>
  <si>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</si>
  <si>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</si>
  <si>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</si>
  <si>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</si>
  <si>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</si>
  <si>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</si>
  <si>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</si>
  <si>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</si>
  <si>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</si>
  <si>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</si>
  <si>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</si>
  <si>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</si>
  <si>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</si>
  <si>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</si>
  <si>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</si>
  <si>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</si>
  <si>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</si>
  <si>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</si>
  <si>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</si>
  <si>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</si>
  <si>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</si>
  <si>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</si>
  <si>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</si>
  <si>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</si>
  <si>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</si>
  <si>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</si>
  <si>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</si>
  <si>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</si>
  <si>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</si>
  <si>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</si>
  <si>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</si>
  <si>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</si>
  <si>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</si>
  <si>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</si>
  <si>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</si>
  <si>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</si>
  <si>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</si>
  <si>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</si>
  <si>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</si>
  <si>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</si>
  <si>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</si>
  <si>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</si>
  <si>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</si>
  <si>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</si>
  <si>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</si>
  <si>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</si>
  <si>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</si>
  <si>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</si>
  <si>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</si>
  <si>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</si>
  <si>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</si>
  <si>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</si>
  <si>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</si>
  <si>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</si>
  <si>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</si>
  <si>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</si>
  <si>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</si>
  <si>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</si>
  <si>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</si>
  <si>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</si>
  <si>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</si>
  <si>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</si>
  <si>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</si>
  <si>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</si>
  <si>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</si>
  <si>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</si>
  <si>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</si>
  <si>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</si>
  <si>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</si>
  <si>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</si>
  <si>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</si>
  <si>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</si>
  <si>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</si>
  <si>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</si>
  <si>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</si>
  <si>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</si>
  <si>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</si>
  <si>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</si>
  <si>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</si>
  <si>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</si>
  <si>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</si>
  <si>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</si>
  <si>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</si>
  <si>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</si>
  <si>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</si>
  <si>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</si>
  <si>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</si>
  <si>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</si>
  <si>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</si>
  <si>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</si>
  <si>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</si>
  <si>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</si>
  <si>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</si>
  <si>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</si>
  <si>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</si>
  <si>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</si>
  <si>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</si>
  <si>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</si>
  <si>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</si>
  <si>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</si>
  <si>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</si>
  <si>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</si>
  <si>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</si>
  <si>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</si>
  <si>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</si>
  <si>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</si>
  <si>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</si>
  <si>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</si>
  <si>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</si>
  <si>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</si>
  <si>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</si>
  <si>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</si>
  <si>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</si>
  <si>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</si>
  <si>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</si>
  <si>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</si>
  <si>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</si>
  <si>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</si>
  <si>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</si>
  <si>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</si>
  <si>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</si>
  <si>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</si>
  <si>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</si>
  <si>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</si>
  <si>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</si>
  <si>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</si>
  <si>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</si>
  <si>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</si>
  <si>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</si>
  <si>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</si>
  <si>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</si>
  <si>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</si>
  <si>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</si>
  <si>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</si>
  <si>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</si>
  <si>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</si>
  <si>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</si>
  <si>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</si>
  <si>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</si>
  <si>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</si>
  <si>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</si>
  <si>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</si>
  <si>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</si>
  <si>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</si>
  <si>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</si>
  <si>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</si>
  <si>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</si>
  <si>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</si>
  <si>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</si>
  <si>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</si>
  <si>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</si>
  <si>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</si>
  <si>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</si>
  <si>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</si>
  <si>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</si>
  <si>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</si>
  <si>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</si>
  <si>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</si>
  <si>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</si>
  <si>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</si>
  <si>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</si>
  <si>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</si>
  <si>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</si>
  <si>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</si>
  <si>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</si>
  <si>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</si>
  <si>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</si>
  <si>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</si>
  <si>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</si>
  <si>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</si>
  <si>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</si>
  <si>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</si>
  <si>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</si>
  <si>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</si>
  <si>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</si>
  <si>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</si>
  <si>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</si>
  <si>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</si>
  <si>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</si>
  <si>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</si>
  <si>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</si>
  <si>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</si>
  <si>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</si>
  <si>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</si>
  <si>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</si>
  <si>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</si>
  <si>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</si>
  <si>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</si>
  <si>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</si>
  <si>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</si>
  <si>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</si>
  <si>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</si>
  <si>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</si>
  <si>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</si>
  <si>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</si>
  <si>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</si>
  <si>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</si>
  <si>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</si>
  <si>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</si>
  <si>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</si>
  <si>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</si>
  <si>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</si>
  <si>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</si>
  <si>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</si>
  <si>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</si>
  <si>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</si>
  <si>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</si>
  <si>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</si>
  <si>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</si>
  <si>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</si>
  <si>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</si>
  <si>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</si>
  <si>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</si>
  <si>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</si>
  <si>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</si>
  <si>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</si>
  <si>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</si>
  <si>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</si>
  <si>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</si>
  <si>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</si>
  <si>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</si>
  <si>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</si>
  <si>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</si>
  <si>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</si>
  <si>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</si>
  <si>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</si>
  <si>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</si>
  <si>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</si>
  <si>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</si>
  <si>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</si>
  <si>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</si>
  <si>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</si>
  <si>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</si>
  <si>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</si>
  <si>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</si>
  <si>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</si>
  <si>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</si>
  <si>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</si>
  <si>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</si>
  <si>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</si>
  <si>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</si>
  <si>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</si>
  <si>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</si>
  <si>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</si>
  <si>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</si>
  <si>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</si>
  <si>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</si>
  <si>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</si>
  <si>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</si>
  <si>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</si>
  <si>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</si>
  <si>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</si>
  <si>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</si>
  <si>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</si>
  <si>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</si>
  <si>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</si>
  <si>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</si>
  <si>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</si>
  <si>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</si>
  <si>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</si>
  <si>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</si>
  <si>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</si>
  <si>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</si>
  <si>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</si>
  <si>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</si>
  <si>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</si>
  <si>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</si>
  <si>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</si>
  <si>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</si>
  <si>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</si>
  <si>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</si>
  <si>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</si>
  <si>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</si>
  <si>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</si>
  <si>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</si>
  <si>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</si>
  <si>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</si>
  <si>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</si>
  <si>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</si>
  <si>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</si>
  <si>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</si>
  <si>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</si>
  <si>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</si>
  <si>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</si>
  <si>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</si>
  <si>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</si>
  <si>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</si>
  <si>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</si>
  <si>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</si>
  <si>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</si>
  <si>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</si>
  <si>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</si>
  <si>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</si>
  <si>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</si>
  <si>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</si>
  <si>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</si>
  <si>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</si>
  <si>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</si>
  <si>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</si>
  <si>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</si>
  <si>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</si>
  <si>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</si>
  <si>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</si>
  <si>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</si>
  <si>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</si>
  <si>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</si>
  <si>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</si>
  <si>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</si>
  <si>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</si>
  <si>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</si>
  <si>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</si>
  <si>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</si>
  <si>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</si>
  <si>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</si>
  <si>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</si>
  <si>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</si>
  <si>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</si>
  <si>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</si>
  <si>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</si>
  <si>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</si>
  <si>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</si>
  <si>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</si>
  <si>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</si>
  <si>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</si>
  <si>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</si>
  <si>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</si>
  <si>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</si>
  <si>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</si>
  <si>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</si>
  <si>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</si>
  <si>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</si>
  <si>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</si>
  <si>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</si>
  <si>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</si>
  <si>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</si>
  <si>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</si>
  <si>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</si>
  <si>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</si>
  <si>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</si>
  <si>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</si>
  <si>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</si>
  <si>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</si>
  <si>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</si>
  <si>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</si>
  <si>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</si>
  <si>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</si>
  <si>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</si>
  <si>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</si>
  <si>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</si>
  <si>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</si>
  <si>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</si>
  <si>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</si>
  <si>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</si>
  <si>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</si>
  <si>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</si>
  <si>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</si>
  <si>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</si>
  <si>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</si>
  <si>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</si>
  <si>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</si>
  <si>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</si>
  <si>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</si>
  <si>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</si>
  <si>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</si>
  <si>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</si>
  <si>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</si>
  <si>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</si>
  <si>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</si>
  <si>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</si>
  <si>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</si>
  <si>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</si>
  <si>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</si>
  <si>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</si>
  <si>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</si>
  <si>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</si>
  <si>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</si>
  <si>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</si>
  <si>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</si>
  <si>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</si>
  <si>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</si>
  <si>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</si>
  <si>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</si>
  <si>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</si>
  <si>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</si>
  <si>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</si>
  <si>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</si>
  <si>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</si>
  <si>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</si>
  <si>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</si>
  <si>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</si>
  <si>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</si>
  <si>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</si>
  <si>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</si>
  <si>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</si>
  <si>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</si>
  <si>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</si>
  <si>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</si>
  <si>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</si>
  <si>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</si>
  <si>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</si>
  <si>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</si>
  <si>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</si>
  <si>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</si>
  <si>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</si>
  <si>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</si>
  <si>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</si>
  <si>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</si>
  <si>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</si>
  <si>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</si>
  <si>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</si>
  <si>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</si>
  <si>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</si>
  <si>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</si>
  <si>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</si>
  <si>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</si>
  <si>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</si>
  <si>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</si>
  <si>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</si>
  <si>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</si>
  <si>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</si>
  <si>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</si>
  <si>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</si>
  <si>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</si>
  <si>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</si>
  <si>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</si>
  <si>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</si>
  <si>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</si>
  <si>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</si>
  <si>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</si>
  <si>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</si>
  <si>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</si>
  <si>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</si>
  <si>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</si>
  <si>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</si>
  <si>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</si>
  <si>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</si>
  <si>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</si>
  <si>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</si>
  <si>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</si>
  <si>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</si>
  <si>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</si>
  <si>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</si>
  <si>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</si>
  <si>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</si>
  <si>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</si>
  <si>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</si>
  <si>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</si>
  <si>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</si>
  <si>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</si>
  <si>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</si>
  <si>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</si>
  <si>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</si>
  <si>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</si>
  <si>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</si>
  <si>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</si>
  <si>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</si>
  <si>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</si>
  <si>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</si>
  <si>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</si>
  <si>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</si>
  <si>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</si>
  <si>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</si>
  <si>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</si>
  <si>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</si>
  <si>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</si>
  <si>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</si>
  <si>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</si>
  <si>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</si>
  <si>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</si>
  <si>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</si>
  <si>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</si>
  <si>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</si>
  <si>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</si>
  <si>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</si>
  <si>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</si>
  <si>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</si>
  <si>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</si>
  <si>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</si>
  <si>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</si>
  <si>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</si>
  <si>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</si>
  <si>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</si>
  <si>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</si>
  <si>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</si>
  <si>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</si>
  <si>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</si>
  <si>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</si>
  <si>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</si>
  <si>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</si>
  <si>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</si>
  <si>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</si>
  <si>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</si>
  <si>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</si>
  <si>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</si>
  <si>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</si>
  <si>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</si>
  <si>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</si>
  <si>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</si>
  <si>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</si>
  <si>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</si>
  <si>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</si>
  <si>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</si>
  <si>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</si>
  <si>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</si>
  <si>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</si>
  <si>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</si>
  <si>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</si>
  <si>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</si>
  <si>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</si>
  <si>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</si>
  <si>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</si>
  <si>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</si>
  <si>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</si>
  <si>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</si>
  <si>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</si>
  <si>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</si>
  <si>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</si>
  <si>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</si>
  <si>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</si>
  <si>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</si>
  <si>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</si>
  <si>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</si>
  <si>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</si>
  <si>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</si>
  <si>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</si>
  <si>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</si>
  <si>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</si>
  <si>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</si>
  <si>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</si>
  <si>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</si>
  <si>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</si>
  <si>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</si>
  <si>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</si>
  <si>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</si>
  <si>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</si>
  <si>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</si>
  <si>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</si>
  <si>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</si>
  <si>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</si>
  <si>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</si>
  <si>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</si>
  <si>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</si>
  <si>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</si>
  <si>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</si>
  <si>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</si>
  <si>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</si>
  <si>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</si>
  <si>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</si>
  <si>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</si>
  <si>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</si>
  <si>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</si>
  <si>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</si>
  <si>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</si>
  <si>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</si>
  <si>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</si>
  <si>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</si>
  <si>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</si>
  <si>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</si>
  <si>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</si>
  <si>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</si>
  <si>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</si>
  <si>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</si>
  <si>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</si>
  <si>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</si>
  <si>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</si>
  <si>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</si>
  <si>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</si>
  <si>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</si>
  <si>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</si>
  <si>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</si>
  <si>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</si>
  <si>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</si>
  <si>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</si>
  <si>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</si>
  <si>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</si>
  <si>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</si>
  <si>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</si>
  <si>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</si>
  <si>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</si>
  <si>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</si>
  <si>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</si>
  <si>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</si>
  <si>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</si>
  <si>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</si>
  <si>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</si>
  <si>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</si>
  <si>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</si>
  <si>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</si>
  <si>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</si>
  <si>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</si>
  <si>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</si>
  <si>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</si>
  <si>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</si>
  <si>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</si>
  <si>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</si>
  <si>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</si>
  <si>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</si>
  <si>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</si>
  <si>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</si>
  <si>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</si>
  <si>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</si>
  <si>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</si>
  <si>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</si>
  <si>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</si>
  <si>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</si>
  <si>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</si>
  <si>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</si>
  <si>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</si>
  <si>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</si>
  <si>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</si>
  <si>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</si>
  <si>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</si>
  <si>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</si>
  <si>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</si>
  <si>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</si>
  <si>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</si>
  <si>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</si>
  <si>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</si>
  <si>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</si>
  <si>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</si>
  <si>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</si>
  <si>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</si>
  <si>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</si>
  <si>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</si>
  <si>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</si>
  <si>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</si>
  <si>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</si>
  <si>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</si>
  <si>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</si>
  <si>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</si>
  <si>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</si>
  <si>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</si>
  <si>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</si>
  <si>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</si>
  <si>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</si>
  <si>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</si>
  <si>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</si>
  <si>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</si>
  <si>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</si>
  <si>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</si>
  <si>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</si>
  <si>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</si>
  <si>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</si>
  <si>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</si>
  <si>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</si>
  <si>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</si>
  <si>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</si>
  <si>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</si>
  <si>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</si>
  <si>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</si>
  <si>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</si>
  <si>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</si>
  <si>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</si>
  <si>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</si>
  <si>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</si>
  <si>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</si>
  <si>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</si>
  <si>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</si>
  <si>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</si>
  <si>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</si>
  <si>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</si>
  <si>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</si>
  <si>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</si>
  <si>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</si>
  <si>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</si>
  <si>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</si>
  <si>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</si>
  <si>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</si>
  <si>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</si>
  <si>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</si>
  <si>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</si>
  <si>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</si>
  <si>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</si>
  <si>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</si>
  <si>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</si>
  <si>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</si>
  <si>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</si>
  <si>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</si>
  <si>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</si>
  <si>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</si>
  <si>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</si>
  <si>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</si>
  <si>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</si>
  <si>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</si>
  <si>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</si>
  <si>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</si>
  <si>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</si>
  <si>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</si>
  <si>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</si>
  <si>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</si>
  <si>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</si>
  <si>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</si>
  <si>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</si>
  <si>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</si>
  <si>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</si>
  <si>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</si>
  <si>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</si>
  <si>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</si>
  <si>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</si>
  <si>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</si>
  <si>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</si>
  <si>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</si>
  <si>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</si>
  <si>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</si>
  <si>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</si>
  <si>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</si>
  <si>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</si>
  <si>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</si>
  <si>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</si>
  <si>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</si>
  <si>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</si>
  <si>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</si>
  <si>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</si>
  <si>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</si>
  <si>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</si>
  <si>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</si>
  <si>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</si>
  <si>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</si>
  <si>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</si>
  <si>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</si>
  <si>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</si>
  <si>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</si>
  <si>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</si>
  <si>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</si>
  <si>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</si>
  <si>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</si>
  <si>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</si>
  <si>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</si>
  <si>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</si>
  <si>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</si>
  <si>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</si>
  <si>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</si>
  <si>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</si>
  <si>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</si>
  <si>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</si>
  <si>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</si>
  <si>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</si>
  <si>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</si>
  <si>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</si>
  <si>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</si>
  <si>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</si>
  <si>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</si>
  <si>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</si>
  <si>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</si>
  <si>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</si>
  <si>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</si>
  <si>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</si>
  <si>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</si>
  <si>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</si>
  <si>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</si>
  <si>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</si>
  <si>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</si>
  <si>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</si>
  <si>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</si>
  <si>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</si>
  <si>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</si>
  <si>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</si>
  <si>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</si>
  <si>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</si>
  <si>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</si>
  <si>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</si>
  <si>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</si>
  <si>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</si>
  <si>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</si>
  <si>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</si>
  <si>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</si>
  <si>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</si>
  <si>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</si>
  <si>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</si>
  <si>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</si>
  <si>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</si>
  <si>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</si>
  <si>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</si>
  <si>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</si>
  <si>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</si>
  <si>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</si>
  <si>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</si>
  <si>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</si>
  <si>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</si>
  <si>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</si>
  <si>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</si>
  <si>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</si>
  <si>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</si>
  <si>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</si>
  <si>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</si>
  <si>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</si>
  <si>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</si>
  <si>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</si>
  <si>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</si>
  <si>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</si>
  <si>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</si>
  <si>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</si>
  <si>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</si>
  <si>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</si>
  <si>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</si>
  <si>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</si>
  <si>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</si>
  <si>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</si>
  <si>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</si>
  <si>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</si>
  <si>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</si>
  <si>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</si>
  <si>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</si>
  <si>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</si>
  <si>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</si>
  <si>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</si>
  <si>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</si>
  <si>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</si>
  <si>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</si>
  <si>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</si>
  <si>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</si>
  <si>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</si>
  <si>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</si>
  <si>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</si>
  <si>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</si>
  <si>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</si>
  <si>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</si>
  <si>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</si>
  <si>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</si>
  <si>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</si>
  <si>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</si>
  <si>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</si>
  <si>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</si>
  <si>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</si>
  <si>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</si>
  <si>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</si>
  <si>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</si>
  <si>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</si>
  <si>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</si>
  <si>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</si>
  <si>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</si>
  <si>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</si>
  <si>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</si>
  <si>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</si>
  <si>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</si>
  <si>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</si>
  <si>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</si>
  <si>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</si>
  <si>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</si>
  <si>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</si>
  <si>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</si>
  <si>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</si>
  <si>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</si>
  <si>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</si>
  <si>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</si>
  <si>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</si>
  <si>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</si>
  <si>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</si>
  <si>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</si>
  <si>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</si>
  <si>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</si>
  <si>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</si>
  <si>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</si>
  <si>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</si>
  <si>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</si>
  <si>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</si>
  <si>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</si>
  <si>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</si>
  <si>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</si>
  <si>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</si>
  <si>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</si>
  <si>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</si>
  <si>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</si>
  <si>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</si>
  <si>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</si>
  <si>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</si>
  <si>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</si>
  <si>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</si>
  <si>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</si>
  <si>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</si>
  <si>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</si>
  <si>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</si>
  <si>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</si>
  <si>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</si>
  <si>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</si>
  <si>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</si>
  <si>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</si>
  <si>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</si>
  <si>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</si>
  <si>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</si>
  <si>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</si>
  <si>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</si>
  <si>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</si>
  <si>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</si>
  <si>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</si>
  <si>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</si>
  <si>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</si>
  <si>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</si>
  <si>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</si>
  <si>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</si>
  <si>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</si>
  <si>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</si>
  <si>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</si>
  <si>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</si>
  <si>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</si>
  <si>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</si>
  <si>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</si>
  <si>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</si>
  <si>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</si>
  <si>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</si>
  <si>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</si>
  <si>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</si>
  <si>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</si>
  <si>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</si>
  <si>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</si>
  <si>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</si>
  <si>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</si>
  <si>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</si>
  <si>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</si>
  <si>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</si>
  <si>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</si>
  <si>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</si>
  <si>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</si>
  <si>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</si>
  <si>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</si>
  <si>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</si>
  <si>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</si>
  <si>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</si>
  <si>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</si>
  <si>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</si>
  <si>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</si>
  <si>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</si>
  <si>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</si>
  <si>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</si>
  <si>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</si>
  <si>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</si>
  <si>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</si>
  <si>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</si>
  <si>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</si>
  <si>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</si>
  <si>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</si>
  <si>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</si>
  <si>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</si>
  <si>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</si>
  <si>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</si>
  <si>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</si>
  <si>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</si>
  <si>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</si>
  <si>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</si>
  <si>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</si>
  <si>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</si>
  <si>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</si>
  <si>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</si>
  <si>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</si>
  <si>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</si>
  <si>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</si>
  <si>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</si>
  <si>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</si>
  <si>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</si>
  <si>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</si>
  <si>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</si>
  <si>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</si>
  <si>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</si>
  <si>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</si>
  <si>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</si>
  <si>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</si>
  <si>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</si>
  <si>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</si>
  <si>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</si>
  <si>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</si>
  <si>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</si>
  <si>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</si>
  <si>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</si>
  <si>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</si>
  <si>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</si>
  <si>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</si>
  <si>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</si>
  <si>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</si>
  <si>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</si>
  <si>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</si>
  <si>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</si>
  <si>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</si>
  <si>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</si>
  <si>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</si>
  <si>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</si>
  <si>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</si>
  <si>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</si>
  <si>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</si>
  <si>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</si>
  <si>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</si>
  <si>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</si>
  <si>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</si>
  <si>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</si>
  <si>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</si>
  <si>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</si>
  <si>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</si>
  <si>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</si>
  <si>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</si>
  <si>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</si>
  <si>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</si>
  <si>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</si>
  <si>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</si>
  <si>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</si>
  <si>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</si>
  <si>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</si>
  <si>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</si>
  <si>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</si>
  <si>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</si>
  <si>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</si>
  <si>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</si>
  <si>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</si>
  <si>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</si>
  <si>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</si>
  <si>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</si>
  <si>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</si>
  <si>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</si>
  <si>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</si>
  <si>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</si>
  <si>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</si>
  <si>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</si>
  <si>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</si>
  <si>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</si>
  <si>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</si>
  <si>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</si>
  <si>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</si>
  <si>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</si>
  <si>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</si>
  <si>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</si>
  <si>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</si>
  <si>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</si>
  <si>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</si>
  <si>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</si>
  <si>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</si>
  <si>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</si>
  <si>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</si>
  <si>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</si>
  <si>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</si>
  <si>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</si>
  <si>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</si>
  <si>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</si>
  <si>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</si>
  <si>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</si>
  <si>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</si>
  <si>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</si>
  <si>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</si>
  <si>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</si>
  <si>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</si>
  <si>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</si>
  <si>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</si>
  <si>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</si>
  <si>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</si>
  <si>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</si>
  <si>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</si>
  <si>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</si>
  <si>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</si>
  <si>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</si>
  <si>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</si>
  <si>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</si>
  <si>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</si>
  <si>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</si>
  <si>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</si>
  <si>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</si>
  <si>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</si>
  <si>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</si>
  <si>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</si>
  <si>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</si>
  <si>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</si>
  <si>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</si>
  <si>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</si>
  <si>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</si>
  <si>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</si>
  <si>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</si>
  <si>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</si>
  <si>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</si>
  <si>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</si>
  <si>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</si>
  <si>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</si>
  <si>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</si>
  <si>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</si>
  <si>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</si>
  <si>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</si>
  <si>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</si>
  <si>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</si>
  <si>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</si>
  <si>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</si>
  <si>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</si>
  <si>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</si>
  <si>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</si>
  <si>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</si>
  <si>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</si>
  <si>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</si>
  <si>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</si>
  <si>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</si>
  <si>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</si>
  <si>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</si>
  <si>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</si>
  <si>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</si>
  <si>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</si>
  <si>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</si>
  <si>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</si>
  <si>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</si>
  <si>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</si>
  <si>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</si>
  <si>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</si>
  <si>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</si>
  <si>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</si>
  <si>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</si>
  <si>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</si>
  <si>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</si>
  <si>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</si>
  <si>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</si>
  <si>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</si>
  <si>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</si>
  <si>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</si>
  <si>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</si>
  <si>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</si>
  <si>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</si>
  <si>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</si>
  <si>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</si>
  <si>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</si>
  <si>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</si>
  <si>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</si>
  <si>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</si>
  <si>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</si>
  <si>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</si>
  <si>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</si>
  <si>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</si>
  <si>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</si>
  <si>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</si>
  <si>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</si>
  <si>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</si>
  <si>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</si>
  <si>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</si>
  <si>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</si>
  <si>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</si>
  <si>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</si>
  <si>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</si>
  <si>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</si>
  <si>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</si>
  <si>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</si>
  <si>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</si>
  <si>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</si>
  <si>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</si>
  <si>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</si>
  <si>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</si>
  <si>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</si>
  <si>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</si>
  <si>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</si>
  <si>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</si>
  <si>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</si>
  <si>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</si>
  <si>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</si>
  <si>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</si>
  <si>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</si>
  <si>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</si>
  <si>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</si>
  <si>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</si>
  <si>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</si>
  <si>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</si>
  <si>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</si>
  <si>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</si>
  <si>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</si>
  <si>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</si>
  <si>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</si>
  <si>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</si>
  <si>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</si>
  <si>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</si>
  <si>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</si>
  <si>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</si>
  <si>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</si>
  <si>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</si>
  <si>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</si>
  <si>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</si>
  <si>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</si>
  <si>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</si>
  <si>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</si>
  <si>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</si>
  <si>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</si>
  <si>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</si>
  <si>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</si>
  <si>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</si>
  <si>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</si>
  <si>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</si>
  <si>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</si>
  <si>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</si>
  <si>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</si>
  <si>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</si>
  <si>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</si>
  <si>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</si>
  <si>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</si>
  <si>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</si>
  <si>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</si>
  <si>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</si>
  <si>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</si>
  <si>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</si>
  <si>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</si>
  <si>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</si>
  <si>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</si>
  <si>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</si>
  <si>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</si>
  <si>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</si>
  <si>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</si>
  <si>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</si>
  <si>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</si>
  <si>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</si>
  <si>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</si>
  <si>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</si>
  <si>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</si>
  <si>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</si>
  <si>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</si>
  <si>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</si>
  <si>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</si>
  <si>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</si>
  <si>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</si>
  <si>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</si>
  <si>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</si>
  <si>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</si>
  <si>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</si>
  <si>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</si>
  <si>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</si>
  <si>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</si>
  <si>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</si>
  <si>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</si>
  <si>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</si>
  <si>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</si>
  <si>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</si>
  <si>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</si>
  <si>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</si>
  <si>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</si>
  <si>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</si>
  <si>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</si>
  <si>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</si>
  <si>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</si>
  <si>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</si>
  <si>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</si>
  <si>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</si>
  <si>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</si>
  <si>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</si>
  <si>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</si>
  <si>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</si>
  <si>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</si>
  <si>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</si>
  <si>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</si>
  <si>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</si>
  <si>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</si>
  <si>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</si>
  <si>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</si>
  <si>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</si>
  <si>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</si>
  <si>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</si>
  <si>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</si>
  <si>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</si>
  <si>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</si>
  <si>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</si>
  <si>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</si>
  <si>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</si>
  <si>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</si>
  <si>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</si>
  <si>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</si>
  <si>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</si>
  <si>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</si>
  <si>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</si>
  <si>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</si>
  <si>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</si>
  <si>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</si>
  <si>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</si>
  <si>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</si>
  <si>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</si>
  <si>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</si>
  <si>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</si>
  <si>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</si>
  <si>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</si>
  <si>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</si>
  <si>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</si>
  <si>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</si>
  <si>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</si>
  <si>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</si>
  <si>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</si>
  <si>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</si>
  <si>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</si>
  <si>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</si>
  <si>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</si>
  <si>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</si>
  <si>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</si>
  <si>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</si>
  <si>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</si>
  <si>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</si>
  <si>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</si>
  <si>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</si>
  <si>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</si>
  <si>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</si>
  <si>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</si>
  <si>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</si>
  <si>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</si>
  <si>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</si>
  <si>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</si>
  <si>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</si>
  <si>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</si>
  <si>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</si>
  <si>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</si>
  <si>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</si>
  <si>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</si>
  <si>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</si>
  <si>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</si>
  <si>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</si>
  <si>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</si>
  <si>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</si>
  <si>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</si>
  <si>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</si>
  <si>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</si>
  <si>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</si>
  <si>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</si>
  <si>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</si>
  <si>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</si>
  <si>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</si>
  <si>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</si>
  <si>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</si>
  <si>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</si>
  <si>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</si>
  <si>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</si>
  <si>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</si>
  <si>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</si>
  <si>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</si>
  <si>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</si>
  <si>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</si>
  <si>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</si>
  <si>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</si>
  <si>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</si>
  <si>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</si>
  <si>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</si>
  <si>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</si>
  <si>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</si>
  <si>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</si>
  <si>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</si>
  <si>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</si>
  <si>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</si>
  <si>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</si>
  <si>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</si>
  <si>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</si>
  <si>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</si>
  <si>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</si>
  <si>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</si>
  <si>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</si>
  <si>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</si>
  <si>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</si>
  <si>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</si>
  <si>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</si>
  <si>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</si>
  <si>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</si>
  <si>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</si>
  <si>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</si>
  <si>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</si>
  <si>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</si>
  <si>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</si>
  <si>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</si>
  <si>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</si>
  <si>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</si>
  <si>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</si>
  <si>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</si>
  <si>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</si>
  <si>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</si>
  <si>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</si>
  <si>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</si>
  <si>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</si>
  <si>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</si>
  <si>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</si>
  <si>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</si>
  <si>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</si>
  <si>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</si>
  <si>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</si>
  <si>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</si>
  <si>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</si>
  <si>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</si>
  <si>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</si>
  <si>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</si>
  <si>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</si>
  <si>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</si>
  <si>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</si>
  <si>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</si>
  <si>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</si>
  <si>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</si>
  <si>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</si>
  <si>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</si>
  <si>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</si>
  <si>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</si>
  <si>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</si>
  <si>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</si>
  <si>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</si>
  <si>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</si>
  <si>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</si>
  <si>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</si>
  <si>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</si>
  <si>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</si>
  <si>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</si>
  <si>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</si>
  <si>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</si>
  <si>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</si>
  <si>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</si>
  <si>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</si>
  <si>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</si>
  <si>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</si>
  <si>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</si>
  <si>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</si>
  <si>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</si>
  <si>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</si>
  <si>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</si>
  <si>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</si>
  <si>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</si>
  <si>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</si>
  <si>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</si>
  <si>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</si>
  <si>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</si>
  <si>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</si>
  <si>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</si>
  <si>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</si>
  <si>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</si>
  <si>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</si>
  <si>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</si>
  <si>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</si>
  <si>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</si>
  <si>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</si>
  <si>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</si>
  <si>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</si>
  <si>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</si>
  <si>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</si>
  <si>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</si>
  <si>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</si>
  <si>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</si>
  <si>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</si>
  <si>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</si>
  <si>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</si>
  <si>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</si>
  <si>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</si>
  <si>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</si>
  <si>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</si>
  <si>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</si>
  <si>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</si>
  <si>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</si>
  <si>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</si>
  <si>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</si>
  <si>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</si>
  <si>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</si>
  <si>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</si>
  <si>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</si>
  <si>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</si>
  <si>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</si>
  <si>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</si>
  <si>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</si>
  <si>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</si>
  <si>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</si>
  <si>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</si>
  <si>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</si>
  <si>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</si>
  <si>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</si>
  <si>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</si>
  <si>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</si>
  <si>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</si>
  <si>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</si>
  <si>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</si>
  <si>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</si>
  <si>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</si>
  <si>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</si>
  <si>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</si>
  <si>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</si>
  <si>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</si>
  <si>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</si>
  <si>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</si>
  <si>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</si>
  <si>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</si>
  <si>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</si>
  <si>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</si>
  <si>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</si>
  <si>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</si>
  <si>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</si>
  <si>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</si>
  <si>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</si>
  <si>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</si>
  <si>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</si>
  <si>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</si>
  <si>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</si>
  <si>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</si>
  <si>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</si>
  <si>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</si>
  <si>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</si>
  <si>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</si>
  <si>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</si>
  <si>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</si>
  <si>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</si>
  <si>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</si>
  <si>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</si>
  <si>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</si>
  <si>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</si>
  <si>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</si>
  <si>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</si>
  <si>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</si>
  <si>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</si>
  <si>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</si>
  <si>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</si>
  <si>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</si>
  <si>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</si>
  <si>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</si>
  <si>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</si>
  <si>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</si>
  <si>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</si>
  <si>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</si>
  <si>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</si>
  <si>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</si>
  <si>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</si>
  <si>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</si>
  <si>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</si>
  <si>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</si>
  <si>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</si>
  <si>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</si>
  <si>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</si>
  <si>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</si>
  <si>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</si>
  <si>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</si>
  <si>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</si>
  <si>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</si>
  <si>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</si>
  <si>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</si>
  <si>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</si>
  <si>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</si>
  <si>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</si>
  <si>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</si>
  <si>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</si>
  <si>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</si>
  <si>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</si>
  <si>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</si>
  <si>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</si>
  <si>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</si>
  <si>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</si>
  <si>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</si>
  <si>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</si>
  <si>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</si>
  <si>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</si>
  <si>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</si>
  <si>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</si>
  <si>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</si>
  <si>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</si>
  <si>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</si>
  <si>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</si>
  <si>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</si>
  <si>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</si>
  <si>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</si>
  <si>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</si>
  <si>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</si>
  <si>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</si>
  <si>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</si>
  <si>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</si>
  <si>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</si>
  <si>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</si>
  <si>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</si>
  <si>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</si>
  <si>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</si>
  <si>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</si>
  <si>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</si>
  <si>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</si>
  <si>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</si>
  <si>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</si>
  <si>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</si>
  <si>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</si>
  <si>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</si>
  <si>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</si>
  <si>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</si>
  <si>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</si>
  <si>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</si>
  <si>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</si>
  <si>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</si>
  <si>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</si>
  <si>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</si>
  <si>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</si>
  <si>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</si>
  <si>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</si>
  <si>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</si>
  <si>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</si>
  <si>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</si>
  <si>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</si>
  <si>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</si>
  <si>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</si>
  <si>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</si>
  <si>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</si>
  <si>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</si>
  <si>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</si>
  <si>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</si>
  <si>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</si>
  <si>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</si>
  <si>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</si>
  <si>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</si>
  <si>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</si>
  <si>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</si>
  <si>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</si>
  <si>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</si>
  <si>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</si>
  <si>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</si>
  <si>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</si>
  <si>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</si>
  <si>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</si>
  <si>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</si>
  <si>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</si>
  <si>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</si>
  <si>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</si>
  <si>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</si>
  <si>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</si>
  <si>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</si>
  <si>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</si>
  <si>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</si>
  <si>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</si>
  <si>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</si>
  <si>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</si>
  <si>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</si>
  <si>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</si>
  <si>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</si>
  <si>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</si>
  <si>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</si>
  <si>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</si>
  <si>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</si>
  <si>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</si>
  <si>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</si>
  <si>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</si>
  <si>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</si>
  <si>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</si>
  <si>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</si>
  <si>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</si>
  <si>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</si>
  <si>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</si>
  <si>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</si>
  <si>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</si>
  <si>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</si>
  <si>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</si>
  <si>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</si>
  <si>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</si>
  <si>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</si>
  <si>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</si>
  <si>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</si>
  <si>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</si>
  <si>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</si>
  <si>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</si>
  <si>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</si>
  <si>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</si>
  <si>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</si>
  <si>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</si>
  <si>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</si>
  <si>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</si>
  <si>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</si>
  <si>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</si>
  <si>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</si>
  <si>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</si>
  <si>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</si>
  <si>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</si>
  <si>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</si>
  <si>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</si>
  <si>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</si>
  <si>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</si>
  <si>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</si>
  <si>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</si>
  <si>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</si>
  <si>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</si>
  <si>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</si>
  <si>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</si>
  <si>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</si>
  <si>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</si>
  <si>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</si>
  <si>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</si>
  <si>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</si>
  <si>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</si>
  <si>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</si>
  <si>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</si>
  <si>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</si>
  <si>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</si>
  <si>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</si>
  <si>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</si>
  <si>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</si>
  <si>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</si>
  <si>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</si>
  <si>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</si>
  <si>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</si>
  <si>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</si>
  <si>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</si>
  <si>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</si>
  <si>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</si>
  <si>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</si>
  <si>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</si>
  <si>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</si>
  <si>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</si>
  <si>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</si>
  <si>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</si>
  <si>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</si>
  <si>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</si>
  <si>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</si>
  <si>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</si>
  <si>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</si>
  <si>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</si>
  <si>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</si>
  <si>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</si>
  <si>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</si>
  <si>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</si>
  <si>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</si>
  <si>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</si>
  <si>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</si>
  <si>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</si>
  <si>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</si>
  <si>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</si>
  <si>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</si>
  <si>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</si>
  <si>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</si>
  <si>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</si>
  <si>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</si>
  <si>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</si>
  <si>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</si>
  <si>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</si>
  <si>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</si>
  <si>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</si>
  <si>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</si>
  <si>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</si>
  <si>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</si>
  <si>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</si>
  <si>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</si>
  <si>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</si>
  <si>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</si>
  <si>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</si>
  <si>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</si>
  <si>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</si>
  <si>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</si>
  <si>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</si>
  <si>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</si>
  <si>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</si>
  <si>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</si>
  <si>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</si>
  <si>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</si>
  <si>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</si>
  <si>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</si>
  <si>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</si>
  <si>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</si>
  <si>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</si>
  <si>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</si>
  <si>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</si>
  <si>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</si>
  <si>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</si>
  <si>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</si>
  <si>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</si>
  <si>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</si>
  <si>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</si>
  <si>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</si>
  <si>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</si>
  <si>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</si>
  <si>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</si>
  <si>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</si>
  <si>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</si>
  <si>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</si>
  <si>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</si>
  <si>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</si>
  <si>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</si>
  <si>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</si>
  <si>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</si>
  <si>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</si>
  <si>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</si>
  <si>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</si>
  <si>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</si>
  <si>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</si>
  <si>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</si>
  <si>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</si>
  <si>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</si>
  <si>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</si>
  <si>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</si>
  <si>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</si>
  <si>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</si>
  <si>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</si>
  <si>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</si>
  <si>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</si>
  <si>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</si>
  <si>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</si>
  <si>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</si>
  <si>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</si>
  <si>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</si>
  <si>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</si>
  <si>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</si>
  <si>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</si>
  <si>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</si>
  <si>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</si>
  <si>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</si>
  <si>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</si>
  <si>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</si>
  <si>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</si>
  <si>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</si>
  <si>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</si>
  <si>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</si>
  <si>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</si>
  <si>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</si>
  <si>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</si>
  <si>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</si>
  <si>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</si>
  <si>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</si>
  <si>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</si>
  <si>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</si>
  <si>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</si>
  <si>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</si>
  <si>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</si>
  <si>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</si>
  <si>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</si>
  <si>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</si>
  <si>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</si>
  <si>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</si>
  <si>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</si>
  <si>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</si>
  <si>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</si>
  <si>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</si>
  <si>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</si>
  <si>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</si>
  <si>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</si>
  <si>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</si>
  <si>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</si>
  <si>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</si>
  <si>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</si>
  <si>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</si>
  <si>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</si>
  <si>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</si>
  <si>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</si>
  <si>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</si>
  <si>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</si>
  <si>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</si>
  <si>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</si>
  <si>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</si>
  <si>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</si>
  <si>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</si>
  <si>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</si>
  <si>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</si>
  <si>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</si>
  <si>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</si>
  <si>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</si>
  <si>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</si>
  <si>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</si>
  <si>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</si>
  <si>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</si>
  <si>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</si>
  <si>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</si>
  <si>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</si>
  <si>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</si>
  <si>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</si>
  <si>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</si>
  <si>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</si>
  <si>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</si>
  <si>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</si>
  <si>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</si>
  <si>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</si>
  <si>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</si>
  <si>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</si>
  <si>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</si>
  <si>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</si>
  <si>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</si>
  <si>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</si>
  <si>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</si>
  <si>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</si>
  <si>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</si>
  <si>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</si>
  <si>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</si>
  <si>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</si>
  <si>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</si>
  <si>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</si>
  <si>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</si>
  <si>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</si>
  <si>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</si>
  <si>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</si>
  <si>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</si>
  <si>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</si>
  <si>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</si>
  <si>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</si>
  <si>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</si>
  <si>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</si>
  <si>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</si>
  <si>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</si>
  <si>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</si>
  <si>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</si>
  <si>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</si>
  <si>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</si>
  <si>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</si>
  <si>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</si>
  <si>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</si>
  <si>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</si>
  <si>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</si>
  <si>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</si>
  <si>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</si>
  <si>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</si>
  <si>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</si>
  <si>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</si>
  <si>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</si>
  <si>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</si>
  <si>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</si>
  <si>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</si>
  <si>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</si>
  <si>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</si>
  <si>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</si>
  <si>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</si>
  <si>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</si>
  <si>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</si>
  <si>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</si>
  <si>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</si>
  <si>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</si>
  <si>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</si>
  <si>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</si>
  <si>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</si>
  <si>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</si>
  <si>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</si>
  <si>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</si>
  <si>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</si>
  <si>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</si>
  <si>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</si>
  <si>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</si>
  <si>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</si>
  <si>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</si>
  <si>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</si>
  <si>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</si>
  <si>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</si>
  <si>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</si>
  <si>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</si>
  <si>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</si>
  <si>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</si>
  <si>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</si>
  <si>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</si>
  <si>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</si>
  <si>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</si>
  <si>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</si>
  <si>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</si>
  <si>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</si>
  <si>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</si>
  <si>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</si>
  <si>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</si>
  <si>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</si>
  <si>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</si>
  <si>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</si>
  <si>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</si>
  <si>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</si>
  <si>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</si>
  <si>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</si>
  <si>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</si>
  <si>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</si>
  <si>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</si>
  <si>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</si>
  <si>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</si>
  <si>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</si>
  <si>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</si>
  <si>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</si>
  <si>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</si>
  <si>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</si>
  <si>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</si>
  <si>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</si>
  <si>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</si>
  <si>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</si>
  <si>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</si>
  <si>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</si>
  <si>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</si>
  <si>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</si>
  <si>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</si>
  <si>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</si>
  <si>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</si>
  <si>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</si>
  <si>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</si>
  <si>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</si>
  <si>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</si>
  <si>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</si>
  <si>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</si>
  <si>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</si>
  <si>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</si>
  <si>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</si>
  <si>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</si>
  <si>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</si>
  <si>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</si>
  <si>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</si>
  <si>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</si>
  <si>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</si>
  <si>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</si>
  <si>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</si>
  <si>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</si>
  <si>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</si>
  <si>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</si>
  <si>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</si>
  <si>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</si>
  <si>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</si>
  <si>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</si>
  <si>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</si>
  <si>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</si>
  <si>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</si>
  <si>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</si>
  <si>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</si>
  <si>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</si>
  <si>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</si>
  <si>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</si>
  <si>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</si>
  <si>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</si>
  <si>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</si>
  <si>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</si>
  <si>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</si>
  <si>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</si>
  <si>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</si>
  <si>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</si>
  <si>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</si>
  <si>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</si>
  <si>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</si>
  <si>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</si>
  <si>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</si>
  <si>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</si>
  <si>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</si>
  <si>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</si>
  <si>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</si>
  <si>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</si>
  <si>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</si>
  <si>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</si>
  <si>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</si>
  <si>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</si>
  <si>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</si>
  <si>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</si>
  <si>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</si>
  <si>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</si>
  <si>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</si>
  <si>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</si>
  <si>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</si>
  <si>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</si>
  <si>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</si>
  <si>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</si>
  <si>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</si>
  <si>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</si>
  <si>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</si>
  <si>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</si>
  <si>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</si>
  <si>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</si>
  <si>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</si>
  <si>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</si>
  <si>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</si>
  <si>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</si>
  <si>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</si>
  <si>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</si>
  <si>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</si>
  <si>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</si>
  <si>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</si>
  <si>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</si>
  <si>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</si>
  <si>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</si>
  <si>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</si>
  <si>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</si>
  <si>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</si>
  <si>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</si>
  <si>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</si>
  <si>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</si>
  <si>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</si>
  <si>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</si>
  <si>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</si>
  <si>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</si>
  <si>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</si>
  <si>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</si>
  <si>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</si>
  <si>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</si>
  <si>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</si>
  <si>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</si>
  <si>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</si>
  <si>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</si>
  <si>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</si>
  <si>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</si>
  <si>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</si>
  <si>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</si>
  <si>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</si>
  <si>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</si>
  <si>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</si>
  <si>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</si>
  <si>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</si>
  <si>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</si>
  <si>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</si>
  <si>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</si>
  <si>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</si>
  <si>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</si>
  <si>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</si>
  <si>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</si>
  <si>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</si>
  <si>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</si>
  <si>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</si>
  <si>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</si>
  <si>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</si>
  <si>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</si>
  <si>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</si>
  <si>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</si>
  <si>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</si>
  <si>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</si>
  <si>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</si>
  <si>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</si>
  <si>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</si>
  <si>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</si>
  <si>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</si>
  <si>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</si>
  <si>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</si>
  <si>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</si>
  <si>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</si>
  <si>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</si>
  <si>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</si>
  <si>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</si>
  <si>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</si>
  <si>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</si>
  <si>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</si>
  <si>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</si>
  <si>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</si>
  <si>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</si>
  <si>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</si>
  <si>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</si>
  <si>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</si>
  <si>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</si>
  <si>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</si>
  <si>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</si>
  <si>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</si>
  <si>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</si>
  <si>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</si>
  <si>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</si>
  <si>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</si>
  <si>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</si>
  <si>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</si>
  <si>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</si>
  <si>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</si>
  <si>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</si>
  <si>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</si>
  <si>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</si>
  <si>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</si>
  <si>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</si>
  <si>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</si>
  <si>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</si>
  <si>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</si>
  <si>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</si>
  <si>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</si>
  <si>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</si>
  <si>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</si>
  <si>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</si>
  <si>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</si>
  <si>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</si>
  <si>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</si>
  <si>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</si>
  <si>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</si>
  <si>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</si>
  <si>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</si>
  <si>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</si>
  <si>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</si>
  <si>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</si>
  <si>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</si>
  <si>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</si>
  <si>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</si>
  <si>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</si>
  <si>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</si>
  <si>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</si>
  <si>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</si>
  <si>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</si>
  <si>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</si>
  <si>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</si>
  <si>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</si>
  <si>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</si>
  <si>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</si>
  <si>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</si>
  <si>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</si>
  <si>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</si>
  <si>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</si>
  <si>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</si>
  <si>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</si>
  <si>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</si>
  <si>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</si>
  <si>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</si>
  <si>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</si>
  <si>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</si>
  <si>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</si>
  <si>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</si>
  <si>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</si>
  <si>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</si>
  <si>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</si>
  <si>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</si>
  <si>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</si>
  <si>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</si>
  <si>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</si>
  <si>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</si>
  <si>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</si>
  <si>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</si>
  <si>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</si>
  <si>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</si>
  <si>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</si>
  <si>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</si>
  <si>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</si>
  <si>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</si>
  <si>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</si>
  <si>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</si>
  <si>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</si>
  <si>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</si>
  <si>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</si>
  <si>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</si>
  <si>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</si>
  <si>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</si>
  <si>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</si>
  <si>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</si>
  <si>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</si>
  <si>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</si>
  <si>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</si>
  <si>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</si>
  <si>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</si>
  <si>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</si>
  <si>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</si>
  <si>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</si>
  <si>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</si>
  <si>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</si>
  <si>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</si>
  <si>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</si>
  <si>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</si>
  <si>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</si>
  <si>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</si>
  <si>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</si>
  <si>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</si>
  <si>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</si>
  <si>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</si>
  <si>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</si>
  <si>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</si>
  <si>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</si>
  <si>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</si>
  <si>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</si>
  <si>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</si>
  <si>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</si>
  <si>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</si>
  <si>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</si>
  <si>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</si>
  <si>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</si>
  <si>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</si>
  <si>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</si>
  <si>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</si>
  <si>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</si>
  <si>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</si>
  <si>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</si>
  <si>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</si>
  <si>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</si>
  <si>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</si>
  <si>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</si>
  <si>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</si>
  <si>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</si>
  <si>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</si>
  <si>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</si>
  <si>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</si>
  <si>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</si>
  <si>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</si>
  <si>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</si>
  <si>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</si>
  <si>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</si>
  <si>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</si>
  <si>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</si>
  <si>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</si>
  <si>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</si>
  <si>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</si>
  <si>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</si>
  <si>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</si>
  <si>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</si>
  <si>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</si>
  <si>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</si>
  <si>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</si>
  <si>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</si>
  <si>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</si>
  <si>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</si>
  <si>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</si>
  <si>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</si>
  <si>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</si>
  <si>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</si>
  <si>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</si>
  <si>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</si>
  <si>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</si>
  <si>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</si>
  <si>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</si>
  <si>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</si>
  <si>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</si>
  <si>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</si>
  <si>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</si>
  <si>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</si>
  <si>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</si>
  <si>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</si>
  <si>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</si>
  <si>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</si>
  <si>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</si>
  <si>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</si>
  <si>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</si>
  <si>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</si>
  <si>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</si>
  <si>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</si>
  <si>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</si>
  <si>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</si>
  <si>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</si>
  <si>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</si>
  <si>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</si>
  <si>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</si>
  <si>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</si>
  <si>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</si>
  <si>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</si>
  <si>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</si>
  <si>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</si>
  <si>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</si>
  <si>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</si>
  <si>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</si>
  <si>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</si>
  <si>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</si>
  <si>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</si>
  <si>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</si>
  <si>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</si>
  <si>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</si>
  <si>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</si>
  <si>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</si>
  <si>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</si>
  <si>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</si>
  <si>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</si>
  <si>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</si>
  <si>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</si>
  <si>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</si>
  <si>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</si>
  <si>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</si>
  <si>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</si>
  <si>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</si>
  <si>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</si>
  <si>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</si>
  <si>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</si>
  <si>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</si>
  <si>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</si>
  <si>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</si>
  <si>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</si>
  <si>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</si>
  <si>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</si>
  <si>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</si>
  <si>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</si>
  <si>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</si>
  <si>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</si>
  <si>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</si>
  <si>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</si>
  <si>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</si>
  <si>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</si>
  <si>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</si>
  <si>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</si>
  <si>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</si>
  <si>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</si>
  <si>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</si>
  <si>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</si>
  <si>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</si>
  <si>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</si>
  <si>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</si>
  <si>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</si>
  <si>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</si>
  <si>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</si>
  <si>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</si>
  <si>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</si>
  <si>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</si>
  <si>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</si>
  <si>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</si>
  <si>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</si>
  <si>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</si>
  <si>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</si>
  <si>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</si>
  <si>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</si>
  <si>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</si>
  <si>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</si>
  <si>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</si>
  <si>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</si>
  <si>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</si>
  <si>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</si>
  <si>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</si>
  <si>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</si>
  <si>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</si>
  <si>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</si>
  <si>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</si>
  <si>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</si>
  <si>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</si>
  <si>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</si>
  <si>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</si>
  <si>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</si>
  <si>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</si>
  <si>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</si>
  <si>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</si>
  <si>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</si>
  <si>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</si>
  <si>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</si>
  <si>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</si>
  <si>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</si>
  <si>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</si>
  <si>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</si>
  <si>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</si>
  <si>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</si>
  <si>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</si>
  <si>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</si>
  <si>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</si>
  <si>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</si>
  <si>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</si>
  <si>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</si>
  <si>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</si>
  <si>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</si>
  <si>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</si>
  <si>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</si>
  <si>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</si>
  <si>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</si>
  <si>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</si>
  <si>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</si>
  <si>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</si>
  <si>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</si>
  <si>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</si>
  <si>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</si>
  <si>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</si>
  <si>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</si>
  <si>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</si>
  <si>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</si>
  <si>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</si>
  <si>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</si>
  <si>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</si>
  <si>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</si>
  <si>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</si>
  <si>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</si>
  <si>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</si>
  <si>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</si>
  <si>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</si>
  <si>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</si>
  <si>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</si>
  <si>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</si>
  <si>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</si>
  <si>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</si>
  <si>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</si>
  <si>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</si>
  <si>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</si>
  <si>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</si>
  <si>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</si>
  <si>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</si>
  <si>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</si>
  <si>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</si>
  <si>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</si>
  <si>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</si>
  <si>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</si>
  <si>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</si>
  <si>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</si>
  <si>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</si>
  <si>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</si>
  <si>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</si>
  <si>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</si>
  <si>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</si>
  <si>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</si>
  <si>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</si>
  <si>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</si>
  <si>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</si>
  <si>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</si>
  <si>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</si>
  <si>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</si>
  <si>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</si>
  <si>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</si>
  <si>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</si>
  <si>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</si>
  <si>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</si>
  <si>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</si>
  <si>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</si>
  <si>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</si>
  <si>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</si>
  <si>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</si>
  <si>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</si>
  <si>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</si>
  <si>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</si>
  <si>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</si>
  <si>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</si>
  <si>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</si>
  <si>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</si>
  <si>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</si>
  <si>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</si>
  <si>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</si>
  <si>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</si>
  <si>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</si>
  <si>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</si>
  <si>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</si>
  <si>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</si>
  <si>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</si>
  <si>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</si>
  <si>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</si>
  <si>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</si>
  <si>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</si>
  <si>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</si>
  <si>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</si>
  <si>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</si>
  <si>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</si>
  <si>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</si>
  <si>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</si>
  <si>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</si>
  <si>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</si>
  <si>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</si>
  <si>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</si>
  <si>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</si>
  <si>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</si>
  <si>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</si>
  <si>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</si>
  <si>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</si>
  <si>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</si>
  <si>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</si>
  <si>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</si>
  <si>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</si>
  <si>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</si>
  <si>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</si>
  <si>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</si>
  <si>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</si>
  <si>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</si>
  <si>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</si>
  <si>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</si>
  <si>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</si>
  <si>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</si>
  <si>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</si>
  <si>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</si>
  <si>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</si>
  <si>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</si>
  <si>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</si>
  <si>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</si>
  <si>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</si>
  <si>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</si>
  <si>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</si>
  <si>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</si>
  <si>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</si>
  <si>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</si>
  <si>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</si>
  <si>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</si>
  <si>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</si>
  <si>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</si>
  <si>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</si>
  <si>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</si>
  <si>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</si>
  <si>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</si>
  <si>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</si>
  <si>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</si>
  <si>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</si>
  <si>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</si>
  <si>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</si>
  <si>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</si>
  <si>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</si>
  <si>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</si>
  <si>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</si>
  <si>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</si>
  <si>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</si>
  <si>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</si>
  <si>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</si>
  <si>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</si>
  <si>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</si>
  <si>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</si>
  <si>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</si>
  <si>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</si>
  <si>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</si>
  <si>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</si>
  <si>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</si>
  <si>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</si>
  <si>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</si>
  <si>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</si>
  <si>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</si>
  <si>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</si>
  <si>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</si>
  <si>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</si>
  <si>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</si>
  <si>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</si>
  <si>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</si>
  <si>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</si>
  <si>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</si>
  <si>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</si>
  <si>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</si>
  <si>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</si>
  <si>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</si>
  <si>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</si>
  <si>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</si>
  <si>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</si>
  <si>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</si>
  <si>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</si>
  <si>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</si>
  <si>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</si>
  <si>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</si>
  <si>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</si>
  <si>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</si>
  <si>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</si>
  <si>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</si>
  <si>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</si>
  <si>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</si>
  <si>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</si>
  <si>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</si>
  <si>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</si>
  <si>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</si>
  <si>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</si>
  <si>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</si>
  <si>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</si>
  <si>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</si>
  <si>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</si>
  <si>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</si>
  <si>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</si>
  <si>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</si>
  <si>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</si>
  <si>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</si>
  <si>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</si>
  <si>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</si>
  <si>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</si>
  <si>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</si>
  <si>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</si>
  <si>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</si>
  <si>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</si>
  <si>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</si>
  <si>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</si>
  <si>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</si>
  <si>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</si>
  <si>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</si>
  <si>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</si>
  <si>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</si>
  <si>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</si>
  <si>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</si>
  <si>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</si>
  <si>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</si>
  <si>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</si>
  <si>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</si>
  <si>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</si>
  <si>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</si>
  <si>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</si>
  <si>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</si>
  <si>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</si>
  <si>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</si>
  <si>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</si>
  <si>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</si>
  <si>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</si>
  <si>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</si>
  <si>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</si>
  <si>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</si>
  <si>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</si>
  <si>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</si>
  <si>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</si>
  <si>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</si>
  <si>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</si>
  <si>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</si>
  <si>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</si>
  <si>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</si>
  <si>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</si>
  <si>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</si>
  <si>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</si>
  <si>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</si>
  <si>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</si>
  <si>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</si>
  <si>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</si>
  <si>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</si>
  <si>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</si>
  <si>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</si>
  <si>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</si>
  <si>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</si>
  <si>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</si>
  <si>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</si>
  <si>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</si>
  <si>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</si>
  <si>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</si>
  <si>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</si>
  <si>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</si>
  <si>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</si>
  <si>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</si>
  <si>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</si>
  <si>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</si>
  <si>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</si>
  <si>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</si>
  <si>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</si>
  <si>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</si>
  <si>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</si>
  <si>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</si>
  <si>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</si>
  <si>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</si>
  <si>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</si>
  <si>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</si>
  <si>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</si>
  <si>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</si>
  <si>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</si>
  <si>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</si>
  <si>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</si>
  <si>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</si>
  <si>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</si>
  <si>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</si>
  <si>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</si>
  <si>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</si>
  <si>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</si>
  <si>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</si>
  <si>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</si>
  <si>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</si>
  <si>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</si>
  <si>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</si>
  <si>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</si>
  <si>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</si>
  <si>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</si>
  <si>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</si>
  <si>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</si>
  <si>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</si>
  <si>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</si>
  <si>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</si>
  <si>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</si>
  <si>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</si>
  <si>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</si>
  <si>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</si>
  <si>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</si>
  <si>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</si>
  <si>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</si>
  <si>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</si>
  <si>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</si>
  <si>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</si>
  <si>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</si>
  <si>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</si>
  <si>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</si>
  <si>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</si>
  <si>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</si>
  <si>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</si>
  <si>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</si>
  <si>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</si>
  <si>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</si>
  <si>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</si>
  <si>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</si>
  <si>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</si>
  <si>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</si>
  <si>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</si>
  <si>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</si>
  <si>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</si>
  <si>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</si>
  <si>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</si>
  <si>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</si>
  <si>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</si>
  <si>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</si>
  <si>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</si>
  <si>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</si>
  <si>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</si>
  <si>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</si>
  <si>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</si>
  <si>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</si>
  <si>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</si>
  <si>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</si>
  <si>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</si>
  <si>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</si>
  <si>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</si>
  <si>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</si>
  <si>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</si>
  <si>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</si>
  <si>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</si>
  <si>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</si>
  <si>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</si>
  <si>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</si>
  <si>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</si>
  <si>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</si>
  <si>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</si>
  <si>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</si>
  <si>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</si>
  <si>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</si>
  <si>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</si>
  <si>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</si>
  <si>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</si>
  <si>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</si>
  <si>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</si>
  <si>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</si>
  <si>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</si>
  <si>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</si>
  <si>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</si>
  <si>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</si>
  <si>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</si>
  <si>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</si>
  <si>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</si>
  <si>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</si>
  <si>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</si>
  <si>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</si>
  <si>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</si>
  <si>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</si>
  <si>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</si>
  <si>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</si>
  <si>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</si>
  <si>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</si>
  <si>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</si>
  <si>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</si>
  <si>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</si>
  <si>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</si>
  <si>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</si>
  <si>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</si>
  <si>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</si>
  <si>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</si>
  <si>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</si>
  <si>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</si>
  <si>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</si>
  <si>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</si>
  <si>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</si>
  <si>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</si>
  <si>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</si>
  <si>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</si>
  <si>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</si>
  <si>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</si>
  <si>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</si>
  <si>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</si>
  <si>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</si>
  <si>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</si>
  <si>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</si>
  <si>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</si>
  <si>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</si>
  <si>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</si>
  <si>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</si>
  <si>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</si>
  <si>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</si>
  <si>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</si>
  <si>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</si>
  <si>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</si>
  <si>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</si>
  <si>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</si>
  <si>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</si>
  <si>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</si>
  <si>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</si>
  <si>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</si>
  <si>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</si>
  <si>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</si>
  <si>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</si>
  <si>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</si>
  <si>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</si>
  <si>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</si>
  <si>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</si>
  <si>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</si>
  <si>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</si>
  <si>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</si>
  <si>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</si>
  <si>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</si>
  <si>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</si>
  <si>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</si>
  <si>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</si>
  <si>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</si>
  <si>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</si>
  <si>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</si>
  <si>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</si>
  <si>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</si>
  <si>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</si>
  <si>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</si>
  <si>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</si>
  <si>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</si>
  <si>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</si>
  <si>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</si>
  <si>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</si>
  <si>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</si>
  <si>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</si>
  <si>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</si>
  <si>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</si>
  <si>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</si>
  <si>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</si>
  <si>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</si>
  <si>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</si>
  <si>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</si>
  <si>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</si>
  <si>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</si>
  <si>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</si>
  <si>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</si>
  <si>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</si>
  <si>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</si>
  <si>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</si>
  <si>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</si>
  <si>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</si>
  <si>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</si>
  <si>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</si>
  <si>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</si>
  <si>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</si>
  <si>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</si>
  <si>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</si>
  <si>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</si>
  <si>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</si>
  <si>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</si>
  <si>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</si>
  <si>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</si>
  <si>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</si>
  <si>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</si>
  <si>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</si>
  <si>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</si>
  <si>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</si>
  <si>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</si>
  <si>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</si>
  <si>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</si>
  <si>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</si>
  <si>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</si>
  <si>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</si>
  <si>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</si>
  <si>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</si>
  <si>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</si>
  <si>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</si>
  <si>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</si>
  <si>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</si>
  <si>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</si>
  <si>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</si>
  <si>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</si>
  <si>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</si>
  <si>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</si>
  <si>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</si>
  <si>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</si>
  <si>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</si>
  <si>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</si>
  <si>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</si>
  <si>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</si>
  <si>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</si>
  <si>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</si>
  <si>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</si>
  <si>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</si>
  <si>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</si>
  <si>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</si>
  <si>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</si>
  <si>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</si>
  <si>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</si>
  <si>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</si>
  <si>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</si>
  <si>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</si>
  <si>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</si>
  <si>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</si>
  <si>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</si>
  <si>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</si>
  <si>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</si>
  <si>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</si>
  <si>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</si>
  <si>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</si>
  <si>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</si>
  <si>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</si>
  <si>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</si>
  <si>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</si>
  <si>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</si>
  <si>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</si>
  <si>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</si>
  <si>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</si>
  <si>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</si>
  <si>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</si>
  <si>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</si>
  <si>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</si>
  <si>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</si>
  <si>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</si>
  <si>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</si>
  <si>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</si>
  <si>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</si>
  <si>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</si>
  <si>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</si>
  <si>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</si>
  <si>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</si>
  <si>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</si>
  <si>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</si>
  <si>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</si>
  <si>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</si>
  <si>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</si>
  <si>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</si>
  <si>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</si>
  <si>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</si>
  <si>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</si>
  <si>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</si>
  <si>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</si>
  <si>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</si>
  <si>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</si>
  <si>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</si>
  <si>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</si>
  <si>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</si>
  <si>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</si>
  <si>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</si>
  <si>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</si>
  <si>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</si>
  <si>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</si>
  <si>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</si>
  <si>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</si>
  <si>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</si>
  <si>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</si>
  <si>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</si>
  <si>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</si>
  <si>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</si>
  <si>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</si>
  <si>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</si>
  <si>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</si>
  <si>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</si>
  <si>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</si>
  <si>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</si>
  <si>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</si>
  <si>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</si>
  <si>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</si>
  <si>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</si>
  <si>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</si>
  <si>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</si>
  <si>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</si>
  <si>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</si>
  <si>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</si>
  <si>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</si>
  <si>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</si>
  <si>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</si>
  <si>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</si>
  <si>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</si>
  <si>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</si>
  <si>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</si>
  <si>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</si>
  <si>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</si>
  <si>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</si>
  <si>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</si>
  <si>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</si>
  <si>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</si>
  <si>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</si>
  <si>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</si>
  <si>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</si>
  <si>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</si>
  <si>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</si>
  <si>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</si>
  <si>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</si>
  <si>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</si>
  <si>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</si>
  <si>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</si>
  <si>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</si>
  <si>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</si>
  <si>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</si>
  <si>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</si>
  <si>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</si>
  <si>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</si>
  <si>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</si>
  <si>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</si>
  <si>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</si>
  <si>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</si>
  <si>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</si>
  <si>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</si>
  <si>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</si>
  <si>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</si>
  <si>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</si>
  <si>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</si>
  <si>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</si>
  <si>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</si>
  <si>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</si>
  <si>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</si>
  <si>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</si>
  <si>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</si>
  <si>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</si>
  <si>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</si>
  <si>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</si>
  <si>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</si>
  <si>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</si>
  <si>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</si>
  <si>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</si>
  <si>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</si>
  <si>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</si>
  <si>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</si>
  <si>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</si>
  <si>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</si>
  <si>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</si>
  <si>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</si>
  <si>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</si>
  <si>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</si>
  <si>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</si>
  <si>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</si>
  <si>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</si>
  <si>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</si>
  <si>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</si>
  <si>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</si>
  <si>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</si>
  <si>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</si>
  <si>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</si>
  <si>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</si>
  <si>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</si>
  <si>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</si>
  <si>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</si>
  <si>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</si>
  <si>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</si>
  <si>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</si>
  <si>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</si>
  <si>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</si>
  <si>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</si>
  <si>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</si>
  <si>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</si>
  <si>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</si>
  <si>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</si>
  <si>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</si>
  <si>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</si>
  <si>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</si>
  <si>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</si>
  <si>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</si>
  <si>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</si>
  <si>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</si>
  <si>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</si>
  <si>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</si>
  <si>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</si>
  <si>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</si>
  <si>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</si>
  <si>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</si>
  <si>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</si>
  <si>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</si>
  <si>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</si>
  <si>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</si>
  <si>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</si>
  <si>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</si>
  <si>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</si>
  <si>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</si>
  <si>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</si>
  <si>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3293</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</si>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</sst>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06331205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4269</v>
      </c>
      <c r="CM76" s="179" t="s">
        <v>3301</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4130</v>
      </c>
      <c r="DT76" s="208" t="s">
        <v>1357</v>
      </c>
      <c r="DU76" s="208" t="s">
        <v>896</v>
      </c>
      <c r="DV76" s="279"/>
      <c r="DW76" s="208" t="s">
        <v>2212</v>
      </c>
      <c r="DX76" s="208" t="s">
        <v>3081</v>
      </c>
      <c r="DY76" s="208" t="s">
        <v>1165</v>
      </c>
      <c r="DZ76" s="208" t="s">
        <v>4286</v>
      </c>
      <c r="EA76" s="208" t="s">
        <v>2372</v>
      </c>
      <c r="EB76" s="320" t="s">
        <v>3519</v>
      </c>
    </row>
    <row r="77">
      <c r="A77" s="81" t="s">
        <v>4287</v>
      </c>
      <c r="B77" s="82" t="s">
        <v>4288</v>
      </c>
      <c r="C77" s="83" t="s">
        <v>1413</v>
      </c>
      <c r="D77" s="84" t="s">
        <v>1413</v>
      </c>
      <c r="E77" s="85" t="s">
        <v>1413</v>
      </c>
      <c r="F77" s="86" t="s">
        <v>912</v>
      </c>
      <c r="G77" s="82" t="s">
        <v>2967</v>
      </c>
      <c r="H77" s="93"/>
      <c r="I77" s="88" t="s">
        <v>3385</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6" t="s">
        <v>3192</v>
      </c>
      <c r="BS78" s="446" t="s">
        <v>4325</v>
      </c>
      <c r="BT78" s="446" t="s">
        <v>4326</v>
      </c>
      <c r="BU78" s="509" t="s">
        <v>1970</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2467</v>
      </c>
      <c r="CN78" s="277"/>
      <c r="CO78" s="277"/>
      <c r="CP78" s="277"/>
      <c r="CQ78" s="277"/>
      <c r="CR78" s="277"/>
      <c r="CS78" s="101"/>
      <c r="CT78" s="452" t="s">
        <v>4334</v>
      </c>
      <c r="CU78" s="512" t="s">
        <v>2577</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3562</v>
      </c>
      <c r="DP78" s="208" t="s">
        <v>4338</v>
      </c>
      <c r="DQ78" s="208" t="s">
        <v>4339</v>
      </c>
      <c r="DR78" s="208" t="s">
        <v>3620</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4118</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2330</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4074</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4131</v>
      </c>
      <c r="AX81" s="93" t="s">
        <v>4357</v>
      </c>
      <c r="AY81" s="93" t="s">
        <v>4447</v>
      </c>
      <c r="AZ81" s="93"/>
      <c r="BA81" s="88" t="s">
        <v>284</v>
      </c>
      <c r="BB81" s="88" t="s">
        <v>4252</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34" t="s">
        <v>4484</v>
      </c>
      <c r="B82" s="535" t="s">
        <v>4485</v>
      </c>
      <c r="C82" s="536" t="s">
        <v>1413</v>
      </c>
      <c r="D82" s="537" t="s">
        <v>1413</v>
      </c>
      <c r="E82" s="538" t="s">
        <v>1413</v>
      </c>
      <c r="F82" s="539" t="s">
        <v>435</v>
      </c>
      <c r="G82" s="535" t="s">
        <v>4486</v>
      </c>
      <c r="H82" s="360"/>
      <c r="I82" s="370" t="s">
        <v>3466</v>
      </c>
      <c r="J82" s="360" t="s">
        <v>2931</v>
      </c>
      <c r="K82" s="360" t="s">
        <v>4487</v>
      </c>
      <c r="L82" s="360" t="s">
        <v>2764</v>
      </c>
      <c r="M82" s="112" t="s">
        <v>4488</v>
      </c>
      <c r="N82" s="360" t="s">
        <v>4489</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4105</v>
      </c>
      <c r="BL82" s="546"/>
      <c r="BM82" s="546"/>
      <c r="BN82" s="338"/>
      <c r="BO82" s="546"/>
      <c r="BP82" s="547"/>
      <c r="BQ82" s="355" t="s">
        <v>4494</v>
      </c>
      <c r="BR82" s="355" t="s">
        <v>4495</v>
      </c>
      <c r="BS82" s="355" t="s">
        <v>4496</v>
      </c>
      <c r="BT82" s="355" t="s">
        <v>4497</v>
      </c>
      <c r="BU82" s="355" t="s">
        <v>2181</v>
      </c>
      <c r="BV82" s="355" t="s">
        <v>820</v>
      </c>
      <c r="BW82" s="131" t="s">
        <v>4498</v>
      </c>
      <c r="BX82" s="355"/>
      <c r="BY82" s="355" t="s">
        <v>4499</v>
      </c>
      <c r="BZ82" s="355" t="s">
        <v>4500</v>
      </c>
      <c r="CA82" s="548"/>
      <c r="CB82" s="548"/>
      <c r="CC82" s="548"/>
      <c r="CD82" s="548"/>
      <c r="CE82" s="549"/>
      <c r="CF82" s="461" t="s">
        <v>4501</v>
      </c>
      <c r="CG82" s="461" t="s">
        <v>1394</v>
      </c>
      <c r="CH82" s="461" t="s">
        <v>3349</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3616</v>
      </c>
      <c r="CX82" s="362" t="s">
        <v>2146</v>
      </c>
      <c r="CY82" s="362" t="s">
        <v>3695</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56"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2330</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0"/>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2506</v>
      </c>
      <c r="S87" s="569" t="s">
        <v>4123</v>
      </c>
      <c r="T87" s="569" t="s">
        <v>1263</v>
      </c>
      <c r="U87" s="569" t="s">
        <v>4600</v>
      </c>
      <c r="V87" s="567" t="s">
        <v>4601</v>
      </c>
      <c r="W87" s="570"/>
      <c r="X87" s="567" t="s">
        <v>2785</v>
      </c>
      <c r="Y87" s="567" t="s">
        <v>4602</v>
      </c>
      <c r="Z87" s="568" t="s">
        <v>506</v>
      </c>
      <c r="AA87" s="568" t="s">
        <v>625</v>
      </c>
      <c r="AB87" s="567" t="s">
        <v>2281</v>
      </c>
      <c r="AC87" s="568" t="s">
        <v>4603</v>
      </c>
      <c r="AD87" s="567"/>
      <c r="AE87" s="567" t="s">
        <v>4604</v>
      </c>
      <c r="AF87" s="334" t="s">
        <v>4605</v>
      </c>
      <c r="AG87" s="567" t="s">
        <v>3328</v>
      </c>
      <c r="AH87" s="569" t="s">
        <v>1399</v>
      </c>
      <c r="AI87" s="88" t="s">
        <v>2159</v>
      </c>
      <c r="AJ87" s="569" t="s">
        <v>4606</v>
      </c>
      <c r="AK87" s="570"/>
      <c r="AL87" s="567" t="s">
        <v>3132</v>
      </c>
      <c r="AM87" s="567" t="s">
        <v>1303</v>
      </c>
      <c r="AN87" s="567" t="s">
        <v>4607</v>
      </c>
      <c r="AO87" s="569" t="s">
        <v>2864</v>
      </c>
      <c r="AP87" s="569" t="s">
        <v>4608</v>
      </c>
      <c r="AQ87" s="569" t="s">
        <v>4609</v>
      </c>
      <c r="AR87" s="567" t="s">
        <v>4610</v>
      </c>
      <c r="AS87" s="569" t="s">
        <v>4611</v>
      </c>
      <c r="AT87" s="569" t="s">
        <v>3020</v>
      </c>
      <c r="AU87" s="334" t="s">
        <v>2519</v>
      </c>
      <c r="AV87" s="567" t="s">
        <v>3537</v>
      </c>
      <c r="AW87" s="569" t="s">
        <v>259</v>
      </c>
      <c r="AX87" s="569" t="s">
        <v>747</v>
      </c>
      <c r="AY87" s="569" t="s">
        <v>4612</v>
      </c>
      <c r="AZ87" s="571"/>
      <c r="BA87" s="567" t="s">
        <v>4613</v>
      </c>
      <c r="BB87" s="334" t="s">
        <v>416</v>
      </c>
      <c r="BC87" s="567" t="s">
        <v>612</v>
      </c>
      <c r="BD87" s="568" t="s">
        <v>138</v>
      </c>
      <c r="BE87" s="567" t="s">
        <v>4614</v>
      </c>
      <c r="BF87" s="567" t="s">
        <v>4615</v>
      </c>
      <c r="BG87" s="567" t="s">
        <v>4196</v>
      </c>
      <c r="BH87" s="567" t="s">
        <v>2459</v>
      </c>
      <c r="BI87" s="567" t="s">
        <v>4616</v>
      </c>
      <c r="BJ87" s="93"/>
      <c r="BK87" s="568" t="s">
        <v>2483</v>
      </c>
      <c r="BL87" s="572"/>
      <c r="BM87" s="572"/>
      <c r="BN87" s="572"/>
      <c r="BO87" s="572"/>
      <c r="BP87" s="573"/>
      <c r="BQ87" s="572"/>
      <c r="BR87" s="334" t="s">
        <v>3582</v>
      </c>
      <c r="BS87" s="567" t="s">
        <v>4617</v>
      </c>
      <c r="BT87" s="334" t="s">
        <v>2840</v>
      </c>
      <c r="BU87" s="567" t="s">
        <v>4196</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4122</v>
      </c>
      <c r="CN87" s="567"/>
      <c r="CO87" s="569" t="s">
        <v>3544</v>
      </c>
      <c r="CP87" s="569" t="s">
        <v>180</v>
      </c>
      <c r="CQ87" s="572"/>
      <c r="CR87" s="572"/>
      <c r="CS87" s="575"/>
      <c r="CT87" s="567" t="s">
        <v>4450</v>
      </c>
      <c r="CU87" s="568" t="s">
        <v>2129</v>
      </c>
      <c r="CV87" s="569" t="s">
        <v>3602</v>
      </c>
      <c r="CW87" s="568" t="s">
        <v>4627</v>
      </c>
      <c r="CX87" s="569" t="s">
        <v>4628</v>
      </c>
      <c r="CY87" s="567" t="s">
        <v>2119</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3064</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77" t="s">
        <v>4682</v>
      </c>
      <c r="B89" s="82" t="s">
        <v>4683</v>
      </c>
      <c r="C89" s="83" t="s">
        <v>1413</v>
      </c>
      <c r="D89" s="84" t="s">
        <v>1413</v>
      </c>
      <c r="E89" s="85" t="s">
        <v>1413</v>
      </c>
      <c r="F89" s="86" t="s">
        <v>219</v>
      </c>
      <c r="G89" s="82" t="s">
        <v>2386</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3409</v>
      </c>
      <c r="AB89" s="88" t="s">
        <v>2322</v>
      </c>
      <c r="AC89" s="292" t="s">
        <v>4278</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4118</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6" t="s">
        <v>4731</v>
      </c>
      <c r="B91" s="82" t="s">
        <v>4732</v>
      </c>
      <c r="C91" s="83" t="s">
        <v>1413</v>
      </c>
      <c r="D91" s="84" t="s">
        <v>1413</v>
      </c>
      <c r="E91" s="85" t="s">
        <v>1413</v>
      </c>
      <c r="F91" s="86" t="s">
        <v>2330</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2359</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4234</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5" t="s">
        <v>4791</v>
      </c>
      <c r="B93" s="580" t="s">
        <v>4792</v>
      </c>
      <c r="C93" s="581" t="s">
        <v>1413</v>
      </c>
      <c r="D93" s="582" t="s">
        <v>1413</v>
      </c>
      <c r="E93" s="583" t="s">
        <v>1413</v>
      </c>
      <c r="F93" s="584" t="s">
        <v>332</v>
      </c>
      <c r="G93" s="580" t="s">
        <v>4135</v>
      </c>
      <c r="H93" s="346"/>
      <c r="I93" s="346"/>
      <c r="J93" s="346"/>
      <c r="K93" s="585" t="s">
        <v>102</v>
      </c>
      <c r="L93" s="349"/>
      <c r="M93" s="346"/>
      <c r="N93" s="586"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87" t="s">
        <v>4796</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4797</v>
      </c>
      <c r="B94" s="103" t="s">
        <v>4798</v>
      </c>
      <c r="C94" s="104" t="s">
        <v>1413</v>
      </c>
      <c r="D94" s="105" t="s">
        <v>737</v>
      </c>
      <c r="E94" s="106" t="s">
        <v>1413</v>
      </c>
      <c r="F94" s="107" t="s">
        <v>4754</v>
      </c>
      <c r="G94" s="103" t="s">
        <v>828</v>
      </c>
      <c r="H94" s="112" t="s">
        <v>3290</v>
      </c>
      <c r="I94" s="360" t="s">
        <v>4799</v>
      </c>
      <c r="J94" s="360" t="s">
        <v>2101</v>
      </c>
      <c r="K94" s="112" t="s">
        <v>1808</v>
      </c>
      <c r="L94" s="112" t="s">
        <v>3803</v>
      </c>
      <c r="M94" s="112" t="s">
        <v>4800</v>
      </c>
      <c r="N94" s="360" t="s">
        <v>4801</v>
      </c>
      <c r="O94" s="360" t="s">
        <v>4770</v>
      </c>
      <c r="P94" s="360" t="s">
        <v>2972</v>
      </c>
      <c r="Q94" s="360" t="s">
        <v>4802</v>
      </c>
      <c r="R94" s="112" t="s">
        <v>3516</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2460</v>
      </c>
      <c r="BH94" s="338" t="s">
        <v>298</v>
      </c>
      <c r="BI94" s="176" t="s">
        <v>4819</v>
      </c>
      <c r="BJ94" s="175"/>
      <c r="BK94" s="338" t="s">
        <v>4820</v>
      </c>
      <c r="BL94" s="175"/>
      <c r="BM94" s="127" t="s">
        <v>1275</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3444</v>
      </c>
      <c r="CI94" s="179" t="s">
        <v>4832</v>
      </c>
      <c r="CJ94" s="462" t="s">
        <v>4833</v>
      </c>
      <c r="CK94" s="179" t="s">
        <v>4834</v>
      </c>
      <c r="CL94" s="136" t="s">
        <v>1432</v>
      </c>
      <c r="CM94" s="136" t="s">
        <v>4122</v>
      </c>
      <c r="CN94" s="277"/>
      <c r="CO94" s="277"/>
      <c r="CP94" s="277"/>
      <c r="CQ94" s="277"/>
      <c r="CR94" s="136" t="s">
        <v>4835</v>
      </c>
      <c r="CS94" s="101"/>
      <c r="CT94" s="141" t="s">
        <v>4836</v>
      </c>
      <c r="CU94" s="362" t="s">
        <v>3801</v>
      </c>
      <c r="CV94" s="362" t="s">
        <v>4169</v>
      </c>
      <c r="CW94" s="362" t="s">
        <v>2762</v>
      </c>
      <c r="CX94" s="141" t="s">
        <v>4837</v>
      </c>
      <c r="CY94" s="362" t="s">
        <v>2452</v>
      </c>
      <c r="CZ94" s="362" t="s">
        <v>4838</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4839</v>
      </c>
      <c r="B95" s="82" t="s">
        <v>4840</v>
      </c>
      <c r="C95" s="83" t="s">
        <v>1413</v>
      </c>
      <c r="D95" s="84" t="s">
        <v>1413</v>
      </c>
      <c r="E95" s="85" t="s">
        <v>1413</v>
      </c>
      <c r="F95" s="86" t="s">
        <v>330</v>
      </c>
      <c r="G95" s="82" t="s">
        <v>4841</v>
      </c>
      <c r="H95" s="98"/>
      <c r="I95" s="98"/>
      <c r="J95" s="98"/>
      <c r="K95" s="93" t="s">
        <v>2571</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4013</v>
      </c>
      <c r="BE95" s="98"/>
      <c r="BF95" s="98"/>
      <c r="BG95" s="98"/>
      <c r="BH95" s="98"/>
      <c r="BI95" s="98"/>
      <c r="BJ95" s="93" t="s">
        <v>4846</v>
      </c>
      <c r="BK95" s="93" t="s">
        <v>4847</v>
      </c>
      <c r="BL95" s="98"/>
      <c r="BM95" s="98"/>
      <c r="BN95" s="98"/>
      <c r="BO95" s="98"/>
      <c r="BP95" s="266"/>
      <c r="BQ95" s="88" t="s">
        <v>4848</v>
      </c>
      <c r="BR95" s="98"/>
      <c r="BS95" s="98"/>
      <c r="BT95" s="98"/>
      <c r="BU95" s="98"/>
      <c r="BV95" s="93" t="s">
        <v>2893</v>
      </c>
      <c r="BW95" s="98"/>
      <c r="BX95" s="93" t="s">
        <v>4366</v>
      </c>
      <c r="BY95" s="93" t="s">
        <v>4849</v>
      </c>
      <c r="BZ95" s="93" t="s">
        <v>4850</v>
      </c>
      <c r="CA95" s="98"/>
      <c r="CB95" s="98"/>
      <c r="CC95" s="98"/>
      <c r="CD95" s="98"/>
      <c r="CE95" s="266"/>
      <c r="CF95" s="88" t="s">
        <v>170</v>
      </c>
      <c r="CG95" s="93" t="s">
        <v>977</v>
      </c>
      <c r="CH95" s="98"/>
      <c r="CI95" s="88" t="s">
        <v>4851</v>
      </c>
      <c r="CJ95" s="211"/>
      <c r="CK95" s="93" t="s">
        <v>3283</v>
      </c>
      <c r="CL95" s="93" t="s">
        <v>1056</v>
      </c>
      <c r="CM95" s="98"/>
      <c r="CN95" s="98"/>
      <c r="CO95" s="98"/>
      <c r="CP95" s="98"/>
      <c r="CQ95" s="98"/>
      <c r="CR95" s="98"/>
      <c r="CS95" s="101"/>
      <c r="CT95" s="93" t="s">
        <v>1620</v>
      </c>
      <c r="CU95" s="98"/>
      <c r="CV95" s="93" t="s">
        <v>2230</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4852</v>
      </c>
      <c r="DQ95" s="98"/>
      <c r="DR95" s="98"/>
      <c r="DS95" s="98"/>
      <c r="DT95" s="98"/>
      <c r="DU95" s="98"/>
      <c r="DV95" s="98"/>
      <c r="DW95" s="98"/>
      <c r="DX95" s="98"/>
      <c r="DY95" s="98"/>
      <c r="DZ95" s="98"/>
      <c r="EA95" s="98"/>
      <c r="EB95" s="465"/>
    </row>
    <row r="96">
      <c r="A96" s="167" t="s">
        <v>4853</v>
      </c>
      <c r="B96" s="103" t="s">
        <v>4854</v>
      </c>
      <c r="C96" s="104" t="s">
        <v>1413</v>
      </c>
      <c r="D96" s="105" t="s">
        <v>1413</v>
      </c>
      <c r="E96" s="106" t="s">
        <v>1413</v>
      </c>
      <c r="F96" s="107" t="s">
        <v>330</v>
      </c>
      <c r="G96" s="103" t="s">
        <v>4855</v>
      </c>
      <c r="H96" s="224"/>
      <c r="I96" s="168" t="s">
        <v>2755</v>
      </c>
      <c r="J96" s="168" t="s">
        <v>3101</v>
      </c>
      <c r="K96" s="168" t="s">
        <v>1557</v>
      </c>
      <c r="L96" s="382" t="s">
        <v>4856</v>
      </c>
      <c r="M96" s="224"/>
      <c r="N96" s="168" t="s">
        <v>4857</v>
      </c>
      <c r="O96" s="168" t="s">
        <v>4858</v>
      </c>
      <c r="P96" s="168" t="s">
        <v>2972</v>
      </c>
      <c r="Q96" s="224"/>
      <c r="R96" s="224"/>
      <c r="S96" s="224"/>
      <c r="T96" s="224"/>
      <c r="U96" s="224"/>
      <c r="V96" s="224"/>
      <c r="W96" s="92"/>
      <c r="X96" s="200" t="s">
        <v>4859</v>
      </c>
      <c r="Y96" s="200" t="s">
        <v>1424</v>
      </c>
      <c r="Z96" s="200" t="s">
        <v>2039</v>
      </c>
      <c r="AA96" s="200" t="s">
        <v>1270</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4861</v>
      </c>
      <c r="BT96" s="177" t="s">
        <v>4862</v>
      </c>
      <c r="BU96" s="177" t="s">
        <v>4863</v>
      </c>
      <c r="BV96" s="177" t="s">
        <v>3124</v>
      </c>
      <c r="BW96" s="287"/>
      <c r="BX96" s="287"/>
      <c r="BY96" s="177" t="s">
        <v>4864</v>
      </c>
      <c r="BZ96" s="287"/>
      <c r="CA96" s="287"/>
      <c r="CB96" s="287"/>
      <c r="CC96" s="287"/>
      <c r="CD96" s="287"/>
      <c r="CE96" s="288"/>
      <c r="CF96" s="179" t="s">
        <v>4865</v>
      </c>
      <c r="CG96" s="136" t="s">
        <v>4866</v>
      </c>
      <c r="CH96" s="277"/>
      <c r="CI96" s="277"/>
      <c r="CJ96" s="277"/>
      <c r="CK96" s="277"/>
      <c r="CL96" s="461" t="s">
        <v>2847</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4870</v>
      </c>
      <c r="B97" s="82" t="s">
        <v>4871</v>
      </c>
      <c r="C97" s="83" t="s">
        <v>1413</v>
      </c>
      <c r="D97" s="84" t="s">
        <v>1413</v>
      </c>
      <c r="E97" s="85" t="s">
        <v>1413</v>
      </c>
      <c r="F97" s="86" t="s">
        <v>1724</v>
      </c>
      <c r="G97" s="82" t="s">
        <v>4712</v>
      </c>
      <c r="H97" s="98"/>
      <c r="I97" s="88" t="s">
        <v>3488</v>
      </c>
      <c r="J97" s="88" t="s">
        <v>2168</v>
      </c>
      <c r="K97" s="88" t="s">
        <v>3167</v>
      </c>
      <c r="L97" s="88" t="s">
        <v>4872</v>
      </c>
      <c r="M97" s="88" t="str">
        <f>HYPERLINK("https://youtu.be/EP_OKh5RgxA", "2:18.82")</f>
        <v>2:18.82</v>
      </c>
      <c r="N97" s="88" t="s">
        <v>4873</v>
      </c>
      <c r="O97" s="88" t="s">
        <v>265</v>
      </c>
      <c r="P97" s="88" t="s">
        <v>551</v>
      </c>
      <c r="Q97" s="98"/>
      <c r="R97" s="98"/>
      <c r="S97" s="98"/>
      <c r="T97" s="98"/>
      <c r="U97" s="98"/>
      <c r="V97" s="98"/>
      <c r="W97" s="92"/>
      <c r="X97" s="88" t="s">
        <v>4874</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4875</v>
      </c>
      <c r="BC97" s="88" t="s">
        <v>2167</v>
      </c>
      <c r="BD97" s="93" t="s">
        <v>4876</v>
      </c>
      <c r="BE97" s="98"/>
      <c r="BF97" s="98"/>
      <c r="BG97" s="98"/>
      <c r="BH97" s="88" t="s">
        <v>606</v>
      </c>
      <c r="BI97" s="98"/>
      <c r="BJ97" s="88" t="s">
        <v>4877</v>
      </c>
      <c r="BK97" s="88" t="s">
        <v>2555</v>
      </c>
      <c r="BL97" s="98"/>
      <c r="BM97" s="98"/>
      <c r="BN97" s="98"/>
      <c r="BO97" s="98"/>
      <c r="BP97" s="266"/>
      <c r="BQ97" s="88" t="s">
        <v>4878</v>
      </c>
      <c r="BR97" s="98"/>
      <c r="BS97" s="88" t="s">
        <v>2882</v>
      </c>
      <c r="BT97" s="88" t="s">
        <v>4879</v>
      </c>
      <c r="BU97" s="98"/>
      <c r="BV97" s="88" t="s">
        <v>908</v>
      </c>
      <c r="BW97" s="93" t="s">
        <v>4880</v>
      </c>
      <c r="BX97" s="98"/>
      <c r="BY97" s="88" t="s">
        <v>4881</v>
      </c>
      <c r="BZ97" s="88" t="s">
        <v>1461</v>
      </c>
      <c r="CA97" s="98"/>
      <c r="CB97" s="98"/>
      <c r="CC97" s="98"/>
      <c r="CD97" s="98"/>
      <c r="CE97" s="266"/>
      <c r="CF97" s="98"/>
      <c r="CG97" s="98"/>
      <c r="CH97" s="98"/>
      <c r="CI97" s="93" t="s">
        <v>4882</v>
      </c>
      <c r="CJ97" s="93"/>
      <c r="CK97" s="98"/>
      <c r="CL97" s="88" t="s">
        <v>4883</v>
      </c>
      <c r="CM97" s="88" t="s">
        <v>1612</v>
      </c>
      <c r="CN97" s="98"/>
      <c r="CO97" s="98"/>
      <c r="CP97" s="98"/>
      <c r="CQ97" s="98"/>
      <c r="CR97" s="98"/>
      <c r="CS97" s="101"/>
      <c r="CT97" s="88" t="s">
        <v>4884</v>
      </c>
      <c r="CU97" s="387" t="str">
        <f>HYPERLINK("https://youtu.be/E3G9EWGMU-8?t=986", "14.55")</f>
        <v>14.55</v>
      </c>
      <c r="CV97" s="88" t="s">
        <v>1635</v>
      </c>
      <c r="CW97" s="88" t="s">
        <v>4885</v>
      </c>
      <c r="CX97" s="88" t="s">
        <v>619</v>
      </c>
      <c r="CY97" s="98"/>
      <c r="CZ97" s="88" t="s">
        <v>4886</v>
      </c>
      <c r="DA97" s="88" t="s">
        <v>3932</v>
      </c>
      <c r="DB97" s="98"/>
      <c r="DC97" s="98"/>
      <c r="DD97" s="98"/>
      <c r="DE97" s="98"/>
      <c r="DF97" s="266"/>
      <c r="DG97" s="88" t="s">
        <v>2335</v>
      </c>
      <c r="DH97" s="98"/>
      <c r="DI97" s="98"/>
      <c r="DJ97" s="98"/>
      <c r="DK97" s="88" t="s">
        <v>524</v>
      </c>
      <c r="DL97" s="98"/>
      <c r="DM97" s="98"/>
      <c r="DN97" s="98"/>
      <c r="DO97" s="98"/>
      <c r="DP97" s="88" t="s">
        <v>4887</v>
      </c>
      <c r="DQ97" s="88" t="s">
        <v>2380</v>
      </c>
      <c r="DR97" s="98"/>
      <c r="DS97" s="98"/>
      <c r="DT97" s="98"/>
      <c r="DU97" s="98"/>
      <c r="DV97" s="98"/>
      <c r="DW97" s="98"/>
      <c r="DX97" s="98"/>
      <c r="DY97" s="93" t="s">
        <v>4888</v>
      </c>
      <c r="DZ97" s="88" t="s">
        <v>2661</v>
      </c>
      <c r="EA97" s="98"/>
      <c r="EB97" s="97" t="s">
        <v>1802</v>
      </c>
    </row>
    <row r="98">
      <c r="A98" s="590" t="s">
        <v>4889</v>
      </c>
      <c r="B98" s="103" t="s">
        <v>4890</v>
      </c>
      <c r="C98" s="104" t="s">
        <v>1413</v>
      </c>
      <c r="D98" s="105" t="s">
        <v>1413</v>
      </c>
      <c r="E98" s="106" t="s">
        <v>1413</v>
      </c>
      <c r="F98" s="107" t="s">
        <v>737</v>
      </c>
      <c r="G98" s="103" t="s">
        <v>2386</v>
      </c>
      <c r="H98" s="168" t="s">
        <v>680</v>
      </c>
      <c r="I98" s="168" t="s">
        <v>4891</v>
      </c>
      <c r="J98" s="168" t="s">
        <v>3139</v>
      </c>
      <c r="K98" s="168" t="s">
        <v>4892</v>
      </c>
      <c r="L98" s="168" t="s">
        <v>2768</v>
      </c>
      <c r="M98" s="168" t="s">
        <v>4893</v>
      </c>
      <c r="N98" s="168" t="s">
        <v>4894</v>
      </c>
      <c r="O98" s="168" t="s">
        <v>1822</v>
      </c>
      <c r="P98" s="168" t="s">
        <v>4895</v>
      </c>
      <c r="Q98" s="224"/>
      <c r="R98" s="224"/>
      <c r="S98" s="168" t="s">
        <v>4896</v>
      </c>
      <c r="T98" s="224"/>
      <c r="U98" s="168" t="s">
        <v>633</v>
      </c>
      <c r="V98" s="224"/>
      <c r="W98" s="92"/>
      <c r="X98" s="200" t="s">
        <v>1928</v>
      </c>
      <c r="Y98" s="200" t="s">
        <v>1823</v>
      </c>
      <c r="Z98" s="200" t="s">
        <v>4897</v>
      </c>
      <c r="AA98" s="200" t="s">
        <v>3263</v>
      </c>
      <c r="AB98" s="591" t="s">
        <v>4147</v>
      </c>
      <c r="AC98" s="200" t="s">
        <v>4403</v>
      </c>
      <c r="AD98" s="282"/>
      <c r="AE98" s="282"/>
      <c r="AF98" s="200" t="s">
        <v>4898</v>
      </c>
      <c r="AG98" s="282"/>
      <c r="AH98" s="282"/>
      <c r="AI98" s="282"/>
      <c r="AJ98" s="282"/>
      <c r="AK98" s="92"/>
      <c r="AL98" s="170" t="s">
        <v>2354</v>
      </c>
      <c r="AM98" s="170" t="s">
        <v>4899</v>
      </c>
      <c r="AN98" s="273"/>
      <c r="AO98" s="273"/>
      <c r="AP98" s="273"/>
      <c r="AQ98" s="273"/>
      <c r="AR98" s="170" t="s">
        <v>1074</v>
      </c>
      <c r="AS98" s="273"/>
      <c r="AT98" s="170" t="s">
        <v>2547</v>
      </c>
      <c r="AU98" s="170" t="s">
        <v>144</v>
      </c>
      <c r="AV98" s="170" t="s">
        <v>4047</v>
      </c>
      <c r="AW98" s="273"/>
      <c r="AX98" s="170" t="s">
        <v>4876</v>
      </c>
      <c r="AY98" s="170" t="s">
        <v>4900</v>
      </c>
      <c r="AZ98" s="337"/>
      <c r="BA98" s="176" t="s">
        <v>4901</v>
      </c>
      <c r="BB98" s="176" t="s">
        <v>4902</v>
      </c>
      <c r="BC98" s="176" t="s">
        <v>1045</v>
      </c>
      <c r="BD98" s="176" t="s">
        <v>1024</v>
      </c>
      <c r="BE98" s="176" t="s">
        <v>2909</v>
      </c>
      <c r="BF98" s="176" t="s">
        <v>2831</v>
      </c>
      <c r="BG98" s="176" t="s">
        <v>4903</v>
      </c>
      <c r="BH98" s="176" t="s">
        <v>4904</v>
      </c>
      <c r="BI98" s="175"/>
      <c r="BJ98" s="176" t="s">
        <v>4905</v>
      </c>
      <c r="BK98" s="176" t="s">
        <v>2846</v>
      </c>
      <c r="BL98" s="175"/>
      <c r="BM98" s="175"/>
      <c r="BN98" s="176"/>
      <c r="BO98" s="175"/>
      <c r="BP98" s="285"/>
      <c r="BQ98" s="287"/>
      <c r="BR98" s="287"/>
      <c r="BS98" s="177" t="s">
        <v>4906</v>
      </c>
      <c r="BT98" s="177" t="s">
        <v>2188</v>
      </c>
      <c r="BU98" s="287"/>
      <c r="BV98" s="177" t="s">
        <v>3240</v>
      </c>
      <c r="BW98" s="287"/>
      <c r="BX98" s="287"/>
      <c r="BY98" s="287"/>
      <c r="BZ98" s="177" t="s">
        <v>2592</v>
      </c>
      <c r="CA98" s="287"/>
      <c r="CB98" s="177" t="s">
        <v>4907</v>
      </c>
      <c r="CC98" s="287"/>
      <c r="CD98" s="287"/>
      <c r="CE98" s="288"/>
      <c r="CF98" s="179" t="s">
        <v>4908</v>
      </c>
      <c r="CG98" s="179" t="s">
        <v>4909</v>
      </c>
      <c r="CH98" s="179" t="s">
        <v>110</v>
      </c>
      <c r="CI98" s="179"/>
      <c r="CJ98" s="179" t="s">
        <v>4910</v>
      </c>
      <c r="CK98" s="179" t="s">
        <v>4557</v>
      </c>
      <c r="CL98" s="450" t="s">
        <v>1403</v>
      </c>
      <c r="CM98" s="179" t="s">
        <v>3016</v>
      </c>
      <c r="CN98" s="277"/>
      <c r="CO98" s="277"/>
      <c r="CP98" s="179"/>
      <c r="CQ98" s="179" t="s">
        <v>4911</v>
      </c>
      <c r="CR98" s="277"/>
      <c r="CS98" s="101"/>
      <c r="CT98" s="207" t="s">
        <v>4912</v>
      </c>
      <c r="CU98" s="207" t="s">
        <v>2577</v>
      </c>
      <c r="CV98" s="207" t="s">
        <v>4913</v>
      </c>
      <c r="CW98" s="207" t="s">
        <v>4316</v>
      </c>
      <c r="CX98" s="278"/>
      <c r="CY98" s="207" t="s">
        <v>386</v>
      </c>
      <c r="CZ98" s="207" t="s">
        <v>4914</v>
      </c>
      <c r="DA98" s="207" t="s">
        <v>4141</v>
      </c>
      <c r="DB98" s="278"/>
      <c r="DC98" s="278"/>
      <c r="DD98" s="207" t="s">
        <v>3209</v>
      </c>
      <c r="DE98" s="207" t="s">
        <v>1537</v>
      </c>
      <c r="DF98" s="342"/>
      <c r="DG98" s="279"/>
      <c r="DH98" s="279"/>
      <c r="DI98" s="279"/>
      <c r="DJ98" s="208"/>
      <c r="DK98" s="208" t="s">
        <v>4915</v>
      </c>
      <c r="DL98" s="208" t="s">
        <v>4916</v>
      </c>
      <c r="DM98" s="279"/>
      <c r="DN98" s="279"/>
      <c r="DO98" s="279"/>
      <c r="DP98" s="279"/>
      <c r="DQ98" s="279"/>
      <c r="DR98" s="208" t="s">
        <v>4411</v>
      </c>
      <c r="DS98" s="208" t="s">
        <v>4917</v>
      </c>
      <c r="DT98" s="279"/>
      <c r="DU98" s="279"/>
      <c r="DV98" s="279"/>
      <c r="DW98" s="279"/>
      <c r="DX98" s="279"/>
      <c r="DY98" s="279"/>
      <c r="DZ98" s="279"/>
      <c r="EA98" s="279"/>
      <c r="EB98" s="320"/>
    </row>
    <row r="99">
      <c r="A99" s="81" t="s">
        <v>4918</v>
      </c>
      <c r="B99" s="82" t="s">
        <v>4919</v>
      </c>
      <c r="C99" s="83" t="s">
        <v>1413</v>
      </c>
      <c r="D99" s="84" t="s">
        <v>1413</v>
      </c>
      <c r="E99" s="85" t="s">
        <v>1413</v>
      </c>
      <c r="F99" s="86" t="s">
        <v>435</v>
      </c>
      <c r="G99" s="82" t="s">
        <v>2967</v>
      </c>
      <c r="H99" s="93" t="s">
        <v>997</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2974</v>
      </c>
      <c r="Z99" s="93" t="s">
        <v>1775</v>
      </c>
      <c r="AA99" s="211" t="s">
        <v>1927</v>
      </c>
      <c r="AB99" s="93" t="s">
        <v>3131</v>
      </c>
      <c r="AC99" s="93" t="s">
        <v>4925</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4926</v>
      </c>
      <c r="BG99" s="98"/>
      <c r="BH99" s="97" t="str">
        <f>HYPERLINK("https://www.youtube.com/watch?v=D3qit_yrtB8&amp;feature=youtu.be","27.76")</f>
        <v>27.76</v>
      </c>
      <c r="BI99" s="93" t="s">
        <v>4370</v>
      </c>
      <c r="BJ99" s="93"/>
      <c r="BK99" s="93" t="s">
        <v>4927</v>
      </c>
      <c r="BL99" s="98"/>
      <c r="BM99" s="93" t="s">
        <v>1682</v>
      </c>
      <c r="BN99" s="98"/>
      <c r="BO99" s="98"/>
      <c r="BP99" s="266"/>
      <c r="BQ99" s="98"/>
      <c r="BR99" s="93" t="s">
        <v>4928</v>
      </c>
      <c r="BS99" s="93" t="s">
        <v>4929</v>
      </c>
      <c r="BT99" s="93" t="s">
        <v>4202</v>
      </c>
      <c r="BU99" s="98"/>
      <c r="BV99" s="93" t="s">
        <v>2947</v>
      </c>
      <c r="BW99" s="98"/>
      <c r="BX99" s="93" t="s">
        <v>4930</v>
      </c>
      <c r="BY99" s="98"/>
      <c r="BZ99" s="93" t="s">
        <v>4931</v>
      </c>
      <c r="CA99" s="93" t="s">
        <v>4932</v>
      </c>
      <c r="CB99" s="98"/>
      <c r="CC99" s="98"/>
      <c r="CD99" s="98"/>
      <c r="CE99" s="266"/>
      <c r="CF99" s="93" t="s">
        <v>4933</v>
      </c>
      <c r="CG99" s="211" t="s">
        <v>4934</v>
      </c>
      <c r="CH99" s="93"/>
      <c r="CI99" s="98"/>
      <c r="CJ99" s="98" t="s">
        <v>546</v>
      </c>
      <c r="CK99" s="98"/>
      <c r="CL99" s="211" t="s">
        <v>3369</v>
      </c>
      <c r="CM99" s="93" t="s">
        <v>4935</v>
      </c>
      <c r="CN99" s="98"/>
      <c r="CO99" s="98"/>
      <c r="CP99" s="98"/>
      <c r="CQ99" s="98"/>
      <c r="CR99" s="98"/>
      <c r="CS99" s="101"/>
      <c r="CT99" s="93" t="s">
        <v>4936</v>
      </c>
      <c r="CU99" s="93"/>
      <c r="CV99" s="93" t="s">
        <v>3213</v>
      </c>
      <c r="CW99" s="98"/>
      <c r="CX99" s="98"/>
      <c r="CY99" s="98"/>
      <c r="CZ99" s="93" t="s">
        <v>4937</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1413</v>
      </c>
      <c r="D100" s="105" t="s">
        <v>1413</v>
      </c>
      <c r="E100" s="106" t="s">
        <v>1413</v>
      </c>
      <c r="F100" s="107" t="s">
        <v>737</v>
      </c>
      <c r="G100" s="103" t="s">
        <v>4940</v>
      </c>
      <c r="H100" s="168" t="s">
        <v>4843</v>
      </c>
      <c r="I100" s="168" t="s">
        <v>4046</v>
      </c>
      <c r="J100" s="168" t="s">
        <v>2454</v>
      </c>
      <c r="K100" s="305" t="s">
        <v>4207</v>
      </c>
      <c r="L100" s="168" t="s">
        <v>4941</v>
      </c>
      <c r="M100" s="224"/>
      <c r="N100" s="168" t="s">
        <v>670</v>
      </c>
      <c r="O100" s="168" t="s">
        <v>3680</v>
      </c>
      <c r="P100" s="168" t="s">
        <v>3566</v>
      </c>
      <c r="Q100" s="168" t="s">
        <v>4942</v>
      </c>
      <c r="R100" s="168"/>
      <c r="S100" s="168" t="s">
        <v>230</v>
      </c>
      <c r="T100" s="224"/>
      <c r="U100" s="168" t="s">
        <v>2363</v>
      </c>
      <c r="V100" s="168" t="s">
        <v>4943</v>
      </c>
      <c r="W100" s="92"/>
      <c r="X100" s="200" t="s">
        <v>4944</v>
      </c>
      <c r="Y100" s="307" t="s">
        <v>2640</v>
      </c>
      <c r="Z100" s="200" t="s">
        <v>2767</v>
      </c>
      <c r="AA100" s="200" t="s">
        <v>4945</v>
      </c>
      <c r="AB100" s="200" t="s">
        <v>977</v>
      </c>
      <c r="AC100" s="200" t="s">
        <v>4168</v>
      </c>
      <c r="AD100" s="200" t="s">
        <v>4946</v>
      </c>
      <c r="AE100" s="200" t="s">
        <v>1380</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4949</v>
      </c>
      <c r="BE100" s="175"/>
      <c r="BF100" s="175"/>
      <c r="BG100" s="175"/>
      <c r="BH100" s="176" t="s">
        <v>4950</v>
      </c>
      <c r="BI100" s="175"/>
      <c r="BJ100" s="175"/>
      <c r="BK100" s="175"/>
      <c r="BL100" s="175"/>
      <c r="BM100" s="176" t="s">
        <v>4951</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4953</v>
      </c>
      <c r="DO100" s="376"/>
      <c r="DP100" s="279"/>
      <c r="DQ100" s="279"/>
      <c r="DR100" s="279"/>
      <c r="DS100" s="279"/>
      <c r="DT100" s="279"/>
      <c r="DU100" s="279"/>
      <c r="DV100" s="279"/>
      <c r="DW100" s="279"/>
      <c r="DX100" s="279"/>
      <c r="DY100" s="279"/>
      <c r="DZ100" s="279"/>
      <c r="EA100" s="279"/>
      <c r="EB100" s="320"/>
    </row>
    <row r="101">
      <c r="A101" s="81" t="s">
        <v>4954</v>
      </c>
      <c r="B101" s="82" t="s">
        <v>4955</v>
      </c>
      <c r="C101" s="83" t="s">
        <v>1413</v>
      </c>
      <c r="D101" s="84" t="s">
        <v>1413</v>
      </c>
      <c r="E101" s="85" t="s">
        <v>1413</v>
      </c>
      <c r="F101" s="86" t="s">
        <v>827</v>
      </c>
      <c r="G101" s="82" t="s">
        <v>4956</v>
      </c>
      <c r="H101" s="93" t="s">
        <v>4957</v>
      </c>
      <c r="I101" s="93" t="s">
        <v>3810</v>
      </c>
      <c r="J101" s="93" t="s">
        <v>4958</v>
      </c>
      <c r="K101" s="93" t="s">
        <v>3221</v>
      </c>
      <c r="L101" s="93" t="s">
        <v>4959</v>
      </c>
      <c r="M101" s="93" t="s">
        <v>4960</v>
      </c>
      <c r="N101" s="93" t="s">
        <v>4961</v>
      </c>
      <c r="O101" s="93" t="s">
        <v>4962</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4119</v>
      </c>
      <c r="BE101" s="93" t="s">
        <v>4963</v>
      </c>
      <c r="BF101" s="98"/>
      <c r="BG101" s="98"/>
      <c r="BH101" s="93" t="s">
        <v>1985</v>
      </c>
      <c r="BI101" s="98"/>
      <c r="BJ101" s="93" t="s">
        <v>4964</v>
      </c>
      <c r="BK101" s="93" t="s">
        <v>2085</v>
      </c>
      <c r="BL101" s="98"/>
      <c r="BM101" s="98"/>
      <c r="BN101" s="98"/>
      <c r="BO101" s="98"/>
      <c r="BP101" s="266"/>
      <c r="BQ101" s="94"/>
      <c r="BR101" s="98"/>
      <c r="BS101" s="93" t="s">
        <v>3515</v>
      </c>
      <c r="BT101" s="93" t="s">
        <v>4965</v>
      </c>
      <c r="BU101" s="93" t="s">
        <v>4966</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4967</v>
      </c>
      <c r="CU101" s="98"/>
      <c r="CV101" s="93" t="s">
        <v>2652</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592" t="s">
        <v>4972</v>
      </c>
      <c r="B102" s="103" t="s">
        <v>4973</v>
      </c>
      <c r="C102" s="104" t="s">
        <v>1413</v>
      </c>
      <c r="D102" s="105" t="s">
        <v>1413</v>
      </c>
      <c r="E102" s="106" t="s">
        <v>1413</v>
      </c>
      <c r="F102" s="107" t="s">
        <v>331</v>
      </c>
      <c r="G102" s="103" t="s">
        <v>1344</v>
      </c>
      <c r="H102" s="112" t="s">
        <v>4974</v>
      </c>
      <c r="I102" s="112" t="s">
        <v>2888</v>
      </c>
      <c r="J102" s="112" t="s">
        <v>3792</v>
      </c>
      <c r="K102" s="168" t="s">
        <v>1269</v>
      </c>
      <c r="L102" s="168" t="s">
        <v>4975</v>
      </c>
      <c r="M102" s="168" t="s">
        <v>4976</v>
      </c>
      <c r="N102" s="168" t="s">
        <v>4977</v>
      </c>
      <c r="O102" s="168" t="s">
        <v>4978</v>
      </c>
      <c r="P102" s="112" t="s">
        <v>3831</v>
      </c>
      <c r="Q102" s="168" t="s">
        <v>4979</v>
      </c>
      <c r="R102" s="224"/>
      <c r="S102" s="168" t="s">
        <v>1381</v>
      </c>
      <c r="T102" s="224"/>
      <c r="U102" s="168" t="s">
        <v>233</v>
      </c>
      <c r="V102" s="370" t="s">
        <v>4980</v>
      </c>
      <c r="W102" s="212"/>
      <c r="X102" s="200" t="s">
        <v>1689</v>
      </c>
      <c r="Y102" s="307" t="s">
        <v>3301</v>
      </c>
      <c r="Z102" s="200" t="s">
        <v>4981</v>
      </c>
      <c r="AA102" s="200" t="s">
        <v>4982</v>
      </c>
      <c r="AB102" s="200" t="s">
        <v>2209</v>
      </c>
      <c r="AC102" s="200" t="s">
        <v>4983</v>
      </c>
      <c r="AD102" s="282"/>
      <c r="AE102" s="200" t="s">
        <v>4984</v>
      </c>
      <c r="AF102" s="200" t="s">
        <v>1187</v>
      </c>
      <c r="AG102" s="200" t="s">
        <v>4985</v>
      </c>
      <c r="AH102" s="200"/>
      <c r="AI102" s="200" t="s">
        <v>4986</v>
      </c>
      <c r="AJ102" s="352" t="s">
        <v>4987</v>
      </c>
      <c r="AK102" s="92"/>
      <c r="AL102" s="170" t="s">
        <v>1992</v>
      </c>
      <c r="AM102" s="170" t="s">
        <v>4988</v>
      </c>
      <c r="AN102" s="170" t="s">
        <v>4989</v>
      </c>
      <c r="AO102" s="170" t="s">
        <v>1497</v>
      </c>
      <c r="AP102" s="170" t="s">
        <v>3625</v>
      </c>
      <c r="AQ102" s="170" t="s">
        <v>1352</v>
      </c>
      <c r="AR102" s="273"/>
      <c r="AS102" s="170" t="s">
        <v>4990</v>
      </c>
      <c r="AT102" s="121" t="s">
        <v>4991</v>
      </c>
      <c r="AU102" s="170" t="s">
        <v>4992</v>
      </c>
      <c r="AV102" s="170" t="s">
        <v>3994</v>
      </c>
      <c r="AW102" s="273"/>
      <c r="AX102" s="120" t="str">
        <f>HYPERLINK("https://clips.twitch.tv/PeppyAbstruseSmoothieCurseLit","39.09")</f>
        <v>39.09</v>
      </c>
      <c r="AY102" s="170" t="s">
        <v>4993</v>
      </c>
      <c r="AZ102" s="337"/>
      <c r="BA102" s="176" t="s">
        <v>4994</v>
      </c>
      <c r="BB102" s="176" t="s">
        <v>4995</v>
      </c>
      <c r="BC102" s="176" t="s">
        <v>471</v>
      </c>
      <c r="BD102" s="175"/>
      <c r="BE102" s="176" t="s">
        <v>4996</v>
      </c>
      <c r="BF102" s="176" t="s">
        <v>3284</v>
      </c>
      <c r="BG102" s="175"/>
      <c r="BH102" s="125" t="str">
        <f>HYPERLINK("https://clips.twitch.tv/SavagePeacefulEagleWOOP","29.65")</f>
        <v>29.65</v>
      </c>
      <c r="BI102" s="175"/>
      <c r="BJ102" s="175"/>
      <c r="BK102" s="127" t="s">
        <v>2097</v>
      </c>
      <c r="BL102" s="176" t="s">
        <v>4997</v>
      </c>
      <c r="BM102" s="125" t="str">
        <f>HYPERLINK("https://clips.twitch.tv/PeacefulSavoryAlfalfa4Head","35.58")</f>
        <v>35.58</v>
      </c>
      <c r="BN102" s="175"/>
      <c r="BO102" s="176" t="s">
        <v>4998</v>
      </c>
      <c r="BP102" s="285"/>
      <c r="BQ102" s="177" t="s">
        <v>4999</v>
      </c>
      <c r="BR102" s="177"/>
      <c r="BS102" s="177" t="s">
        <v>4397</v>
      </c>
      <c r="BT102" s="177" t="s">
        <v>4193</v>
      </c>
      <c r="BU102" s="287"/>
      <c r="BV102" s="178" t="s">
        <v>428</v>
      </c>
      <c r="BW102" s="287"/>
      <c r="BX102" s="287"/>
      <c r="BY102" s="177" t="s">
        <v>3440</v>
      </c>
      <c r="BZ102" s="177" t="s">
        <v>636</v>
      </c>
      <c r="CA102" s="131" t="s">
        <v>5000</v>
      </c>
      <c r="CB102" s="177" t="s">
        <v>5001</v>
      </c>
      <c r="CC102" s="177" t="s">
        <v>3363</v>
      </c>
      <c r="CD102" s="177" t="s">
        <v>5002</v>
      </c>
      <c r="CE102" s="275"/>
      <c r="CF102" s="179" t="s">
        <v>1325</v>
      </c>
      <c r="CG102" s="179" t="s">
        <v>5003</v>
      </c>
      <c r="CH102" s="179" t="s">
        <v>3023</v>
      </c>
      <c r="CI102" s="179" t="s">
        <v>5004</v>
      </c>
      <c r="CJ102" s="179" t="s">
        <v>5005</v>
      </c>
      <c r="CK102" s="277"/>
      <c r="CL102" s="179" t="s">
        <v>2807</v>
      </c>
      <c r="CM102" s="179" t="s">
        <v>1543</v>
      </c>
      <c r="CN102" s="179" t="s">
        <v>5006</v>
      </c>
      <c r="CO102" s="179" t="s">
        <v>5007</v>
      </c>
      <c r="CP102" s="179"/>
      <c r="CQ102" s="179" t="s">
        <v>5008</v>
      </c>
      <c r="CR102" s="179" t="s">
        <v>5009</v>
      </c>
      <c r="CS102" s="101"/>
      <c r="CT102" s="207" t="s">
        <v>5010</v>
      </c>
      <c r="CU102" s="207" t="s">
        <v>3891</v>
      </c>
      <c r="CV102" s="141" t="s">
        <v>5011</v>
      </c>
      <c r="CW102" s="207" t="s">
        <v>5012</v>
      </c>
      <c r="CX102" s="278"/>
      <c r="CY102" s="207" t="s">
        <v>4267</v>
      </c>
      <c r="CZ102" s="207" t="s">
        <v>5013</v>
      </c>
      <c r="DA102" s="207" t="s">
        <v>4122</v>
      </c>
      <c r="DB102" s="207" t="s">
        <v>5014</v>
      </c>
      <c r="DC102" s="278"/>
      <c r="DD102" s="207" t="s">
        <v>1649</v>
      </c>
      <c r="DE102" s="207" t="s">
        <v>5015</v>
      </c>
      <c r="DF102" s="342"/>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4588</v>
      </c>
      <c r="DS102" s="208" t="s">
        <v>4269</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4230</v>
      </c>
      <c r="L103" s="93" t="s">
        <v>2309</v>
      </c>
      <c r="M103" s="98"/>
      <c r="N103" s="93" t="s">
        <v>4159</v>
      </c>
      <c r="O103" s="93" t="s">
        <v>5029</v>
      </c>
      <c r="P103" s="93" t="s">
        <v>3831</v>
      </c>
      <c r="Q103" s="98"/>
      <c r="R103" s="98"/>
      <c r="S103" s="98"/>
      <c r="T103" s="98"/>
      <c r="U103" s="98"/>
      <c r="V103" s="98"/>
      <c r="W103" s="92"/>
      <c r="X103" s="93" t="s">
        <v>4649</v>
      </c>
      <c r="Y103" s="93" t="s">
        <v>3075</v>
      </c>
      <c r="Z103" s="93" t="s">
        <v>5030</v>
      </c>
      <c r="AA103" s="93" t="s">
        <v>4763</v>
      </c>
      <c r="AB103" s="98"/>
      <c r="AC103" s="93" t="s">
        <v>4021</v>
      </c>
      <c r="AD103" s="98"/>
      <c r="AE103" s="93" t="s">
        <v>3176</v>
      </c>
      <c r="AF103" s="93" t="s">
        <v>5031</v>
      </c>
      <c r="AG103" s="98"/>
      <c r="AH103" s="98"/>
      <c r="AI103" s="98"/>
      <c r="AJ103" s="98"/>
      <c r="AK103" s="92"/>
      <c r="AL103" s="93" t="s">
        <v>3871</v>
      </c>
      <c r="AM103" s="98"/>
      <c r="AN103" s="98"/>
      <c r="AO103" s="98"/>
      <c r="AP103" s="98"/>
      <c r="AQ103" s="98"/>
      <c r="AR103" s="98"/>
      <c r="AS103" s="98"/>
      <c r="AT103" s="98"/>
      <c r="AU103" s="93" t="s">
        <v>5032</v>
      </c>
      <c r="AV103" s="93" t="s">
        <v>4655</v>
      </c>
      <c r="AW103" s="98"/>
      <c r="AX103" s="98"/>
      <c r="AY103" s="98"/>
      <c r="AZ103" s="266"/>
      <c r="BA103" s="93" t="s">
        <v>1923</v>
      </c>
      <c r="BB103" s="98"/>
      <c r="BC103" s="93" t="s">
        <v>5033</v>
      </c>
      <c r="BD103" s="93" t="s">
        <v>4861</v>
      </c>
      <c r="BE103" s="88" t="s">
        <v>3980</v>
      </c>
      <c r="BF103" s="93" t="s">
        <v>1337</v>
      </c>
      <c r="BG103" s="98"/>
      <c r="BH103" s="93" t="s">
        <v>2623</v>
      </c>
      <c r="BI103" s="93" t="s">
        <v>5034</v>
      </c>
      <c r="BJ103" s="93"/>
      <c r="BK103" s="98"/>
      <c r="BL103" s="98"/>
      <c r="BM103" s="98"/>
      <c r="BN103" s="98"/>
      <c r="BO103" s="98"/>
      <c r="BP103" s="266"/>
      <c r="BQ103" s="93" t="s">
        <v>3651</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4834</v>
      </c>
      <c r="O104" s="168" t="s">
        <v>4770</v>
      </c>
      <c r="P104" s="168" t="s">
        <v>451</v>
      </c>
      <c r="Q104" s="224"/>
      <c r="R104" s="224"/>
      <c r="S104" s="224"/>
      <c r="T104" s="224"/>
      <c r="U104" s="224"/>
      <c r="V104" s="224"/>
      <c r="W104" s="92"/>
      <c r="X104" s="200" t="s">
        <v>3689</v>
      </c>
      <c r="Y104" s="200" t="s">
        <v>4292</v>
      </c>
      <c r="Z104" s="200" t="s">
        <v>3862</v>
      </c>
      <c r="AA104" s="200" t="s">
        <v>4715</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5051</v>
      </c>
      <c r="BF104" s="175"/>
      <c r="BG104" s="175"/>
      <c r="BH104" s="176" t="s">
        <v>3072</v>
      </c>
      <c r="BI104" s="176" t="s">
        <v>5052</v>
      </c>
      <c r="BJ104" s="175"/>
      <c r="BK104" s="176" t="s">
        <v>1488</v>
      </c>
      <c r="BL104" s="175"/>
      <c r="BM104" s="175"/>
      <c r="BN104" s="175"/>
      <c r="BO104" s="175"/>
      <c r="BP104" s="285"/>
      <c r="BQ104" s="177" t="s">
        <v>5053</v>
      </c>
      <c r="BR104" s="177" t="s">
        <v>4238</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3735</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2386</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4830</v>
      </c>
      <c r="CB105" s="93" t="s">
        <v>4768</v>
      </c>
      <c r="CC105" s="93" t="s">
        <v>1584</v>
      </c>
      <c r="CD105" s="98"/>
      <c r="CE105" s="266"/>
      <c r="CF105" s="93" t="s">
        <v>5082</v>
      </c>
      <c r="CG105" s="93" t="s">
        <v>4294</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4289</v>
      </c>
      <c r="L106" s="360" t="s">
        <v>560</v>
      </c>
      <c r="M106" s="224"/>
      <c r="N106" s="168" t="s">
        <v>5096</v>
      </c>
      <c r="O106" s="168" t="s">
        <v>1024</v>
      </c>
      <c r="P106" s="168" t="s">
        <v>3334</v>
      </c>
      <c r="Q106" s="224"/>
      <c r="R106" s="224"/>
      <c r="S106" s="224"/>
      <c r="T106" s="224"/>
      <c r="U106" s="224"/>
      <c r="V106" s="224"/>
      <c r="W106" s="92"/>
      <c r="X106" s="200" t="s">
        <v>2585</v>
      </c>
      <c r="Y106" s="200" t="s">
        <v>1009</v>
      </c>
      <c r="Z106" s="200" t="s">
        <v>3529</v>
      </c>
      <c r="AA106" s="200" t="s">
        <v>5097</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4590</v>
      </c>
      <c r="BD106" s="176" t="s">
        <v>4770</v>
      </c>
      <c r="BE106" s="176" t="s">
        <v>1739</v>
      </c>
      <c r="BF106" s="175"/>
      <c r="BG106" s="175"/>
      <c r="BH106" s="176" t="s">
        <v>1906</v>
      </c>
      <c r="BI106" s="176" t="s">
        <v>5099</v>
      </c>
      <c r="BJ106" s="176" t="s">
        <v>688</v>
      </c>
      <c r="BK106" s="176" t="s">
        <v>4453</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3862</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2352</v>
      </c>
      <c r="CM107" s="93"/>
      <c r="CN107" s="98"/>
      <c r="CO107" s="98"/>
      <c r="CP107" s="98"/>
      <c r="CQ107" s="98"/>
      <c r="CR107" s="98"/>
      <c r="CS107" s="101"/>
      <c r="CT107" s="93" t="s">
        <v>3687</v>
      </c>
      <c r="CU107" s="93" t="s">
        <v>4207</v>
      </c>
      <c r="CV107" s="211" t="s">
        <v>5119</v>
      </c>
      <c r="CW107" s="93" t="s">
        <v>1155</v>
      </c>
      <c r="CX107" s="93" t="s">
        <v>2686</v>
      </c>
      <c r="CY107" s="98"/>
      <c r="CZ107" s="93" t="s">
        <v>3407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4940</v>
      </c>
      <c r="G108" s="103" t="s">
        <v>5026</v>
      </c>
      <c r="H108" s="224"/>
      <c r="I108" s="198" t="s">
        <v>2054</v>
      </c>
      <c r="J108" s="198" t="s">
        <v>5123</v>
      </c>
      <c r="K108" s="198" t="s">
        <v>658</v>
      </c>
      <c r="L108" s="198" t="s">
        <v>4959</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4945</v>
      </c>
      <c r="AB109" s="93" t="s">
        <v>5048</v>
      </c>
      <c r="AC109" s="93" t="s">
        <v>5132</v>
      </c>
      <c r="AD109" s="93"/>
      <c r="AE109" s="93" t="s">
        <v>5133</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4866</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2571</v>
      </c>
      <c r="L110" s="302" t="s">
        <v>5145</v>
      </c>
      <c r="M110" s="598"/>
      <c r="N110" s="598" t="s">
        <v>5146</v>
      </c>
      <c r="O110" s="598" t="s">
        <v>5147</v>
      </c>
      <c r="P110" s="598" t="s">
        <v>3334</v>
      </c>
      <c r="Q110" s="224"/>
      <c r="R110" s="224"/>
      <c r="S110" s="168" t="s">
        <v>922</v>
      </c>
      <c r="T110" s="224"/>
      <c r="U110" s="168" t="s">
        <v>1965</v>
      </c>
      <c r="V110" s="224"/>
      <c r="W110" s="92"/>
      <c r="X110" s="117" t="s">
        <v>2131</v>
      </c>
      <c r="Y110" s="117" t="s">
        <v>5148</v>
      </c>
      <c r="Z110" s="117" t="s">
        <v>1143</v>
      </c>
      <c r="AA110" s="199" t="s">
        <v>5149</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4422</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4273</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3783</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4367</v>
      </c>
      <c r="AU111" s="93" t="s">
        <v>1181</v>
      </c>
      <c r="AV111" s="93" t="s">
        <v>5174</v>
      </c>
      <c r="AW111" s="98"/>
      <c r="AX111" s="88" t="s">
        <v>1583</v>
      </c>
      <c r="AY111" s="93" t="s">
        <v>5175</v>
      </c>
      <c r="AZ111" s="93"/>
      <c r="BA111" s="98"/>
      <c r="BB111" s="93" t="s">
        <v>5176</v>
      </c>
      <c r="BC111" s="93" t="s">
        <v>3224</v>
      </c>
      <c r="BD111" s="93" t="s">
        <v>5177</v>
      </c>
      <c r="BE111" s="93" t="s">
        <v>2554</v>
      </c>
      <c r="BF111" s="93" t="s">
        <v>4745</v>
      </c>
      <c r="BG111" s="98"/>
      <c r="BH111" s="93" t="s">
        <v>4883</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2374</v>
      </c>
      <c r="DB111" s="93" t="s">
        <v>5195</v>
      </c>
      <c r="DC111" s="93" t="s">
        <v>5128</v>
      </c>
      <c r="DD111" s="93" t="s">
        <v>5196</v>
      </c>
      <c r="DE111" s="93" t="s">
        <v>5197</v>
      </c>
      <c r="DF111" s="93"/>
      <c r="DG111" s="93" t="s">
        <v>3972</v>
      </c>
      <c r="DH111" s="93"/>
      <c r="DI111" s="93" t="s">
        <v>5198</v>
      </c>
      <c r="DJ111" s="93"/>
      <c r="DK111" s="93" t="s">
        <v>5199</v>
      </c>
      <c r="DL111" s="93" t="s">
        <v>2736</v>
      </c>
      <c r="DM111" s="161" t="s">
        <v>3600</v>
      </c>
      <c r="DN111" s="93" t="s">
        <v>3531</v>
      </c>
      <c r="DO111" s="98"/>
      <c r="DP111" s="93" t="s">
        <v>3589</v>
      </c>
      <c r="DQ111" s="93" t="s">
        <v>5200</v>
      </c>
      <c r="DR111" s="93" t="s">
        <v>3627</v>
      </c>
      <c r="DS111" s="93" t="s">
        <v>3223</v>
      </c>
      <c r="DT111" s="93" t="s">
        <v>1151</v>
      </c>
      <c r="DU111" s="93" t="s">
        <v>1339</v>
      </c>
      <c r="DV111" s="93" t="s">
        <v>4004</v>
      </c>
      <c r="DW111" s="93" t="s">
        <v>1018</v>
      </c>
      <c r="DX111" s="93" t="s">
        <v>2850</v>
      </c>
      <c r="DY111" s="93" t="s">
        <v>3765</v>
      </c>
      <c r="DZ111" s="93" t="s">
        <v>1751</v>
      </c>
      <c r="EA111" s="93" t="s">
        <v>2352</v>
      </c>
      <c r="EB111" s="298" t="s">
        <v>5201</v>
      </c>
    </row>
    <row r="112">
      <c r="A112" s="167" t="s">
        <v>5202</v>
      </c>
      <c r="B112" s="103" t="s">
        <v>5203</v>
      </c>
      <c r="C112" s="104" t="s">
        <v>1413</v>
      </c>
      <c r="D112" s="105" t="s">
        <v>1413</v>
      </c>
      <c r="E112" s="106" t="s">
        <v>1413</v>
      </c>
      <c r="F112" s="107" t="s">
        <v>1413</v>
      </c>
      <c r="G112" s="103" t="s">
        <v>3326</v>
      </c>
      <c r="H112" s="168" t="s">
        <v>3582</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4872</v>
      </c>
      <c r="AB112" s="200" t="s">
        <v>5210</v>
      </c>
      <c r="AC112" s="200" t="s">
        <v>5211</v>
      </c>
      <c r="AD112" s="200" t="s">
        <v>5212</v>
      </c>
      <c r="AE112" s="200" t="s">
        <v>1709</v>
      </c>
      <c r="AF112" s="200" t="s">
        <v>4190</v>
      </c>
      <c r="AG112" s="200" t="s">
        <v>1965</v>
      </c>
      <c r="AH112" s="200"/>
      <c r="AI112" s="200" t="s">
        <v>1357</v>
      </c>
      <c r="AJ112" s="200" t="s">
        <v>5213</v>
      </c>
      <c r="AK112" s="92"/>
      <c r="AL112" s="170" t="s">
        <v>2036</v>
      </c>
      <c r="AM112" s="170" t="s">
        <v>4150</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4075</v>
      </c>
      <c r="BG112" s="176" t="s">
        <v>4449</v>
      </c>
      <c r="BH112" s="176" t="s">
        <v>3595</v>
      </c>
      <c r="BI112" s="176" t="s">
        <v>894</v>
      </c>
      <c r="BJ112" s="176"/>
      <c r="BK112" s="176" t="s">
        <v>5218</v>
      </c>
      <c r="BL112" s="175"/>
      <c r="BM112" s="176" t="s">
        <v>1979</v>
      </c>
      <c r="BN112" s="176" t="s">
        <v>2804</v>
      </c>
      <c r="BO112" s="175"/>
      <c r="BP112" s="285"/>
      <c r="BQ112" s="177"/>
      <c r="BR112" s="177" t="s">
        <v>3570</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4697</v>
      </c>
      <c r="CG112" s="179" t="s">
        <v>1819</v>
      </c>
      <c r="CH112" s="179" t="s">
        <v>4741</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3398</v>
      </c>
      <c r="CW112" s="207" t="s">
        <v>3292</v>
      </c>
      <c r="CX112" s="207" t="s">
        <v>5231</v>
      </c>
      <c r="CY112" s="207" t="s">
        <v>3816</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4733</v>
      </c>
      <c r="H113" s="93" t="s">
        <v>660</v>
      </c>
      <c r="I113" s="93" t="s">
        <v>2485</v>
      </c>
      <c r="J113" s="93" t="s">
        <v>1584</v>
      </c>
      <c r="K113" s="93" t="s">
        <v>3824</v>
      </c>
      <c r="L113" s="93" t="s">
        <v>4555</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4812</v>
      </c>
      <c r="AU113" s="93" t="s">
        <v>5243</v>
      </c>
      <c r="AV113" s="98"/>
      <c r="AW113" s="98"/>
      <c r="AX113" s="98"/>
      <c r="AY113" s="98"/>
      <c r="AZ113" s="266"/>
      <c r="BA113" s="93" t="s">
        <v>5244</v>
      </c>
      <c r="BB113" s="93" t="s">
        <v>4365</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4463</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5010</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4308</v>
      </c>
      <c r="H114" s="112" t="s">
        <v>5263</v>
      </c>
      <c r="I114" s="360" t="s">
        <v>5264</v>
      </c>
      <c r="J114" s="360" t="s">
        <v>462</v>
      </c>
      <c r="K114" s="360" t="s">
        <v>2261</v>
      </c>
      <c r="L114" s="112" t="s">
        <v>3949</v>
      </c>
      <c r="M114" s="168" t="s">
        <v>952</v>
      </c>
      <c r="N114" s="168" t="s">
        <v>5265</v>
      </c>
      <c r="O114" s="360" t="s">
        <v>153</v>
      </c>
      <c r="P114" s="112" t="s">
        <v>2798</v>
      </c>
      <c r="Q114" s="224"/>
      <c r="R114" s="224"/>
      <c r="S114" s="168" t="s">
        <v>3554</v>
      </c>
      <c r="T114" s="224"/>
      <c r="U114" s="168" t="s">
        <v>1451</v>
      </c>
      <c r="V114" s="224"/>
      <c r="W114" s="92"/>
      <c r="X114" s="361" t="s">
        <v>4649</v>
      </c>
      <c r="Y114" s="361" t="s">
        <v>3445</v>
      </c>
      <c r="Z114" s="116" t="s">
        <v>5266</v>
      </c>
      <c r="AA114" s="200" t="s">
        <v>5267</v>
      </c>
      <c r="AB114" s="116" t="s">
        <v>2572</v>
      </c>
      <c r="AC114" s="361" t="s">
        <v>5268</v>
      </c>
      <c r="AD114" s="282"/>
      <c r="AE114" s="200" t="s">
        <v>5269</v>
      </c>
      <c r="AF114" s="361" t="s">
        <v>4947</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7" t="s">
        <v>3280</v>
      </c>
      <c r="AU114" s="310" t="s">
        <v>2300</v>
      </c>
      <c r="AV114" s="121" t="s">
        <v>3491</v>
      </c>
      <c r="AW114" s="273"/>
      <c r="AX114" s="170" t="s">
        <v>5274</v>
      </c>
      <c r="AY114" s="273"/>
      <c r="AZ114" s="274"/>
      <c r="BA114" s="176" t="s">
        <v>4178</v>
      </c>
      <c r="BB114" s="176" t="s">
        <v>1120</v>
      </c>
      <c r="BC114" s="127" t="s">
        <v>4590</v>
      </c>
      <c r="BD114" s="176" t="s">
        <v>2980</v>
      </c>
      <c r="BE114" s="176" t="s">
        <v>4139</v>
      </c>
      <c r="BF114" s="176" t="s">
        <v>2520</v>
      </c>
      <c r="BG114" s="176" t="s">
        <v>5275</v>
      </c>
      <c r="BH114" s="176" t="s">
        <v>3199</v>
      </c>
      <c r="BI114" s="176" t="s">
        <v>5276</v>
      </c>
      <c r="BJ114" s="175"/>
      <c r="BK114" s="176" t="s">
        <v>3064</v>
      </c>
      <c r="BL114" s="175"/>
      <c r="BM114" s="176" t="s">
        <v>4297</v>
      </c>
      <c r="BN114" s="175"/>
      <c r="BO114" s="176" t="s">
        <v>5277</v>
      </c>
      <c r="BP114" s="285"/>
      <c r="BQ114" s="287"/>
      <c r="BR114" s="287"/>
      <c r="BS114" s="177" t="s">
        <v>5028</v>
      </c>
      <c r="BT114" s="177" t="s">
        <v>5278</v>
      </c>
      <c r="BU114" s="177" t="s">
        <v>3503</v>
      </c>
      <c r="BV114" s="177" t="s">
        <v>5279</v>
      </c>
      <c r="BW114" s="287"/>
      <c r="BX114" s="177" t="s">
        <v>4869</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3534</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3678</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4372</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4506</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4397</v>
      </c>
      <c r="BT116" s="177" t="s">
        <v>5321</v>
      </c>
      <c r="BU116" s="177" t="s">
        <v>5322</v>
      </c>
      <c r="BV116" s="177" t="s">
        <v>5323</v>
      </c>
      <c r="BW116" s="287"/>
      <c r="BX116" s="177" t="s">
        <v>3699</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4707</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3677</v>
      </c>
      <c r="H117" s="98"/>
      <c r="I117" s="608" t="s">
        <v>5348</v>
      </c>
      <c r="J117" s="93" t="s">
        <v>5349</v>
      </c>
      <c r="K117" s="609" t="s">
        <v>5350</v>
      </c>
      <c r="L117" s="608" t="s">
        <v>5351</v>
      </c>
      <c r="M117" s="93" t="s">
        <v>5352</v>
      </c>
      <c r="N117" s="93" t="s">
        <v>5353</v>
      </c>
      <c r="O117" s="96" t="s">
        <v>2981</v>
      </c>
      <c r="P117" s="96" t="s">
        <v>4788</v>
      </c>
      <c r="Q117" s="98"/>
      <c r="R117" s="98"/>
      <c r="S117" s="96" t="s">
        <v>5354</v>
      </c>
      <c r="T117" s="98"/>
      <c r="U117" s="98"/>
      <c r="V117" s="98"/>
      <c r="W117" s="92"/>
      <c r="X117" s="281" t="s">
        <v>4178</v>
      </c>
      <c r="Y117" s="608" t="s">
        <v>4931</v>
      </c>
      <c r="Z117" s="93" t="s">
        <v>451</v>
      </c>
      <c r="AA117" s="96" t="s">
        <v>4360</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4590</v>
      </c>
      <c r="BD117" s="281" t="s">
        <v>2130</v>
      </c>
      <c r="BE117" s="93" t="s">
        <v>4124</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4449</v>
      </c>
      <c r="BV117" s="608"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4283</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4371</v>
      </c>
      <c r="L118" s="360" t="s">
        <v>4390</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3182</v>
      </c>
      <c r="AB118" s="361" t="s">
        <v>5003</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4374</v>
      </c>
      <c r="BO118" s="176" t="s">
        <v>5394</v>
      </c>
      <c r="BP118" s="176"/>
      <c r="BQ118" s="177"/>
      <c r="BR118" s="177" t="s">
        <v>3754</v>
      </c>
      <c r="BS118" s="177" t="s">
        <v>3672</v>
      </c>
      <c r="BT118" s="177" t="s">
        <v>5395</v>
      </c>
      <c r="BU118" s="177" t="s">
        <v>4702</v>
      </c>
      <c r="BV118" s="177" t="s">
        <v>4326</v>
      </c>
      <c r="BW118" s="287"/>
      <c r="BX118" s="177" t="s">
        <v>5396</v>
      </c>
      <c r="BY118" s="177" t="s">
        <v>5397</v>
      </c>
      <c r="BZ118" s="177" t="s">
        <v>5398</v>
      </c>
      <c r="CA118" s="287"/>
      <c r="CB118" s="287"/>
      <c r="CC118" s="287"/>
      <c r="CD118" s="287"/>
      <c r="CE118" s="288"/>
      <c r="CF118" s="179" t="s">
        <v>5399</v>
      </c>
      <c r="CG118" s="179" t="s">
        <v>5400</v>
      </c>
      <c r="CH118" s="179" t="s">
        <v>4100</v>
      </c>
      <c r="CI118" s="179" t="s">
        <v>5401</v>
      </c>
      <c r="CJ118" s="179" t="s">
        <v>4014</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3958</v>
      </c>
      <c r="DB118" s="278"/>
      <c r="DC118" s="278"/>
      <c r="DD118" s="278"/>
      <c r="DE118" s="207" t="s">
        <v>5410</v>
      </c>
      <c r="DF118" s="342"/>
      <c r="DG118" s="208" t="s">
        <v>2371</v>
      </c>
      <c r="DH118" s="279"/>
      <c r="DI118" s="279"/>
      <c r="DJ118" s="208"/>
      <c r="DK118" s="279"/>
      <c r="DL118" s="208" t="s">
        <v>5411</v>
      </c>
      <c r="DM118" s="208" t="s">
        <v>3665</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4602</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3423</v>
      </c>
      <c r="BB119" s="93" t="s">
        <v>5424</v>
      </c>
      <c r="BC119" s="93" t="s">
        <v>2049</v>
      </c>
      <c r="BD119" s="93" t="s">
        <v>5425</v>
      </c>
      <c r="BE119" s="93" t="s">
        <v>4127</v>
      </c>
      <c r="BF119" s="93" t="s">
        <v>3981</v>
      </c>
      <c r="BG119" s="98"/>
      <c r="BH119" s="292" t="s">
        <v>606</v>
      </c>
      <c r="BI119" s="93" t="s">
        <v>5426</v>
      </c>
      <c r="BJ119" s="93" t="s">
        <v>5427</v>
      </c>
      <c r="BK119" s="93" t="s">
        <v>5428</v>
      </c>
      <c r="BL119" s="98"/>
      <c r="BM119" s="98"/>
      <c r="BN119" s="98"/>
      <c r="BO119" s="98"/>
      <c r="BP119" s="266"/>
      <c r="BQ119" s="93" t="s">
        <v>5429</v>
      </c>
      <c r="BR119" s="93" t="s">
        <v>2976</v>
      </c>
      <c r="BS119" s="93" t="s">
        <v>4773</v>
      </c>
      <c r="BT119" s="93" t="s">
        <v>5278</v>
      </c>
      <c r="BU119" s="93" t="s">
        <v>5430</v>
      </c>
      <c r="BV119" s="93" t="s">
        <v>4581</v>
      </c>
      <c r="BW119" s="98"/>
      <c r="BX119" s="93" t="s">
        <v>717</v>
      </c>
      <c r="BY119" s="93" t="s">
        <v>5431</v>
      </c>
      <c r="BZ119" s="98"/>
      <c r="CA119" s="98"/>
      <c r="CB119" s="98"/>
      <c r="CC119" s="98"/>
      <c r="CD119" s="98"/>
      <c r="CE119" s="266"/>
      <c r="CF119" s="93" t="s">
        <v>5432</v>
      </c>
      <c r="CG119" s="93" t="s">
        <v>3146</v>
      </c>
      <c r="CH119" s="93" t="s">
        <v>3956</v>
      </c>
      <c r="CI119" s="93" t="s">
        <v>5433</v>
      </c>
      <c r="CJ119" s="93"/>
      <c r="CK119" s="93" t="s">
        <v>5434</v>
      </c>
      <c r="CL119" s="93" t="s">
        <v>1718</v>
      </c>
      <c r="CM119" s="93" t="s">
        <v>5435</v>
      </c>
      <c r="CN119" s="98"/>
      <c r="CO119" s="98"/>
      <c r="CP119" s="98"/>
      <c r="CQ119" s="98"/>
      <c r="CR119" s="98"/>
      <c r="CS119" s="101"/>
      <c r="CT119" s="93" t="s">
        <v>3552</v>
      </c>
      <c r="CU119" s="93" t="s">
        <v>3862</v>
      </c>
      <c r="CV119" s="93" t="s">
        <v>3544</v>
      </c>
      <c r="CW119" s="93" t="s">
        <v>5436</v>
      </c>
      <c r="CX119" s="93" t="s">
        <v>5437</v>
      </c>
      <c r="CY119" s="93" t="s">
        <v>5438</v>
      </c>
      <c r="CZ119" s="93" t="s">
        <v>4629</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3703</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4994</v>
      </c>
      <c r="Y120" s="282"/>
      <c r="Z120" s="200" t="s">
        <v>5447</v>
      </c>
      <c r="AA120" s="282"/>
      <c r="AB120" s="200" t="s">
        <v>1275</v>
      </c>
      <c r="AC120" s="282"/>
      <c r="AD120" s="282"/>
      <c r="AE120" s="282"/>
      <c r="AF120" s="200" t="s">
        <v>5448</v>
      </c>
      <c r="AG120" s="200" t="s">
        <v>5449</v>
      </c>
      <c r="AH120" s="282"/>
      <c r="AI120" s="200" t="s">
        <v>4211</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2335</v>
      </c>
      <c r="BC120" s="176" t="s">
        <v>275</v>
      </c>
      <c r="BD120" s="176" t="s">
        <v>4506</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3391</v>
      </c>
      <c r="CH120" s="179" t="s">
        <v>5456</v>
      </c>
      <c r="CI120" s="179" t="s">
        <v>5457</v>
      </c>
      <c r="CJ120" s="179" t="s">
        <v>1349</v>
      </c>
      <c r="CK120" s="179" t="s">
        <v>5458</v>
      </c>
      <c r="CL120" s="179" t="s">
        <v>2333</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4727</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4345</v>
      </c>
      <c r="H121" s="93" t="s">
        <v>4593</v>
      </c>
      <c r="I121" s="93" t="s">
        <v>5468</v>
      </c>
      <c r="J121" s="93" t="s">
        <v>5109</v>
      </c>
      <c r="K121" s="93" t="s">
        <v>350</v>
      </c>
      <c r="L121" s="93" t="s">
        <v>4805</v>
      </c>
      <c r="M121" s="93" t="s">
        <v>5469</v>
      </c>
      <c r="N121" s="93" t="s">
        <v>5470</v>
      </c>
      <c r="O121" s="93" t="s">
        <v>2944</v>
      </c>
      <c r="P121" s="93" t="s">
        <v>5471</v>
      </c>
      <c r="Q121" s="98"/>
      <c r="R121" s="98"/>
      <c r="S121" s="98"/>
      <c r="T121" s="98"/>
      <c r="U121" s="98"/>
      <c r="V121" s="98"/>
      <c r="W121" s="92"/>
      <c r="X121" s="93" t="s">
        <v>3118</v>
      </c>
      <c r="Y121" s="93" t="s">
        <v>569</v>
      </c>
      <c r="Z121" s="93" t="s">
        <v>4605</v>
      </c>
      <c r="AA121" s="93" t="s">
        <v>614</v>
      </c>
      <c r="AB121" s="93" t="s">
        <v>4636</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4963</v>
      </c>
      <c r="BS121" s="93" t="s">
        <v>2333</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4773</v>
      </c>
      <c r="CM121" s="93" t="s">
        <v>5473</v>
      </c>
      <c r="CN121" s="98"/>
      <c r="CO121" s="98"/>
      <c r="CP121" s="98"/>
      <c r="CQ121" s="98"/>
      <c r="CR121" s="98"/>
      <c r="CS121" s="101"/>
      <c r="CT121" s="93" t="s">
        <v>1012</v>
      </c>
      <c r="CU121" s="93" t="s">
        <v>4897</v>
      </c>
      <c r="CV121" s="93" t="s">
        <v>5491</v>
      </c>
      <c r="CW121" s="93" t="s">
        <v>4435</v>
      </c>
      <c r="CX121" s="93" t="s">
        <v>5099</v>
      </c>
      <c r="CY121" s="93" t="s">
        <v>4874</v>
      </c>
      <c r="CZ121" s="93" t="s">
        <v>5492</v>
      </c>
      <c r="DA121" s="93" t="s">
        <v>3734</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4533</v>
      </c>
      <c r="L122" s="168" t="s">
        <v>5177</v>
      </c>
      <c r="M122" s="224"/>
      <c r="N122" s="168" t="s">
        <v>4801</v>
      </c>
      <c r="O122" s="168" t="s">
        <v>5497</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5498</v>
      </c>
      <c r="BF122" s="175"/>
      <c r="BG122" s="175"/>
      <c r="BH122" s="176" t="s">
        <v>4526</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4733</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5511</v>
      </c>
      <c r="BE123" s="93" t="s">
        <v>5512</v>
      </c>
      <c r="BF123" s="98"/>
      <c r="BG123" s="613"/>
      <c r="BH123" s="93" t="s">
        <v>753</v>
      </c>
      <c r="BI123" s="93" t="s">
        <v>5513</v>
      </c>
      <c r="BJ123" s="98"/>
      <c r="BK123" s="93" t="s">
        <v>4503</v>
      </c>
      <c r="BL123" s="98"/>
      <c r="BM123" s="98"/>
      <c r="BN123" s="98"/>
      <c r="BO123" s="98"/>
      <c r="BP123" s="266"/>
      <c r="BQ123" s="93" t="s">
        <v>5316</v>
      </c>
      <c r="BR123" s="93" t="s">
        <v>4375</v>
      </c>
      <c r="BS123" s="93" t="s">
        <v>4756</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4141</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3739</v>
      </c>
      <c r="AC124" s="361" t="s">
        <v>5528</v>
      </c>
      <c r="AD124" s="282"/>
      <c r="AE124" s="361" t="s">
        <v>5529</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3146</v>
      </c>
      <c r="BD124" s="127" t="s">
        <v>3069</v>
      </c>
      <c r="BE124" s="127" t="s">
        <v>2394</v>
      </c>
      <c r="BF124" s="175"/>
      <c r="BG124" s="175"/>
      <c r="BH124" s="127" t="s">
        <v>3800</v>
      </c>
      <c r="BI124" s="175"/>
      <c r="BJ124" s="176" t="s">
        <v>5532</v>
      </c>
      <c r="BK124" s="338" t="s">
        <v>4847</v>
      </c>
      <c r="BL124" s="175"/>
      <c r="BM124" s="175"/>
      <c r="BN124" s="175"/>
      <c r="BO124" s="175"/>
      <c r="BP124" s="285"/>
      <c r="BQ124" s="131" t="s">
        <v>5533</v>
      </c>
      <c r="BR124" s="177" t="s">
        <v>5534</v>
      </c>
      <c r="BS124" s="177" t="s">
        <v>5535</v>
      </c>
      <c r="BT124" s="177" t="s">
        <v>1797</v>
      </c>
      <c r="BU124" s="177" t="s">
        <v>4667</v>
      </c>
      <c r="BV124" s="177" t="s">
        <v>188</v>
      </c>
      <c r="BW124" s="177" t="s">
        <v>5536</v>
      </c>
      <c r="BX124" s="287"/>
      <c r="BY124" s="131" t="s">
        <v>5537</v>
      </c>
      <c r="BZ124" s="177" t="s">
        <v>5538</v>
      </c>
      <c r="CA124" s="287"/>
      <c r="CB124" s="287"/>
      <c r="CC124" s="287"/>
      <c r="CD124" s="287"/>
      <c r="CE124" s="288"/>
      <c r="CF124" s="179" t="s">
        <v>5539</v>
      </c>
      <c r="CG124" s="136" t="s">
        <v>3802</v>
      </c>
      <c r="CH124" s="136" t="s">
        <v>4128</v>
      </c>
      <c r="CI124" s="136" t="s">
        <v>5540</v>
      </c>
      <c r="CJ124" s="136" t="s">
        <v>4093</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4895</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3203</v>
      </c>
      <c r="M126" s="224"/>
      <c r="N126" s="168" t="s">
        <v>5237</v>
      </c>
      <c r="O126" s="168" t="s">
        <v>939</v>
      </c>
      <c r="P126" s="168" t="s">
        <v>3529</v>
      </c>
      <c r="Q126" s="224"/>
      <c r="R126" s="224"/>
      <c r="S126" s="224"/>
      <c r="T126" s="224"/>
      <c r="U126" s="168" t="s">
        <v>5446</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4948</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4885</v>
      </c>
      <c r="CU126" s="278"/>
      <c r="CV126" s="207" t="s">
        <v>3213</v>
      </c>
      <c r="CW126" s="278"/>
      <c r="CX126" s="278"/>
      <c r="CY126" s="278"/>
      <c r="CZ126" s="207" t="s">
        <v>5567</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3522</v>
      </c>
      <c r="G128" s="103" t="s">
        <v>3522</v>
      </c>
      <c r="H128" s="112" t="s">
        <v>5576</v>
      </c>
      <c r="I128" s="112" t="s">
        <v>5577</v>
      </c>
      <c r="J128" s="112" t="s">
        <v>4577</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2412</v>
      </c>
      <c r="CH128" s="277"/>
      <c r="CI128" s="136" t="s">
        <v>4583</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4135</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2338</v>
      </c>
      <c r="AB130" s="200" t="s">
        <v>4909</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3027</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4584</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3739</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4660</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4912</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5018</v>
      </c>
      <c r="DS131" s="98"/>
      <c r="DT131" s="98"/>
      <c r="DU131" s="98"/>
      <c r="DV131" s="98"/>
      <c r="DW131" s="98"/>
      <c r="DX131" s="98"/>
      <c r="DY131" s="98"/>
      <c r="DZ131" s="93" t="s">
        <v>4552</v>
      </c>
      <c r="EA131" s="93" t="s">
        <v>2618</v>
      </c>
      <c r="EB131" s="298" t="s">
        <v>5625</v>
      </c>
    </row>
    <row r="132">
      <c r="A132" s="618" t="s">
        <v>5626</v>
      </c>
      <c r="B132" s="215" t="s">
        <v>5627</v>
      </c>
      <c r="C132" s="216" t="s">
        <v>1413</v>
      </c>
      <c r="D132" s="217" t="s">
        <v>1413</v>
      </c>
      <c r="E132" s="218" t="s">
        <v>1413</v>
      </c>
      <c r="F132" s="219" t="s">
        <v>2248</v>
      </c>
      <c r="G132" s="215" t="s">
        <v>4841</v>
      </c>
      <c r="H132" s="619"/>
      <c r="I132" s="619" t="s">
        <v>5628</v>
      </c>
      <c r="J132" s="619"/>
      <c r="K132" s="619" t="s">
        <v>2223</v>
      </c>
      <c r="L132" s="220" t="s">
        <v>5061</v>
      </c>
      <c r="M132" s="619"/>
      <c r="N132" s="620" t="s">
        <v>5629</v>
      </c>
      <c r="O132" s="620" t="s">
        <v>5554</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2545</v>
      </c>
      <c r="BV132" s="131" t="s">
        <v>5323</v>
      </c>
      <c r="BW132" s="628"/>
      <c r="BX132" s="628"/>
      <c r="BY132" s="628"/>
      <c r="BZ132" s="131" t="s">
        <v>3315</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3115</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3255</v>
      </c>
      <c r="M134" s="370" t="s">
        <v>5663</v>
      </c>
      <c r="N134" s="370" t="s">
        <v>5664</v>
      </c>
      <c r="O134" s="370" t="s">
        <v>1742</v>
      </c>
      <c r="P134" s="370" t="s">
        <v>249</v>
      </c>
      <c r="Q134" s="637"/>
      <c r="R134" s="637"/>
      <c r="S134" s="638">
        <v>37.85</v>
      </c>
      <c r="T134" s="637"/>
      <c r="U134" s="168" t="s">
        <v>1971</v>
      </c>
      <c r="V134" s="638" t="s">
        <v>5665</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5602</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3637</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4354</v>
      </c>
      <c r="CV134" s="318" t="s">
        <v>2807</v>
      </c>
      <c r="CW134" s="660"/>
      <c r="CX134" s="660"/>
      <c r="CY134" s="317" t="s">
        <v>2408</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4509</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4978</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4100</v>
      </c>
      <c r="P136" s="168" t="s">
        <v>190</v>
      </c>
      <c r="Q136" s="224"/>
      <c r="R136" s="168" t="s">
        <v>322</v>
      </c>
      <c r="S136" s="168" t="s">
        <v>2167</v>
      </c>
      <c r="T136" s="224"/>
      <c r="U136" s="168" t="s">
        <v>3496</v>
      </c>
      <c r="V136" s="224"/>
      <c r="W136" s="92"/>
      <c r="X136" s="200" t="s">
        <v>5690</v>
      </c>
      <c r="Y136" s="116" t="s">
        <v>2348</v>
      </c>
      <c r="Z136" s="200" t="s">
        <v>4490</v>
      </c>
      <c r="AA136" s="200" t="s">
        <v>1763</v>
      </c>
      <c r="AB136" s="200" t="s">
        <v>3736</v>
      </c>
      <c r="AC136" s="200" t="s">
        <v>2346</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3388</v>
      </c>
      <c r="BD136" s="176" t="s">
        <v>3272</v>
      </c>
      <c r="BE136" s="176" t="s">
        <v>5564</v>
      </c>
      <c r="BF136" s="175"/>
      <c r="BG136" s="175"/>
      <c r="BH136" s="176" t="s">
        <v>3805</v>
      </c>
      <c r="BI136" s="176" t="s">
        <v>5693</v>
      </c>
      <c r="BJ136" s="176"/>
      <c r="BK136" s="176" t="s">
        <v>2571</v>
      </c>
      <c r="BL136" s="175"/>
      <c r="BM136" s="176" t="s">
        <v>4061</v>
      </c>
      <c r="BN136" s="175"/>
      <c r="BO136" s="175"/>
      <c r="BP136" s="285"/>
      <c r="BQ136" s="177" t="s">
        <v>5694</v>
      </c>
      <c r="BR136" s="177" t="s">
        <v>4067</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4297</v>
      </c>
      <c r="CH136" s="179" t="s">
        <v>2169</v>
      </c>
      <c r="CI136" s="179" t="s">
        <v>5699</v>
      </c>
      <c r="CJ136" s="179" t="s">
        <v>5700</v>
      </c>
      <c r="CK136" s="179" t="s">
        <v>5701</v>
      </c>
      <c r="CL136" s="179" t="s">
        <v>1561</v>
      </c>
      <c r="CM136" s="179" t="s">
        <v>4244</v>
      </c>
      <c r="CN136" s="277"/>
      <c r="CO136" s="277"/>
      <c r="CP136" s="277"/>
      <c r="CQ136" s="277"/>
      <c r="CR136" s="277"/>
      <c r="CS136" s="101"/>
      <c r="CT136" s="207" t="s">
        <v>5702</v>
      </c>
      <c r="CU136" s="207" t="s">
        <v>2825</v>
      </c>
      <c r="CV136" s="207" t="s">
        <v>3612</v>
      </c>
      <c r="CW136" s="207" t="s">
        <v>5703</v>
      </c>
      <c r="CX136" s="278"/>
      <c r="CY136" s="207" t="s">
        <v>5704</v>
      </c>
      <c r="CZ136" s="141" t="s">
        <v>5705</v>
      </c>
      <c r="DA136" s="207" t="s">
        <v>4407</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3089</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4841</v>
      </c>
      <c r="H137" s="93" t="s">
        <v>2064</v>
      </c>
      <c r="I137" s="93" t="s">
        <v>3289</v>
      </c>
      <c r="J137" s="93" t="s">
        <v>568</v>
      </c>
      <c r="K137" s="93" t="s">
        <v>4254</v>
      </c>
      <c r="L137" s="93" t="s">
        <v>3949</v>
      </c>
      <c r="M137" s="93" t="s">
        <v>5714</v>
      </c>
      <c r="N137" s="93" t="s">
        <v>5715</v>
      </c>
      <c r="O137" s="93" t="s">
        <v>441</v>
      </c>
      <c r="P137" s="93" t="s">
        <v>3932</v>
      </c>
      <c r="Q137" s="98"/>
      <c r="R137" s="98"/>
      <c r="S137" s="98"/>
      <c r="T137" s="98"/>
      <c r="U137" s="98"/>
      <c r="V137" s="98"/>
      <c r="W137" s="92"/>
      <c r="X137" s="93" t="s">
        <v>4868</v>
      </c>
      <c r="Y137" s="93" t="s">
        <v>4071</v>
      </c>
      <c r="Z137" s="93" t="s">
        <v>5716</v>
      </c>
      <c r="AA137" s="93" t="s">
        <v>784</v>
      </c>
      <c r="AB137" s="93" t="s">
        <v>4273</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5005</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3735</v>
      </c>
      <c r="DZ137" s="98"/>
      <c r="EA137" s="98"/>
      <c r="EB137" s="298"/>
    </row>
    <row r="138">
      <c r="A138" s="597" t="s">
        <v>5722</v>
      </c>
      <c r="B138" s="103" t="s">
        <v>5723</v>
      </c>
      <c r="C138" s="104" t="s">
        <v>1413</v>
      </c>
      <c r="D138" s="105" t="s">
        <v>1413</v>
      </c>
      <c r="E138" s="106" t="s">
        <v>1413</v>
      </c>
      <c r="F138" s="107" t="s">
        <v>541</v>
      </c>
      <c r="G138" s="103" t="s">
        <v>3677</v>
      </c>
      <c r="H138" s="370" t="s">
        <v>3641</v>
      </c>
      <c r="I138" s="360" t="s">
        <v>5724</v>
      </c>
      <c r="J138" s="360" t="s">
        <v>1561</v>
      </c>
      <c r="K138" s="370" t="s">
        <v>350</v>
      </c>
      <c r="L138" s="370" t="s">
        <v>605</v>
      </c>
      <c r="M138" s="370" t="s">
        <v>5725</v>
      </c>
      <c r="N138" s="370" t="s">
        <v>5726</v>
      </c>
      <c r="O138" s="305" t="s">
        <v>241</v>
      </c>
      <c r="P138" s="370" t="s">
        <v>4788</v>
      </c>
      <c r="Q138" s="168" t="s">
        <v>5727</v>
      </c>
      <c r="R138" s="224"/>
      <c r="S138" s="168" t="s">
        <v>3865</v>
      </c>
      <c r="T138" s="224"/>
      <c r="U138" s="168" t="s">
        <v>142</v>
      </c>
      <c r="V138" s="168" t="s">
        <v>5728</v>
      </c>
      <c r="W138" s="92"/>
      <c r="X138" s="668" t="s">
        <v>4865</v>
      </c>
      <c r="Y138" s="199" t="s">
        <v>5336</v>
      </c>
      <c r="Z138" s="116" t="s">
        <v>412</v>
      </c>
      <c r="AA138" s="361" t="s">
        <v>3996</v>
      </c>
      <c r="AB138" s="361" t="s">
        <v>3735</v>
      </c>
      <c r="AC138" s="352" t="s">
        <v>4653</v>
      </c>
      <c r="AD138" s="282"/>
      <c r="AE138" s="307" t="s">
        <v>5729</v>
      </c>
      <c r="AF138" s="352" t="s">
        <v>5730</v>
      </c>
      <c r="AG138" s="282"/>
      <c r="AH138" s="282"/>
      <c r="AI138" s="117"/>
      <c r="AJ138" s="282"/>
      <c r="AK138" s="92"/>
      <c r="AL138" s="467" t="s">
        <v>2195</v>
      </c>
      <c r="AM138" s="467" t="s">
        <v>1638</v>
      </c>
      <c r="AN138" s="170" t="s">
        <v>5731</v>
      </c>
      <c r="AO138" s="170" t="s">
        <v>829</v>
      </c>
      <c r="AP138" s="170"/>
      <c r="AQ138" s="170"/>
      <c r="AR138" s="170" t="s">
        <v>5732</v>
      </c>
      <c r="AS138" s="273"/>
      <c r="AT138" s="467" t="s">
        <v>4244</v>
      </c>
      <c r="AU138" s="467" t="s">
        <v>3223</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3700</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2128</v>
      </c>
      <c r="CK138" s="137"/>
      <c r="CL138" s="137"/>
      <c r="CM138" s="137"/>
      <c r="CN138" s="600"/>
      <c r="CO138" s="277"/>
      <c r="CP138" s="277"/>
      <c r="CQ138" s="277"/>
      <c r="CR138" s="277"/>
      <c r="CS138" s="101"/>
      <c r="CT138" s="317" t="s">
        <v>3916</v>
      </c>
      <c r="CU138" s="317" t="s">
        <v>5744</v>
      </c>
      <c r="CV138" s="669" t="s">
        <v>4097</v>
      </c>
      <c r="CW138" s="141" t="s">
        <v>4298</v>
      </c>
      <c r="CX138" s="317" t="s">
        <v>3402</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3434</v>
      </c>
      <c r="G140" s="103" t="s">
        <v>4855</v>
      </c>
      <c r="H140" s="224"/>
      <c r="I140" s="168" t="s">
        <v>5759</v>
      </c>
      <c r="J140" s="168" t="s">
        <v>4163</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5761</v>
      </c>
      <c r="CH140" s="277"/>
      <c r="CI140" s="314" t="s">
        <v>3746</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3607</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3338</v>
      </c>
      <c r="AA141" s="93" t="s">
        <v>3255</v>
      </c>
      <c r="AB141" s="93" t="s">
        <v>3424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3621</v>
      </c>
      <c r="BE141" s="93" t="s">
        <v>5792</v>
      </c>
      <c r="BF141" s="93" t="s">
        <v>5793</v>
      </c>
      <c r="BG141" s="93" t="s">
        <v>5794</v>
      </c>
      <c r="BH141" s="93" t="s">
        <v>5795</v>
      </c>
      <c r="BI141" s="98"/>
      <c r="BJ141" s="98"/>
      <c r="BK141" s="93" t="s">
        <v>452</v>
      </c>
      <c r="BL141" s="93" t="s">
        <v>5796</v>
      </c>
      <c r="BM141" s="93" t="s">
        <v>4151</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4897</v>
      </c>
      <c r="CK141" s="93" t="s">
        <v>5807</v>
      </c>
      <c r="CL141" s="93" t="s">
        <v>3672</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4051</v>
      </c>
      <c r="CZ141" s="93" t="s">
        <v>5814</v>
      </c>
      <c r="DA141" s="93" t="s">
        <v>5815</v>
      </c>
      <c r="DB141" s="93" t="s">
        <v>5816</v>
      </c>
      <c r="DC141" s="93" t="s">
        <v>4013</v>
      </c>
      <c r="DD141" s="93" t="s">
        <v>2171</v>
      </c>
      <c r="DE141" s="93" t="s">
        <v>5817</v>
      </c>
      <c r="DF141" s="266"/>
      <c r="DG141" s="93" t="s">
        <v>3715</v>
      </c>
      <c r="DH141" s="98"/>
      <c r="DI141" s="93" t="s">
        <v>2655</v>
      </c>
      <c r="DJ141" s="93" t="s">
        <v>2099</v>
      </c>
      <c r="DK141" s="93" t="s">
        <v>3271</v>
      </c>
      <c r="DL141" s="93" t="s">
        <v>2372</v>
      </c>
      <c r="DM141" s="93" t="s">
        <v>3963</v>
      </c>
      <c r="DN141" s="93" t="s">
        <v>5818</v>
      </c>
      <c r="DO141" s="93" t="s">
        <v>199</v>
      </c>
      <c r="DP141" s="93" t="s">
        <v>5819</v>
      </c>
      <c r="DQ141" s="93" t="s">
        <v>3002</v>
      </c>
      <c r="DR141" s="93" t="s">
        <v>4672</v>
      </c>
      <c r="DS141" s="93" t="s">
        <v>5820</v>
      </c>
      <c r="DT141" s="93" t="s">
        <v>5821</v>
      </c>
      <c r="DU141" s="93" t="s">
        <v>1193</v>
      </c>
      <c r="DV141" s="93" t="s">
        <v>3736</v>
      </c>
      <c r="DW141" s="93" t="s">
        <v>5822</v>
      </c>
      <c r="DX141" s="93" t="s">
        <v>3151</v>
      </c>
      <c r="DY141" s="93" t="s">
        <v>2529</v>
      </c>
      <c r="DZ141" s="93" t="s">
        <v>5139</v>
      </c>
      <c r="EA141" s="93" t="s">
        <v>2303</v>
      </c>
      <c r="EB141" s="672" t="s">
        <v>4342</v>
      </c>
    </row>
    <row r="142">
      <c r="A142" s="673" t="s">
        <v>5823</v>
      </c>
      <c r="B142" s="103" t="s">
        <v>5824</v>
      </c>
      <c r="C142" s="104" t="s">
        <v>1413</v>
      </c>
      <c r="D142" s="105" t="s">
        <v>1413</v>
      </c>
      <c r="E142" s="106" t="s">
        <v>1413</v>
      </c>
      <c r="F142" s="107" t="s">
        <v>5648</v>
      </c>
      <c r="G142" s="103" t="s">
        <v>4841</v>
      </c>
      <c r="H142" s="305"/>
      <c r="I142" s="110" t="s">
        <v>5825</v>
      </c>
      <c r="J142" s="112" t="s">
        <v>4595</v>
      </c>
      <c r="K142" s="112" t="s">
        <v>5826</v>
      </c>
      <c r="L142" s="112" t="s">
        <v>2020</v>
      </c>
      <c r="M142" s="598"/>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4449</v>
      </c>
      <c r="BF142" s="491"/>
      <c r="BG142" s="175"/>
      <c r="BH142" s="127" t="s">
        <v>2923</v>
      </c>
      <c r="BI142" s="338" t="s">
        <v>5835</v>
      </c>
      <c r="BJ142" s="491"/>
      <c r="BK142" s="491"/>
      <c r="BL142" s="175"/>
      <c r="BM142" s="175"/>
      <c r="BN142" s="491"/>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4102</v>
      </c>
      <c r="CH142" s="137" t="s">
        <v>3178</v>
      </c>
      <c r="CI142" s="137" t="s">
        <v>5839</v>
      </c>
      <c r="CJ142" s="137"/>
      <c r="CK142" s="137" t="s">
        <v>5840</v>
      </c>
      <c r="CL142" s="136" t="s">
        <v>3729</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4841</v>
      </c>
      <c r="H145" s="93"/>
      <c r="I145" s="88" t="s">
        <v>5855</v>
      </c>
      <c r="J145" s="88" t="s">
        <v>1575</v>
      </c>
      <c r="K145" s="88" t="s">
        <v>1959</v>
      </c>
      <c r="L145" s="88" t="s">
        <v>5856</v>
      </c>
      <c r="M145" s="93" t="s">
        <v>5857</v>
      </c>
      <c r="N145" s="93" t="s">
        <v>3318</v>
      </c>
      <c r="O145" s="93" t="s">
        <v>5640</v>
      </c>
      <c r="P145" s="93" t="s">
        <v>3932</v>
      </c>
      <c r="Q145" s="98"/>
      <c r="R145" s="98"/>
      <c r="S145" s="98"/>
      <c r="T145" s="98"/>
      <c r="U145" s="98"/>
      <c r="V145" s="98"/>
      <c r="W145" s="92"/>
      <c r="X145" s="93" t="s">
        <v>5858</v>
      </c>
      <c r="Y145" s="98"/>
      <c r="Z145" s="93" t="s">
        <v>672</v>
      </c>
      <c r="AA145" s="93" t="s">
        <v>5859</v>
      </c>
      <c r="AB145" s="88" t="s">
        <v>5003</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4684</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4153</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3099</v>
      </c>
      <c r="H149" s="298"/>
      <c r="I149" s="298" t="s">
        <v>2675</v>
      </c>
      <c r="J149" s="298" t="s">
        <v>3274</v>
      </c>
      <c r="K149" s="298" t="s">
        <v>5225</v>
      </c>
      <c r="L149" s="100" t="s">
        <v>3980</v>
      </c>
      <c r="M149" s="100" t="s">
        <v>5893</v>
      </c>
      <c r="N149" s="100" t="s">
        <v>5580</v>
      </c>
      <c r="O149" s="100"/>
      <c r="P149" s="100" t="s">
        <v>2972</v>
      </c>
      <c r="Q149" s="98"/>
      <c r="R149" s="98"/>
      <c r="S149" s="98"/>
      <c r="T149" s="98"/>
      <c r="U149" s="98"/>
      <c r="V149" s="98"/>
      <c r="W149" s="92"/>
      <c r="X149" s="100"/>
      <c r="Y149" s="100"/>
      <c r="Z149" s="100" t="s">
        <v>4935</v>
      </c>
      <c r="AA149" s="292"/>
      <c r="AB149" s="100" t="s">
        <v>4169</v>
      </c>
      <c r="AC149" s="100"/>
      <c r="AD149" s="98"/>
      <c r="AE149" s="100" t="s">
        <v>5894</v>
      </c>
      <c r="AF149" s="100" t="s">
        <v>4898</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3410</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4220</v>
      </c>
      <c r="H151" s="98"/>
      <c r="I151" s="93" t="s">
        <v>1836</v>
      </c>
      <c r="J151" s="93" t="s">
        <v>2542</v>
      </c>
      <c r="K151" s="93" t="s">
        <v>2223</v>
      </c>
      <c r="L151" s="93" t="s">
        <v>2612</v>
      </c>
      <c r="M151" s="93" t="s">
        <v>5907</v>
      </c>
      <c r="N151" s="93" t="s">
        <v>5908</v>
      </c>
      <c r="O151" s="93" t="s">
        <v>5909</v>
      </c>
      <c r="P151" s="93" t="s">
        <v>3993</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4091</v>
      </c>
      <c r="CW151" s="93" t="s">
        <v>4079</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3522</v>
      </c>
      <c r="H152" s="168" t="s">
        <v>5919</v>
      </c>
      <c r="I152" s="168" t="s">
        <v>4719</v>
      </c>
      <c r="J152" s="168" t="s">
        <v>2347</v>
      </c>
      <c r="K152" s="168" t="s">
        <v>1425</v>
      </c>
      <c r="L152" s="168" t="s">
        <v>3934</v>
      </c>
      <c r="M152" s="168" t="s">
        <v>3917</v>
      </c>
      <c r="N152" s="168" t="s">
        <v>5006</v>
      </c>
      <c r="O152" s="224"/>
      <c r="P152" s="224"/>
      <c r="Q152" s="224"/>
      <c r="R152" s="224"/>
      <c r="S152" s="224"/>
      <c r="T152" s="224"/>
      <c r="U152" s="224"/>
      <c r="V152" s="224"/>
      <c r="W152" s="92"/>
      <c r="X152" s="115" t="str">
        <f>HYPERLINK("https://www.youtube.com/watch?v=F9HuyJ73joE","56.96")</f>
        <v>56.96</v>
      </c>
      <c r="Y152" s="200" t="s">
        <v>3859</v>
      </c>
      <c r="Z152" s="200" t="s">
        <v>5920</v>
      </c>
      <c r="AA152" s="200" t="s">
        <v>2626</v>
      </c>
      <c r="AB152" s="200" t="s">
        <v>5921</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4135</v>
      </c>
      <c r="H153" s="93" t="s">
        <v>3300</v>
      </c>
      <c r="I153" s="98"/>
      <c r="J153" s="93" t="s">
        <v>5283</v>
      </c>
      <c r="K153" s="93" t="s">
        <v>3824</v>
      </c>
      <c r="L153" s="93" t="s">
        <v>4994</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4135</v>
      </c>
      <c r="H154" s="168" t="s">
        <v>1833</v>
      </c>
      <c r="I154" s="168" t="s">
        <v>2236</v>
      </c>
      <c r="J154" s="224"/>
      <c r="K154" s="168" t="s">
        <v>4254</v>
      </c>
      <c r="L154" s="224"/>
      <c r="M154" s="224"/>
      <c r="N154" s="224"/>
      <c r="O154" s="168" t="s">
        <v>5933</v>
      </c>
      <c r="P154" s="168" t="s">
        <v>2044</v>
      </c>
      <c r="Q154" s="224"/>
      <c r="R154" s="224"/>
      <c r="S154" s="224"/>
      <c r="T154" s="224"/>
      <c r="U154" s="224"/>
      <c r="V154" s="224"/>
      <c r="W154" s="92"/>
      <c r="X154" s="200" t="s">
        <v>3225</v>
      </c>
      <c r="Y154" s="282"/>
      <c r="Z154" s="200" t="s">
        <v>4588</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4094</v>
      </c>
      <c r="I160" s="598" t="s">
        <v>5965</v>
      </c>
      <c r="J160" s="598" t="s">
        <v>446</v>
      </c>
      <c r="K160" s="598" t="s">
        <v>4192</v>
      </c>
      <c r="L160" s="598" t="s">
        <v>5966</v>
      </c>
      <c r="M160" s="598" t="s">
        <v>5967</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5968</v>
      </c>
      <c r="CN160" s="600"/>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2223</v>
      </c>
      <c r="L163" s="93" t="s">
        <v>5981</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4769</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4708</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4956</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4935</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3537</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4524</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3752</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2458</v>
      </c>
      <c r="CV167" s="690" t="s">
        <v>5047</v>
      </c>
      <c r="CW167" s="691"/>
      <c r="CX167" s="691"/>
      <c r="CY167" s="691"/>
      <c r="CZ167" s="690" t="s">
        <v>6025</v>
      </c>
      <c r="DA167" s="693" t="s">
        <v>6026</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4135</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2581</v>
      </c>
      <c r="AA168" s="352" t="s">
        <v>6030</v>
      </c>
      <c r="AB168" s="352" t="s">
        <v>3735</v>
      </c>
      <c r="AC168" s="352"/>
      <c r="AD168" s="700"/>
      <c r="AE168" s="352"/>
      <c r="AF168" s="352" t="s">
        <v>4605</v>
      </c>
      <c r="AG168" s="700"/>
      <c r="AH168" s="700"/>
      <c r="AI168" s="352"/>
      <c r="AJ168" s="700"/>
      <c r="AK168" s="699"/>
      <c r="AL168" s="467"/>
      <c r="AM168" s="467"/>
      <c r="AN168" s="701"/>
      <c r="AO168" s="701"/>
      <c r="AP168" s="702"/>
      <c r="AQ168" s="702"/>
      <c r="AR168" s="701"/>
      <c r="AS168" s="701"/>
      <c r="AT168" s="467" t="s">
        <v>4151</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4971</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2248</v>
      </c>
      <c r="G171" s="82" t="s">
        <v>4855</v>
      </c>
      <c r="H171" s="93" t="s">
        <v>2578</v>
      </c>
      <c r="I171" s="98"/>
      <c r="J171" s="93" t="s">
        <v>6046</v>
      </c>
      <c r="K171" s="88" t="s">
        <v>4794</v>
      </c>
      <c r="L171" s="161" t="s">
        <v>6047</v>
      </c>
      <c r="M171" s="98"/>
      <c r="N171" s="98"/>
      <c r="O171" s="98"/>
      <c r="P171" s="93" t="s">
        <v>6048</v>
      </c>
      <c r="Q171" s="98"/>
      <c r="R171" s="98"/>
      <c r="S171" s="98"/>
      <c r="T171" s="98"/>
      <c r="U171" s="98"/>
      <c r="V171" s="98"/>
      <c r="W171" s="92"/>
      <c r="X171" s="88" t="s">
        <v>6049</v>
      </c>
      <c r="Y171" s="93" t="s">
        <v>1765</v>
      </c>
      <c r="Z171" s="88" t="s">
        <v>5120</v>
      </c>
      <c r="AA171" s="98"/>
      <c r="AB171" s="93" t="s">
        <v>4861</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4777</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4675</v>
      </c>
      <c r="CA171" s="98"/>
      <c r="CB171" s="98"/>
      <c r="CC171" s="98"/>
      <c r="CD171" s="98"/>
      <c r="CE171" s="266"/>
      <c r="CF171" s="88" t="s">
        <v>6053</v>
      </c>
      <c r="CG171" s="93" t="s">
        <v>6054</v>
      </c>
      <c r="CH171" s="98"/>
      <c r="CI171" s="98"/>
      <c r="CJ171" s="98"/>
      <c r="CK171" s="98"/>
      <c r="CL171" s="88" t="s">
        <v>4958</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4924</v>
      </c>
      <c r="K172" s="168" t="s">
        <v>2341</v>
      </c>
      <c r="L172" s="168" t="s">
        <v>3868</v>
      </c>
      <c r="M172" s="168" t="s">
        <v>6061</v>
      </c>
      <c r="N172" s="224"/>
      <c r="O172" s="168" t="s">
        <v>1992</v>
      </c>
      <c r="P172" s="168" t="s">
        <v>6062</v>
      </c>
      <c r="Q172" s="224"/>
      <c r="R172" s="224"/>
      <c r="S172" s="224"/>
      <c r="T172" s="224"/>
      <c r="U172" s="224"/>
      <c r="V172" s="224"/>
      <c r="W172" s="92"/>
      <c r="X172" s="200" t="s">
        <v>4375</v>
      </c>
      <c r="Y172" s="200" t="s">
        <v>6063</v>
      </c>
      <c r="Z172" s="200" t="s">
        <v>4407</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4802</v>
      </c>
      <c r="CG172" s="179" t="s">
        <v>2507</v>
      </c>
      <c r="CH172" s="179" t="s">
        <v>2569</v>
      </c>
      <c r="CI172" s="179" t="s">
        <v>6074</v>
      </c>
      <c r="CJ172" s="179" t="s">
        <v>6075</v>
      </c>
      <c r="CK172" s="277"/>
      <c r="CL172" s="179" t="s">
        <v>3545</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4940</v>
      </c>
      <c r="H173" s="93" t="s">
        <v>6080</v>
      </c>
      <c r="I173" s="93" t="s">
        <v>6081</v>
      </c>
      <c r="J173" s="93" t="s">
        <v>613</v>
      </c>
      <c r="K173" s="93" t="s">
        <v>4254</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3628</v>
      </c>
      <c r="BD173" s="93" t="s">
        <v>6090</v>
      </c>
      <c r="BE173" s="93" t="s">
        <v>6091</v>
      </c>
      <c r="BF173" s="93" t="s">
        <v>6092</v>
      </c>
      <c r="BG173" s="93" t="s">
        <v>4946</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4138</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4903</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3695</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4926</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4657</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4192</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4589</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4865</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4544</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4933</v>
      </c>
      <c r="AM185" s="93" t="s">
        <v>1368</v>
      </c>
      <c r="AN185" s="93" t="s">
        <v>6169</v>
      </c>
      <c r="AO185" s="93" t="s">
        <v>6170</v>
      </c>
      <c r="AP185" s="93" t="s">
        <v>6171</v>
      </c>
      <c r="AQ185" s="93"/>
      <c r="AR185" s="93" t="s">
        <v>4625</v>
      </c>
      <c r="AS185" s="93" t="s">
        <v>6172</v>
      </c>
      <c r="AT185" s="93" t="s">
        <v>3686</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4335</v>
      </c>
      <c r="P188" s="168" t="s">
        <v>4588</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4372</v>
      </c>
      <c r="BI190" s="175"/>
      <c r="BJ190" s="175"/>
      <c r="BK190" s="175"/>
      <c r="BL190" s="175"/>
      <c r="BM190" s="175"/>
      <c r="BN190" s="175"/>
      <c r="BO190" s="175"/>
      <c r="BP190" s="285"/>
      <c r="BQ190" s="287"/>
      <c r="BR190" s="177" t="s">
        <v>4780</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2009</v>
      </c>
      <c r="C195" s="83" t="s">
        <v>1413</v>
      </c>
      <c r="D195" s="84" t="s">
        <v>1413</v>
      </c>
      <c r="E195" s="85" t="s">
        <v>1413</v>
      </c>
      <c r="F195" s="86" t="s">
        <v>219</v>
      </c>
      <c r="G195" s="82" t="s">
        <v>219</v>
      </c>
      <c r="H195" s="88" t="s">
        <v>6233</v>
      </c>
      <c r="I195" s="98"/>
      <c r="J195" s="98"/>
      <c r="K195" s="88" t="s">
        <v>4237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4636</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4514</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4794</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4855</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4135</v>
      </c>
      <c r="G4" s="767" t="s">
        <v>4956</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4374</v>
      </c>
      <c r="AA4" s="784" t="s">
        <v>2244</v>
      </c>
      <c r="AB4" s="784" t="s">
        <v>790</v>
      </c>
      <c r="AC4" s="785" t="s">
        <v>2799</v>
      </c>
      <c r="AD4" s="785" t="s">
        <v>1214</v>
      </c>
      <c r="AE4" s="784" t="s">
        <v>5497</v>
      </c>
      <c r="AF4" s="786"/>
      <c r="AG4" s="785" t="s">
        <v>6309</v>
      </c>
      <c r="AH4" s="787"/>
      <c r="AI4" s="776"/>
      <c r="AJ4" s="788"/>
      <c r="AK4" s="788" t="s">
        <v>3843</v>
      </c>
      <c r="AL4" s="789"/>
      <c r="AM4" s="788" t="s">
        <v>2069</v>
      </c>
      <c r="AN4" s="788"/>
      <c r="AO4" s="790" t="s">
        <v>2342</v>
      </c>
      <c r="AP4" s="789"/>
      <c r="AQ4" s="791" t="s">
        <v>6310</v>
      </c>
      <c r="AR4" s="788" t="s">
        <v>6311</v>
      </c>
      <c r="AS4" s="788" t="s">
        <v>6312</v>
      </c>
      <c r="AT4" s="789"/>
      <c r="AU4" s="789"/>
      <c r="AV4" s="789"/>
      <c r="AW4" s="792" t="s">
        <v>5946</v>
      </c>
      <c r="AX4" s="793" t="s">
        <v>3619</v>
      </c>
      <c r="AY4" s="788" t="s">
        <v>6313</v>
      </c>
      <c r="AZ4" s="776"/>
      <c r="BA4" s="794"/>
      <c r="BB4" s="795" t="s">
        <v>6314</v>
      </c>
      <c r="BC4" s="796" t="s">
        <v>6315</v>
      </c>
      <c r="BD4" s="794"/>
      <c r="BE4" s="797" t="s">
        <v>6316</v>
      </c>
      <c r="BF4" s="776"/>
      <c r="BG4" s="798" t="s">
        <v>6317</v>
      </c>
      <c r="BH4" s="799" t="s">
        <v>3181</v>
      </c>
      <c r="BI4" s="799"/>
      <c r="BJ4" s="799"/>
      <c r="BK4" s="800" t="s">
        <v>1905</v>
      </c>
      <c r="BL4" s="801"/>
      <c r="BM4" s="799" t="s">
        <v>6318</v>
      </c>
      <c r="BN4" s="776"/>
      <c r="BO4" s="802" t="s">
        <v>6319</v>
      </c>
      <c r="BP4" s="803"/>
      <c r="BQ4" s="803"/>
      <c r="BR4" s="804" t="s">
        <v>6320</v>
      </c>
      <c r="BS4" s="803"/>
      <c r="BT4" s="805" t="s">
        <v>1704</v>
      </c>
      <c r="BU4" s="803"/>
      <c r="BV4" s="806" t="s">
        <v>3693</v>
      </c>
      <c r="BW4" s="805" t="s">
        <v>5901</v>
      </c>
      <c r="BX4" s="776"/>
      <c r="BY4" s="807" t="s">
        <v>2669</v>
      </c>
      <c r="BZ4" s="808" t="s">
        <v>4047</v>
      </c>
      <c r="CA4" s="809"/>
      <c r="CB4" s="809"/>
      <c r="CC4" s="809"/>
      <c r="CD4" s="808" t="s">
        <v>1395</v>
      </c>
      <c r="CE4" s="810" t="s">
        <v>4599</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3540</v>
      </c>
      <c r="Y5" s="819" t="s">
        <v>6327</v>
      </c>
      <c r="Z5" s="819" t="s">
        <v>2544</v>
      </c>
      <c r="AA5" s="820" t="s">
        <v>6328</v>
      </c>
      <c r="AB5" s="782" t="s">
        <v>119</v>
      </c>
      <c r="AC5" s="820" t="s">
        <v>1315</v>
      </c>
      <c r="AD5" s="785" t="s">
        <v>1214</v>
      </c>
      <c r="AE5" s="785" t="s">
        <v>5147</v>
      </c>
      <c r="AF5" s="821"/>
      <c r="AG5" s="822" t="s">
        <v>6329</v>
      </c>
      <c r="AH5" s="787"/>
      <c r="AI5" s="823"/>
      <c r="AJ5" s="788"/>
      <c r="AK5" s="788" t="s">
        <v>6330</v>
      </c>
      <c r="AL5" s="789"/>
      <c r="AM5" s="824" t="s">
        <v>3545</v>
      </c>
      <c r="AN5" s="825" t="s">
        <v>3189</v>
      </c>
      <c r="AO5" s="788" t="s">
        <v>6331</v>
      </c>
      <c r="AP5" s="824" t="s">
        <v>2453</v>
      </c>
      <c r="AQ5" s="826" t="s">
        <v>6332</v>
      </c>
      <c r="AR5" s="788" t="s">
        <v>6333</v>
      </c>
      <c r="AS5" s="789"/>
      <c r="AT5" s="790" t="s">
        <v>4772</v>
      </c>
      <c r="AU5" s="789"/>
      <c r="AV5" s="789"/>
      <c r="AW5" s="793" t="s">
        <v>4897</v>
      </c>
      <c r="AX5" s="825" t="s">
        <v>1299</v>
      </c>
      <c r="AY5" s="789"/>
      <c r="AZ5" s="776"/>
      <c r="BA5" s="827"/>
      <c r="BB5" s="797" t="s">
        <v>6334</v>
      </c>
      <c r="BC5" s="797" t="s">
        <v>6335</v>
      </c>
      <c r="BD5" s="827"/>
      <c r="BE5" s="828" t="s">
        <v>6336</v>
      </c>
      <c r="BF5" s="776"/>
      <c r="BG5" s="829" t="s">
        <v>6337</v>
      </c>
      <c r="BH5" s="798" t="s">
        <v>1301</v>
      </c>
      <c r="BI5" s="830" t="s">
        <v>5679</v>
      </c>
      <c r="BJ5" s="831"/>
      <c r="BK5" s="798" t="s">
        <v>6338</v>
      </c>
      <c r="BL5" s="801"/>
      <c r="BM5" s="799" t="s">
        <v>6339</v>
      </c>
      <c r="BN5" s="815"/>
      <c r="BO5" s="832" t="s">
        <v>4116</v>
      </c>
      <c r="BP5" s="804"/>
      <c r="BQ5" s="833" t="s">
        <v>1765</v>
      </c>
      <c r="BR5" s="804" t="s">
        <v>6340</v>
      </c>
      <c r="BS5" s="803"/>
      <c r="BT5" s="833" t="s">
        <v>6341</v>
      </c>
      <c r="BU5" s="803"/>
      <c r="BV5" s="804" t="s">
        <v>6342</v>
      </c>
      <c r="BW5" s="804" t="s">
        <v>2121</v>
      </c>
      <c r="BX5" s="815"/>
      <c r="BY5" s="834" t="s">
        <v>299</v>
      </c>
      <c r="BZ5" s="808" t="s">
        <v>3184</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2009</v>
      </c>
      <c r="H6" s="774" t="s">
        <v>2861</v>
      </c>
      <c r="I6" s="772"/>
      <c r="J6" s="813" t="s">
        <v>1885</v>
      </c>
      <c r="K6" s="836" t="s">
        <v>6345</v>
      </c>
      <c r="L6" s="813" t="s">
        <v>6346</v>
      </c>
      <c r="M6" s="837" t="s">
        <v>4768</v>
      </c>
      <c r="N6" s="772"/>
      <c r="O6" s="838" t="s">
        <v>6347</v>
      </c>
      <c r="P6" s="815"/>
      <c r="Q6" s="817" t="s">
        <v>6348</v>
      </c>
      <c r="R6" s="781" t="s">
        <v>1568</v>
      </c>
      <c r="S6" s="777" t="s">
        <v>4984</v>
      </c>
      <c r="T6" s="777" t="s">
        <v>5510</v>
      </c>
      <c r="U6" s="777"/>
      <c r="V6" s="785" t="s">
        <v>6349</v>
      </c>
      <c r="W6" s="815"/>
      <c r="X6" s="781" t="s">
        <v>2335</v>
      </c>
      <c r="Y6" s="785" t="s">
        <v>6350</v>
      </c>
      <c r="Z6" s="785" t="s">
        <v>6351</v>
      </c>
      <c r="AA6" s="783" t="s">
        <v>4894</v>
      </c>
      <c r="AB6" s="783" t="s">
        <v>6352</v>
      </c>
      <c r="AC6" s="782" t="s">
        <v>2678</v>
      </c>
      <c r="AD6" s="819" t="s">
        <v>4141</v>
      </c>
      <c r="AE6" s="819" t="s">
        <v>2512</v>
      </c>
      <c r="AF6" s="786"/>
      <c r="AG6" s="783" t="s">
        <v>6353</v>
      </c>
      <c r="AH6" s="787"/>
      <c r="AI6" s="823"/>
      <c r="AJ6" s="788"/>
      <c r="AK6" s="789"/>
      <c r="AL6" s="789"/>
      <c r="AM6" s="825" t="s">
        <v>1205</v>
      </c>
      <c r="AN6" s="788"/>
      <c r="AO6" s="789"/>
      <c r="AP6" s="790" t="s">
        <v>835</v>
      </c>
      <c r="AQ6" s="789"/>
      <c r="AR6" s="789"/>
      <c r="AS6" s="789"/>
      <c r="AT6" s="824"/>
      <c r="AU6" s="789"/>
      <c r="AV6" s="789"/>
      <c r="AW6" s="793" t="s">
        <v>4605</v>
      </c>
      <c r="AX6" s="790" t="s">
        <v>1593</v>
      </c>
      <c r="AY6" s="790" t="s">
        <v>2156</v>
      </c>
      <c r="AZ6" s="776"/>
      <c r="BA6" s="790" t="s">
        <v>6354</v>
      </c>
      <c r="BB6" s="796" t="s">
        <v>6355</v>
      </c>
      <c r="BC6" s="839" t="s">
        <v>291</v>
      </c>
      <c r="BD6" s="795" t="s">
        <v>4145</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3392</v>
      </c>
      <c r="BZ6" s="846" t="s">
        <v>6363</v>
      </c>
      <c r="CA6" s="847" t="s">
        <v>6364</v>
      </c>
      <c r="CB6" s="835"/>
      <c r="CC6" s="848"/>
      <c r="CD6" s="847" t="s">
        <v>6365</v>
      </c>
      <c r="CE6" s="849" t="s">
        <v>6366</v>
      </c>
      <c r="CF6" s="847" t="s">
        <v>6367</v>
      </c>
      <c r="CG6" s="834" t="s">
        <v>5020</v>
      </c>
      <c r="CH6" s="807" t="s">
        <v>6368</v>
      </c>
      <c r="CI6" s="809"/>
      <c r="CJ6" s="847" t="s">
        <v>2166</v>
      </c>
      <c r="CK6" s="847" t="s">
        <v>3726</v>
      </c>
    </row>
    <row r="7">
      <c r="A7" s="850" t="s">
        <v>1643</v>
      </c>
      <c r="B7" s="767" t="s">
        <v>6369</v>
      </c>
      <c r="C7" s="768" t="s">
        <v>827</v>
      </c>
      <c r="D7" s="769" t="s">
        <v>332</v>
      </c>
      <c r="E7" s="770" t="s">
        <v>1132</v>
      </c>
      <c r="F7" s="771" t="s">
        <v>2754</v>
      </c>
      <c r="G7" s="767" t="s">
        <v>6370</v>
      </c>
      <c r="H7" s="812" t="s">
        <v>1291</v>
      </c>
      <c r="I7" s="837" t="s">
        <v>6371</v>
      </c>
      <c r="J7" s="772"/>
      <c r="K7" s="773" t="s">
        <v>6372</v>
      </c>
      <c r="L7" s="837" t="s">
        <v>6373</v>
      </c>
      <c r="M7" s="772"/>
      <c r="N7" s="774" t="s">
        <v>6374</v>
      </c>
      <c r="O7" s="772"/>
      <c r="P7" s="815"/>
      <c r="Q7" s="777" t="s">
        <v>4001</v>
      </c>
      <c r="R7" s="817" t="s">
        <v>3045</v>
      </c>
      <c r="S7" s="818" t="s">
        <v>5691</v>
      </c>
      <c r="T7" s="851" t="s">
        <v>5242</v>
      </c>
      <c r="U7" s="851" t="s">
        <v>6375</v>
      </c>
      <c r="V7" s="816" t="s">
        <v>6376</v>
      </c>
      <c r="W7" s="815"/>
      <c r="X7" s="820" t="s">
        <v>839</v>
      </c>
      <c r="Y7" s="820" t="s">
        <v>6377</v>
      </c>
      <c r="Z7" s="819" t="s">
        <v>1666</v>
      </c>
      <c r="AA7" s="852" t="s">
        <v>4751</v>
      </c>
      <c r="AB7" s="782" t="s">
        <v>4807</v>
      </c>
      <c r="AC7" s="782" t="s">
        <v>4961</v>
      </c>
      <c r="AD7" s="820" t="s">
        <v>4812</v>
      </c>
      <c r="AE7" s="782" t="s">
        <v>6378</v>
      </c>
      <c r="AF7" s="782"/>
      <c r="AG7" s="853"/>
      <c r="AH7" s="854" t="s">
        <v>1673</v>
      </c>
      <c r="AI7" s="815"/>
      <c r="AJ7" s="788"/>
      <c r="AK7" s="788" t="s">
        <v>6379</v>
      </c>
      <c r="AL7" s="788" t="s">
        <v>5426</v>
      </c>
      <c r="AM7" s="788" t="s">
        <v>556</v>
      </c>
      <c r="AN7" s="793" t="s">
        <v>6380</v>
      </c>
      <c r="AO7" s="789"/>
      <c r="AP7" s="793" t="s">
        <v>6381</v>
      </c>
      <c r="AQ7" s="855" t="s">
        <v>4979</v>
      </c>
      <c r="AR7" s="788" t="s">
        <v>6382</v>
      </c>
      <c r="AS7" s="825" t="s">
        <v>6383</v>
      </c>
      <c r="AT7" s="824"/>
      <c r="AU7" s="788" t="s">
        <v>6384</v>
      </c>
      <c r="AV7" s="789"/>
      <c r="AW7" s="788" t="s">
        <v>469</v>
      </c>
      <c r="AX7" s="793" t="s">
        <v>6385</v>
      </c>
      <c r="AY7" s="825" t="s">
        <v>1990</v>
      </c>
      <c r="AZ7" s="776"/>
      <c r="BA7" s="840" t="s">
        <v>6386</v>
      </c>
      <c r="BB7" s="796" t="s">
        <v>6387</v>
      </c>
      <c r="BC7" s="856" t="s">
        <v>3200</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2598</v>
      </c>
      <c r="CA7" s="835"/>
      <c r="CB7" s="860" t="s">
        <v>2360</v>
      </c>
      <c r="CC7" s="860"/>
      <c r="CD7" s="808" t="s">
        <v>2772</v>
      </c>
      <c r="CE7" s="861" t="s">
        <v>6401</v>
      </c>
      <c r="CF7" s="861" t="s">
        <v>6402</v>
      </c>
      <c r="CG7" s="845" t="s">
        <v>6403</v>
      </c>
      <c r="CH7" s="847" t="s">
        <v>6404</v>
      </c>
      <c r="CI7" s="847" t="s">
        <v>3348</v>
      </c>
      <c r="CJ7" s="845" t="s">
        <v>4904</v>
      </c>
      <c r="CK7" s="835"/>
    </row>
    <row r="8">
      <c r="A8" s="862" t="s">
        <v>6405</v>
      </c>
      <c r="B8" s="863" t="s">
        <v>6406</v>
      </c>
      <c r="C8" s="768" t="s">
        <v>827</v>
      </c>
      <c r="D8" s="769" t="s">
        <v>1199</v>
      </c>
      <c r="E8" s="770" t="s">
        <v>913</v>
      </c>
      <c r="F8" s="771" t="s">
        <v>6231</v>
      </c>
      <c r="G8" s="767" t="s">
        <v>2812</v>
      </c>
      <c r="H8" s="864" t="s">
        <v>6407</v>
      </c>
      <c r="I8" s="812" t="s">
        <v>6408</v>
      </c>
      <c r="J8" s="864" t="s">
        <v>3302</v>
      </c>
      <c r="K8" s="812" t="s">
        <v>6409</v>
      </c>
      <c r="L8" s="865" t="s">
        <v>1885</v>
      </c>
      <c r="M8" s="813" t="s">
        <v>6410</v>
      </c>
      <c r="N8" s="812" t="s">
        <v>6411</v>
      </c>
      <c r="O8" s="812" t="s">
        <v>6412</v>
      </c>
      <c r="P8" s="815"/>
      <c r="Q8" s="781" t="s">
        <v>6413</v>
      </c>
      <c r="R8" s="781" t="s">
        <v>2084</v>
      </c>
      <c r="S8" s="779" t="s">
        <v>724</v>
      </c>
      <c r="T8" s="781" t="s">
        <v>5050</v>
      </c>
      <c r="U8" s="816" t="s">
        <v>6414</v>
      </c>
      <c r="V8" s="779" t="s">
        <v>6415</v>
      </c>
      <c r="W8" s="815"/>
      <c r="X8" s="784" t="s">
        <v>919</v>
      </c>
      <c r="Y8" s="783" t="s">
        <v>6416</v>
      </c>
      <c r="Z8" s="819" t="s">
        <v>6417</v>
      </c>
      <c r="AA8" s="819" t="s">
        <v>6418</v>
      </c>
      <c r="AB8" s="852" t="s">
        <v>4197</v>
      </c>
      <c r="AC8" s="819" t="s">
        <v>5571</v>
      </c>
      <c r="AD8" s="819" t="s">
        <v>128</v>
      </c>
      <c r="AE8" s="819" t="s">
        <v>6419</v>
      </c>
      <c r="AF8" s="786"/>
      <c r="AG8" s="822" t="s">
        <v>6420</v>
      </c>
      <c r="AH8" s="866" t="s">
        <v>6421</v>
      </c>
      <c r="AI8" s="815"/>
      <c r="AJ8" s="867"/>
      <c r="AK8" s="825" t="s">
        <v>829</v>
      </c>
      <c r="AL8" s="826" t="s">
        <v>6422</v>
      </c>
      <c r="AM8" s="793" t="s">
        <v>2181</v>
      </c>
      <c r="AN8" s="788" t="s">
        <v>4556</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3502</v>
      </c>
      <c r="BD8" s="869"/>
      <c r="BE8" s="796" t="s">
        <v>6435</v>
      </c>
      <c r="BF8" s="776"/>
      <c r="BG8" s="841" t="s">
        <v>6436</v>
      </c>
      <c r="BH8" s="870" t="s">
        <v>3201</v>
      </c>
      <c r="BI8" s="798" t="s">
        <v>606</v>
      </c>
      <c r="BJ8" s="799" t="s">
        <v>6437</v>
      </c>
      <c r="BK8" s="798" t="s">
        <v>6438</v>
      </c>
      <c r="BL8" s="798" t="s">
        <v>6439</v>
      </c>
      <c r="BM8" s="798" t="s">
        <v>6440</v>
      </c>
      <c r="BN8" s="815"/>
      <c r="BO8" s="805" t="s">
        <v>2453</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2196</v>
      </c>
      <c r="CI8" s="861" t="s">
        <v>6448</v>
      </c>
      <c r="CJ8" s="861" t="s">
        <v>3574</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3164</v>
      </c>
      <c r="AA9" s="820" t="s">
        <v>5418</v>
      </c>
      <c r="AB9" s="819" t="s">
        <v>4020</v>
      </c>
      <c r="AC9" s="820" t="s">
        <v>6457</v>
      </c>
      <c r="AD9" s="874" t="s">
        <v>2374</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3602</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4280</v>
      </c>
      <c r="CE9" s="809"/>
      <c r="CF9" s="845" t="s">
        <v>6474</v>
      </c>
      <c r="CG9" s="860" t="s">
        <v>2587</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2109</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3567</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3583</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3522</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2351</v>
      </c>
      <c r="AE11" s="783" t="s">
        <v>1247</v>
      </c>
      <c r="AF11" s="821"/>
      <c r="AG11" s="873" t="s">
        <v>6506</v>
      </c>
      <c r="AH11" s="787"/>
      <c r="AI11" s="815"/>
      <c r="AJ11" s="888"/>
      <c r="AK11" s="793" t="s">
        <v>6507</v>
      </c>
      <c r="AL11" s="789"/>
      <c r="AM11" s="889"/>
      <c r="AN11" s="889" t="s">
        <v>6508</v>
      </c>
      <c r="AO11" s="890" t="s">
        <v>3409</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3615</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4609</v>
      </c>
      <c r="BU11" s="803"/>
      <c r="BV11" s="844" t="s">
        <v>6522</v>
      </c>
      <c r="BW11" s="895" t="s">
        <v>6523</v>
      </c>
      <c r="BX11" s="823"/>
      <c r="BY11" s="860" t="s">
        <v>4293</v>
      </c>
      <c r="BZ11" s="809"/>
      <c r="CA11" s="896"/>
      <c r="CB11" s="847" t="s">
        <v>155</v>
      </c>
      <c r="CC11" s="897"/>
      <c r="CD11" s="860" t="s">
        <v>1104</v>
      </c>
      <c r="CE11" s="809"/>
      <c r="CF11" s="860" t="s">
        <v>6524</v>
      </c>
      <c r="CG11" s="809"/>
      <c r="CH11" s="845" t="s">
        <v>4697</v>
      </c>
      <c r="CI11" s="809"/>
      <c r="CJ11" s="835"/>
      <c r="CK11" s="835"/>
    </row>
    <row r="12">
      <c r="A12" s="766" t="s">
        <v>2328</v>
      </c>
      <c r="B12" s="767" t="s">
        <v>6525</v>
      </c>
      <c r="C12" s="768" t="s">
        <v>435</v>
      </c>
      <c r="D12" s="769" t="s">
        <v>827</v>
      </c>
      <c r="E12" s="770" t="s">
        <v>1132</v>
      </c>
      <c r="F12" s="771" t="s">
        <v>2093</v>
      </c>
      <c r="G12" s="767" t="s">
        <v>2093</v>
      </c>
      <c r="H12" s="812" t="s">
        <v>1205</v>
      </c>
      <c r="I12" s="812" t="s">
        <v>6526</v>
      </c>
      <c r="J12" s="864" t="s">
        <v>3302</v>
      </c>
      <c r="K12" s="812" t="s">
        <v>1887</v>
      </c>
      <c r="L12" s="772"/>
      <c r="M12" s="772"/>
      <c r="N12" s="772"/>
      <c r="O12" s="864" t="s">
        <v>6527</v>
      </c>
      <c r="P12" s="815"/>
      <c r="Q12" s="781" t="s">
        <v>6528</v>
      </c>
      <c r="R12" s="778"/>
      <c r="S12" s="816" t="s">
        <v>6529</v>
      </c>
      <c r="T12" s="781" t="s">
        <v>5131</v>
      </c>
      <c r="U12" s="781" t="s">
        <v>6530</v>
      </c>
      <c r="V12" s="781" t="s">
        <v>6531</v>
      </c>
      <c r="W12" s="815"/>
      <c r="X12" s="819" t="s">
        <v>2635</v>
      </c>
      <c r="Y12" s="784" t="s">
        <v>6532</v>
      </c>
      <c r="Z12" s="819" t="s">
        <v>6533</v>
      </c>
      <c r="AA12" s="819" t="s">
        <v>6418</v>
      </c>
      <c r="AB12" s="819" t="s">
        <v>6080</v>
      </c>
      <c r="AC12" s="819" t="s">
        <v>6534</v>
      </c>
      <c r="AD12" s="819" t="s">
        <v>1058</v>
      </c>
      <c r="AE12" s="819" t="s">
        <v>6535</v>
      </c>
      <c r="AF12" s="821"/>
      <c r="AG12" s="819" t="s">
        <v>6536</v>
      </c>
      <c r="AH12" s="787"/>
      <c r="AI12" s="815"/>
      <c r="AJ12" s="888"/>
      <c r="AK12" s="826" t="s">
        <v>2012</v>
      </c>
      <c r="AL12" s="789"/>
      <c r="AM12" s="793" t="s">
        <v>4075</v>
      </c>
      <c r="AN12" s="789"/>
      <c r="AO12" s="789"/>
      <c r="AP12" s="793" t="s">
        <v>3202</v>
      </c>
      <c r="AQ12" s="789"/>
      <c r="AR12" s="790" t="s">
        <v>6537</v>
      </c>
      <c r="AS12" s="793" t="s">
        <v>6538</v>
      </c>
      <c r="AT12" s="824"/>
      <c r="AU12" s="825" t="s">
        <v>6539</v>
      </c>
      <c r="AV12" s="789"/>
      <c r="AW12" s="793" t="s">
        <v>5305</v>
      </c>
      <c r="AX12" s="793" t="s">
        <v>4659</v>
      </c>
      <c r="AY12" s="793" t="s">
        <v>6540</v>
      </c>
      <c r="AZ12" s="776"/>
      <c r="BA12" s="796" t="s">
        <v>6541</v>
      </c>
      <c r="BB12" s="796" t="s">
        <v>6542</v>
      </c>
      <c r="BC12" s="796" t="s">
        <v>5199</v>
      </c>
      <c r="BD12" s="827"/>
      <c r="BE12" s="796" t="s">
        <v>6543</v>
      </c>
      <c r="BF12" s="776"/>
      <c r="BG12" s="798" t="s">
        <v>6544</v>
      </c>
      <c r="BH12" s="798" t="s">
        <v>5041</v>
      </c>
      <c r="BI12" s="798" t="s">
        <v>2166</v>
      </c>
      <c r="BJ12" s="898" t="s">
        <v>6545</v>
      </c>
      <c r="BK12" s="798" t="s">
        <v>149</v>
      </c>
      <c r="BL12" s="801"/>
      <c r="BM12" s="798" t="s">
        <v>6546</v>
      </c>
      <c r="BN12" s="815"/>
      <c r="BO12" s="803"/>
      <c r="BP12" s="844"/>
      <c r="BQ12" s="805" t="s">
        <v>2619</v>
      </c>
      <c r="BR12" s="805" t="s">
        <v>6547</v>
      </c>
      <c r="BS12" s="803"/>
      <c r="BT12" s="805" t="s">
        <v>1782</v>
      </c>
      <c r="BU12" s="803"/>
      <c r="BV12" s="805" t="s">
        <v>6548</v>
      </c>
      <c r="BW12" s="805" t="s">
        <v>5886</v>
      </c>
      <c r="BX12" s="815"/>
      <c r="BY12" s="834" t="s">
        <v>6331</v>
      </c>
      <c r="BZ12" s="834" t="s">
        <v>2639</v>
      </c>
      <c r="CA12" s="899" t="s">
        <v>6549</v>
      </c>
      <c r="CB12" s="835"/>
      <c r="CC12" s="835"/>
      <c r="CD12" s="845" t="s">
        <v>4280</v>
      </c>
      <c r="CE12" s="834" t="s">
        <v>6550</v>
      </c>
      <c r="CF12" s="834" t="s">
        <v>3589</v>
      </c>
      <c r="CG12" s="861" t="s">
        <v>6551</v>
      </c>
      <c r="CH12" s="809"/>
      <c r="CI12" s="845" t="s">
        <v>4652</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3300</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3271</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4543</v>
      </c>
      <c r="CG13" s="809"/>
      <c r="CH13" s="809"/>
      <c r="CI13" s="809"/>
      <c r="CJ13" s="835"/>
      <c r="CK13" s="835"/>
    </row>
    <row r="14">
      <c r="A14" s="766" t="s">
        <v>6572</v>
      </c>
      <c r="B14" s="767" t="s">
        <v>6573</v>
      </c>
      <c r="C14" s="768" t="s">
        <v>1413</v>
      </c>
      <c r="D14" s="769" t="s">
        <v>435</v>
      </c>
      <c r="E14" s="770" t="s">
        <v>435</v>
      </c>
      <c r="F14" s="771" t="s">
        <v>4220</v>
      </c>
      <c r="G14" s="767" t="s">
        <v>1724</v>
      </c>
      <c r="H14" s="812" t="s">
        <v>2112</v>
      </c>
      <c r="I14" s="812" t="s">
        <v>6574</v>
      </c>
      <c r="J14" s="772"/>
      <c r="K14" s="772"/>
      <c r="L14" s="812" t="s">
        <v>3096</v>
      </c>
      <c r="M14" s="772"/>
      <c r="N14" s="812" t="s">
        <v>6575</v>
      </c>
      <c r="O14" s="772"/>
      <c r="P14" s="815"/>
      <c r="Q14" s="781" t="s">
        <v>244</v>
      </c>
      <c r="R14" s="778"/>
      <c r="S14" s="781" t="s">
        <v>6460</v>
      </c>
      <c r="T14" s="781" t="s">
        <v>3317</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4542</v>
      </c>
      <c r="BI14" s="829" t="s">
        <v>1675</v>
      </c>
      <c r="BJ14" s="857"/>
      <c r="BK14" s="799" t="s">
        <v>4246</v>
      </c>
      <c r="BL14" s="801"/>
      <c r="BM14" s="799" t="s">
        <v>6594</v>
      </c>
      <c r="BN14" s="815"/>
      <c r="BO14" s="805" t="s">
        <v>3126</v>
      </c>
      <c r="BP14" s="844"/>
      <c r="BQ14" s="803"/>
      <c r="BR14" s="803"/>
      <c r="BS14" s="803"/>
      <c r="BT14" s="805" t="s">
        <v>933</v>
      </c>
      <c r="BU14" s="803"/>
      <c r="BV14" s="804" t="s">
        <v>6595</v>
      </c>
      <c r="BW14" s="804" t="s">
        <v>6596</v>
      </c>
      <c r="BX14" s="815"/>
      <c r="BY14" s="834" t="s">
        <v>4921</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2217</v>
      </c>
      <c r="H15" s="812" t="s">
        <v>2398</v>
      </c>
      <c r="I15" s="901" t="s">
        <v>6599</v>
      </c>
      <c r="J15" s="773" t="s">
        <v>1297</v>
      </c>
      <c r="K15" s="773" t="s">
        <v>6600</v>
      </c>
      <c r="L15" s="773" t="s">
        <v>2135</v>
      </c>
      <c r="M15" s="772"/>
      <c r="N15" s="773" t="s">
        <v>6601</v>
      </c>
      <c r="O15" s="773" t="s">
        <v>6602</v>
      </c>
      <c r="P15" s="815"/>
      <c r="Q15" s="777" t="s">
        <v>6603</v>
      </c>
      <c r="R15" s="777" t="s">
        <v>2444</v>
      </c>
      <c r="S15" s="777" t="s">
        <v>6604</v>
      </c>
      <c r="T15" s="777" t="s">
        <v>6605</v>
      </c>
      <c r="U15" s="777" t="s">
        <v>6606</v>
      </c>
      <c r="V15" s="777" t="s">
        <v>6607</v>
      </c>
      <c r="W15" s="815"/>
      <c r="X15" s="782" t="s">
        <v>3765</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3120</v>
      </c>
      <c r="AN15" s="793" t="s">
        <v>1561</v>
      </c>
      <c r="AO15" s="788" t="s">
        <v>2240</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3426</v>
      </c>
      <c r="BD15" s="828"/>
      <c r="BE15" s="904" t="s">
        <v>6625</v>
      </c>
      <c r="BF15" s="776"/>
      <c r="BG15" s="799" t="s">
        <v>6626</v>
      </c>
      <c r="BH15" s="799" t="s">
        <v>4746</v>
      </c>
      <c r="BI15" s="798" t="s">
        <v>2084</v>
      </c>
      <c r="BJ15" s="842" t="s">
        <v>6627</v>
      </c>
      <c r="BK15" s="858" t="s">
        <v>6628</v>
      </c>
      <c r="BL15" s="799"/>
      <c r="BM15" s="799" t="s">
        <v>6629</v>
      </c>
      <c r="BN15" s="815"/>
      <c r="BO15" s="805" t="s">
        <v>6630</v>
      </c>
      <c r="BP15" s="859"/>
      <c r="BQ15" s="905" t="s">
        <v>4632</v>
      </c>
      <c r="BR15" s="804" t="s">
        <v>6631</v>
      </c>
      <c r="BS15" s="804"/>
      <c r="BT15" s="906" t="s">
        <v>6632</v>
      </c>
      <c r="BU15" s="859" t="s">
        <v>4878</v>
      </c>
      <c r="BV15" s="804" t="s">
        <v>6633</v>
      </c>
      <c r="BW15" s="804" t="s">
        <v>6634</v>
      </c>
      <c r="BX15" s="815"/>
      <c r="BY15" s="808" t="s">
        <v>2505</v>
      </c>
      <c r="BZ15" s="808" t="s">
        <v>2079</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3348</v>
      </c>
      <c r="AD16" s="873" t="s">
        <v>200</v>
      </c>
      <c r="AE16" s="820" t="s">
        <v>4555</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2119</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3247</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4841</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2358</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2311</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4841</v>
      </c>
      <c r="H18" s="772"/>
      <c r="I18" s="773" t="s">
        <v>2614</v>
      </c>
      <c r="J18" s="773" t="s">
        <v>3289</v>
      </c>
      <c r="K18" s="773" t="s">
        <v>6684</v>
      </c>
      <c r="L18" s="837" t="s">
        <v>6685</v>
      </c>
      <c r="M18" s="772"/>
      <c r="N18" s="837" t="s">
        <v>6686</v>
      </c>
      <c r="O18" s="773" t="s">
        <v>6687</v>
      </c>
      <c r="P18" s="815"/>
      <c r="Q18" s="851" t="s">
        <v>3443</v>
      </c>
      <c r="R18" s="778"/>
      <c r="S18" s="778"/>
      <c r="T18" s="851" t="s">
        <v>4898</v>
      </c>
      <c r="U18" s="777"/>
      <c r="V18" s="851" t="s">
        <v>6688</v>
      </c>
      <c r="W18" s="815"/>
      <c r="X18" s="820" t="s">
        <v>3954</v>
      </c>
      <c r="Y18" s="820" t="s">
        <v>6689</v>
      </c>
      <c r="Z18" s="820" t="s">
        <v>6690</v>
      </c>
      <c r="AA18" s="820" t="s">
        <v>2904</v>
      </c>
      <c r="AB18" s="820" t="s">
        <v>4593</v>
      </c>
      <c r="AC18" s="782" t="s">
        <v>6691</v>
      </c>
      <c r="AD18" s="820" t="s">
        <v>4541</v>
      </c>
      <c r="AE18" s="820" t="s">
        <v>4783</v>
      </c>
      <c r="AF18" s="782"/>
      <c r="AG18" s="782" t="s">
        <v>6692</v>
      </c>
      <c r="AH18" s="908" t="s">
        <v>6693</v>
      </c>
      <c r="AI18" s="815"/>
      <c r="AJ18" s="789"/>
      <c r="AK18" s="789"/>
      <c r="AL18" s="789"/>
      <c r="AM18" s="788" t="s">
        <v>170</v>
      </c>
      <c r="AN18" s="789"/>
      <c r="AO18" s="855" t="s">
        <v>4208</v>
      </c>
      <c r="AP18" s="788" t="s">
        <v>4355</v>
      </c>
      <c r="AQ18" s="855" t="s">
        <v>6694</v>
      </c>
      <c r="AR18" s="789"/>
      <c r="AS18" s="789"/>
      <c r="AT18" s="824"/>
      <c r="AU18" s="789"/>
      <c r="AV18" s="789"/>
      <c r="AW18" s="855" t="s">
        <v>1009</v>
      </c>
      <c r="AX18" s="855" t="s">
        <v>4772</v>
      </c>
      <c r="AY18" s="789"/>
      <c r="AZ18" s="776"/>
      <c r="BA18" s="878"/>
      <c r="BB18" s="878"/>
      <c r="BC18" s="904" t="s">
        <v>3148</v>
      </c>
      <c r="BD18" s="828"/>
      <c r="BE18" s="828" t="s">
        <v>6695</v>
      </c>
      <c r="BF18" s="776"/>
      <c r="BG18" s="894" t="s">
        <v>1203</v>
      </c>
      <c r="BH18" s="894" t="s">
        <v>2119</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2255</v>
      </c>
      <c r="AC19" s="820" t="s">
        <v>6710</v>
      </c>
      <c r="AD19" s="853"/>
      <c r="AE19" s="853"/>
      <c r="AF19" s="853"/>
      <c r="AG19" s="820" t="s">
        <v>6711</v>
      </c>
      <c r="AH19" s="787"/>
      <c r="AI19" s="815"/>
      <c r="AJ19" s="789"/>
      <c r="AK19" s="789"/>
      <c r="AL19" s="789"/>
      <c r="AM19" s="788" t="s">
        <v>1309</v>
      </c>
      <c r="AN19" s="788"/>
      <c r="AO19" s="789"/>
      <c r="AP19" s="789"/>
      <c r="AQ19" s="789"/>
      <c r="AR19" s="789"/>
      <c r="AS19" s="789"/>
      <c r="AT19" s="824"/>
      <c r="AU19" s="789"/>
      <c r="AV19" s="789"/>
      <c r="AW19" s="788" t="s">
        <v>3763</v>
      </c>
      <c r="AX19" s="855" t="s">
        <v>6712</v>
      </c>
      <c r="AY19" s="789"/>
      <c r="AZ19" s="776"/>
      <c r="BA19" s="878"/>
      <c r="BB19" s="828" t="s">
        <v>6713</v>
      </c>
      <c r="BC19" s="828" t="s">
        <v>3314</v>
      </c>
      <c r="BD19" s="828"/>
      <c r="BE19" s="904" t="s">
        <v>6714</v>
      </c>
      <c r="BF19" s="776"/>
      <c r="BG19" s="799" t="s">
        <v>711</v>
      </c>
      <c r="BH19" s="894" t="s">
        <v>4249</v>
      </c>
      <c r="BI19" s="799" t="s">
        <v>1755</v>
      </c>
      <c r="BJ19" s="799" t="s">
        <v>6715</v>
      </c>
      <c r="BK19" s="799" t="s">
        <v>6716</v>
      </c>
      <c r="BL19" s="801"/>
      <c r="BM19" s="799" t="s">
        <v>6717</v>
      </c>
      <c r="BN19" s="815"/>
      <c r="BO19" s="804" t="s">
        <v>4626</v>
      </c>
      <c r="BP19" s="844"/>
      <c r="BQ19" s="803"/>
      <c r="BR19" s="833" t="s">
        <v>6718</v>
      </c>
      <c r="BS19" s="803"/>
      <c r="BT19" s="804" t="s">
        <v>2409</v>
      </c>
      <c r="BU19" s="803"/>
      <c r="BV19" s="804" t="s">
        <v>6719</v>
      </c>
      <c r="BW19" s="804" t="s">
        <v>2060</v>
      </c>
      <c r="BX19" s="815"/>
      <c r="BY19" s="808" t="s">
        <v>4473</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6721</v>
      </c>
      <c r="BJ20" s="857"/>
      <c r="BK20" s="801"/>
      <c r="BL20" s="801"/>
      <c r="BM20" s="801"/>
      <c r="BN20" s="815"/>
      <c r="BO20" s="804"/>
      <c r="BP20" s="844"/>
      <c r="BQ20" s="806" t="s">
        <v>4899</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5026</v>
      </c>
      <c r="H21" s="772"/>
      <c r="I21" s="772"/>
      <c r="J21" s="773" t="s">
        <v>308</v>
      </c>
      <c r="K21" s="773" t="s">
        <v>6727</v>
      </c>
      <c r="L21" s="773"/>
      <c r="M21" s="772"/>
      <c r="N21" s="772"/>
      <c r="O21" s="773" t="s">
        <v>6728</v>
      </c>
      <c r="P21" s="815"/>
      <c r="Q21" s="777" t="s">
        <v>4725</v>
      </c>
      <c r="R21" s="777" t="s">
        <v>3672</v>
      </c>
      <c r="S21" s="777" t="s">
        <v>689</v>
      </c>
      <c r="T21" s="777" t="s">
        <v>249</v>
      </c>
      <c r="U21" s="778"/>
      <c r="V21" s="777" t="s">
        <v>6729</v>
      </c>
      <c r="W21" s="815"/>
      <c r="X21" s="782" t="s">
        <v>6143</v>
      </c>
      <c r="Y21" s="853"/>
      <c r="Z21" s="782" t="s">
        <v>4848</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4946</v>
      </c>
      <c r="BV21" s="804" t="s">
        <v>6748</v>
      </c>
      <c r="BW21" s="804" t="s">
        <v>6749</v>
      </c>
      <c r="BX21" s="815"/>
      <c r="BY21" s="911" t="s">
        <v>3203</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3522</v>
      </c>
      <c r="H23" s="812" t="s">
        <v>2560</v>
      </c>
      <c r="I23" s="812" t="s">
        <v>6764</v>
      </c>
      <c r="J23" s="901"/>
      <c r="K23" s="812" t="s">
        <v>4359</v>
      </c>
      <c r="L23" s="773"/>
      <c r="M23" s="772"/>
      <c r="N23" s="772"/>
      <c r="O23" s="837" t="s">
        <v>6765</v>
      </c>
      <c r="P23" s="815"/>
      <c r="Q23" s="851" t="s">
        <v>6766</v>
      </c>
      <c r="R23" s="778"/>
      <c r="S23" s="778"/>
      <c r="T23" s="851" t="s">
        <v>5050</v>
      </c>
      <c r="U23" s="777"/>
      <c r="V23" s="851" t="s">
        <v>6767</v>
      </c>
      <c r="W23" s="815"/>
      <c r="X23" s="820" t="s">
        <v>2130</v>
      </c>
      <c r="Y23" s="853"/>
      <c r="Z23" s="820" t="s">
        <v>1972</v>
      </c>
      <c r="AA23" s="907"/>
      <c r="AB23" s="820" t="s">
        <v>5182</v>
      </c>
      <c r="AC23" s="853"/>
      <c r="AD23" s="853"/>
      <c r="AE23" s="820" t="s">
        <v>4334</v>
      </c>
      <c r="AF23" s="782"/>
      <c r="AG23" s="820" t="s">
        <v>6768</v>
      </c>
      <c r="AH23" s="787"/>
      <c r="AI23" s="815"/>
      <c r="AJ23" s="789"/>
      <c r="AK23" s="789"/>
      <c r="AL23" s="789"/>
      <c r="AM23" s="789"/>
      <c r="AN23" s="789"/>
      <c r="AO23" s="855" t="s">
        <v>5012</v>
      </c>
      <c r="AP23" s="789"/>
      <c r="AQ23" s="793" t="s">
        <v>3481</v>
      </c>
      <c r="AR23" s="789"/>
      <c r="AS23" s="789"/>
      <c r="AT23" s="824"/>
      <c r="AU23" s="789"/>
      <c r="AV23" s="789"/>
      <c r="AW23" s="793" t="s">
        <v>718</v>
      </c>
      <c r="AX23" s="789"/>
      <c r="AY23" s="789"/>
      <c r="AZ23" s="776"/>
      <c r="BA23" s="878"/>
      <c r="BB23" s="878"/>
      <c r="BC23" s="878"/>
      <c r="BD23" s="878"/>
      <c r="BE23" s="904" t="s">
        <v>6769</v>
      </c>
      <c r="BF23" s="776"/>
      <c r="BG23" s="894" t="s">
        <v>2575</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3465</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2612</v>
      </c>
      <c r="AF24" s="782"/>
      <c r="AG24" s="782" t="s">
        <v>6781</v>
      </c>
      <c r="AH24" s="919" t="s">
        <v>6782</v>
      </c>
      <c r="AI24" s="815"/>
      <c r="AJ24" s="788"/>
      <c r="AK24" s="788" t="s">
        <v>5577</v>
      </c>
      <c r="AL24" s="789"/>
      <c r="AM24" s="788" t="s">
        <v>2539</v>
      </c>
      <c r="AN24" s="789"/>
      <c r="AO24" s="789"/>
      <c r="AP24" s="788" t="s">
        <v>1917</v>
      </c>
      <c r="AQ24" s="789"/>
      <c r="AR24" s="788" t="s">
        <v>6783</v>
      </c>
      <c r="AS24" s="788" t="s">
        <v>3241</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3522</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4873</v>
      </c>
      <c r="AD25" s="782" t="s">
        <v>1331</v>
      </c>
      <c r="AE25" s="782" t="s">
        <v>6800</v>
      </c>
      <c r="AF25" s="782"/>
      <c r="AG25" s="820" t="s">
        <v>6801</v>
      </c>
      <c r="AH25" s="787"/>
      <c r="AI25" s="815"/>
      <c r="AJ25" s="789"/>
      <c r="AK25" s="789"/>
      <c r="AL25" s="789"/>
      <c r="AM25" s="788" t="s">
        <v>4807</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4716</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3710</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4543</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2248</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4096</v>
      </c>
      <c r="Z28" s="782" t="s">
        <v>5179</v>
      </c>
      <c r="AA28" s="927" t="s">
        <v>1762</v>
      </c>
      <c r="AB28" s="782" t="s">
        <v>6067</v>
      </c>
      <c r="AC28" s="782" t="s">
        <v>5157</v>
      </c>
      <c r="AD28" s="782" t="s">
        <v>2947</v>
      </c>
      <c r="AE28" s="819" t="s">
        <v>243</v>
      </c>
      <c r="AF28" s="821"/>
      <c r="AG28" s="853"/>
      <c r="AH28" s="928" t="s">
        <v>4098</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2201</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3699</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3465</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4715</v>
      </c>
      <c r="Y29" s="782" t="s">
        <v>6863</v>
      </c>
      <c r="Z29" s="820" t="s">
        <v>5825</v>
      </c>
      <c r="AA29" s="902" t="s">
        <v>4543</v>
      </c>
      <c r="AB29" s="820" t="s">
        <v>2493</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4836</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2293</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4697</v>
      </c>
      <c r="AC30" s="782" t="s">
        <v>194</v>
      </c>
      <c r="AD30" s="853"/>
      <c r="AE30" s="782" t="s">
        <v>3545</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4296</v>
      </c>
      <c r="BD30" s="828"/>
      <c r="BE30" s="904" t="s">
        <v>6891</v>
      </c>
      <c r="BF30" s="776"/>
      <c r="BG30" s="799" t="s">
        <v>6892</v>
      </c>
      <c r="BH30" s="801"/>
      <c r="BI30" s="801"/>
      <c r="BJ30" s="857"/>
      <c r="BK30" s="801"/>
      <c r="BL30" s="799" t="s">
        <v>6893</v>
      </c>
      <c r="BM30" s="799" t="s">
        <v>6894</v>
      </c>
      <c r="BN30" s="815"/>
      <c r="BO30" s="804" t="s">
        <v>3402</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4458</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2282</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2461</v>
      </c>
      <c r="BS32" s="803"/>
      <c r="BT32" s="803"/>
      <c r="BU32" s="803"/>
      <c r="BV32" s="859" t="s">
        <v>6918</v>
      </c>
      <c r="BW32" s="804" t="s">
        <v>2032</v>
      </c>
      <c r="BX32" s="815"/>
      <c r="BY32" s="808" t="s">
        <v>6000</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2554</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4972</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4454</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4489</v>
      </c>
      <c r="V35" s="777" t="s">
        <v>6946</v>
      </c>
      <c r="W35" s="815"/>
      <c r="X35" s="853"/>
      <c r="Y35" s="853"/>
      <c r="Z35" s="782" t="s">
        <v>6947</v>
      </c>
      <c r="AA35" s="907"/>
      <c r="AB35" s="853"/>
      <c r="AC35" s="853"/>
      <c r="AD35" s="782" t="s">
        <v>1408</v>
      </c>
      <c r="AE35" s="782" t="s">
        <v>3660</v>
      </c>
      <c r="AF35" s="782"/>
      <c r="AG35" s="853"/>
      <c r="AH35" s="910" t="s">
        <v>6948</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1964</v>
      </c>
      <c r="BP35" s="844"/>
      <c r="BQ35" s="803"/>
      <c r="BR35" s="803"/>
      <c r="BS35" s="803"/>
      <c r="BT35" s="804" t="s">
        <v>4210</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3111</v>
      </c>
      <c r="BV36" s="804" t="s">
        <v>388</v>
      </c>
      <c r="BW36" s="859" t="s">
        <v>6960</v>
      </c>
      <c r="BX36" s="815"/>
      <c r="BY36" s="809"/>
      <c r="BZ36" s="911" t="s">
        <v>2687</v>
      </c>
      <c r="CA36" s="835"/>
      <c r="CB36" s="835"/>
      <c r="CC36" s="835"/>
      <c r="CD36" s="809"/>
      <c r="CE36" s="809"/>
      <c r="CF36" s="808" t="s">
        <v>6961</v>
      </c>
      <c r="CG36" s="809"/>
      <c r="CH36" s="809"/>
      <c r="CI36" s="834" t="s">
        <v>4857</v>
      </c>
      <c r="CJ36" s="835"/>
      <c r="CK36" s="835"/>
    </row>
    <row r="37">
      <c r="A37" s="932" t="s">
        <v>3463</v>
      </c>
      <c r="B37" s="767" t="s">
        <v>4308</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4729</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4966</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4754</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4940</v>
      </c>
      <c r="C42" s="768" t="s">
        <v>1413</v>
      </c>
      <c r="D42" s="769" t="s">
        <v>1413</v>
      </c>
      <c r="E42" s="770" t="s">
        <v>1413</v>
      </c>
      <c r="F42" s="771" t="s">
        <v>541</v>
      </c>
      <c r="G42" s="767" t="s">
        <v>912</v>
      </c>
      <c r="H42" s="773" t="s">
        <v>2064</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3366</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2631</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4135</v>
      </c>
      <c r="C46" s="768" t="s">
        <v>1413</v>
      </c>
      <c r="D46" s="769" t="s">
        <v>1413</v>
      </c>
      <c r="E46" s="770" t="s">
        <v>1413</v>
      </c>
      <c r="F46" s="771" t="s">
        <v>1413</v>
      </c>
      <c r="G46" s="767" t="s">
        <v>2248</v>
      </c>
      <c r="H46" s="772"/>
      <c r="I46" s="772"/>
      <c r="J46" s="772"/>
      <c r="K46" s="772"/>
      <c r="L46" s="773" t="s">
        <v>4674</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2248</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2007</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3556</v>
      </c>
      <c r="AU1" s="956" t="s">
        <v>5722</v>
      </c>
      <c r="AV1" s="956" t="s">
        <v>910</v>
      </c>
      <c r="AW1" s="956" t="s">
        <v>7011</v>
      </c>
      <c r="AX1" s="956" t="s">
        <v>3463</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2028</v>
      </c>
      <c r="T2" s="963" t="s">
        <v>1061</v>
      </c>
      <c r="U2" s="963" t="s">
        <v>3558</v>
      </c>
      <c r="V2" s="963" t="s">
        <v>2813</v>
      </c>
      <c r="W2" s="963" t="s">
        <v>2010</v>
      </c>
      <c r="X2" s="963" t="s">
        <v>7072</v>
      </c>
      <c r="Y2" s="963" t="s">
        <v>6231</v>
      </c>
      <c r="Z2" s="963" t="s">
        <v>2330</v>
      </c>
      <c r="AA2" s="963" t="s">
        <v>5659</v>
      </c>
      <c r="AB2" s="963" t="s">
        <v>4841</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3326</v>
      </c>
      <c r="F3" s="965" t="s">
        <v>2812</v>
      </c>
      <c r="G3" s="965" t="s">
        <v>3327</v>
      </c>
      <c r="H3" s="965" t="s">
        <v>5298</v>
      </c>
      <c r="I3" s="965" t="s">
        <v>7075</v>
      </c>
      <c r="J3" s="965" t="s">
        <v>7076</v>
      </c>
      <c r="K3" s="966" t="s">
        <v>2812</v>
      </c>
      <c r="L3" s="965" t="s">
        <v>1133</v>
      </c>
      <c r="M3" s="965" t="s">
        <v>4940</v>
      </c>
      <c r="N3" s="965" t="s">
        <v>2528</v>
      </c>
      <c r="O3" s="965" t="s">
        <v>3558</v>
      </c>
      <c r="P3" s="965" t="s">
        <v>4754</v>
      </c>
      <c r="Q3" s="965" t="s">
        <v>4956</v>
      </c>
      <c r="R3" s="965" t="s">
        <v>3822</v>
      </c>
      <c r="S3" s="965" t="s">
        <v>5648</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4486</v>
      </c>
      <c r="F4" s="967" t="s">
        <v>7079</v>
      </c>
      <c r="G4" s="967" t="s">
        <v>3677</v>
      </c>
      <c r="H4" s="967" t="s">
        <v>4712</v>
      </c>
      <c r="I4" s="967" t="s">
        <v>7080</v>
      </c>
      <c r="J4" s="967" t="s">
        <v>3219</v>
      </c>
      <c r="K4" s="968" t="s">
        <v>541</v>
      </c>
      <c r="L4" s="967" t="s">
        <v>3326</v>
      </c>
      <c r="M4" s="967" t="s">
        <v>2859</v>
      </c>
      <c r="N4" s="967" t="s">
        <v>4855</v>
      </c>
      <c r="O4" s="967" t="s">
        <v>3435</v>
      </c>
      <c r="P4" s="967" t="s">
        <v>330</v>
      </c>
      <c r="Q4" s="967" t="s">
        <v>4220</v>
      </c>
      <c r="R4" s="967" t="s">
        <v>912</v>
      </c>
      <c r="S4" s="967" t="s">
        <v>987</v>
      </c>
      <c r="T4" s="967" t="s">
        <v>1413</v>
      </c>
      <c r="U4" s="967" t="s">
        <v>332</v>
      </c>
      <c r="V4" s="967" t="s">
        <v>5979</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3415</v>
      </c>
      <c r="K7" s="978" t="s">
        <v>7087</v>
      </c>
      <c r="L7" s="980"/>
      <c r="M7" s="980"/>
      <c r="N7" s="980" t="s">
        <v>7088</v>
      </c>
      <c r="O7" s="980" t="s">
        <v>4799</v>
      </c>
      <c r="P7" s="980"/>
      <c r="Q7" s="980" t="s">
        <v>2529</v>
      </c>
      <c r="R7" s="980"/>
      <c r="S7" s="980"/>
      <c r="T7" s="980"/>
      <c r="U7" s="980"/>
      <c r="V7" s="980"/>
      <c r="W7" s="980"/>
      <c r="X7" s="980"/>
      <c r="Y7" s="980"/>
      <c r="Z7" s="980" t="s">
        <v>4088</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7099</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2070</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4425</v>
      </c>
      <c r="F12" s="980"/>
      <c r="G12" s="980"/>
      <c r="H12" s="980"/>
      <c r="I12" s="980" t="s">
        <v>7104</v>
      </c>
      <c r="J12" s="980" t="s">
        <v>6943</v>
      </c>
      <c r="K12" s="978" t="s">
        <v>3101</v>
      </c>
      <c r="L12" s="980"/>
      <c r="M12" s="980"/>
      <c r="N12" s="980" t="s">
        <v>7105</v>
      </c>
      <c r="O12" s="980" t="s">
        <v>4102</v>
      </c>
      <c r="P12" s="980" t="s">
        <v>4425</v>
      </c>
      <c r="Q12" s="980" t="s">
        <v>4187</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2096</v>
      </c>
      <c r="F13" s="976" t="s">
        <v>7108</v>
      </c>
      <c r="G13" s="977" t="s">
        <v>2388</v>
      </c>
      <c r="H13" s="976" t="s">
        <v>991</v>
      </c>
      <c r="I13" s="976" t="s">
        <v>1257</v>
      </c>
      <c r="J13" s="977" t="s">
        <v>7109</v>
      </c>
      <c r="K13" s="978" t="s">
        <v>2815</v>
      </c>
      <c r="L13" s="976" t="s">
        <v>721</v>
      </c>
      <c r="M13" s="977" t="s">
        <v>1498</v>
      </c>
      <c r="N13" s="977" t="s">
        <v>7110</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4209</v>
      </c>
      <c r="L14" s="980" t="s">
        <v>4371</v>
      </c>
      <c r="M14" s="980"/>
      <c r="N14" s="980" t="str">
        <f>HYPERLINK("https://youtu.be/rZW3Nzg9CsM","14.20")</f>
        <v>14.20</v>
      </c>
      <c r="O14" s="980" t="s">
        <v>4254</v>
      </c>
      <c r="P14" s="980" t="s">
        <v>2261</v>
      </c>
      <c r="Q14" s="980"/>
      <c r="R14" s="980"/>
      <c r="S14" s="980"/>
      <c r="T14" s="980" t="s">
        <v>5443</v>
      </c>
      <c r="U14" s="980"/>
      <c r="V14" s="980"/>
      <c r="W14" s="980"/>
      <c r="X14" s="980" t="s">
        <v>6489</v>
      </c>
      <c r="Y14" s="980"/>
      <c r="Z14" s="980" t="s">
        <v>6100</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2208</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7120</v>
      </c>
      <c r="B18" s="985" t="s">
        <v>7121</v>
      </c>
      <c r="C18" s="975" t="s">
        <v>2359</v>
      </c>
      <c r="D18" s="980" t="s">
        <v>2359</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4372</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4194</v>
      </c>
      <c r="I21" s="980" t="s">
        <v>1259</v>
      </c>
      <c r="J21" s="980" t="str">
        <f>HYPERLINK("https://clips.twitch.tv/EnergeticBeautifulMallardRalpherZ","42.96")</f>
        <v>42.96</v>
      </c>
      <c r="K21" s="978" t="s">
        <v>7132</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3741</v>
      </c>
      <c r="E23" s="980"/>
      <c r="F23" s="980"/>
      <c r="G23" s="980" t="s">
        <v>783</v>
      </c>
      <c r="H23" s="980" t="s">
        <v>7139</v>
      </c>
      <c r="I23" s="980"/>
      <c r="J23" s="980"/>
      <c r="K23" s="978"/>
      <c r="L23" s="980"/>
      <c r="M23" s="980"/>
      <c r="N23" s="980"/>
      <c r="O23" s="980"/>
      <c r="P23" s="980" t="s">
        <v>3422</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4359</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4789</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4741</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4756</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4737</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4759</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4807</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5981</v>
      </c>
      <c r="K49" s="978" t="s">
        <v>3122</v>
      </c>
      <c r="L49" s="980" t="s">
        <v>1978</v>
      </c>
      <c r="M49" s="980"/>
      <c r="N49" s="980" t="s">
        <v>2861</v>
      </c>
      <c r="O49" s="980" t="s">
        <v>4523</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4319</v>
      </c>
      <c r="D50" s="980" t="s">
        <v>4319</v>
      </c>
      <c r="E50" s="980"/>
      <c r="F50" s="980" t="s">
        <v>400</v>
      </c>
      <c r="G50" s="980"/>
      <c r="H50" s="980"/>
      <c r="I50" s="980"/>
      <c r="J50" s="980"/>
      <c r="K50" s="978" t="s">
        <v>1300</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3456</v>
      </c>
      <c r="D53" s="1012" t="s">
        <v>4970</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4895</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7128</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4931</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4336</v>
      </c>
      <c r="E62" s="980" t="s">
        <v>4336</v>
      </c>
      <c r="F62" s="980"/>
      <c r="G62" s="980"/>
      <c r="H62" s="980" t="s">
        <v>569</v>
      </c>
      <c r="I62" s="980"/>
      <c r="J62" s="980"/>
      <c r="K62" s="978"/>
      <c r="L62" s="980" t="s">
        <v>7203</v>
      </c>
      <c r="M62" s="980" t="s">
        <v>2829</v>
      </c>
      <c r="N62" s="980"/>
      <c r="O62" s="980"/>
      <c r="P62" s="980"/>
      <c r="Q62" s="980"/>
      <c r="R62" s="980" t="s">
        <v>3094</v>
      </c>
      <c r="S62" s="980" t="s">
        <v>4672</v>
      </c>
      <c r="T62" s="980"/>
      <c r="U62" s="980"/>
      <c r="V62" s="980"/>
      <c r="W62" s="980"/>
      <c r="X62" s="980" t="s">
        <v>3456</v>
      </c>
      <c r="Y62" s="980"/>
      <c r="Z62" s="980"/>
      <c r="AA62" s="980"/>
      <c r="AB62" s="980" t="s">
        <v>4991</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4795</v>
      </c>
      <c r="M67" s="980"/>
      <c r="N67" s="980" t="s">
        <v>1356</v>
      </c>
      <c r="O67" s="980" t="s">
        <v>7215</v>
      </c>
      <c r="P67" s="980" t="s">
        <v>7216</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4294</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4820</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5055</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5133</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1273</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3271</v>
      </c>
      <c r="F81" s="980"/>
      <c r="G81" s="980"/>
      <c r="H81" s="980" t="s">
        <v>5209</v>
      </c>
      <c r="I81" s="980"/>
      <c r="J81" s="980" t="s">
        <v>4947</v>
      </c>
      <c r="K81" s="978" t="s">
        <v>5073</v>
      </c>
      <c r="L81" s="980"/>
      <c r="M81" s="980"/>
      <c r="N81" s="980" t="str">
        <f>HYPERLINK("https://youtu.be/HjDDp_Mj_yI","16.74")</f>
        <v>16.74</v>
      </c>
      <c r="O81" s="980" t="s">
        <v>4605</v>
      </c>
      <c r="P81" s="980"/>
      <c r="Q81" s="980"/>
      <c r="R81" s="980"/>
      <c r="S81" s="980"/>
      <c r="T81" s="980" t="s">
        <v>4947</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3148</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4867</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2426</v>
      </c>
      <c r="E89" s="1031"/>
      <c r="F89" s="1031"/>
      <c r="G89" s="1031" t="s">
        <v>845</v>
      </c>
      <c r="H89" s="1031"/>
      <c r="I89" s="1031" t="s">
        <v>5787</v>
      </c>
      <c r="J89" s="1031" t="str">
        <f>HYPERLINK("https://youtu.be/ycBfir2aflI","41.70")</f>
        <v>41.70</v>
      </c>
      <c r="K89" s="1032" t="s">
        <v>2034</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4367</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3401</v>
      </c>
      <c r="D91" s="1037"/>
      <c r="E91" s="1037"/>
      <c r="F91" s="1037"/>
      <c r="G91" s="1037" t="s">
        <v>4336</v>
      </c>
      <c r="H91" s="1037"/>
      <c r="I91" s="1037" t="s">
        <v>5830</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4608</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5864</v>
      </c>
      <c r="L106" s="1031" t="s">
        <v>4888</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4623</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4749</v>
      </c>
      <c r="F126" s="1057" t="s">
        <v>7307</v>
      </c>
      <c r="G126" s="1057" t="s">
        <v>855</v>
      </c>
      <c r="H126" s="1063" t="s">
        <v>3554</v>
      </c>
      <c r="I126" s="1057" t="s">
        <v>1290</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4441</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4928</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7336</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7337</v>
      </c>
      <c r="C140" s="975" t="s">
        <v>3222</v>
      </c>
      <c r="D140" s="1037"/>
      <c r="E140" s="1037" t="s">
        <v>7338</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7339</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4925</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7340</v>
      </c>
      <c r="D143" s="1066"/>
      <c r="E143" s="1066"/>
      <c r="F143" s="1066"/>
      <c r="G143" s="1066"/>
      <c r="H143" s="1067" t="s">
        <v>2576</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7341</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7337</v>
      </c>
      <c r="C144" s="975" t="s">
        <v>1426</v>
      </c>
      <c r="D144" s="1066"/>
      <c r="E144" s="1031" t="s">
        <v>4885</v>
      </c>
      <c r="F144" s="1066"/>
      <c r="G144" s="1066"/>
      <c r="H144" s="1066" t="s">
        <v>7342</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7343</v>
      </c>
      <c r="B145" s="1062" t="s">
        <v>7344</v>
      </c>
      <c r="C145" s="1030" t="s">
        <v>7345</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7346</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7347</v>
      </c>
      <c r="B147" s="1062" t="s">
        <v>7348</v>
      </c>
      <c r="C147" s="975" t="s">
        <v>7349</v>
      </c>
      <c r="D147" s="1066"/>
      <c r="E147" s="1031" t="s">
        <v>1320</v>
      </c>
      <c r="F147" s="1066"/>
      <c r="G147" s="1066"/>
      <c r="H147" s="1031" t="s">
        <v>7350</v>
      </c>
      <c r="I147" s="1066" t="s">
        <v>7351</v>
      </c>
      <c r="J147" s="1066" t="s">
        <v>7352</v>
      </c>
      <c r="K147" s="1032"/>
      <c r="L147" s="1066"/>
      <c r="M147" s="1066"/>
      <c r="N147" s="1066"/>
      <c r="O147" s="1066"/>
      <c r="P147" s="1066"/>
      <c r="Q147" s="1057" t="s">
        <v>7349</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7353</v>
      </c>
      <c r="C148" s="1030" t="s">
        <v>7354</v>
      </c>
      <c r="D148" s="1066"/>
      <c r="E148" s="1066"/>
      <c r="F148" s="1066"/>
      <c r="G148" s="1066"/>
      <c r="H148" s="1031" t="s">
        <v>7355</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7356</v>
      </c>
      <c r="C149" s="1030" t="s">
        <v>7357</v>
      </c>
      <c r="D149" s="1066"/>
      <c r="E149" s="1066"/>
      <c r="F149" s="1066"/>
      <c r="G149" s="1066"/>
      <c r="H149" s="1031" t="s">
        <v>7357</v>
      </c>
      <c r="I149" s="1066"/>
      <c r="J149" s="1066" t="s">
        <v>7358</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7359</v>
      </c>
      <c r="C150" s="1030" t="s">
        <v>742</v>
      </c>
      <c r="D150" s="1066"/>
      <c r="E150" s="1031" t="s">
        <v>3592</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7360</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8" t="s">
        <v>7361</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7362</v>
      </c>
      <c r="C153" s="1030" t="s">
        <v>2429</v>
      </c>
      <c r="D153" s="1031" t="s">
        <v>7363</v>
      </c>
      <c r="E153" s="1031"/>
      <c r="F153" s="1031" t="s">
        <v>966</v>
      </c>
      <c r="G153" s="1031"/>
      <c r="H153" s="1031" t="s">
        <v>7364</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8" t="s">
        <v>7365</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7366</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9" t="s">
        <v>39</v>
      </c>
      <c r="D157" s="1070"/>
      <c r="E157" s="1070"/>
      <c r="F157" s="1070"/>
      <c r="G157" s="1070"/>
      <c r="H157" s="1070"/>
      <c r="I157" s="1070"/>
      <c r="J157" s="1070"/>
      <c r="K157" s="1071"/>
      <c r="L157" s="1070"/>
      <c r="M157" s="1070"/>
      <c r="N157" s="1070"/>
      <c r="O157" s="1070"/>
      <c r="P157" s="1070"/>
      <c r="Q157" s="1070"/>
      <c r="R157" s="1070"/>
      <c r="S157" s="1070"/>
      <c r="T157" s="1070"/>
      <c r="U157" s="1070"/>
      <c r="V157" s="1070"/>
      <c r="W157" s="1070"/>
      <c r="X157" s="1070"/>
      <c r="Y157" s="1070"/>
      <c r="Z157" s="1070"/>
      <c r="AA157" s="1070"/>
      <c r="AB157" s="1070"/>
      <c r="AC157" s="1070"/>
      <c r="AD157" s="1070"/>
      <c r="AE157" s="1070"/>
      <c r="AF157" s="1070"/>
      <c r="AG157" s="1070"/>
      <c r="AH157" s="1070"/>
      <c r="AI157" s="1070"/>
      <c r="AJ157" s="1070"/>
      <c r="AK157" s="1070"/>
      <c r="AL157" s="1070"/>
      <c r="AM157" s="1070"/>
      <c r="AN157" s="1070"/>
      <c r="AO157" s="1070"/>
      <c r="AP157" s="1070"/>
      <c r="AQ157" s="1070"/>
      <c r="AR157" s="1070"/>
      <c r="AS157" s="1070"/>
      <c r="AT157" s="1070"/>
      <c r="AU157" s="1070"/>
      <c r="AV157" s="1070"/>
      <c r="AW157" s="1070"/>
      <c r="AX157" s="1070"/>
      <c r="AY157" s="1070"/>
      <c r="AZ157" s="1070"/>
      <c r="BA157" s="1070"/>
      <c r="BB157" s="1072"/>
      <c r="BC157" s="1072"/>
      <c r="BD157" s="1070"/>
      <c r="BE157" s="1070"/>
      <c r="BF157" s="1070"/>
      <c r="BG157" s="1070"/>
      <c r="BH157" s="1072"/>
      <c r="BI157" s="1072"/>
      <c r="BJ157" s="1072"/>
    </row>
    <row r="158" ht="15.75" customHeight="1">
      <c r="A158" s="1073" t="s">
        <v>7367</v>
      </c>
      <c r="B158" s="1074" t="s">
        <v>7368</v>
      </c>
      <c r="C158" s="1030" t="s">
        <v>7369</v>
      </c>
      <c r="D158" s="980" t="s">
        <v>7370</v>
      </c>
      <c r="E158" s="980" t="s">
        <v>7371</v>
      </c>
      <c r="F158" s="980"/>
      <c r="G158" s="980" t="s">
        <v>7371</v>
      </c>
      <c r="H158" s="980" t="s">
        <v>7370</v>
      </c>
      <c r="I158" s="980" t="s">
        <v>7372</v>
      </c>
      <c r="J158" s="980"/>
      <c r="K158" s="978" t="s">
        <v>7370</v>
      </c>
      <c r="L158" s="980" t="s">
        <v>7373</v>
      </c>
      <c r="M158" s="980"/>
      <c r="N158" s="980"/>
      <c r="O158" s="980" t="s">
        <v>7374</v>
      </c>
      <c r="P158" s="980"/>
      <c r="Q158" s="980" t="s">
        <v>7375</v>
      </c>
      <c r="R158" s="980"/>
      <c r="S158" s="980"/>
      <c r="T158" s="980"/>
      <c r="U158" s="980"/>
      <c r="V158" s="980"/>
      <c r="W158" s="980" t="s">
        <v>7350</v>
      </c>
      <c r="X158" s="980"/>
      <c r="Y158" s="980" t="s">
        <v>7369</v>
      </c>
      <c r="Z158" s="980"/>
      <c r="AA158" s="980"/>
      <c r="AB158" s="980"/>
      <c r="AC158" s="980"/>
      <c r="AD158" s="980" t="s">
        <v>7372</v>
      </c>
      <c r="AE158" s="980" t="s">
        <v>7374</v>
      </c>
      <c r="AF158" s="980"/>
      <c r="AG158" s="980"/>
      <c r="AH158" s="980"/>
      <c r="AI158" s="980"/>
      <c r="AJ158" s="980"/>
      <c r="AK158" s="980"/>
      <c r="AL158" s="980"/>
      <c r="AM158" s="980"/>
      <c r="AN158" s="980"/>
      <c r="AO158" s="980"/>
      <c r="AP158" s="980"/>
      <c r="AQ158" s="980"/>
      <c r="AR158" s="980" t="s">
        <v>7376</v>
      </c>
      <c r="AS158" s="980" t="s">
        <v>2228</v>
      </c>
      <c r="AT158" s="980"/>
      <c r="AU158" s="980"/>
      <c r="AV158" s="980"/>
      <c r="AW158" s="980"/>
      <c r="AX158" s="980"/>
      <c r="AY158" s="980"/>
      <c r="AZ158" s="980"/>
      <c r="BA158" s="980"/>
      <c r="BB158" s="1075"/>
      <c r="BC158" s="1075"/>
      <c r="BD158" s="1007"/>
      <c r="BE158" s="1007"/>
      <c r="BF158" s="1007"/>
      <c r="BG158" s="1007"/>
      <c r="BH158" s="1075"/>
      <c r="BI158" s="1075"/>
      <c r="BJ158" s="1075"/>
    </row>
    <row r="159" ht="15.75" customHeight="1">
      <c r="A159" s="1076"/>
      <c r="B159" s="1077" t="s">
        <v>7377</v>
      </c>
      <c r="C159" s="1030" t="s">
        <v>7378</v>
      </c>
      <c r="D159" s="980" t="s">
        <v>7373</v>
      </c>
      <c r="E159" s="980"/>
      <c r="F159" s="980"/>
      <c r="G159" s="980"/>
      <c r="H159" s="980" t="s">
        <v>7378</v>
      </c>
      <c r="I159" s="980"/>
      <c r="J159" s="980"/>
      <c r="K159" s="978" t="s">
        <v>7379</v>
      </c>
      <c r="L159" s="980"/>
      <c r="M159" s="980" t="s">
        <v>7373</v>
      </c>
      <c r="N159" s="980"/>
      <c r="O159" s="980"/>
      <c r="P159" s="980"/>
      <c r="Q159" s="980"/>
      <c r="R159" s="980"/>
      <c r="S159" s="980" t="s">
        <v>7370</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3" t="s">
        <v>7380</v>
      </c>
      <c r="B160" s="1074" t="s">
        <v>7082</v>
      </c>
      <c r="C160" s="1030" t="s">
        <v>1988</v>
      </c>
      <c r="D160" s="980" t="s">
        <v>7381</v>
      </c>
      <c r="E160" s="980"/>
      <c r="F160" s="980"/>
      <c r="G160" s="980" t="s">
        <v>4420</v>
      </c>
      <c r="H160" s="980" t="s">
        <v>2867</v>
      </c>
      <c r="I160" s="980" t="s">
        <v>7382</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5"/>
      <c r="BC160" s="1075"/>
      <c r="BD160" s="1007"/>
      <c r="BE160" s="1007"/>
      <c r="BF160" s="1007"/>
      <c r="BG160" s="1007"/>
      <c r="BH160" s="1075"/>
      <c r="BI160" s="1075"/>
      <c r="BJ160" s="1075"/>
    </row>
    <row r="161" ht="15.75" customHeight="1">
      <c r="A161" s="1078" t="s">
        <v>7093</v>
      </c>
      <c r="B161" s="1079" t="s">
        <v>7082</v>
      </c>
      <c r="C161" s="1030" t="s">
        <v>7383</v>
      </c>
      <c r="D161" s="1021" t="s">
        <v>7384</v>
      </c>
      <c r="E161" s="1021"/>
      <c r="F161" s="1021"/>
      <c r="G161" s="1021"/>
      <c r="H161" s="1021" t="s">
        <v>7383</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3" t="s">
        <v>7083</v>
      </c>
      <c r="B162" s="1080" t="s">
        <v>7385</v>
      </c>
      <c r="C162" s="1030" t="s">
        <v>4986</v>
      </c>
      <c r="D162" s="1081"/>
      <c r="E162" s="1081"/>
      <c r="F162" s="1081"/>
      <c r="G162" s="1081"/>
      <c r="H162" s="1081"/>
      <c r="I162" s="1081"/>
      <c r="J162" s="1081"/>
      <c r="K162" s="989"/>
      <c r="L162" s="1081" t="s">
        <v>4986</v>
      </c>
      <c r="M162" s="1081"/>
      <c r="N162" s="1081"/>
      <c r="O162" s="1081"/>
      <c r="P162" s="1081"/>
      <c r="Q162" s="1081"/>
      <c r="R162" s="1081"/>
      <c r="S162" s="1081"/>
      <c r="T162" s="1081"/>
      <c r="U162" s="1081"/>
      <c r="V162" s="1081"/>
      <c r="W162" s="1081"/>
      <c r="X162" s="1081"/>
      <c r="Y162" s="1081"/>
      <c r="Z162" s="1081"/>
      <c r="AA162" s="1081"/>
      <c r="AB162" s="1081"/>
      <c r="AC162" s="1081"/>
      <c r="AD162" s="1081"/>
      <c r="AE162" s="1081"/>
      <c r="AF162" s="1081"/>
      <c r="AG162" s="1081"/>
      <c r="AH162" s="1081"/>
      <c r="AI162" s="1081"/>
      <c r="AJ162" s="1081"/>
      <c r="AK162" s="1081"/>
      <c r="AL162" s="1081"/>
      <c r="AM162" s="1081"/>
      <c r="AN162" s="1081"/>
      <c r="AO162" s="1081"/>
      <c r="AP162" s="1081"/>
      <c r="AQ162" s="1081"/>
      <c r="AR162" s="1081"/>
      <c r="AS162" s="1081"/>
      <c r="AT162" s="1081"/>
      <c r="AU162" s="1081"/>
      <c r="AV162" s="1081"/>
      <c r="AW162" s="1081"/>
      <c r="AX162" s="1081"/>
      <c r="AY162" s="1081"/>
      <c r="AZ162" s="1081"/>
      <c r="BA162" s="1081"/>
      <c r="BB162" s="1075"/>
      <c r="BC162" s="1075"/>
      <c r="BD162" s="1007"/>
      <c r="BE162" s="1007"/>
      <c r="BF162" s="1007"/>
      <c r="BG162" s="1007"/>
      <c r="BH162" s="1075"/>
      <c r="BI162" s="1075"/>
      <c r="BJ162" s="1075"/>
    </row>
    <row r="163" ht="15.75" customHeight="1">
      <c r="A163" s="1076"/>
      <c r="B163" s="1077" t="s">
        <v>7386</v>
      </c>
      <c r="C163" s="1030" t="s">
        <v>7387</v>
      </c>
      <c r="D163" s="980" t="s">
        <v>7387</v>
      </c>
      <c r="E163" s="980"/>
      <c r="F163" s="980" t="s">
        <v>7388</v>
      </c>
      <c r="G163" s="980"/>
      <c r="H163" s="980" t="s">
        <v>5981</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7389</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8" t="s">
        <v>7093</v>
      </c>
      <c r="B164" s="1082" t="s">
        <v>7390</v>
      </c>
      <c r="C164" s="1030" t="s">
        <v>7391</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7392</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5"/>
      <c r="BC164" s="1075"/>
      <c r="BD164" s="1007"/>
      <c r="BE164" s="1007"/>
      <c r="BF164" s="1007"/>
      <c r="BG164" s="1007"/>
      <c r="BH164" s="1075"/>
      <c r="BI164" s="1075"/>
      <c r="BJ164" s="1075"/>
    </row>
    <row r="165" ht="15.75" customHeight="1">
      <c r="A165" s="1076"/>
      <c r="B165" s="1077" t="s">
        <v>7393</v>
      </c>
      <c r="C165" s="1030" t="s">
        <v>7394</v>
      </c>
      <c r="D165" s="980" t="s">
        <v>7394</v>
      </c>
      <c r="E165" s="980" t="s">
        <v>2807</v>
      </c>
      <c r="F165" s="980" t="s">
        <v>7395</v>
      </c>
      <c r="G165" s="980" t="s">
        <v>866</v>
      </c>
      <c r="H165" s="980" t="s">
        <v>2952</v>
      </c>
      <c r="I165" s="980" t="s">
        <v>1301</v>
      </c>
      <c r="J165" s="980" t="s">
        <v>1456</v>
      </c>
      <c r="K165" s="978" t="s">
        <v>1842</v>
      </c>
      <c r="L165" s="980" t="s">
        <v>2057</v>
      </c>
      <c r="M165" s="980"/>
      <c r="N165" s="980" t="s">
        <v>1842</v>
      </c>
      <c r="O165" s="980" t="s">
        <v>5249</v>
      </c>
      <c r="P165" s="980"/>
      <c r="Q165" s="980"/>
      <c r="R165" s="980"/>
      <c r="S165" s="980"/>
      <c r="T165" s="980" t="s">
        <v>7396</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6"/>
      <c r="B166" s="1077" t="s">
        <v>7397</v>
      </c>
      <c r="C166" s="1030" t="s">
        <v>3802</v>
      </c>
      <c r="D166" s="980" t="s">
        <v>3802</v>
      </c>
      <c r="E166" s="980" t="s">
        <v>1028</v>
      </c>
      <c r="F166" s="980" t="s">
        <v>1028</v>
      </c>
      <c r="G166" s="980"/>
      <c r="H166" s="980"/>
      <c r="I166" s="980"/>
      <c r="J166" s="980" t="s">
        <v>5191</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5"/>
      <c r="BC166" s="1075"/>
      <c r="BD166" s="1007"/>
      <c r="BE166" s="1007"/>
      <c r="BF166" s="1007"/>
      <c r="BG166" s="1007"/>
      <c r="BH166" s="1075"/>
      <c r="BI166" s="1075"/>
      <c r="BJ166" s="1075"/>
    </row>
    <row r="167" ht="15.75" customHeight="1">
      <c r="A167" s="1078" t="s">
        <v>7398</v>
      </c>
      <c r="B167" s="1082" t="s">
        <v>7205</v>
      </c>
      <c r="C167" s="1030" t="s">
        <v>3891</v>
      </c>
      <c r="D167" s="1081"/>
      <c r="E167" s="1081"/>
      <c r="F167" s="1081"/>
      <c r="G167" s="1081" t="s">
        <v>2848</v>
      </c>
      <c r="H167" s="1081"/>
      <c r="I167" s="1081"/>
      <c r="J167" s="1081"/>
      <c r="K167" s="989"/>
      <c r="L167" s="1081"/>
      <c r="M167" s="1081"/>
      <c r="N167" s="1081"/>
      <c r="O167" s="1081"/>
      <c r="P167" s="1081"/>
      <c r="Q167" s="1081"/>
      <c r="R167" s="1081"/>
      <c r="S167" s="1081"/>
      <c r="T167" s="1081"/>
      <c r="U167" s="1081"/>
      <c r="V167" s="1081"/>
      <c r="W167" s="1081"/>
      <c r="X167" s="1081"/>
      <c r="Y167" s="1081"/>
      <c r="Z167" s="1081" t="s">
        <v>3260</v>
      </c>
      <c r="AA167" s="1081"/>
      <c r="AB167" s="1081"/>
      <c r="AC167" s="1081"/>
      <c r="AD167" s="1081"/>
      <c r="AE167" s="1081"/>
      <c r="AF167" s="1081"/>
      <c r="AG167" s="1081"/>
      <c r="AH167" s="1081"/>
      <c r="AI167" s="1081"/>
      <c r="AJ167" s="1081"/>
      <c r="AK167" s="1081"/>
      <c r="AL167" s="1081"/>
      <c r="AM167" s="1081"/>
      <c r="AN167" s="1081"/>
      <c r="AO167" s="1081"/>
      <c r="AP167" s="1081"/>
      <c r="AQ167" s="1081"/>
      <c r="AR167" s="1081"/>
      <c r="AS167" s="1081"/>
      <c r="AT167" s="1081"/>
      <c r="AU167" s="1081"/>
      <c r="AV167" s="1081"/>
      <c r="AW167" s="1081"/>
      <c r="AX167" s="1081"/>
      <c r="AY167" s="1081"/>
      <c r="AZ167" s="1081"/>
      <c r="BA167" s="1081"/>
      <c r="BB167" s="981"/>
      <c r="BC167" s="981"/>
      <c r="BD167" s="1007"/>
      <c r="BE167" s="1007"/>
      <c r="BF167" s="1007"/>
      <c r="BG167" s="1007"/>
      <c r="BH167" s="981"/>
      <c r="BI167" s="981"/>
      <c r="BJ167" s="981"/>
    </row>
    <row r="168" ht="15.75" customHeight="1">
      <c r="A168" s="1076"/>
      <c r="B168" s="1077" t="s">
        <v>7399</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3" t="s">
        <v>199</v>
      </c>
      <c r="AS168" s="980"/>
      <c r="AT168" s="980"/>
      <c r="AU168" s="980"/>
      <c r="AV168" s="980"/>
      <c r="AW168" s="980"/>
      <c r="AX168" s="980"/>
      <c r="AY168" s="980"/>
      <c r="AZ168" s="980"/>
      <c r="BA168" s="980"/>
      <c r="BB168" s="1075"/>
      <c r="BC168" s="1075"/>
      <c r="BD168" s="1007"/>
      <c r="BE168" s="1007"/>
      <c r="BF168" s="1007"/>
      <c r="BG168" s="1007"/>
      <c r="BH168" s="1075"/>
      <c r="BI168" s="1075"/>
      <c r="BJ168" s="1075"/>
    </row>
    <row r="169" ht="15.75" customHeight="1">
      <c r="A169" s="1078" t="s">
        <v>7400</v>
      </c>
      <c r="B169" s="1082" t="s">
        <v>7205</v>
      </c>
      <c r="C169" s="1030" t="s">
        <v>7401</v>
      </c>
      <c r="D169" s="1081"/>
      <c r="E169" s="1081"/>
      <c r="F169" s="1081"/>
      <c r="G169" s="1081"/>
      <c r="H169" s="1081" t="s">
        <v>7401</v>
      </c>
      <c r="I169" s="1081"/>
      <c r="J169" s="1081"/>
      <c r="K169" s="989"/>
      <c r="L169" s="1081" t="s">
        <v>7402</v>
      </c>
      <c r="M169" s="1081"/>
      <c r="N169" s="1081"/>
      <c r="O169" s="1081"/>
      <c r="P169" s="1081"/>
      <c r="Q169" s="1081"/>
      <c r="R169" s="1081"/>
      <c r="S169" s="1081"/>
      <c r="T169" s="1081"/>
      <c r="U169" s="1081"/>
      <c r="V169" s="1081"/>
      <c r="W169" s="1081"/>
      <c r="X169" s="1081"/>
      <c r="Y169" s="1081"/>
      <c r="Z169" s="1081"/>
      <c r="AA169" s="1081"/>
      <c r="AB169" s="1081" t="s">
        <v>7403</v>
      </c>
      <c r="AC169" s="1081"/>
      <c r="AD169" s="1081"/>
      <c r="AE169" s="1081"/>
      <c r="AF169" s="1081"/>
      <c r="AG169" s="1081"/>
      <c r="AH169" s="1081"/>
      <c r="AI169" s="1081"/>
      <c r="AJ169" s="1081"/>
      <c r="AK169" s="1081"/>
      <c r="AL169" s="1081"/>
      <c r="AM169" s="1081"/>
      <c r="AN169" s="1081"/>
      <c r="AO169" s="1081"/>
      <c r="AP169" s="1081"/>
      <c r="AQ169" s="1081"/>
      <c r="AR169" s="1081"/>
      <c r="AS169" s="1081"/>
      <c r="AT169" s="1081"/>
      <c r="AU169" s="1081"/>
      <c r="AV169" s="1081"/>
      <c r="AW169" s="1081"/>
      <c r="AX169" s="1081"/>
      <c r="AY169" s="1081"/>
      <c r="AZ169" s="1081"/>
      <c r="BA169" s="1081"/>
      <c r="BB169" s="981"/>
      <c r="BC169" s="981"/>
      <c r="BD169" s="1007"/>
      <c r="BE169" s="1007"/>
      <c r="BF169" s="1007"/>
      <c r="BG169" s="1007"/>
      <c r="BH169" s="981"/>
      <c r="BI169" s="981"/>
      <c r="BJ169" s="981"/>
    </row>
    <row r="170" ht="15.75" customHeight="1">
      <c r="A170" s="1084"/>
      <c r="B170" s="1085" t="s">
        <v>7399</v>
      </c>
      <c r="C170" s="1030" t="s">
        <v>7404</v>
      </c>
      <c r="D170" s="976" t="s">
        <v>7404</v>
      </c>
      <c r="E170" s="977"/>
      <c r="F170" s="977"/>
      <c r="G170" s="977"/>
      <c r="H170" s="977" t="s">
        <v>7404</v>
      </c>
      <c r="I170" s="977"/>
      <c r="J170" s="977"/>
      <c r="K170" s="978"/>
      <c r="L170" s="977"/>
      <c r="M170" s="977"/>
      <c r="N170" s="977"/>
      <c r="O170" s="977"/>
      <c r="P170" s="977"/>
      <c r="Q170" s="977"/>
      <c r="R170" s="977"/>
      <c r="S170" s="977"/>
      <c r="T170" s="977"/>
      <c r="U170" s="977"/>
      <c r="V170" s="976" t="s">
        <v>7404</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7405</v>
      </c>
      <c r="AS170" s="977"/>
      <c r="AT170" s="977"/>
      <c r="AU170" s="977"/>
      <c r="AV170" s="977"/>
      <c r="AW170" s="977"/>
      <c r="AX170" s="977"/>
      <c r="AY170" s="977" t="s">
        <v>7406</v>
      </c>
      <c r="AZ170" s="977"/>
      <c r="BA170" s="977"/>
      <c r="BB170" s="1075"/>
      <c r="BC170" s="1075"/>
      <c r="BD170" s="1020"/>
      <c r="BE170" s="1020"/>
      <c r="BF170" s="1020"/>
      <c r="BG170" s="1020"/>
      <c r="BH170" s="1075"/>
      <c r="BI170" s="1075"/>
      <c r="BJ170" s="1075"/>
    </row>
    <row r="171" ht="15.75" customHeight="1">
      <c r="A171" s="1078" t="s">
        <v>7407</v>
      </c>
      <c r="B171" s="1082" t="s">
        <v>7082</v>
      </c>
      <c r="C171" s="1030" t="str">
        <f>HYPERLINK("https://www.youtube.com/watch?v=_HQgQjbTLjM","1:11.32")</f>
        <v>1:11.32</v>
      </c>
      <c r="D171" s="1081"/>
      <c r="E171" s="1081" t="s">
        <v>884</v>
      </c>
      <c r="F171" s="1081"/>
      <c r="G171" s="1081" t="s">
        <v>875</v>
      </c>
      <c r="H171" s="1081"/>
      <c r="I171" s="1081" t="s">
        <v>1307</v>
      </c>
      <c r="J171" s="1081" t="s">
        <v>1472</v>
      </c>
      <c r="K171" s="989"/>
      <c r="L171" s="1081" t="s">
        <v>6846</v>
      </c>
      <c r="M171" s="1081"/>
      <c r="N171" s="1081"/>
      <c r="O171" s="1081" t="s">
        <v>3362</v>
      </c>
      <c r="P171" s="1081"/>
      <c r="Q171" s="1081"/>
      <c r="R171" s="1081"/>
      <c r="S171" s="1081"/>
      <c r="T171" s="1081"/>
      <c r="U171" s="1081"/>
      <c r="V171" s="1081"/>
      <c r="W171" s="1081"/>
      <c r="X171" s="1081"/>
      <c r="Y171" s="1081"/>
      <c r="Z171" s="1081"/>
      <c r="AA171" s="1081"/>
      <c r="AB171" s="1081"/>
      <c r="AC171" s="1081"/>
      <c r="AD171" s="1081"/>
      <c r="AE171" s="1081"/>
      <c r="AF171" s="1081"/>
      <c r="AG171" s="1081"/>
      <c r="AH171" s="1081"/>
      <c r="AI171" s="1081"/>
      <c r="AJ171" s="1081"/>
      <c r="AK171" s="1081"/>
      <c r="AL171" s="1081"/>
      <c r="AM171" s="1081"/>
      <c r="AN171" s="1081"/>
      <c r="AO171" s="1081"/>
      <c r="AP171" s="1081"/>
      <c r="AQ171" s="1081"/>
      <c r="AR171" s="939" t="s">
        <v>1687</v>
      </c>
      <c r="AS171" s="1081"/>
      <c r="AT171" s="1081"/>
      <c r="AU171" s="1081"/>
      <c r="AV171" s="1081"/>
      <c r="AW171" s="1081"/>
      <c r="AX171" s="1081"/>
      <c r="AY171" s="1081"/>
      <c r="AZ171" s="1081"/>
      <c r="BA171" s="1081"/>
      <c r="BB171" s="981"/>
      <c r="BC171" s="981"/>
      <c r="BD171" s="1007"/>
      <c r="BE171" s="1007"/>
      <c r="BF171" s="1007"/>
      <c r="BG171" s="1007"/>
      <c r="BH171" s="981"/>
      <c r="BI171" s="981"/>
      <c r="BJ171" s="981"/>
    </row>
    <row r="172" ht="15.75" customHeight="1">
      <c r="A172" s="1078" t="s">
        <v>7408</v>
      </c>
      <c r="B172" s="1082" t="s">
        <v>7082</v>
      </c>
      <c r="C172" s="1030" t="s">
        <v>319</v>
      </c>
      <c r="D172" s="1081"/>
      <c r="E172" s="1081"/>
      <c r="F172" s="1081"/>
      <c r="G172" s="1081"/>
      <c r="H172" s="1081"/>
      <c r="I172" s="1081"/>
      <c r="J172" s="1081"/>
      <c r="K172" s="989"/>
      <c r="L172" s="1081" t="s">
        <v>319</v>
      </c>
      <c r="M172" s="1081"/>
      <c r="N172" s="1081"/>
      <c r="O172" s="1081"/>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1081"/>
      <c r="AS172" s="1081"/>
      <c r="AT172" s="1081"/>
      <c r="AU172" s="1081"/>
      <c r="AV172" s="1081"/>
      <c r="AW172" s="1081"/>
      <c r="AX172" s="1081"/>
      <c r="AY172" s="1081"/>
      <c r="AZ172" s="1081"/>
      <c r="BA172" s="1081"/>
      <c r="BB172" s="1075"/>
      <c r="BC172" s="1075"/>
      <c r="BD172" s="1007"/>
      <c r="BE172" s="1007"/>
      <c r="BF172" s="1007"/>
      <c r="BG172" s="1007"/>
      <c r="BH172" s="1075"/>
      <c r="BI172" s="1075"/>
      <c r="BJ172" s="1075"/>
    </row>
    <row r="173" ht="15.75" customHeight="1">
      <c r="A173" s="1078" t="s">
        <v>7409</v>
      </c>
      <c r="B173" s="1082" t="s">
        <v>7410</v>
      </c>
      <c r="C173" s="1030" t="s">
        <v>7411</v>
      </c>
      <c r="D173" s="1081"/>
      <c r="E173" s="1081"/>
      <c r="F173" s="1081"/>
      <c r="G173" s="1081"/>
      <c r="H173" s="1081"/>
      <c r="I173" s="1081"/>
      <c r="J173" s="1081"/>
      <c r="K173" s="989"/>
      <c r="L173" s="1081" t="s">
        <v>7411</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981"/>
      <c r="BC173" s="981"/>
      <c r="BD173" s="1007"/>
      <c r="BE173" s="1007"/>
      <c r="BF173" s="1007"/>
      <c r="BG173" s="1007"/>
      <c r="BH173" s="981"/>
      <c r="BI173" s="981"/>
      <c r="BJ173" s="981"/>
    </row>
    <row r="174" ht="15.75" customHeight="1">
      <c r="A174" s="1084"/>
      <c r="B174" s="1085" t="s">
        <v>7412</v>
      </c>
      <c r="C174" s="1030" t="s">
        <v>2379</v>
      </c>
      <c r="D174" s="1081"/>
      <c r="E174" s="1081"/>
      <c r="F174" s="1081"/>
      <c r="G174" s="1081"/>
      <c r="H174" s="1081"/>
      <c r="I174" s="1081"/>
      <c r="J174" s="1081"/>
      <c r="K174" s="989"/>
      <c r="L174" s="1081" t="s">
        <v>2379</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1075"/>
      <c r="BC174" s="1075"/>
      <c r="BD174" s="1007"/>
      <c r="BE174" s="1007"/>
      <c r="BF174" s="1007"/>
      <c r="BG174" s="1007"/>
      <c r="BH174" s="1075"/>
      <c r="BI174" s="1075"/>
      <c r="BJ174" s="1075"/>
    </row>
    <row r="175" ht="15.75" customHeight="1">
      <c r="A175" s="1073" t="s">
        <v>7102</v>
      </c>
      <c r="B175" s="1080" t="s">
        <v>7413</v>
      </c>
      <c r="C175" s="1030" t="s">
        <v>2562</v>
      </c>
      <c r="D175" s="1081"/>
      <c r="E175" s="1081"/>
      <c r="F175" s="1081"/>
      <c r="G175" s="1081"/>
      <c r="H175" s="1081"/>
      <c r="I175" s="1081" t="s">
        <v>7414</v>
      </c>
      <c r="J175" s="1081"/>
      <c r="K175" s="989"/>
      <c r="L175" s="1081"/>
      <c r="M175" s="1081"/>
      <c r="N175" s="1081" t="s">
        <v>4460</v>
      </c>
      <c r="O175" s="1081"/>
      <c r="P175" s="1081"/>
      <c r="Q175" s="1081"/>
      <c r="R175" s="1081"/>
      <c r="S175" s="1081"/>
      <c r="T175" s="1081" t="s">
        <v>257</v>
      </c>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7"/>
      <c r="BE175" s="1007"/>
      <c r="BF175" s="1007"/>
      <c r="BG175" s="1007"/>
      <c r="BH175" s="1075"/>
      <c r="BI175" s="1075"/>
      <c r="BJ175" s="1075"/>
    </row>
    <row r="176" ht="15.75" customHeight="1">
      <c r="A176" s="1076"/>
      <c r="B176" s="1077" t="s">
        <v>7415</v>
      </c>
      <c r="C176" s="1030" t="s">
        <v>819</v>
      </c>
      <c r="D176" s="1081"/>
      <c r="E176" s="1081"/>
      <c r="F176" s="1081"/>
      <c r="G176" s="1081"/>
      <c r="H176" s="1081"/>
      <c r="I176" s="1081"/>
      <c r="J176" s="1081" t="s">
        <v>6441</v>
      </c>
      <c r="K176" s="989"/>
      <c r="L176" s="1081"/>
      <c r="M176" s="1081"/>
      <c r="N176" s="1081" t="s">
        <v>7416</v>
      </c>
      <c r="O176" s="1081" t="s">
        <v>3082</v>
      </c>
      <c r="P176" s="1081"/>
      <c r="Q176" s="1081"/>
      <c r="R176" s="1081"/>
      <c r="S176" s="1081"/>
      <c r="T176" s="1081"/>
      <c r="U176" s="1081"/>
      <c r="V176" s="1081"/>
      <c r="W176" s="1081"/>
      <c r="X176" s="1081"/>
      <c r="Y176" s="1081"/>
      <c r="Z176" s="1081"/>
      <c r="AA176" s="1081"/>
      <c r="AB176" s="1081"/>
      <c r="AC176" s="1081"/>
      <c r="AD176" s="1081"/>
      <c r="AE176" s="1081"/>
      <c r="AF176" s="1081"/>
      <c r="AG176" s="1081"/>
      <c r="AH176" s="1081"/>
      <c r="AI176" s="1081"/>
      <c r="AJ176" s="1081"/>
      <c r="AK176" s="1081"/>
      <c r="AL176" s="1081" t="s">
        <v>3291</v>
      </c>
      <c r="AM176" s="1081"/>
      <c r="AN176" s="1081"/>
      <c r="AO176" s="1081"/>
      <c r="AP176" s="1081"/>
      <c r="AQ176" s="1081"/>
      <c r="AR176" s="1081" t="s">
        <v>7417</v>
      </c>
      <c r="AS176" s="1081"/>
      <c r="AT176" s="1081"/>
      <c r="AU176" s="1081"/>
      <c r="AV176" s="1081"/>
      <c r="AW176" s="1081"/>
      <c r="AX176" s="1081"/>
      <c r="AY176" s="1081" t="s">
        <v>4500</v>
      </c>
      <c r="AZ176" s="1081"/>
      <c r="BA176" s="1081"/>
      <c r="BB176" s="981"/>
      <c r="BC176" s="981"/>
      <c r="BD176" s="1007"/>
      <c r="BE176" s="1007"/>
      <c r="BF176" s="1007"/>
      <c r="BG176" s="1007"/>
      <c r="BH176" s="981"/>
      <c r="BI176" s="981"/>
      <c r="BJ176" s="981"/>
    </row>
    <row r="177" ht="15.75" customHeight="1">
      <c r="A177" s="1076"/>
      <c r="B177" s="1077" t="s">
        <v>7418</v>
      </c>
      <c r="C177" s="1030" t="s">
        <v>491</v>
      </c>
      <c r="D177" s="1081"/>
      <c r="E177" s="1081"/>
      <c r="F177" s="1081" t="s">
        <v>1029</v>
      </c>
      <c r="G177" s="1081" t="s">
        <v>867</v>
      </c>
      <c r="H177" s="1081" t="s">
        <v>783</v>
      </c>
      <c r="I177" s="1081" t="s">
        <v>626</v>
      </c>
      <c r="J177" s="1081"/>
      <c r="K177" s="989"/>
      <c r="L177" s="1081" t="s">
        <v>5451</v>
      </c>
      <c r="M177" s="1081" t="s">
        <v>491</v>
      </c>
      <c r="N177" s="1081"/>
      <c r="O177" s="1081"/>
      <c r="P177" s="1081" t="s">
        <v>6226</v>
      </c>
      <c r="Q177" s="1081"/>
      <c r="R177" s="1081"/>
      <c r="S177" s="1081" t="s">
        <v>1520</v>
      </c>
      <c r="T177" s="1081" t="s">
        <v>582</v>
      </c>
      <c r="U177" s="1081"/>
      <c r="V177" s="1081"/>
      <c r="W177" s="1081"/>
      <c r="X177" s="1081"/>
      <c r="Y177" s="1081"/>
      <c r="Z177" s="1081"/>
      <c r="AA177" s="1081"/>
      <c r="AB177" s="1081"/>
      <c r="AC177" s="1081"/>
      <c r="AD177" s="1081"/>
      <c r="AE177" s="1081"/>
      <c r="AF177" s="1081"/>
      <c r="AG177" s="1081"/>
      <c r="AH177" s="1081"/>
      <c r="AI177" s="1081"/>
      <c r="AJ177" s="1081"/>
      <c r="AK177" s="1081"/>
      <c r="AL177" s="1081"/>
      <c r="AM177" s="1081"/>
      <c r="AN177" s="1081"/>
      <c r="AO177" s="1081"/>
      <c r="AP177" s="1081"/>
      <c r="AQ177" s="1081"/>
      <c r="AR177" s="980" t="s">
        <v>2744</v>
      </c>
      <c r="AS177" s="1081"/>
      <c r="AT177" s="1081"/>
      <c r="AU177" s="1081"/>
      <c r="AV177" s="1081"/>
      <c r="AW177" s="1081"/>
      <c r="AX177" s="1081"/>
      <c r="AY177" s="1081"/>
      <c r="AZ177" s="1081"/>
      <c r="BA177" s="1081"/>
      <c r="BB177" s="1075"/>
      <c r="BC177" s="1075"/>
      <c r="BD177" s="1007"/>
      <c r="BE177" s="1007"/>
      <c r="BF177" s="1007"/>
      <c r="BG177" s="1007"/>
      <c r="BH177" s="1075"/>
      <c r="BI177" s="1075"/>
      <c r="BJ177" s="1075"/>
    </row>
    <row r="178" ht="15.75" customHeight="1">
      <c r="A178" s="1078" t="s">
        <v>7093</v>
      </c>
      <c r="B178" s="1082" t="s">
        <v>7419</v>
      </c>
      <c r="C178" s="1030"/>
      <c r="D178" s="1081"/>
      <c r="E178" s="1081"/>
      <c r="F178" s="1081"/>
      <c r="G178" s="1081"/>
      <c r="H178" s="1081"/>
      <c r="I178" s="1081"/>
      <c r="J178" s="1081"/>
      <c r="K178" s="989"/>
      <c r="L178" s="1081"/>
      <c r="M178" s="1081"/>
      <c r="N178" s="1081"/>
      <c r="O178" s="1081"/>
      <c r="P178" s="1081"/>
      <c r="Q178" s="1081"/>
      <c r="R178" s="1081"/>
      <c r="S178" s="1081"/>
      <c r="T178" s="1081"/>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1081"/>
      <c r="AS178" s="1081"/>
      <c r="AT178" s="1081"/>
      <c r="AU178" s="1081"/>
      <c r="AV178" s="1081"/>
      <c r="AW178" s="1081"/>
      <c r="AX178" s="1081"/>
      <c r="AY178" s="1081"/>
      <c r="AZ178" s="1081"/>
      <c r="BA178" s="1081"/>
      <c r="BB178" s="981"/>
      <c r="BC178" s="981"/>
      <c r="BD178" s="1007"/>
      <c r="BE178" s="1007"/>
      <c r="BF178" s="1007"/>
      <c r="BG178" s="1007"/>
      <c r="BH178" s="981"/>
      <c r="BI178" s="981"/>
      <c r="BJ178" s="981"/>
    </row>
    <row r="179" ht="15.75" customHeight="1">
      <c r="A179" s="1076"/>
      <c r="B179" s="1077" t="s">
        <v>7420</v>
      </c>
      <c r="C179" s="1030" t="s">
        <v>7421</v>
      </c>
      <c r="D179" s="1081"/>
      <c r="E179" s="1081"/>
      <c r="F179" s="1081"/>
      <c r="G179" s="1081"/>
      <c r="H179" s="1081"/>
      <c r="I179" s="1081"/>
      <c r="J179" s="1081"/>
      <c r="K179" s="989"/>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1075"/>
      <c r="BC179" s="1075"/>
      <c r="BD179" s="1007"/>
      <c r="BE179" s="1007"/>
      <c r="BF179" s="1007"/>
      <c r="BG179" s="1007"/>
      <c r="BH179" s="1075"/>
      <c r="BI179" s="1075"/>
      <c r="BJ179" s="1075"/>
    </row>
    <row r="180" ht="15.75" customHeight="1">
      <c r="A180" s="1076"/>
      <c r="B180" s="1077" t="s">
        <v>7422</v>
      </c>
      <c r="C180" s="1030" t="s">
        <v>7423</v>
      </c>
      <c r="D180" s="1081"/>
      <c r="E180" s="1081"/>
      <c r="F180" s="1081"/>
      <c r="G180" s="1081"/>
      <c r="H180" s="1081"/>
      <c r="I180" s="1081"/>
      <c r="J180" s="1081"/>
      <c r="K180" s="989"/>
      <c r="L180" s="1081"/>
      <c r="M180" s="1081"/>
      <c r="N180" s="1081"/>
      <c r="O180" s="1081"/>
      <c r="P180" s="1081"/>
      <c r="Q180" s="1081"/>
      <c r="R180" s="1081"/>
      <c r="S180" s="1081"/>
      <c r="T180" s="1081"/>
      <c r="U180" s="1081"/>
      <c r="V180" s="1081"/>
      <c r="W180" s="1081"/>
      <c r="X180" s="1081"/>
      <c r="Y180" s="1081"/>
      <c r="Z180" s="1081"/>
      <c r="AA180" s="1081"/>
      <c r="AB180" s="1081" t="s">
        <v>1545</v>
      </c>
      <c r="AC180" s="1081"/>
      <c r="AD180" s="1081" t="s">
        <v>1911</v>
      </c>
      <c r="AE180" s="1081"/>
      <c r="AF180" s="1081"/>
      <c r="AG180" s="1081"/>
      <c r="AH180" s="1081"/>
      <c r="AI180" s="1081"/>
      <c r="AJ180" s="1081"/>
      <c r="AK180" s="1081"/>
      <c r="AL180" s="1081"/>
      <c r="AM180" s="1081"/>
      <c r="AN180" s="1081"/>
      <c r="AO180" s="1081"/>
      <c r="AP180" s="1081"/>
      <c r="AQ180" s="1081"/>
      <c r="AR180" s="1081" t="s">
        <v>1545</v>
      </c>
      <c r="AS180" s="1081"/>
      <c r="AT180" s="1081"/>
      <c r="AU180" s="1081"/>
      <c r="AV180" s="1081"/>
      <c r="AW180" s="1081"/>
      <c r="AX180" s="1081"/>
      <c r="AY180" s="1081"/>
      <c r="AZ180" s="1081"/>
      <c r="BA180" s="1081"/>
      <c r="BB180" s="981"/>
      <c r="BC180" s="981"/>
      <c r="BD180" s="1007"/>
      <c r="BE180" s="1007"/>
      <c r="BF180" s="1007"/>
      <c r="BG180" s="1007"/>
      <c r="BH180" s="981"/>
      <c r="BI180" s="981"/>
      <c r="BJ180" s="981"/>
    </row>
    <row r="181" ht="15.75" customHeight="1">
      <c r="A181" s="1076"/>
      <c r="B181" s="1077" t="s">
        <v>7424</v>
      </c>
      <c r="C181" s="1030" t="s">
        <v>2228</v>
      </c>
      <c r="D181" s="1081"/>
      <c r="E181" s="1081"/>
      <c r="F181" s="1081"/>
      <c r="G181" s="1081"/>
      <c r="H181" s="1081" t="s">
        <v>2943</v>
      </c>
      <c r="I181" s="1081"/>
      <c r="J181" s="1081"/>
      <c r="K181" s="989"/>
      <c r="L181" s="1081"/>
      <c r="M181" s="1081" t="s">
        <v>2228</v>
      </c>
      <c r="N181" s="1081"/>
      <c r="O181" s="1081"/>
      <c r="P181" s="1081"/>
      <c r="Q181" s="1081"/>
      <c r="R181" s="1081"/>
      <c r="S181" s="1081" t="s">
        <v>685</v>
      </c>
      <c r="T181" s="1081"/>
      <c r="U181" s="1081"/>
      <c r="V181" s="1081"/>
      <c r="W181" s="1031" t="s">
        <v>2228</v>
      </c>
      <c r="X181" s="1081"/>
      <c r="Y181" s="1081"/>
      <c r="Z181" s="1081"/>
      <c r="AA181" s="1081"/>
      <c r="AB181" s="1081"/>
      <c r="AC181" s="1081"/>
      <c r="AD181" s="1081"/>
      <c r="AE181" s="1081"/>
      <c r="AF181" s="1081"/>
      <c r="AG181" s="1081"/>
      <c r="AH181" s="1081"/>
      <c r="AI181" s="1081" t="s">
        <v>1404</v>
      </c>
      <c r="AJ181" s="1081"/>
      <c r="AK181" s="1081"/>
      <c r="AL181" s="1081"/>
      <c r="AM181" s="1081"/>
      <c r="AN181" s="1081"/>
      <c r="AO181" s="1081"/>
      <c r="AP181" s="1081"/>
      <c r="AQ181" s="1081"/>
      <c r="AR181" s="997" t="s">
        <v>7425</v>
      </c>
      <c r="AS181" s="1081"/>
      <c r="AT181" s="1081"/>
      <c r="AU181" s="1081"/>
      <c r="AV181" s="1081"/>
      <c r="AW181" s="1081"/>
      <c r="AX181" s="1081"/>
      <c r="AY181" s="1081"/>
      <c r="AZ181" s="1081"/>
      <c r="BA181" s="1081"/>
      <c r="BB181" s="1075"/>
      <c r="BC181" s="1075"/>
      <c r="BD181" s="1007"/>
      <c r="BE181" s="1007"/>
      <c r="BF181" s="1007"/>
      <c r="BG181" s="1007"/>
      <c r="BH181" s="1075"/>
      <c r="BI181" s="1075"/>
      <c r="BJ181" s="1075"/>
    </row>
    <row r="182" ht="15.75" customHeight="1">
      <c r="A182" s="1073" t="s">
        <v>7209</v>
      </c>
      <c r="B182" s="1086" t="s">
        <v>7426</v>
      </c>
      <c r="C182" s="1030" t="s">
        <v>5309</v>
      </c>
      <c r="D182" s="1081"/>
      <c r="E182" s="1081"/>
      <c r="F182" s="1081"/>
      <c r="G182" s="1081"/>
      <c r="H182" s="1081"/>
      <c r="I182" s="1081" t="s">
        <v>2833</v>
      </c>
      <c r="J182" s="1081"/>
      <c r="K182" s="989"/>
      <c r="L182" s="1081"/>
      <c r="M182" s="1081"/>
      <c r="N182" s="1081"/>
      <c r="O182" s="1081"/>
      <c r="P182" s="1081"/>
      <c r="Q182" s="1081"/>
      <c r="R182" s="1081"/>
      <c r="S182" s="1081"/>
      <c r="T182" s="1081"/>
      <c r="U182" s="1081"/>
      <c r="V182" s="1081"/>
      <c r="W182" s="1081"/>
      <c r="X182" s="1081"/>
      <c r="Y182" s="1081"/>
      <c r="Z182" s="1081"/>
      <c r="AA182" s="1081"/>
      <c r="AB182" s="1081"/>
      <c r="AC182" s="1081"/>
      <c r="AD182" s="1081"/>
      <c r="AE182" s="1081"/>
      <c r="AF182" s="1081"/>
      <c r="AG182" s="1081"/>
      <c r="AH182" s="1081"/>
      <c r="AI182" s="1081"/>
      <c r="AJ182" s="1081"/>
      <c r="AK182" s="1081"/>
      <c r="AL182" s="1081"/>
      <c r="AM182" s="1081"/>
      <c r="AN182" s="1081"/>
      <c r="AO182" s="1081"/>
      <c r="AP182" s="1081"/>
      <c r="AQ182" s="1081"/>
      <c r="AR182" s="1081"/>
      <c r="AS182" s="1081"/>
      <c r="AT182" s="1081"/>
      <c r="AU182" s="1081"/>
      <c r="AV182" s="1081"/>
      <c r="AW182" s="1081"/>
      <c r="AX182" s="1081"/>
      <c r="AY182" s="1081"/>
      <c r="AZ182" s="1081"/>
      <c r="BA182" s="1081"/>
      <c r="BB182" s="981"/>
      <c r="BC182" s="981"/>
      <c r="BD182" s="1007"/>
      <c r="BE182" s="1007"/>
      <c r="BF182" s="1007"/>
      <c r="BG182" s="1007"/>
      <c r="BH182" s="981"/>
      <c r="BI182" s="981"/>
      <c r="BJ182" s="981"/>
    </row>
    <row r="183" ht="15.75" customHeight="1">
      <c r="A183" s="1076"/>
      <c r="B183" s="1077" t="s">
        <v>7427</v>
      </c>
      <c r="C183" s="1030" t="s">
        <v>5267</v>
      </c>
      <c r="D183" s="1081"/>
      <c r="E183" s="1081"/>
      <c r="F183" s="1081"/>
      <c r="G183" s="1081" t="s">
        <v>1596</v>
      </c>
      <c r="H183" s="1081"/>
      <c r="I183" s="1081" t="s">
        <v>6242</v>
      </c>
      <c r="J183" s="1081"/>
      <c r="K183" s="989"/>
      <c r="L183" s="1081"/>
      <c r="M183" s="1081" t="s">
        <v>3182</v>
      </c>
      <c r="N183" s="1081" t="s">
        <v>4578</v>
      </c>
      <c r="O183" s="1081" t="s">
        <v>5505</v>
      </c>
      <c r="P183" s="1081"/>
      <c r="Q183" s="1081"/>
      <c r="R183" s="1081"/>
      <c r="S183" s="1081"/>
      <c r="T183" s="1081" t="s">
        <v>7428</v>
      </c>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t="s">
        <v>6023</v>
      </c>
      <c r="AS183" s="1081"/>
      <c r="AT183" s="1081"/>
      <c r="AU183" s="1081"/>
      <c r="AV183" s="1081"/>
      <c r="AW183" s="1081"/>
      <c r="AX183" s="1081"/>
      <c r="AY183" s="1081"/>
      <c r="AZ183" s="1081"/>
      <c r="BA183" s="1081"/>
      <c r="BB183" s="1075"/>
      <c r="BC183" s="1075"/>
      <c r="BD183" s="1007"/>
      <c r="BE183" s="1007"/>
      <c r="BF183" s="1007"/>
      <c r="BG183" s="1007"/>
      <c r="BH183" s="1075"/>
      <c r="BI183" s="1075"/>
      <c r="BJ183" s="1075"/>
    </row>
    <row r="184" ht="15.75" customHeight="1">
      <c r="A184" s="1076"/>
      <c r="B184" s="1077" t="s">
        <v>7429</v>
      </c>
      <c r="C184" s="1030" t="s">
        <v>1094</v>
      </c>
      <c r="D184" s="1081"/>
      <c r="E184" s="1081"/>
      <c r="F184" s="1081"/>
      <c r="G184" s="1081"/>
      <c r="H184" s="1081"/>
      <c r="I184" s="1081"/>
      <c r="J184" s="1081" t="s">
        <v>1094</v>
      </c>
      <c r="K184" s="989"/>
      <c r="L184" s="1081"/>
      <c r="M184" s="1081"/>
      <c r="N184" s="1081"/>
      <c r="O184" s="1081"/>
      <c r="P184" s="1081"/>
      <c r="Q184" s="1081"/>
      <c r="R184" s="1081"/>
      <c r="S184" s="1081"/>
      <c r="T184" s="1081"/>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c r="AS184" s="1081"/>
      <c r="AT184" s="1081"/>
      <c r="AU184" s="1081"/>
      <c r="AV184" s="1081"/>
      <c r="AW184" s="1081"/>
      <c r="AX184" s="1081"/>
      <c r="AY184" s="1081"/>
      <c r="AZ184" s="1081"/>
      <c r="BA184" s="1081"/>
      <c r="BB184" s="981"/>
      <c r="BC184" s="981"/>
      <c r="BD184" s="1007"/>
      <c r="BE184" s="1007"/>
      <c r="BF184" s="1007"/>
      <c r="BG184" s="1007"/>
      <c r="BH184" s="981"/>
      <c r="BI184" s="981"/>
      <c r="BJ184" s="981"/>
    </row>
    <row r="185" ht="15.75" customHeight="1">
      <c r="A185" s="1076"/>
      <c r="B185" s="1077" t="s">
        <v>7430</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5"/>
      <c r="BC185" s="1075"/>
      <c r="BD185" s="1007"/>
      <c r="BE185" s="1007"/>
      <c r="BF185" s="1007"/>
      <c r="BG185" s="1007"/>
      <c r="BH185" s="1075"/>
      <c r="BI185" s="1075"/>
      <c r="BJ185" s="1075"/>
    </row>
    <row r="186" ht="15.75" customHeight="1">
      <c r="A186" s="1076"/>
      <c r="B186" s="1077" t="s">
        <v>7431</v>
      </c>
      <c r="C186" s="1030" t="s">
        <v>868</v>
      </c>
      <c r="D186" s="997"/>
      <c r="E186" s="997" t="s">
        <v>784</v>
      </c>
      <c r="F186" s="997"/>
      <c r="G186" s="1031" t="s">
        <v>868</v>
      </c>
      <c r="H186" s="1031" t="s">
        <v>7432</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8" t="s">
        <v>7093</v>
      </c>
      <c r="B187" s="1082" t="s">
        <v>7426</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7433</v>
      </c>
      <c r="AE187" s="997"/>
      <c r="AF187" s="997"/>
      <c r="AG187" s="997"/>
      <c r="AH187" s="997"/>
      <c r="AI187" s="997"/>
      <c r="AJ187" s="997"/>
      <c r="AK187" s="997"/>
      <c r="AL187" s="997"/>
      <c r="AM187" s="997"/>
      <c r="AN187" s="997"/>
      <c r="AO187" s="997"/>
      <c r="AP187" s="997"/>
      <c r="AQ187" s="997"/>
      <c r="AR187" s="997"/>
      <c r="AS187" s="997"/>
      <c r="AT187" s="997"/>
      <c r="AU187" s="997"/>
      <c r="AV187" s="997"/>
      <c r="AW187" s="997" t="s">
        <v>7434</v>
      </c>
      <c r="AX187" s="997"/>
      <c r="AY187" s="997"/>
      <c r="AZ187" s="997"/>
      <c r="BA187" s="997"/>
      <c r="BB187" s="1075"/>
      <c r="BC187" s="1075"/>
      <c r="BD187" s="1007"/>
      <c r="BE187" s="1007"/>
      <c r="BF187" s="1007"/>
      <c r="BG187" s="1007"/>
      <c r="BH187" s="1075"/>
      <c r="BI187" s="1075"/>
      <c r="BJ187" s="1075"/>
    </row>
    <row r="188" ht="15.75" customHeight="1">
      <c r="A188" s="1076"/>
      <c r="B188" s="1077" t="s">
        <v>7427</v>
      </c>
      <c r="C188" s="1030" t="s">
        <v>7435</v>
      </c>
      <c r="D188" s="997" t="s">
        <v>3451</v>
      </c>
      <c r="E188" s="997"/>
      <c r="F188" s="997"/>
      <c r="G188" s="997" t="s">
        <v>3451</v>
      </c>
      <c r="H188" s="997"/>
      <c r="I188" s="997" t="s">
        <v>7436</v>
      </c>
      <c r="J188" s="997" t="s">
        <v>7437</v>
      </c>
      <c r="K188" s="998" t="s">
        <v>3690</v>
      </c>
      <c r="L188" s="997"/>
      <c r="M188" s="997"/>
      <c r="N188" s="997" t="s">
        <v>7438</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6"/>
      <c r="B189" s="1077" t="s">
        <v>7429</v>
      </c>
      <c r="C189" s="1030" t="s">
        <v>4790</v>
      </c>
      <c r="D189" s="1081"/>
      <c r="E189" s="1081"/>
      <c r="F189" s="1081"/>
      <c r="G189" s="1081"/>
      <c r="H189" s="1081"/>
      <c r="I189" s="1081"/>
      <c r="J189" s="1081" t="str">
        <f>HYPERLINK("https://youtu.be/hsc9lXHQpts","23.75")</f>
        <v>23.75</v>
      </c>
      <c r="K189" s="989"/>
      <c r="L189" s="1081"/>
      <c r="M189" s="1081"/>
      <c r="N189" s="1081"/>
      <c r="O189" s="1081"/>
      <c r="P189" s="1081"/>
      <c r="Q189" s="1081"/>
      <c r="R189" s="1081"/>
      <c r="S189" s="1081"/>
      <c r="T189" s="1081"/>
      <c r="U189" s="1081"/>
      <c r="V189" s="1081"/>
      <c r="W189" s="1081"/>
      <c r="X189" s="1081"/>
      <c r="Y189" s="1081"/>
      <c r="Z189" s="1081"/>
      <c r="AA189" s="1081"/>
      <c r="AB189" s="1081" t="s">
        <v>4618</v>
      </c>
      <c r="AC189" s="1081"/>
      <c r="AD189" s="1081" t="s">
        <v>538</v>
      </c>
      <c r="AE189" s="1081"/>
      <c r="AF189" s="1081"/>
      <c r="AG189" s="1081"/>
      <c r="AH189" s="1081"/>
      <c r="AI189" s="1081"/>
      <c r="AJ189" s="1081"/>
      <c r="AK189" s="1081"/>
      <c r="AL189" s="1081"/>
      <c r="AM189" s="1081"/>
      <c r="AN189" s="1081"/>
      <c r="AO189" s="1081"/>
      <c r="AP189" s="1081"/>
      <c r="AQ189" s="1081"/>
      <c r="AR189" s="1081"/>
      <c r="AS189" s="1081"/>
      <c r="AT189" s="1081"/>
      <c r="AU189" s="1081"/>
      <c r="AV189" s="1081"/>
      <c r="AW189" s="1081"/>
      <c r="AX189" s="1081"/>
      <c r="AY189" s="1081"/>
      <c r="AZ189" s="1081"/>
      <c r="BA189" s="1081"/>
      <c r="BB189" s="1075"/>
      <c r="BC189" s="1075"/>
      <c r="BD189" s="1007"/>
      <c r="BE189" s="1007"/>
      <c r="BF189" s="1007"/>
      <c r="BG189" s="1007"/>
      <c r="BH189" s="1075"/>
      <c r="BI189" s="1075"/>
      <c r="BJ189" s="1075"/>
    </row>
    <row r="190" ht="15.75" customHeight="1">
      <c r="A190" s="1076"/>
      <c r="B190" s="1077" t="s">
        <v>7430</v>
      </c>
      <c r="C190" s="1030" t="s">
        <v>2747</v>
      </c>
      <c r="D190" s="980" t="s">
        <v>2747</v>
      </c>
      <c r="E190" s="980" t="s">
        <v>7439</v>
      </c>
      <c r="F190" s="980" t="s">
        <v>4679</v>
      </c>
      <c r="G190" s="980"/>
      <c r="H190" s="980"/>
      <c r="I190" s="980"/>
      <c r="J190" s="980" t="s">
        <v>1457</v>
      </c>
      <c r="K190" s="976" t="s">
        <v>7440</v>
      </c>
      <c r="L190" s="980" t="s">
        <v>7441</v>
      </c>
      <c r="M190" s="980"/>
      <c r="N190" s="980" t="s">
        <v>4426</v>
      </c>
      <c r="O190" s="980" t="s">
        <v>4076</v>
      </c>
      <c r="P190" s="980"/>
      <c r="Q190" s="980"/>
      <c r="R190" s="980" t="s">
        <v>2515</v>
      </c>
      <c r="S190" s="980"/>
      <c r="T190" s="980"/>
      <c r="U190" s="980"/>
      <c r="V190" s="980"/>
      <c r="W190" s="980"/>
      <c r="X190" s="980"/>
      <c r="Y190" s="980"/>
      <c r="Z190" s="980"/>
      <c r="AA190" s="980" t="s">
        <v>4679</v>
      </c>
      <c r="AB190" s="980" t="s">
        <v>7442</v>
      </c>
      <c r="AC190" s="980"/>
      <c r="AD190" s="980"/>
      <c r="AE190" s="980"/>
      <c r="AF190" s="980"/>
      <c r="AG190" s="980"/>
      <c r="AH190" s="980"/>
      <c r="AI190" s="980"/>
      <c r="AJ190" s="980"/>
      <c r="AK190" s="980"/>
      <c r="AL190" s="980"/>
      <c r="AM190" s="980"/>
      <c r="AN190" s="980"/>
      <c r="AO190" s="980"/>
      <c r="AP190" s="980"/>
      <c r="AQ190" s="980"/>
      <c r="AR190" s="980" t="s">
        <v>538</v>
      </c>
      <c r="AS190" s="976" t="s">
        <v>7443</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7"/>
      <c r="B191" s="1088" t="s">
        <v>7431</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5"/>
      <c r="BC191" s="1075"/>
      <c r="BD191" s="1007"/>
      <c r="BE191" s="1007"/>
      <c r="BF191" s="1007"/>
      <c r="BG191" s="1007"/>
      <c r="BH191" s="1075"/>
      <c r="BI191" s="1075"/>
      <c r="BJ191" s="1075"/>
    </row>
    <row r="192" ht="15.75" customHeight="1">
      <c r="A192" s="1078" t="s">
        <v>7098</v>
      </c>
      <c r="B192" s="1082" t="s">
        <v>7082</v>
      </c>
      <c r="C192" s="1030" t="s">
        <v>980</v>
      </c>
      <c r="D192" s="976" t="s">
        <v>376</v>
      </c>
      <c r="E192" s="977"/>
      <c r="F192" s="977"/>
      <c r="G192" s="977" t="s">
        <v>7444</v>
      </c>
      <c r="H192" s="977" t="s">
        <v>7445</v>
      </c>
      <c r="I192" s="976" t="s">
        <v>7446</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8" t="s">
        <v>7447</v>
      </c>
      <c r="B193" s="1082" t="s">
        <v>7082</v>
      </c>
      <c r="C193" s="1030" t="s">
        <v>7448</v>
      </c>
      <c r="D193" s="976" t="s">
        <v>7448</v>
      </c>
      <c r="E193" s="977"/>
      <c r="F193" s="976" t="s">
        <v>7448</v>
      </c>
      <c r="G193" s="977"/>
      <c r="H193" s="977" t="s">
        <v>7449</v>
      </c>
      <c r="I193" s="977"/>
      <c r="J193" s="977"/>
      <c r="K193" s="978"/>
      <c r="L193" s="977" t="s">
        <v>7450</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5"/>
      <c r="BC193" s="1075"/>
      <c r="BD193" s="1020"/>
      <c r="BE193" s="1020"/>
      <c r="BF193" s="1020"/>
      <c r="BG193" s="1020"/>
      <c r="BH193" s="1075"/>
      <c r="BI193" s="1075"/>
      <c r="BJ193" s="1075"/>
    </row>
    <row r="194" ht="15.75" customHeight="1">
      <c r="A194" s="1078" t="s">
        <v>7120</v>
      </c>
      <c r="B194" s="1082"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3" t="s">
        <v>7267</v>
      </c>
      <c r="B195" s="1080" t="s">
        <v>7451</v>
      </c>
      <c r="C195" s="1030" t="s">
        <v>7452</v>
      </c>
      <c r="D195" s="980" t="s">
        <v>7452</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5"/>
      <c r="BC195" s="1075"/>
      <c r="BD195" s="1007"/>
      <c r="BE195" s="1007"/>
      <c r="BF195" s="1007"/>
      <c r="BG195" s="1007"/>
      <c r="BH195" s="1075"/>
      <c r="BI195" s="1075"/>
      <c r="BJ195" s="1075"/>
    </row>
    <row r="196" ht="15.75" customHeight="1">
      <c r="A196" s="1078" t="s">
        <v>7098</v>
      </c>
      <c r="B196" s="1082" t="s">
        <v>7082</v>
      </c>
      <c r="C196" s="1030" t="s">
        <v>4382</v>
      </c>
      <c r="D196" s="980" t="s">
        <v>4382</v>
      </c>
      <c r="E196" s="980"/>
      <c r="F196" s="980"/>
      <c r="G196" s="980" t="s">
        <v>311</v>
      </c>
      <c r="H196" s="980" t="s">
        <v>1052</v>
      </c>
      <c r="I196" s="980" t="s">
        <v>895</v>
      </c>
      <c r="J196" s="980"/>
      <c r="K196" s="978"/>
      <c r="L196" s="980"/>
      <c r="M196" s="980"/>
      <c r="N196" s="980"/>
      <c r="O196" s="980"/>
      <c r="P196" s="980"/>
      <c r="Q196" s="980" t="s">
        <v>7453</v>
      </c>
      <c r="R196" s="980" t="s">
        <v>7454</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3" t="s">
        <v>7141</v>
      </c>
      <c r="B197" s="1080" t="s">
        <v>7455</v>
      </c>
      <c r="C197" s="1030"/>
      <c r="D197" s="1081"/>
      <c r="E197" s="1081"/>
      <c r="F197" s="1081"/>
      <c r="G197" s="1081"/>
      <c r="H197" s="1081"/>
      <c r="I197" s="1081"/>
      <c r="J197" s="1081"/>
      <c r="K197" s="989"/>
      <c r="L197" s="1081"/>
      <c r="M197" s="1081"/>
      <c r="N197" s="1081"/>
      <c r="O197" s="1081"/>
      <c r="P197" s="1081"/>
      <c r="Q197" s="1081"/>
      <c r="R197" s="1081"/>
      <c r="S197" s="1081"/>
      <c r="T197" s="1081"/>
      <c r="U197" s="1081"/>
      <c r="V197" s="1081"/>
      <c r="W197" s="1081"/>
      <c r="X197" s="1081"/>
      <c r="Y197" s="1081"/>
      <c r="Z197" s="1081"/>
      <c r="AA197" s="1081"/>
      <c r="AB197" s="1081"/>
      <c r="AC197" s="1081"/>
      <c r="AD197" s="1081"/>
      <c r="AE197" s="1081"/>
      <c r="AF197" s="1081"/>
      <c r="AG197" s="1081"/>
      <c r="AH197" s="1081"/>
      <c r="AI197" s="1081"/>
      <c r="AJ197" s="1081"/>
      <c r="AK197" s="1081"/>
      <c r="AL197" s="1081"/>
      <c r="AM197" s="1081"/>
      <c r="AN197" s="1081"/>
      <c r="AO197" s="1081"/>
      <c r="AP197" s="1081"/>
      <c r="AQ197" s="1081"/>
      <c r="AR197" s="1081"/>
      <c r="AS197" s="1081"/>
      <c r="AT197" s="1081"/>
      <c r="AU197" s="1081"/>
      <c r="AV197" s="1081"/>
      <c r="AW197" s="1081"/>
      <c r="AX197" s="1081"/>
      <c r="AY197" s="1081"/>
      <c r="AZ197" s="1081"/>
      <c r="BA197" s="1081"/>
      <c r="BB197" s="1075"/>
      <c r="BC197" s="1075"/>
      <c r="BD197" s="1007"/>
      <c r="BE197" s="1007"/>
      <c r="BF197" s="1007"/>
      <c r="BG197" s="1007"/>
      <c r="BH197" s="1075"/>
      <c r="BI197" s="1075"/>
      <c r="BJ197" s="1075"/>
    </row>
    <row r="198" ht="15.75" customHeight="1">
      <c r="A198" s="1076"/>
      <c r="B198" s="1089" t="s">
        <v>7456</v>
      </c>
      <c r="C198" s="1030"/>
      <c r="D198" s="1081"/>
      <c r="E198" s="1081"/>
      <c r="F198" s="1081"/>
      <c r="G198" s="1081"/>
      <c r="H198" s="1081" t="s">
        <v>7295</v>
      </c>
      <c r="I198" s="1081"/>
      <c r="J198" s="1081"/>
      <c r="K198" s="989"/>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7"/>
      <c r="BE198" s="1007"/>
      <c r="BF198" s="1007"/>
      <c r="BG198" s="1007"/>
      <c r="BH198" s="1075"/>
      <c r="BI198" s="1075"/>
      <c r="BJ198" s="1075"/>
    </row>
    <row r="199" ht="15.75" customHeight="1">
      <c r="A199" s="1073" t="s">
        <v>7181</v>
      </c>
      <c r="B199" s="1080" t="s">
        <v>7457</v>
      </c>
      <c r="C199" s="1030" t="s">
        <v>2002</v>
      </c>
      <c r="D199" s="1081"/>
      <c r="E199" s="1081"/>
      <c r="F199" s="1031" t="s">
        <v>6394</v>
      </c>
      <c r="G199" s="1081"/>
      <c r="H199" s="1081"/>
      <c r="I199" s="1031" t="s">
        <v>2990</v>
      </c>
      <c r="J199" s="1081"/>
      <c r="K199" s="989" t="s">
        <v>7458</v>
      </c>
      <c r="L199" s="1081"/>
      <c r="M199" s="1081"/>
      <c r="N199" s="1081" t="s">
        <v>7459</v>
      </c>
      <c r="O199" s="1081" t="s">
        <v>1195</v>
      </c>
      <c r="P199" s="1081"/>
      <c r="Q199" s="1081" t="s">
        <v>7458</v>
      </c>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t="s">
        <v>3999</v>
      </c>
      <c r="AS199" s="1081" t="s">
        <v>975</v>
      </c>
      <c r="AT199" s="1081"/>
      <c r="AU199" s="1081"/>
      <c r="AV199" s="1081"/>
      <c r="AW199" s="1081"/>
      <c r="AX199" s="1081"/>
      <c r="AY199" s="1081"/>
      <c r="AZ199" s="1081"/>
      <c r="BA199" s="1081"/>
      <c r="BB199" s="1075"/>
      <c r="BC199" s="1075"/>
      <c r="BD199" s="1007"/>
      <c r="BE199" s="1007"/>
      <c r="BF199" s="1007"/>
      <c r="BG199" s="1007"/>
      <c r="BH199" s="1075"/>
      <c r="BI199" s="1075"/>
      <c r="BJ199" s="1075"/>
    </row>
    <row r="200" ht="15.75" customHeight="1">
      <c r="A200" s="1076"/>
      <c r="B200" s="1077" t="s">
        <v>7460</v>
      </c>
      <c r="C200" s="1030" t="s">
        <v>391</v>
      </c>
      <c r="D200" s="1081"/>
      <c r="E200" s="1031" t="s">
        <v>165</v>
      </c>
      <c r="F200" s="1031" t="s">
        <v>1848</v>
      </c>
      <c r="G200" s="1031" t="s">
        <v>873</v>
      </c>
      <c r="H200" s="1081"/>
      <c r="I200" s="1031" t="s">
        <v>1306</v>
      </c>
      <c r="J200" s="1081"/>
      <c r="K200" s="989" t="s">
        <v>1461</v>
      </c>
      <c r="L200" s="1081"/>
      <c r="M200" s="1081" t="s">
        <v>1166</v>
      </c>
      <c r="N200" s="1081"/>
      <c r="O200" s="1081"/>
      <c r="P200" s="1081"/>
      <c r="Q200" s="1081"/>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980" t="s">
        <v>1520</v>
      </c>
      <c r="AS200" s="1081" t="s">
        <v>3215</v>
      </c>
      <c r="AT200" s="1081"/>
      <c r="AU200" s="1081"/>
      <c r="AV200" s="1081"/>
      <c r="AW200" s="1081"/>
      <c r="AX200" s="1081"/>
      <c r="AY200" s="1081"/>
      <c r="AZ200" s="1081"/>
      <c r="BA200" s="1081"/>
      <c r="BB200" s="981"/>
      <c r="BC200" s="981"/>
      <c r="BD200" s="1007"/>
      <c r="BE200" s="1007"/>
      <c r="BF200" s="1007"/>
      <c r="BG200" s="1007"/>
      <c r="BH200" s="981"/>
      <c r="BI200" s="981"/>
      <c r="BJ200" s="981"/>
    </row>
    <row r="201" ht="15.75" customHeight="1">
      <c r="A201" s="1073" t="s">
        <v>7185</v>
      </c>
      <c r="B201" s="1080" t="s">
        <v>7461</v>
      </c>
      <c r="C201" s="1030" t="s">
        <v>1462</v>
      </c>
      <c r="D201" s="1081"/>
      <c r="E201" s="1081"/>
      <c r="F201" s="1081"/>
      <c r="G201" s="1081"/>
      <c r="H201" s="1081"/>
      <c r="I201" s="1081"/>
      <c r="J201" s="1081" t="s">
        <v>1462</v>
      </c>
      <c r="K201" s="989"/>
      <c r="L201" s="1081" t="s">
        <v>7462</v>
      </c>
      <c r="M201" s="1081"/>
      <c r="N201" s="1081"/>
      <c r="O201" s="1081" t="s">
        <v>3361</v>
      </c>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36" t="s">
        <v>7463</v>
      </c>
      <c r="AS201" s="1081"/>
      <c r="AT201" s="1081"/>
      <c r="AU201" s="1081"/>
      <c r="AV201" s="1081"/>
      <c r="AW201" s="1081"/>
      <c r="AX201" s="1081"/>
      <c r="AY201" s="1081"/>
      <c r="AZ201" s="997" t="s">
        <v>7464</v>
      </c>
      <c r="BA201" s="1081"/>
      <c r="BB201" s="1075"/>
      <c r="BC201" s="1075"/>
      <c r="BD201" s="1007"/>
      <c r="BE201" s="1007"/>
      <c r="BF201" s="1007"/>
      <c r="BG201" s="1007"/>
      <c r="BH201" s="1075"/>
      <c r="BI201" s="1075"/>
      <c r="BJ201" s="1075"/>
    </row>
    <row r="202" ht="15.75" customHeight="1">
      <c r="A202" s="1073" t="s">
        <v>57</v>
      </c>
      <c r="B202" s="1080" t="s">
        <v>7465</v>
      </c>
      <c r="C202" s="1030" t="s">
        <v>1464</v>
      </c>
      <c r="D202" s="1081"/>
      <c r="E202" s="1081"/>
      <c r="F202" s="1081"/>
      <c r="G202" s="1031" t="s">
        <v>877</v>
      </c>
      <c r="H202" s="1081"/>
      <c r="I202" s="1031" t="s">
        <v>1308</v>
      </c>
      <c r="J202" s="1081" t="s">
        <v>1464</v>
      </c>
      <c r="K202" s="989"/>
      <c r="L202" s="1081"/>
      <c r="M202" s="1081"/>
      <c r="N202" s="1081"/>
      <c r="O202" s="1081"/>
      <c r="P202" s="1081"/>
      <c r="Q202" s="1081"/>
      <c r="R202" s="1081"/>
      <c r="S202" s="1081"/>
      <c r="T202" s="1081"/>
      <c r="U202" s="1081"/>
      <c r="V202" s="1081"/>
      <c r="W202" s="1081"/>
      <c r="X202" s="1081"/>
      <c r="Y202" s="1081"/>
      <c r="Z202" s="1081"/>
      <c r="AA202" s="1081"/>
      <c r="AB202" s="1081"/>
      <c r="AC202" s="1081"/>
      <c r="AD202" s="1081"/>
      <c r="AE202" s="1081"/>
      <c r="AF202" s="1081"/>
      <c r="AG202" s="1031" t="str">
        <f>HYPERLINK("https://youtu.be/fYWiIA5i7cs","2:29.99")</f>
        <v>2:29.99</v>
      </c>
      <c r="AH202" s="1081"/>
      <c r="AI202" s="1081"/>
      <c r="AJ202" s="1081"/>
      <c r="AK202" s="1081"/>
      <c r="AL202" s="1081"/>
      <c r="AM202" s="1081"/>
      <c r="AN202" s="1081"/>
      <c r="AO202" s="1081"/>
      <c r="AP202" s="1081"/>
      <c r="AQ202" s="1081"/>
      <c r="AR202" s="936" t="s">
        <v>1688</v>
      </c>
      <c r="AS202" s="1081"/>
      <c r="AT202" s="1081"/>
      <c r="AU202" s="1081"/>
      <c r="AV202" s="1081"/>
      <c r="AW202" s="1081"/>
      <c r="AX202" s="1081"/>
      <c r="AY202" s="1081"/>
      <c r="AZ202" s="1081"/>
      <c r="BA202" s="1081"/>
      <c r="BB202" s="981"/>
      <c r="BC202" s="981"/>
      <c r="BD202" s="1007"/>
      <c r="BE202" s="1007"/>
      <c r="BF202" s="1007"/>
      <c r="BG202" s="1007"/>
      <c r="BH202" s="981"/>
      <c r="BI202" s="981"/>
      <c r="BJ202" s="981"/>
    </row>
    <row r="203">
      <c r="A203" s="1090" t="s">
        <v>7466</v>
      </c>
      <c r="D203" s="1091"/>
      <c r="E203" s="1091"/>
      <c r="F203" s="1091"/>
      <c r="G203" s="1091"/>
      <c r="H203" s="1091"/>
      <c r="I203" s="1091"/>
      <c r="J203" s="1091"/>
      <c r="K203" s="1092"/>
      <c r="L203" s="1091"/>
      <c r="M203" s="1091"/>
      <c r="N203" s="1091"/>
      <c r="O203" s="1091"/>
      <c r="P203" s="1091"/>
      <c r="Q203" s="1091"/>
      <c r="R203" s="1091"/>
      <c r="S203" s="1091"/>
      <c r="T203" s="1091"/>
      <c r="U203" s="1091"/>
      <c r="V203" s="1091"/>
      <c r="W203" s="1091"/>
      <c r="X203" s="1091"/>
      <c r="Y203" s="1091"/>
      <c r="Z203" s="1091"/>
      <c r="AA203" s="1091"/>
      <c r="AB203" s="1091"/>
      <c r="AC203" s="1091"/>
      <c r="AD203" s="1091"/>
      <c r="AE203" s="1091"/>
      <c r="AF203" s="1091"/>
      <c r="AG203" s="1091"/>
      <c r="AH203" s="1091"/>
      <c r="AI203" s="1091"/>
      <c r="AJ203" s="1091"/>
      <c r="AK203" s="1091"/>
      <c r="AL203" s="1091"/>
      <c r="AM203" s="1091"/>
      <c r="AN203" s="1091"/>
      <c r="AO203" s="1091"/>
      <c r="AP203" s="1091"/>
      <c r="AQ203" s="1091"/>
      <c r="AR203" s="1091"/>
      <c r="AS203" s="1091"/>
      <c r="AT203" s="1091"/>
      <c r="AU203" s="1091"/>
      <c r="AV203" s="1091"/>
      <c r="AW203" s="1091"/>
      <c r="AX203" s="1091"/>
      <c r="AY203" s="1091"/>
      <c r="AZ203" s="1091"/>
      <c r="BA203" s="1091"/>
      <c r="BB203" s="1093"/>
      <c r="BC203" s="1093"/>
      <c r="BD203" s="1091"/>
      <c r="BE203" s="1091"/>
      <c r="BF203" s="1091"/>
      <c r="BG203" s="1091"/>
      <c r="BH203" s="1093"/>
      <c r="BI203" s="1093"/>
      <c r="BJ203" s="1093"/>
    </row>
    <row r="204" ht="15.75" customHeight="1">
      <c r="A204" s="1094" t="s">
        <v>7081</v>
      </c>
      <c r="B204" s="1095" t="s">
        <v>7082</v>
      </c>
      <c r="C204" s="1030" t="s">
        <v>957</v>
      </c>
      <c r="D204" s="1037"/>
      <c r="E204" s="1031" t="s">
        <v>255</v>
      </c>
      <c r="F204" s="1031" t="s">
        <v>1106</v>
      </c>
      <c r="G204" s="1031" t="s">
        <v>878</v>
      </c>
      <c r="H204" s="1031" t="s">
        <v>1172</v>
      </c>
      <c r="I204" s="1031" t="s">
        <v>1309</v>
      </c>
      <c r="J204" s="1037" t="s">
        <v>7467</v>
      </c>
      <c r="K204" s="1038" t="s">
        <v>353</v>
      </c>
      <c r="L204" s="1031" t="s">
        <v>4457</v>
      </c>
      <c r="M204" s="1037"/>
      <c r="N204" s="1037" t="s">
        <v>4330</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6"/>
      <c r="BC204" s="1096"/>
      <c r="BD204" s="1034"/>
      <c r="BE204" s="1034"/>
      <c r="BF204" s="1034"/>
      <c r="BG204" s="1034"/>
      <c r="BH204" s="1096"/>
      <c r="BI204" s="1096"/>
      <c r="BJ204" s="1096"/>
    </row>
    <row r="205" ht="15.75" customHeight="1">
      <c r="A205" s="1094" t="s">
        <v>7254</v>
      </c>
      <c r="B205" s="1095" t="s">
        <v>7468</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4" t="s">
        <v>7102</v>
      </c>
      <c r="B206" s="1095" t="s">
        <v>7082</v>
      </c>
      <c r="C206" s="1030" t="str">
        <f>HYPERLINK("https://www.youtube.com/watch?v=aWzlUqH0LaM","41.87")</f>
        <v>41.87</v>
      </c>
      <c r="D206" s="1037"/>
      <c r="E206" s="1031" t="str">
        <f>HYPERLINK("https://www.youtube.com/watch?v=aWzlUqH0LaM","41.87")</f>
        <v>41.87</v>
      </c>
      <c r="F206" s="1031" t="s">
        <v>1532</v>
      </c>
      <c r="G206" s="1031" t="s">
        <v>4290</v>
      </c>
      <c r="H206" s="1031" t="s">
        <v>307</v>
      </c>
      <c r="I206" s="1031" t="s">
        <v>7469</v>
      </c>
      <c r="J206" s="1031" t="s">
        <v>1558</v>
      </c>
      <c r="K206" s="1038" t="s">
        <v>7132</v>
      </c>
      <c r="L206" s="1037"/>
      <c r="M206" s="1037"/>
      <c r="N206" s="1037" t="s">
        <v>2146</v>
      </c>
      <c r="O206" s="1031" t="s">
        <v>6212</v>
      </c>
      <c r="P206" s="1037"/>
      <c r="Q206" s="1037"/>
      <c r="R206" s="1037"/>
      <c r="S206" s="1037"/>
      <c r="T206" s="1037" t="s">
        <v>7470</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7"/>
      <c r="AS206" s="1037"/>
      <c r="AT206" s="1037"/>
      <c r="AU206" s="1037"/>
      <c r="AV206" s="1037"/>
      <c r="AW206" s="1037"/>
      <c r="AX206" s="1037"/>
      <c r="AY206" s="1037"/>
      <c r="AZ206" s="1037"/>
      <c r="BA206" s="1037"/>
      <c r="BB206" s="1096"/>
      <c r="BC206" s="1096"/>
      <c r="BD206" s="1034"/>
      <c r="BE206" s="1034"/>
      <c r="BF206" s="1034"/>
      <c r="BG206" s="1034"/>
      <c r="BH206" s="1096"/>
      <c r="BI206" s="1096"/>
      <c r="BJ206" s="1096"/>
    </row>
    <row r="207" ht="15.75" customHeight="1">
      <c r="A207" s="1094" t="s">
        <v>7209</v>
      </c>
      <c r="B207" s="1095" t="s">
        <v>7471</v>
      </c>
      <c r="C207" s="1030" t="str">
        <f>HYPERLINK("https://youtu.be/F-20O1FDNbI","1:45.11")</f>
        <v>1:45.11</v>
      </c>
      <c r="D207" s="1037"/>
      <c r="E207" s="1037"/>
      <c r="F207" s="1037"/>
      <c r="G207" s="1037"/>
      <c r="H207" s="1037"/>
      <c r="I207" s="1031" t="s">
        <v>7472</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7473</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8"/>
      <c r="B208" s="1099" t="s">
        <v>7474</v>
      </c>
      <c r="C208" s="1030" t="s">
        <v>503</v>
      </c>
      <c r="D208" s="1037"/>
      <c r="E208" s="1031" t="s">
        <v>791</v>
      </c>
      <c r="F208" s="1037"/>
      <c r="G208" s="1037" t="s">
        <v>880</v>
      </c>
      <c r="H208" s="1037" t="s">
        <v>7475</v>
      </c>
      <c r="I208" s="1031" t="s">
        <v>1312</v>
      </c>
      <c r="J208" s="1037"/>
      <c r="K208" s="1038" t="s">
        <v>4034</v>
      </c>
      <c r="L208" s="1031" t="s">
        <v>7476</v>
      </c>
      <c r="M208" s="1031" t="s">
        <v>503</v>
      </c>
      <c r="N208" s="1037"/>
      <c r="O208" s="1037"/>
      <c r="P208" s="1037"/>
      <c r="Q208" s="1037"/>
      <c r="R208" s="1037"/>
      <c r="S208" s="1037"/>
      <c r="T208" s="1037" t="s">
        <v>6011</v>
      </c>
      <c r="U208" s="1037"/>
      <c r="V208" s="1037"/>
      <c r="W208" s="1037" t="s">
        <v>7477</v>
      </c>
      <c r="X208" s="1037"/>
      <c r="Y208" s="1037"/>
      <c r="Z208" s="1037"/>
      <c r="AA208" s="1037"/>
      <c r="AB208" s="1037"/>
      <c r="AC208" s="1037"/>
      <c r="AD208" s="1037" t="s">
        <v>7478</v>
      </c>
      <c r="AE208" s="1037"/>
      <c r="AF208" s="1037"/>
      <c r="AG208" s="1037"/>
      <c r="AH208" s="1037"/>
      <c r="AI208" s="1037"/>
      <c r="AJ208" s="1037"/>
      <c r="AK208" s="1037"/>
      <c r="AL208" s="1037"/>
      <c r="AM208" s="1037"/>
      <c r="AN208" s="1037"/>
      <c r="AO208" s="1037"/>
      <c r="AP208" s="1037"/>
      <c r="AQ208" s="1037"/>
      <c r="AR208" s="980" t="s">
        <v>7479</v>
      </c>
      <c r="AS208" s="1037"/>
      <c r="AT208" s="1037"/>
      <c r="AU208" s="1037"/>
      <c r="AV208" s="1037"/>
      <c r="AW208" s="1037"/>
      <c r="AX208" s="1037"/>
      <c r="AY208" s="1037"/>
      <c r="AZ208" s="1037"/>
      <c r="BA208" s="1037"/>
      <c r="BB208" s="1096"/>
      <c r="BC208" s="1096"/>
      <c r="BD208" s="1034"/>
      <c r="BE208" s="1034"/>
      <c r="BF208" s="1034"/>
      <c r="BG208" s="1034"/>
      <c r="BH208" s="1096"/>
      <c r="BI208" s="1096"/>
      <c r="BJ208" s="1096"/>
    </row>
    <row r="209" ht="15.75" customHeight="1">
      <c r="A209" s="1098"/>
      <c r="B209" s="1099" t="s">
        <v>7480</v>
      </c>
      <c r="C209" s="1030" t="s">
        <v>7481</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7481</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8"/>
      <c r="B210" s="1100" t="s">
        <v>7482</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7483</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6"/>
      <c r="BC210" s="1096"/>
      <c r="BD210" s="1034"/>
      <c r="BE210" s="1034"/>
      <c r="BF210" s="1034"/>
      <c r="BG210" s="1034"/>
      <c r="BH210" s="1096"/>
      <c r="BI210" s="1096"/>
      <c r="BJ210" s="1096"/>
    </row>
    <row r="211" ht="15.75" customHeight="1">
      <c r="A211" s="1101" t="s">
        <v>7093</v>
      </c>
      <c r="B211" s="1102" t="s">
        <v>7471</v>
      </c>
      <c r="C211" s="1030"/>
      <c r="D211" s="1103"/>
      <c r="E211" s="1103"/>
      <c r="F211" s="1103"/>
      <c r="G211" s="1103"/>
      <c r="H211" s="1103"/>
      <c r="I211" s="1103"/>
      <c r="J211" s="1103"/>
      <c r="K211" s="1104"/>
      <c r="L211" s="1103"/>
      <c r="M211" s="1103"/>
      <c r="N211" s="1103"/>
      <c r="O211" s="1103"/>
      <c r="P211" s="1103"/>
      <c r="Q211" s="1103"/>
      <c r="R211" s="1103"/>
      <c r="S211" s="1103"/>
      <c r="T211" s="1103"/>
      <c r="U211" s="1103"/>
      <c r="V211" s="1103"/>
      <c r="W211" s="1103"/>
      <c r="X211" s="1103"/>
      <c r="Y211" s="1103"/>
      <c r="Z211" s="1103"/>
      <c r="AA211" s="1103"/>
      <c r="AB211" s="1103"/>
      <c r="AC211" s="1103"/>
      <c r="AD211" s="1103"/>
      <c r="AE211" s="1103"/>
      <c r="AF211" s="1103"/>
      <c r="AG211" s="1103"/>
      <c r="AH211" s="1103"/>
      <c r="AI211" s="1103"/>
      <c r="AJ211" s="1103"/>
      <c r="AK211" s="1103"/>
      <c r="AL211" s="1103"/>
      <c r="AM211" s="1103"/>
      <c r="AN211" s="1103"/>
      <c r="AO211" s="1103"/>
      <c r="AP211" s="1103"/>
      <c r="AQ211" s="1103"/>
      <c r="AR211" s="1103"/>
      <c r="AS211" s="1103"/>
      <c r="AT211" s="1103"/>
      <c r="AU211" s="1103"/>
      <c r="AV211" s="1103"/>
      <c r="AW211" s="1103"/>
      <c r="AX211" s="1103"/>
      <c r="AY211" s="1103"/>
      <c r="AZ211" s="1103"/>
      <c r="BA211" s="1103"/>
      <c r="BB211" s="981"/>
      <c r="BC211" s="981"/>
      <c r="BD211" s="1034"/>
      <c r="BE211" s="1034"/>
      <c r="BF211" s="1034"/>
      <c r="BG211" s="1034"/>
      <c r="BH211" s="981"/>
      <c r="BI211" s="981"/>
      <c r="BJ211" s="981"/>
    </row>
    <row r="212" ht="15.75" customHeight="1">
      <c r="A212" s="1105"/>
      <c r="B212" s="1099" t="s">
        <v>7474</v>
      </c>
      <c r="C212" s="1106" t="s">
        <v>7484</v>
      </c>
      <c r="D212" s="1103"/>
      <c r="E212" s="1103"/>
      <c r="F212" s="1103"/>
      <c r="G212" s="1103"/>
      <c r="H212" s="1103"/>
      <c r="I212" s="1103"/>
      <c r="J212" s="1103"/>
      <c r="K212" s="1104"/>
      <c r="L212" s="1103"/>
      <c r="M212" s="1103"/>
      <c r="N212" s="1103"/>
      <c r="O212" s="1103"/>
      <c r="P212" s="1103"/>
      <c r="Q212" s="1103"/>
      <c r="R212" s="1103"/>
      <c r="S212" s="1103"/>
      <c r="T212" s="1103"/>
      <c r="U212" s="1103"/>
      <c r="V212" s="1103"/>
      <c r="W212" s="1103"/>
      <c r="X212" s="1103"/>
      <c r="Y212" s="1103"/>
      <c r="Z212" s="1103"/>
      <c r="AA212" s="1103"/>
      <c r="AB212" s="1103"/>
      <c r="AC212" s="1103"/>
      <c r="AD212" s="1103"/>
      <c r="AE212" s="1103"/>
      <c r="AF212" s="1103"/>
      <c r="AG212" s="1103"/>
      <c r="AH212" s="1103"/>
      <c r="AI212" s="1103"/>
      <c r="AJ212" s="1103"/>
      <c r="AK212" s="1103"/>
      <c r="AL212" s="1103"/>
      <c r="AM212" s="1103"/>
      <c r="AN212" s="1103"/>
      <c r="AO212" s="1103"/>
      <c r="AP212" s="1103"/>
      <c r="AQ212" s="1103"/>
      <c r="AR212" s="1106" t="s">
        <v>7484</v>
      </c>
      <c r="AS212" s="1103"/>
      <c r="AT212" s="1103"/>
      <c r="AU212" s="1103"/>
      <c r="AV212" s="1103"/>
      <c r="AW212" s="1103"/>
      <c r="AX212" s="1103"/>
      <c r="AY212" s="1103"/>
      <c r="AZ212" s="1103"/>
      <c r="BA212" s="1103"/>
      <c r="BB212" s="981"/>
      <c r="BC212" s="981"/>
      <c r="BD212" s="1034"/>
      <c r="BE212" s="1034"/>
      <c r="BF212" s="1034"/>
      <c r="BG212" s="1034"/>
      <c r="BH212" s="981"/>
      <c r="BI212" s="981"/>
      <c r="BJ212" s="981"/>
    </row>
    <row r="213" ht="15.75" customHeight="1">
      <c r="A213" s="1105"/>
      <c r="B213" s="1099" t="s">
        <v>7480</v>
      </c>
      <c r="C213" s="1030"/>
      <c r="D213" s="1103"/>
      <c r="E213" s="1103"/>
      <c r="F213" s="1103"/>
      <c r="G213" s="1103"/>
      <c r="H213" s="1103"/>
      <c r="I213" s="1103"/>
      <c r="J213" s="1103"/>
      <c r="K213" s="1104"/>
      <c r="L213" s="1103"/>
      <c r="M213" s="1103"/>
      <c r="N213" s="1103"/>
      <c r="O213" s="1103"/>
      <c r="P213" s="110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1103"/>
      <c r="AK213" s="1103"/>
      <c r="AL213" s="1103"/>
      <c r="AM213" s="1103"/>
      <c r="AN213" s="1103"/>
      <c r="AO213" s="1103"/>
      <c r="AP213" s="1103"/>
      <c r="AQ213" s="1103"/>
      <c r="AR213" s="1103"/>
      <c r="AS213" s="1103"/>
      <c r="AT213" s="1103"/>
      <c r="AU213" s="1103"/>
      <c r="AV213" s="1103"/>
      <c r="AW213" s="1103"/>
      <c r="AX213" s="1103"/>
      <c r="AY213" s="1103"/>
      <c r="AZ213" s="1103"/>
      <c r="BA213" s="1103"/>
      <c r="BB213" s="981"/>
      <c r="BC213" s="981"/>
      <c r="BD213" s="1034"/>
      <c r="BE213" s="1034"/>
      <c r="BF213" s="1034"/>
      <c r="BG213" s="1034"/>
      <c r="BH213" s="981"/>
      <c r="BI213" s="981"/>
      <c r="BJ213" s="981"/>
    </row>
    <row r="214" ht="15.75" customHeight="1">
      <c r="A214" s="1105"/>
      <c r="B214" s="1100" t="s">
        <v>7482</v>
      </c>
      <c r="C214" s="1030"/>
      <c r="D214" s="1103"/>
      <c r="E214" s="1103"/>
      <c r="F214" s="1103"/>
      <c r="G214" s="1103"/>
      <c r="H214" s="1103"/>
      <c r="I214" s="1103"/>
      <c r="J214" s="1103"/>
      <c r="K214" s="1104"/>
      <c r="L214" s="1103"/>
      <c r="M214" s="1103"/>
      <c r="N214" s="1103"/>
      <c r="O214" s="1103"/>
      <c r="P214" s="110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1103"/>
      <c r="AK214" s="1103"/>
      <c r="AL214" s="1103"/>
      <c r="AM214" s="1103"/>
      <c r="AN214" s="1103"/>
      <c r="AO214" s="1103"/>
      <c r="AP214" s="1103"/>
      <c r="AQ214" s="1103"/>
      <c r="AR214" s="1103"/>
      <c r="AS214" s="1103"/>
      <c r="AT214" s="1103"/>
      <c r="AU214" s="1103"/>
      <c r="AV214" s="1103"/>
      <c r="AW214" s="1103"/>
      <c r="AX214" s="1103"/>
      <c r="AY214" s="1103"/>
      <c r="AZ214" s="1103"/>
      <c r="BA214" s="1103"/>
      <c r="BB214" s="981"/>
      <c r="BC214" s="981"/>
      <c r="BD214" s="1034"/>
      <c r="BE214" s="1034"/>
      <c r="BF214" s="1034"/>
      <c r="BG214" s="1034"/>
      <c r="BH214" s="981"/>
      <c r="BI214" s="981"/>
      <c r="BJ214" s="981"/>
    </row>
    <row r="215" ht="15.75" customHeight="1">
      <c r="A215" s="1101" t="s">
        <v>7098</v>
      </c>
      <c r="B215" s="1102" t="s">
        <v>7485</v>
      </c>
      <c r="C215" s="1030" t="s">
        <v>7486</v>
      </c>
      <c r="D215" s="1103"/>
      <c r="E215" s="1103"/>
      <c r="F215" s="1103"/>
      <c r="G215" s="1103"/>
      <c r="H215" s="1103"/>
      <c r="I215" s="1107" t="s">
        <v>7487</v>
      </c>
      <c r="J215" s="1103"/>
      <c r="K215" s="1104"/>
      <c r="L215" s="1107" t="s">
        <v>4105</v>
      </c>
      <c r="M215" s="1103"/>
      <c r="N215" s="1103"/>
      <c r="O215" s="1103"/>
      <c r="P215" s="1103"/>
      <c r="Q215" s="1103"/>
      <c r="R215" s="1107" t="s">
        <v>2555</v>
      </c>
      <c r="S215" s="1103"/>
      <c r="T215" s="1103"/>
      <c r="U215" s="1103"/>
      <c r="V215" s="1103"/>
      <c r="W215" s="1107" t="s">
        <v>7486</v>
      </c>
      <c r="X215" s="1103"/>
      <c r="Y215" s="1103"/>
      <c r="Z215" s="1103"/>
      <c r="AA215" s="1103"/>
      <c r="AB215" s="1103"/>
      <c r="AC215" s="1103"/>
      <c r="AD215" s="1103"/>
      <c r="AE215" s="1103" t="s">
        <v>7488</v>
      </c>
      <c r="AF215" s="1103"/>
      <c r="AG215" s="1103"/>
      <c r="AH215" s="1103"/>
      <c r="AI215" s="1103"/>
      <c r="AJ215" s="1103"/>
      <c r="AK215" s="1103"/>
      <c r="AL215" s="1103"/>
      <c r="AM215" s="1103"/>
      <c r="AN215" s="1103"/>
      <c r="AO215" s="1103"/>
      <c r="AP215" s="1103"/>
      <c r="AQ215" s="1103"/>
      <c r="AR215" s="1108">
        <v>13.23</v>
      </c>
      <c r="AS215" s="1107" t="s">
        <v>7351</v>
      </c>
      <c r="AT215" s="1103"/>
      <c r="AU215" s="1103"/>
      <c r="AV215" s="1103"/>
      <c r="AW215" s="1103"/>
      <c r="AX215" s="1103"/>
      <c r="AY215" s="1103"/>
      <c r="AZ215" s="1103"/>
      <c r="BA215" s="1103"/>
      <c r="BB215" s="1096"/>
      <c r="BC215" s="1096"/>
      <c r="BD215" s="1034"/>
      <c r="BE215" s="1034"/>
      <c r="BF215" s="1034"/>
      <c r="BG215" s="1034"/>
      <c r="BH215" s="1096"/>
      <c r="BI215" s="1096"/>
      <c r="BJ215" s="1096"/>
    </row>
    <row r="216" ht="15.75" customHeight="1">
      <c r="A216" s="1105"/>
      <c r="B216" s="1100" t="s">
        <v>7489</v>
      </c>
      <c r="C216" s="1030" t="s">
        <v>483</v>
      </c>
      <c r="D216" s="1031" t="s">
        <v>798</v>
      </c>
      <c r="E216" s="1031"/>
      <c r="F216" s="1031"/>
      <c r="G216" s="1031" t="s">
        <v>7486</v>
      </c>
      <c r="H216" s="1031" t="s">
        <v>483</v>
      </c>
      <c r="I216" s="1031" t="s">
        <v>7490</v>
      </c>
      <c r="J216" s="1031"/>
      <c r="K216" s="1032"/>
      <c r="L216" s="1031"/>
      <c r="M216" s="1031"/>
      <c r="N216" s="1031"/>
      <c r="O216" s="1031"/>
      <c r="P216" s="1031"/>
      <c r="Q216" s="1031" t="s">
        <v>7491</v>
      </c>
      <c r="R216" s="1031"/>
      <c r="S216" s="1031"/>
      <c r="T216" s="1031"/>
      <c r="U216" s="1031"/>
      <c r="V216" s="1031" t="s">
        <v>7351</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4" t="s">
        <v>7267</v>
      </c>
      <c r="B217" s="1095"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6"/>
      <c r="BC217" s="1096"/>
      <c r="BD217" s="1034"/>
      <c r="BE217" s="1034"/>
      <c r="BF217" s="1034"/>
      <c r="BG217" s="1034"/>
      <c r="BH217" s="1096"/>
      <c r="BI217" s="1096"/>
      <c r="BJ217" s="1096"/>
    </row>
    <row r="218" ht="15.75" customHeight="1">
      <c r="A218" s="1109" t="s">
        <v>7492</v>
      </c>
      <c r="B218" s="1110" t="s">
        <v>7082</v>
      </c>
      <c r="C218" s="975" t="s">
        <v>7493</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7494</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4" t="s">
        <v>7141</v>
      </c>
      <c r="B219" s="1095" t="s">
        <v>7495</v>
      </c>
      <c r="C219" s="1030" t="s">
        <v>7496</v>
      </c>
      <c r="D219" s="1037"/>
      <c r="E219" s="1037"/>
      <c r="F219" s="1037"/>
      <c r="G219" s="1037"/>
      <c r="H219" s="1037"/>
      <c r="I219" s="1037"/>
      <c r="J219" s="1037"/>
      <c r="K219" s="1038"/>
      <c r="L219" s="1037"/>
      <c r="M219" s="1037"/>
      <c r="N219" s="1037"/>
      <c r="O219" s="1031" t="s">
        <v>5322</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1"/>
      <c r="B220" s="1099" t="s">
        <v>7497</v>
      </c>
      <c r="C220" s="1030" t="s">
        <v>1610</v>
      </c>
      <c r="D220" s="1037"/>
      <c r="E220" s="1037"/>
      <c r="F220" s="1031" t="s">
        <v>1313</v>
      </c>
      <c r="G220" s="1037"/>
      <c r="H220" s="1037"/>
      <c r="I220" s="1031" t="s">
        <v>1313</v>
      </c>
      <c r="J220" s="1037" t="s">
        <v>4197</v>
      </c>
      <c r="K220" s="1038" t="s">
        <v>2131</v>
      </c>
      <c r="L220" s="1031" t="s">
        <v>7498</v>
      </c>
      <c r="M220" s="1031" t="s">
        <v>3417</v>
      </c>
      <c r="N220" s="1037" t="s">
        <v>4178</v>
      </c>
      <c r="O220" s="1031" t="s">
        <v>3192</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6"/>
      <c r="BC220" s="1096"/>
      <c r="BD220" s="1034"/>
      <c r="BE220" s="1034"/>
      <c r="BF220" s="1034"/>
      <c r="BG220" s="1034"/>
      <c r="BH220" s="1096"/>
      <c r="BI220" s="1096"/>
      <c r="BJ220" s="1096"/>
    </row>
    <row r="221" ht="15.75" customHeight="1">
      <c r="A221" s="1105"/>
      <c r="B221" s="1099" t="s">
        <v>7499</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1" t="s">
        <v>7093</v>
      </c>
      <c r="B222" s="1112" t="s">
        <v>7500</v>
      </c>
      <c r="C222" s="1030" t="s">
        <v>2775</v>
      </c>
      <c r="D222" s="1037"/>
      <c r="E222" s="1037"/>
      <c r="F222" s="1037"/>
      <c r="G222" s="1037"/>
      <c r="H222" s="1037"/>
      <c r="I222" s="1037"/>
      <c r="J222" s="1037"/>
      <c r="K222" s="1038"/>
      <c r="L222" s="1037"/>
      <c r="M222" s="1037"/>
      <c r="N222" s="1037"/>
      <c r="O222" s="1037" t="s">
        <v>4269</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6"/>
      <c r="BC222" s="1096"/>
      <c r="BD222" s="1034"/>
      <c r="BE222" s="1034"/>
      <c r="BF222" s="1034"/>
      <c r="BG222" s="1034"/>
      <c r="BH222" s="1096"/>
      <c r="BI222" s="1096"/>
      <c r="BJ222" s="1096"/>
    </row>
    <row r="223" ht="15.75" customHeight="1">
      <c r="A223" s="1111"/>
      <c r="B223" s="1099" t="s">
        <v>7501</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1"/>
      <c r="B224" s="1099" t="s">
        <v>7502</v>
      </c>
      <c r="C224" s="1030" t="s">
        <v>3595</v>
      </c>
      <c r="D224" s="1037"/>
      <c r="E224" s="1037"/>
      <c r="F224" s="1037"/>
      <c r="G224" s="1037"/>
      <c r="H224" s="1037"/>
      <c r="I224" s="1031" t="s">
        <v>1614</v>
      </c>
      <c r="J224" s="1037" t="s">
        <v>2370</v>
      </c>
      <c r="K224" s="1038" t="s">
        <v>7503</v>
      </c>
      <c r="L224" s="1037"/>
      <c r="M224" s="1037"/>
      <c r="N224" s="1037" t="s">
        <v>7504</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6"/>
      <c r="BC224" s="1096"/>
      <c r="BD224" s="1034"/>
      <c r="BE224" s="1034"/>
      <c r="BF224" s="1034"/>
      <c r="BG224" s="1034"/>
      <c r="BH224" s="1096"/>
      <c r="BI224" s="1096"/>
      <c r="BJ224" s="1096"/>
    </row>
    <row r="225" ht="15.75" customHeight="1">
      <c r="A225" s="1111"/>
      <c r="B225" s="1099" t="s">
        <v>7505</v>
      </c>
      <c r="C225" s="1030" t="s">
        <v>7506</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7506</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1" t="s">
        <v>7098</v>
      </c>
      <c r="B226" s="1112" t="s">
        <v>7507</v>
      </c>
      <c r="C226" s="1030" t="s">
        <v>5573</v>
      </c>
      <c r="D226" s="1031" t="s">
        <v>5615</v>
      </c>
      <c r="E226" s="1113"/>
      <c r="F226" s="1113"/>
      <c r="G226" s="1113"/>
      <c r="H226" s="1113"/>
      <c r="I226" s="1113"/>
      <c r="J226" s="1113"/>
      <c r="K226" s="1032"/>
      <c r="L226" s="1113"/>
      <c r="M226" s="1113"/>
      <c r="N226" s="1113"/>
      <c r="O226" s="1113"/>
      <c r="P226" s="1113"/>
      <c r="Q226" s="1113"/>
      <c r="R226" s="1113"/>
      <c r="S226" s="1113"/>
      <c r="T226" s="1113"/>
      <c r="U226" s="1113"/>
      <c r="V226" s="1113"/>
      <c r="W226" s="1113"/>
      <c r="X226" s="1113"/>
      <c r="Y226" s="1113"/>
      <c r="Z226" s="1113"/>
      <c r="AA226" s="1113"/>
      <c r="AB226" s="1031" t="s">
        <v>824</v>
      </c>
      <c r="AC226" s="1113"/>
      <c r="AD226" s="1113" t="s">
        <v>7508</v>
      </c>
      <c r="AE226" s="1113"/>
      <c r="AF226" s="1113"/>
      <c r="AG226" s="1113"/>
      <c r="AH226" s="1113"/>
      <c r="AI226" s="1113"/>
      <c r="AJ226" s="1113"/>
      <c r="AK226" s="1113"/>
      <c r="AL226" s="1113"/>
      <c r="AM226" s="1113"/>
      <c r="AN226" s="1113"/>
      <c r="AO226" s="1113"/>
      <c r="AP226" s="1113"/>
      <c r="AQ226" s="1113"/>
      <c r="AR226" s="1113"/>
      <c r="AS226" s="1113"/>
      <c r="AT226" s="1113"/>
      <c r="AU226" s="1113"/>
      <c r="AV226" s="1113"/>
      <c r="AW226" s="1113"/>
      <c r="AX226" s="1113"/>
      <c r="AY226" s="1113"/>
      <c r="AZ226" s="1113"/>
      <c r="BA226" s="1113"/>
      <c r="BB226" s="1096"/>
      <c r="BC226" s="1096"/>
      <c r="BD226" s="1034"/>
      <c r="BE226" s="1034"/>
      <c r="BF226" s="1034"/>
      <c r="BG226" s="1034"/>
      <c r="BH226" s="1096"/>
      <c r="BI226" s="1096"/>
      <c r="BJ226" s="1096"/>
    </row>
    <row r="227" ht="15.75" customHeight="1">
      <c r="A227" s="1105"/>
      <c r="B227" s="1099" t="s">
        <v>7509</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7510</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5"/>
      <c r="B228" s="1099" t="s">
        <v>7511</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4" t="s">
        <v>4541</v>
      </c>
      <c r="AS228" s="1031"/>
      <c r="AT228" s="1031"/>
      <c r="AU228" s="1031"/>
      <c r="AV228" s="1031"/>
      <c r="AW228" s="1031"/>
      <c r="AX228" s="1031"/>
      <c r="AY228" s="1031"/>
      <c r="AZ228" s="1031"/>
      <c r="BA228" s="1031"/>
      <c r="BB228" s="1096"/>
      <c r="BC228" s="1096"/>
      <c r="BD228" s="1034"/>
      <c r="BE228" s="1034"/>
      <c r="BF228" s="1034"/>
      <c r="BG228" s="1034"/>
      <c r="BH228" s="1096"/>
      <c r="BI228" s="1096"/>
      <c r="BJ228" s="1096"/>
    </row>
    <row r="229" ht="15.75" customHeight="1">
      <c r="A229" s="1101" t="s">
        <v>7120</v>
      </c>
      <c r="B229" s="1115" t="s">
        <v>7121</v>
      </c>
      <c r="C229" s="1030" t="s">
        <v>7512</v>
      </c>
      <c r="D229" s="1037"/>
      <c r="E229" s="1037"/>
      <c r="F229" s="1037"/>
      <c r="G229" s="1037" t="s">
        <v>5779</v>
      </c>
      <c r="H229" s="1037"/>
      <c r="I229" s="1037"/>
      <c r="J229" s="1037" t="s">
        <v>1989</v>
      </c>
      <c r="K229" s="1038"/>
      <c r="L229" s="1031" t="s">
        <v>1463</v>
      </c>
      <c r="M229" s="1037"/>
      <c r="N229" s="1037"/>
      <c r="O229" s="1037" t="s">
        <v>7513</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4" t="s">
        <v>7181</v>
      </c>
      <c r="B230" s="1095" t="s">
        <v>7457</v>
      </c>
      <c r="C230" s="1030" t="s">
        <v>5381</v>
      </c>
      <c r="D230" s="1031" t="s">
        <v>2547</v>
      </c>
      <c r="E230" s="1031"/>
      <c r="F230" s="1031" t="s">
        <v>4122</v>
      </c>
      <c r="G230" s="1031"/>
      <c r="H230" s="1031" t="s">
        <v>5381</v>
      </c>
      <c r="I230" s="1031"/>
      <c r="J230" s="1031"/>
      <c r="K230" s="1032" t="s">
        <v>5419</v>
      </c>
      <c r="L230" s="1031"/>
      <c r="M230" s="1031"/>
      <c r="N230" s="1031" t="s">
        <v>5116</v>
      </c>
      <c r="O230" s="1031" t="s">
        <v>5459</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6"/>
      <c r="BC230" s="1096"/>
      <c r="BD230" s="1034"/>
      <c r="BE230" s="1034"/>
      <c r="BF230" s="1034"/>
      <c r="BG230" s="1034"/>
      <c r="BH230" s="1096"/>
      <c r="BI230" s="1096"/>
      <c r="BJ230" s="1096"/>
    </row>
    <row r="231" ht="15.75" customHeight="1">
      <c r="A231" s="1111"/>
      <c r="B231" s="1099"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1"/>
      <c r="B232" s="1099" t="s">
        <v>7514</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6"/>
      <c r="BC232" s="1096"/>
      <c r="BD232" s="1034"/>
      <c r="BE232" s="1034"/>
      <c r="BF232" s="1034"/>
      <c r="BG232" s="1034"/>
      <c r="BH232" s="1096"/>
      <c r="BI232" s="1096"/>
      <c r="BJ232" s="1096"/>
    </row>
    <row r="233" ht="15.75" customHeight="1">
      <c r="A233" s="1111"/>
      <c r="B233" s="1099" t="s">
        <v>7515</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1"/>
      <c r="B234" s="1099" t="s">
        <v>7516</v>
      </c>
      <c r="C234" s="975" t="s">
        <v>4897</v>
      </c>
      <c r="D234" s="1037"/>
      <c r="E234" s="1037"/>
      <c r="F234" s="1037"/>
      <c r="G234" s="1037"/>
      <c r="H234" s="1057" t="s">
        <v>4897</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6"/>
      <c r="BC234" s="1096"/>
      <c r="BD234" s="1034"/>
      <c r="BE234" s="1034"/>
      <c r="BF234" s="1034"/>
      <c r="BG234" s="1034"/>
      <c r="BH234" s="1096"/>
      <c r="BI234" s="1096"/>
      <c r="BJ234" s="1096"/>
    </row>
    <row r="235" ht="15.75" customHeight="1">
      <c r="A235" s="1094" t="s">
        <v>7517</v>
      </c>
      <c r="B235" s="1095" t="s">
        <v>7082</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6"/>
      <c r="BC235" s="1096"/>
      <c r="BD235" s="1034"/>
      <c r="BE235" s="1034"/>
      <c r="BF235" s="1034"/>
      <c r="BG235" s="1034"/>
      <c r="BH235" s="1096"/>
      <c r="BI235" s="1096"/>
      <c r="BJ235" s="1096"/>
    </row>
    <row r="236" ht="15.75" customHeight="1">
      <c r="A236" s="1094" t="s">
        <v>75</v>
      </c>
      <c r="B236" s="1095" t="s">
        <v>7518</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1"/>
      <c r="B237" s="1099" t="s">
        <v>7519</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6"/>
      <c r="BC237" s="1096"/>
      <c r="BD237" s="1034"/>
      <c r="BE237" s="1034"/>
      <c r="BF237" s="1034"/>
      <c r="BG237" s="1034"/>
      <c r="BH237" s="1096"/>
      <c r="BI237" s="1096"/>
      <c r="BJ237" s="1096"/>
    </row>
    <row r="238" ht="15.75" customHeight="1">
      <c r="A238" s="1094" t="s">
        <v>57</v>
      </c>
      <c r="B238" s="1095"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6" t="s">
        <v>7520</v>
      </c>
      <c r="D239" s="1117"/>
      <c r="E239" s="1117"/>
      <c r="F239" s="1117"/>
      <c r="G239" s="1117"/>
      <c r="H239" s="1117"/>
      <c r="I239" s="1117"/>
      <c r="J239" s="1117"/>
      <c r="K239" s="1118"/>
      <c r="L239" s="1117"/>
      <c r="M239" s="1117"/>
      <c r="N239" s="1117"/>
      <c r="O239" s="1117"/>
      <c r="P239" s="1117"/>
      <c r="Q239" s="1117"/>
      <c r="R239" s="1117"/>
      <c r="S239" s="1117"/>
      <c r="T239" s="1117"/>
      <c r="U239" s="1117"/>
      <c r="V239" s="1117"/>
      <c r="W239" s="1117"/>
      <c r="X239" s="1117"/>
      <c r="Y239" s="1117"/>
      <c r="Z239" s="1117"/>
      <c r="AA239" s="1117"/>
      <c r="AB239" s="1117"/>
      <c r="AC239" s="1117"/>
      <c r="AD239" s="1117"/>
      <c r="AE239" s="1117"/>
      <c r="AF239" s="1117"/>
      <c r="AG239" s="1117"/>
      <c r="AH239" s="1117"/>
      <c r="AI239" s="1117"/>
      <c r="AJ239" s="1117"/>
      <c r="AK239" s="1117"/>
      <c r="AL239" s="1117"/>
      <c r="AM239" s="1117"/>
      <c r="AN239" s="1117"/>
      <c r="AO239" s="1117"/>
      <c r="AP239" s="1117"/>
      <c r="AQ239" s="1117"/>
      <c r="AR239" s="1117"/>
      <c r="AS239" s="1117"/>
      <c r="AT239" s="1117"/>
      <c r="AU239" s="1117"/>
      <c r="AV239" s="1117"/>
      <c r="AW239" s="1117"/>
      <c r="AX239" s="1117"/>
      <c r="AY239" s="1117"/>
      <c r="AZ239" s="1117"/>
      <c r="BA239" s="1117"/>
      <c r="BB239" s="1119"/>
      <c r="BC239" s="1119"/>
      <c r="BD239" s="1117"/>
      <c r="BE239" s="1117"/>
      <c r="BF239" s="1117"/>
      <c r="BG239" s="1117"/>
      <c r="BH239" s="1119"/>
      <c r="BI239" s="1119"/>
      <c r="BJ239" s="1119"/>
    </row>
    <row r="240" ht="15.75" customHeight="1">
      <c r="A240" s="1120" t="s">
        <v>7081</v>
      </c>
      <c r="B240" s="1121" t="s">
        <v>7521</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2"/>
      <c r="BC240" s="1122"/>
      <c r="BD240" s="1034"/>
      <c r="BE240" s="1034"/>
      <c r="BF240" s="1034"/>
      <c r="BG240" s="1034"/>
      <c r="BH240" s="1122"/>
      <c r="BI240" s="1122"/>
      <c r="BJ240" s="1122"/>
    </row>
    <row r="241" ht="15.75" customHeight="1">
      <c r="A241" s="1123"/>
      <c r="B241" s="1124" t="s">
        <v>7522</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3"/>
      <c r="B242" s="1124" t="s">
        <v>7523</v>
      </c>
      <c r="C242" s="1030" t="s">
        <v>427</v>
      </c>
      <c r="D242" s="1037"/>
      <c r="E242" s="1037"/>
      <c r="F242" s="1037"/>
      <c r="G242" s="1037"/>
      <c r="H242" s="1037"/>
      <c r="I242" s="1037"/>
      <c r="J242" s="1037" t="s">
        <v>7524</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2"/>
      <c r="BC242" s="1122"/>
      <c r="BD242" s="1034"/>
      <c r="BE242" s="1034"/>
      <c r="BF242" s="1034"/>
      <c r="BG242" s="1034"/>
      <c r="BH242" s="1122"/>
      <c r="BI242" s="1122"/>
      <c r="BJ242" s="1122"/>
    </row>
    <row r="243" ht="15.75" customHeight="1">
      <c r="A243" s="1123"/>
      <c r="B243" s="1124" t="s">
        <v>7525</v>
      </c>
      <c r="C243" s="1030" t="s">
        <v>3733</v>
      </c>
      <c r="D243" s="1037"/>
      <c r="E243" s="1037"/>
      <c r="F243" s="1037"/>
      <c r="G243" s="1037"/>
      <c r="H243" s="1037"/>
      <c r="I243" s="1031" t="s">
        <v>6146</v>
      </c>
      <c r="J243" s="1031" t="s">
        <v>7526</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3"/>
      <c r="B244" s="1124" t="s">
        <v>7527</v>
      </c>
      <c r="C244" s="1030" t="s">
        <v>1926</v>
      </c>
      <c r="D244" s="1031" t="s">
        <v>1532</v>
      </c>
      <c r="E244" s="1031"/>
      <c r="F244" s="1031" t="s">
        <v>1393</v>
      </c>
      <c r="G244" s="1032" t="s">
        <v>3406</v>
      </c>
      <c r="H244" s="1031" t="s">
        <v>1926</v>
      </c>
      <c r="I244" s="1031"/>
      <c r="J244" s="1031"/>
      <c r="K244" s="1032" t="s">
        <v>7528</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2"/>
      <c r="BC244" s="1122"/>
      <c r="BD244" s="1034"/>
      <c r="BE244" s="1034"/>
      <c r="BF244" s="1034"/>
      <c r="BG244" s="1034"/>
      <c r="BH244" s="1122"/>
      <c r="BI244" s="1122"/>
      <c r="BJ244" s="1122"/>
    </row>
    <row r="245" ht="15.75" customHeight="1">
      <c r="A245" s="1123"/>
      <c r="B245" s="1124" t="s">
        <v>7529</v>
      </c>
      <c r="C245" s="1030" t="s">
        <v>2153</v>
      </c>
      <c r="D245" s="1031" t="s">
        <v>2153</v>
      </c>
      <c r="E245" s="1031"/>
      <c r="F245" s="1031"/>
      <c r="G245" s="1031"/>
      <c r="H245" s="1032" t="s">
        <v>2995</v>
      </c>
      <c r="I245" s="1031"/>
      <c r="J245" s="1031"/>
      <c r="K245" s="1032"/>
      <c r="L245" s="1031"/>
      <c r="M245" s="1031"/>
      <c r="N245" s="1031"/>
      <c r="O245" s="1031"/>
      <c r="P245" s="1057" t="s">
        <v>7132</v>
      </c>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3"/>
      <c r="B246" s="1124" t="s">
        <v>7530</v>
      </c>
      <c r="C246" s="1030" t="s">
        <v>357</v>
      </c>
      <c r="D246" s="1031" t="s">
        <v>799</v>
      </c>
      <c r="E246" s="1031"/>
      <c r="F246" s="1031" t="s">
        <v>7531</v>
      </c>
      <c r="G246" s="1031"/>
      <c r="H246" s="1032" t="s">
        <v>5436</v>
      </c>
      <c r="I246" s="1031"/>
      <c r="J246" s="1031"/>
      <c r="K246" s="1032"/>
      <c r="L246" s="1031"/>
      <c r="M246" s="1031"/>
      <c r="N246" s="1031"/>
      <c r="O246" s="1031"/>
      <c r="P246" s="1031"/>
      <c r="Q246" s="1031"/>
      <c r="R246" s="1032" t="s">
        <v>7532</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2"/>
      <c r="BC246" s="1122"/>
      <c r="BD246" s="1034"/>
      <c r="BE246" s="1034"/>
      <c r="BF246" s="1034"/>
      <c r="BG246" s="1034"/>
      <c r="BH246" s="1122"/>
      <c r="BI246" s="1122"/>
      <c r="BJ246" s="1122"/>
    </row>
    <row r="247" ht="15.75" customHeight="1">
      <c r="A247" s="1123"/>
      <c r="B247" s="1124" t="s">
        <v>7533</v>
      </c>
      <c r="C247" s="1030" t="s">
        <v>7534</v>
      </c>
      <c r="D247" s="1031" t="s">
        <v>7534</v>
      </c>
      <c r="E247" s="1031"/>
      <c r="F247" s="1031" t="s">
        <v>7535</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20" t="s">
        <v>7083</v>
      </c>
      <c r="B248" s="1121"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2"/>
      <c r="BC248" s="1122"/>
      <c r="BD248" s="1034"/>
      <c r="BE248" s="1034"/>
      <c r="BF248" s="1034"/>
      <c r="BG248" s="1034"/>
      <c r="BH248" s="1122"/>
      <c r="BI248" s="1122"/>
      <c r="BJ248" s="1122"/>
    </row>
    <row r="249" ht="15.75" customHeight="1">
      <c r="A249" s="1120" t="s">
        <v>7204</v>
      </c>
      <c r="B249" s="1121" t="s">
        <v>7536</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7537</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2"/>
      <c r="BC249" s="1122"/>
      <c r="BD249" s="1034"/>
      <c r="BE249" s="1034"/>
      <c r="BF249" s="1034"/>
      <c r="BG249" s="1034"/>
      <c r="BH249" s="1122"/>
      <c r="BI249" s="1122"/>
      <c r="BJ249" s="1122"/>
    </row>
    <row r="250" ht="15.75" customHeight="1">
      <c r="A250" s="1123"/>
      <c r="B250" s="1124" t="s">
        <v>7538</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3"/>
      <c r="B251" s="1124" t="s">
        <v>7539</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2"/>
      <c r="BC251" s="1122"/>
      <c r="BD251" s="1034"/>
      <c r="BE251" s="1034"/>
      <c r="BF251" s="1034"/>
      <c r="BG251" s="1034"/>
      <c r="BH251" s="1122"/>
      <c r="BI251" s="1122"/>
      <c r="BJ251" s="1122"/>
    </row>
    <row r="252" ht="15.75" customHeight="1">
      <c r="A252" s="1123"/>
      <c r="B252" s="1124" t="s">
        <v>7540</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5634</v>
      </c>
      <c r="O252" s="1031" t="s">
        <v>5355</v>
      </c>
      <c r="P252" s="1031" t="s">
        <v>3369</v>
      </c>
      <c r="Q252" s="1031"/>
      <c r="R252" s="1031"/>
      <c r="S252" s="1031"/>
      <c r="T252" s="1031" t="s">
        <v>7541</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20" t="s">
        <v>7123</v>
      </c>
      <c r="B253" s="1121" t="s">
        <v>7542</v>
      </c>
      <c r="C253" s="1030" t="s">
        <v>7543</v>
      </c>
      <c r="D253" s="1031" t="s">
        <v>3995</v>
      </c>
      <c r="E253" s="1031" t="s">
        <v>7544</v>
      </c>
      <c r="F253" s="1031"/>
      <c r="G253" s="1031" t="s">
        <v>7545</v>
      </c>
      <c r="H253" s="1031"/>
      <c r="I253" s="1031" t="s">
        <v>7546</v>
      </c>
      <c r="J253" s="1031" t="str">
        <f>HYPERLINK("https://youtu.be/fNmQmNF7N9I","46.93")</f>
        <v>46.93</v>
      </c>
      <c r="K253" s="1032"/>
      <c r="L253" s="1031" t="s">
        <v>7543</v>
      </c>
      <c r="M253" s="1031" t="s">
        <v>7524</v>
      </c>
      <c r="N253" s="1031"/>
      <c r="O253" s="1031" t="s">
        <v>531</v>
      </c>
      <c r="P253" s="1031"/>
      <c r="Q253" s="1031" t="s">
        <v>3779</v>
      </c>
      <c r="R253" s="1031" t="s">
        <v>4211</v>
      </c>
      <c r="S253" s="1031"/>
      <c r="T253" s="1031" t="s">
        <v>7547</v>
      </c>
      <c r="U253" s="1031"/>
      <c r="V253" s="1031"/>
      <c r="W253" s="1031" t="s">
        <v>7548</v>
      </c>
      <c r="X253" s="1031"/>
      <c r="Y253" s="1031"/>
      <c r="Z253" s="1031" t="s">
        <v>7549</v>
      </c>
      <c r="AA253" s="1031"/>
      <c r="AB253" s="1031" t="s">
        <v>7550</v>
      </c>
      <c r="AC253" s="1031" t="s">
        <v>7551</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2"/>
      <c r="BC253" s="1122"/>
      <c r="BD253" s="1034"/>
      <c r="BE253" s="1034"/>
      <c r="BF253" s="1034"/>
      <c r="BG253" s="1034"/>
      <c r="BH253" s="1122"/>
      <c r="BI253" s="1122"/>
      <c r="BJ253" s="1122"/>
    </row>
    <row r="254" ht="15.75" customHeight="1">
      <c r="A254" s="1123"/>
      <c r="B254" s="1124" t="s">
        <v>7552</v>
      </c>
      <c r="C254" s="1030" t="s">
        <v>3765</v>
      </c>
      <c r="D254" s="1031" t="s">
        <v>3132</v>
      </c>
      <c r="E254" s="1031" t="s">
        <v>1620</v>
      </c>
      <c r="F254" s="1031" t="s">
        <v>3715</v>
      </c>
      <c r="G254" s="1031" t="s">
        <v>3883</v>
      </c>
      <c r="H254" s="1031"/>
      <c r="I254" s="1031" t="s">
        <v>7553</v>
      </c>
      <c r="J254" s="1031" t="str">
        <f>HYPERLINK(" https://youtu.be/dsDcBzsPA5s","45.74")</f>
        <v>45.74</v>
      </c>
      <c r="K254" s="1032" t="s">
        <v>3203</v>
      </c>
      <c r="L254" s="1031" t="s">
        <v>3765</v>
      </c>
      <c r="M254" s="1031" t="s">
        <v>282</v>
      </c>
      <c r="N254" s="1031" t="s">
        <v>1927</v>
      </c>
      <c r="O254" s="1031" t="s">
        <v>7554</v>
      </c>
      <c r="P254" s="1031" t="s">
        <v>7555</v>
      </c>
      <c r="Q254" s="1031" t="s">
        <v>7556</v>
      </c>
      <c r="R254" s="1031" t="s">
        <v>702</v>
      </c>
      <c r="S254" s="1031"/>
      <c r="T254" s="1031" t="s">
        <v>7532</v>
      </c>
      <c r="U254" s="1031"/>
      <c r="V254" s="1031"/>
      <c r="W254" s="1031" t="s">
        <v>7263</v>
      </c>
      <c r="X254" s="1031"/>
      <c r="Y254" s="1031"/>
      <c r="Z254" s="1031"/>
      <c r="AA254" s="1031"/>
      <c r="AB254" s="1031" t="s">
        <v>7557</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3"/>
      <c r="B255" s="1124" t="s">
        <v>7558</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7526</v>
      </c>
      <c r="O255" s="1031" t="s">
        <v>7524</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2"/>
      <c r="BC255" s="1122"/>
      <c r="BD255" s="1034"/>
      <c r="BE255" s="1034"/>
      <c r="BF255" s="1034"/>
      <c r="BG255" s="1034"/>
      <c r="BH255" s="1122"/>
      <c r="BI255" s="1122"/>
      <c r="BJ255" s="1122"/>
    </row>
    <row r="256" ht="15.75" customHeight="1">
      <c r="A256" s="1125" t="s">
        <v>7267</v>
      </c>
      <c r="B256" s="1126" t="s">
        <v>7559</v>
      </c>
      <c r="C256" s="1030" t="s">
        <v>969</v>
      </c>
      <c r="D256" s="1127" t="s">
        <v>409</v>
      </c>
      <c r="E256" s="1127"/>
      <c r="F256" s="1127" t="s">
        <v>1047</v>
      </c>
      <c r="G256" s="1127"/>
      <c r="H256" s="1127" t="s">
        <v>4435</v>
      </c>
      <c r="I256" s="1127" t="s">
        <v>198</v>
      </c>
      <c r="J256" s="1127"/>
      <c r="K256" s="1128"/>
      <c r="L256" s="1127"/>
      <c r="M256" s="1127"/>
      <c r="N256" s="1127"/>
      <c r="O256" s="1127"/>
      <c r="P256" s="1127"/>
      <c r="Q256" s="1127"/>
      <c r="R256" s="1127"/>
      <c r="S256" s="1127"/>
      <c r="T256" s="1127"/>
      <c r="U256" s="1127"/>
      <c r="V256" s="1127"/>
      <c r="W256" s="1127"/>
      <c r="X256" s="1127"/>
      <c r="Y256" s="1127"/>
      <c r="Z256" s="1127"/>
      <c r="AA256" s="1127"/>
      <c r="AB256" s="1127"/>
      <c r="AC256" s="1127"/>
      <c r="AD256" s="1127"/>
      <c r="AE256" s="1127"/>
      <c r="AF256" s="1127"/>
      <c r="AG256" s="1127"/>
      <c r="AH256" s="1127"/>
      <c r="AI256" s="1127"/>
      <c r="AJ256" s="1127"/>
      <c r="AK256" s="1127"/>
      <c r="AL256" s="1127"/>
      <c r="AM256" s="1127"/>
      <c r="AN256" s="1127"/>
      <c r="AO256" s="1127"/>
      <c r="AP256" s="1127"/>
      <c r="AQ256" s="1127"/>
      <c r="AR256" s="939" t="s">
        <v>1703</v>
      </c>
      <c r="AS256" s="1127"/>
      <c r="AT256" s="1127"/>
      <c r="AU256" s="1127"/>
      <c r="AV256" s="1127"/>
      <c r="AW256" s="1127"/>
      <c r="AX256" s="1127"/>
      <c r="AY256" s="1127"/>
      <c r="AZ256" s="1127"/>
      <c r="BA256" s="1127"/>
      <c r="BB256" s="981"/>
      <c r="BC256" s="981"/>
      <c r="BD256" s="1034"/>
      <c r="BE256" s="1034"/>
      <c r="BF256" s="1034"/>
      <c r="BG256" s="1034"/>
      <c r="BH256" s="981"/>
      <c r="BI256" s="981"/>
      <c r="BJ256" s="981"/>
    </row>
    <row r="257" ht="15.75" customHeight="1">
      <c r="A257" s="1129" t="s">
        <v>7093</v>
      </c>
      <c r="B257" s="1130" t="s">
        <v>7559</v>
      </c>
      <c r="C257" s="1030" t="s">
        <v>7560</v>
      </c>
      <c r="D257" s="1127" t="s">
        <v>410</v>
      </c>
      <c r="E257" s="1127" t="s">
        <v>188</v>
      </c>
      <c r="F257" s="1127" t="s">
        <v>1048</v>
      </c>
      <c r="G257" s="1127" t="s">
        <v>887</v>
      </c>
      <c r="H257" s="1127" t="s">
        <v>7560</v>
      </c>
      <c r="I257" s="1127"/>
      <c r="J257" s="1127"/>
      <c r="K257" s="1128"/>
      <c r="L257" s="1127"/>
      <c r="M257" s="1127" t="s">
        <v>2963</v>
      </c>
      <c r="N257" s="1127"/>
      <c r="O257" s="1127"/>
      <c r="P257" s="1127"/>
      <c r="Q257" s="1127"/>
      <c r="R257" s="1127"/>
      <c r="S257" s="1127"/>
      <c r="T257" s="1127"/>
      <c r="U257" s="1127"/>
      <c r="V257" s="1127"/>
      <c r="W257" s="1127"/>
      <c r="X257" s="1127"/>
      <c r="Y257" s="1127"/>
      <c r="Z257" s="1127"/>
      <c r="AA257" s="1127"/>
      <c r="AB257" s="1127"/>
      <c r="AC257" s="1127"/>
      <c r="AD257" s="1127"/>
      <c r="AE257" s="1127"/>
      <c r="AF257" s="1127"/>
      <c r="AG257" s="1127"/>
      <c r="AH257" s="1127"/>
      <c r="AI257" s="1127"/>
      <c r="AJ257" s="1127"/>
      <c r="AK257" s="1127"/>
      <c r="AL257" s="1127"/>
      <c r="AM257" s="1127"/>
      <c r="AN257" s="1127"/>
      <c r="AO257" s="1127"/>
      <c r="AP257" s="1127"/>
      <c r="AQ257" s="1127"/>
      <c r="AR257" s="1127" t="s">
        <v>1704</v>
      </c>
      <c r="AS257" s="1127"/>
      <c r="AT257" s="1127"/>
      <c r="AU257" s="1127"/>
      <c r="AV257" s="1127"/>
      <c r="AW257" s="1127"/>
      <c r="AX257" s="1127"/>
      <c r="AY257" s="1127"/>
      <c r="AZ257" s="1127"/>
      <c r="BA257" s="1127"/>
      <c r="BB257" s="1122"/>
      <c r="BC257" s="1122"/>
      <c r="BD257" s="1034"/>
      <c r="BE257" s="1034"/>
      <c r="BF257" s="1034"/>
      <c r="BG257" s="1034"/>
      <c r="BH257" s="1122"/>
      <c r="BI257" s="1122"/>
      <c r="BJ257" s="1122"/>
    </row>
    <row r="258" ht="15.75" customHeight="1">
      <c r="A258" s="1131" t="s">
        <v>7098</v>
      </c>
      <c r="B258" s="1132" t="s">
        <v>7082</v>
      </c>
      <c r="C258" s="1030" t="s">
        <v>5621</v>
      </c>
      <c r="D258" s="1031" t="s">
        <v>2770</v>
      </c>
      <c r="E258" s="1031"/>
      <c r="F258" s="1031" t="s">
        <v>5621</v>
      </c>
      <c r="G258" s="1031" t="s">
        <v>7561</v>
      </c>
      <c r="H258" s="1031" t="s">
        <v>5621</v>
      </c>
      <c r="I258" s="1031" t="s">
        <v>5562</v>
      </c>
      <c r="J258" s="1031"/>
      <c r="K258" s="1032"/>
      <c r="L258" s="1031" t="s">
        <v>5116</v>
      </c>
      <c r="M258" s="1031" t="s">
        <v>5621</v>
      </c>
      <c r="N258" s="1031"/>
      <c r="O258" s="1031"/>
      <c r="P258" s="1031"/>
      <c r="Q258" s="1031"/>
      <c r="R258" s="1031" t="s">
        <v>4122</v>
      </c>
      <c r="S258" s="1031" t="s">
        <v>6002</v>
      </c>
      <c r="T258" s="1031"/>
      <c r="U258" s="1031"/>
      <c r="V258" s="1031" t="s">
        <v>7562</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7563</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20" t="s">
        <v>7232</v>
      </c>
      <c r="B259" s="1133" t="s">
        <v>7564</v>
      </c>
      <c r="C259" s="1030" t="s">
        <v>7565</v>
      </c>
      <c r="D259" s="1031" t="s">
        <v>4328</v>
      </c>
      <c r="E259" s="1031"/>
      <c r="F259" s="1031" t="s">
        <v>7566</v>
      </c>
      <c r="G259" s="1031" t="s">
        <v>888</v>
      </c>
      <c r="H259" s="1031" t="s">
        <v>7565</v>
      </c>
      <c r="I259" s="1031" t="s">
        <v>1323</v>
      </c>
      <c r="J259" s="1031" t="s">
        <v>1477</v>
      </c>
      <c r="K259" s="1032"/>
      <c r="L259" s="1031" t="s">
        <v>3459</v>
      </c>
      <c r="M259" s="1031" t="s">
        <v>517</v>
      </c>
      <c r="N259" s="1031"/>
      <c r="O259" s="1031"/>
      <c r="P259" s="1031" t="s">
        <v>189</v>
      </c>
      <c r="Q259" s="1031"/>
      <c r="R259" s="1031" t="s">
        <v>7567</v>
      </c>
      <c r="S259" s="1031"/>
      <c r="T259" s="1031"/>
      <c r="U259" s="1031"/>
      <c r="V259" s="1031"/>
      <c r="W259" s="1031"/>
      <c r="X259" s="1031"/>
      <c r="Y259" s="1031" t="s">
        <v>7568</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2"/>
      <c r="BC259" s="1122"/>
      <c r="BD259" s="1034"/>
      <c r="BE259" s="1034"/>
      <c r="BF259" s="1034"/>
      <c r="BG259" s="1034"/>
      <c r="BH259" s="1122"/>
      <c r="BI259" s="1122"/>
      <c r="BJ259" s="1122"/>
    </row>
    <row r="260" ht="15.75" customHeight="1">
      <c r="A260" s="1134" t="s">
        <v>7242</v>
      </c>
      <c r="B260" s="1132" t="s">
        <v>7564</v>
      </c>
      <c r="C260" s="1030"/>
      <c r="D260" s="1031"/>
      <c r="E260" s="1031"/>
      <c r="F260" s="1031"/>
      <c r="G260" s="1031"/>
      <c r="H260" s="1032" t="s">
        <v>7569</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7570</v>
      </c>
      <c r="AS260" s="1031"/>
      <c r="AT260" s="1031"/>
      <c r="AU260" s="1031"/>
      <c r="AV260" s="1031"/>
      <c r="AW260" s="1031"/>
      <c r="AX260" s="1031"/>
      <c r="AY260" s="1031"/>
      <c r="AZ260" s="1031"/>
      <c r="BA260" s="1031"/>
      <c r="BB260" s="1122"/>
      <c r="BC260" s="1122"/>
      <c r="BD260" s="1034"/>
      <c r="BE260" s="1034"/>
      <c r="BF260" s="1034"/>
      <c r="BG260" s="1034"/>
      <c r="BH260" s="1122"/>
      <c r="BI260" s="1122"/>
      <c r="BJ260" s="1122"/>
    </row>
    <row r="261" ht="15.75" customHeight="1">
      <c r="A261" s="1120" t="s">
        <v>7181</v>
      </c>
      <c r="B261" s="1121" t="s">
        <v>7571</v>
      </c>
      <c r="C261" s="1030" t="s">
        <v>4054</v>
      </c>
      <c r="D261" s="1057" t="s">
        <v>4167</v>
      </c>
      <c r="E261" s="1064"/>
      <c r="F261" s="1064"/>
      <c r="G261" s="1064"/>
      <c r="H261" s="1057" t="s">
        <v>4054</v>
      </c>
      <c r="I261" s="1057" t="s">
        <v>3514</v>
      </c>
      <c r="J261" s="1064"/>
      <c r="K261" s="1032" t="s">
        <v>7572</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7573</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3"/>
      <c r="B262" s="1124" t="s">
        <v>7574</v>
      </c>
      <c r="C262" s="1030" t="s">
        <v>4296</v>
      </c>
      <c r="D262" s="1031" t="s">
        <v>2738</v>
      </c>
      <c r="E262" s="1031"/>
      <c r="F262" s="1031"/>
      <c r="G262" s="1031"/>
      <c r="H262" s="1032" t="s">
        <v>1363</v>
      </c>
      <c r="I262" s="1031"/>
      <c r="J262" s="1031"/>
      <c r="K262" s="1032" t="s">
        <v>5120</v>
      </c>
      <c r="L262" s="1031"/>
      <c r="M262" s="1031" t="s">
        <v>4296</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2"/>
      <c r="BC262" s="1122"/>
      <c r="BD262" s="1034"/>
      <c r="BE262" s="1034"/>
      <c r="BF262" s="1034"/>
      <c r="BG262" s="1034"/>
      <c r="BH262" s="1122"/>
      <c r="BI262" s="1122"/>
      <c r="BJ262" s="1122"/>
    </row>
    <row r="263" ht="15.75" customHeight="1">
      <c r="A263" s="1123"/>
      <c r="B263" s="1124" t="s">
        <v>7575</v>
      </c>
      <c r="C263" s="1030" t="s">
        <v>617</v>
      </c>
      <c r="D263" s="1031" t="s">
        <v>366</v>
      </c>
      <c r="E263" s="1031" t="s">
        <v>1117</v>
      </c>
      <c r="F263" s="1031" t="s">
        <v>3447</v>
      </c>
      <c r="G263" s="1031"/>
      <c r="H263" s="1032" t="s">
        <v>6085</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20" t="s">
        <v>7185</v>
      </c>
      <c r="B264" s="1121" t="s">
        <v>7082</v>
      </c>
      <c r="C264" s="1030" t="s">
        <v>7576</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7577</v>
      </c>
      <c r="AS264" s="1037"/>
      <c r="AT264" s="1037"/>
      <c r="AU264" s="1037"/>
      <c r="AV264" s="1037"/>
      <c r="AW264" s="1037"/>
      <c r="AX264" s="1037"/>
      <c r="AY264" s="1037"/>
      <c r="AZ264" s="1037"/>
      <c r="BA264" s="1037"/>
      <c r="BB264" s="1122"/>
      <c r="BC264" s="1122"/>
      <c r="BD264" s="1034"/>
      <c r="BE264" s="1034"/>
      <c r="BF264" s="1034"/>
      <c r="BG264" s="1034"/>
      <c r="BH264" s="1122"/>
      <c r="BI264" s="1122"/>
      <c r="BJ264" s="1122"/>
    </row>
    <row r="265" ht="15.75" customHeight="1">
      <c r="A265" s="1120" t="s">
        <v>6268</v>
      </c>
      <c r="B265" s="1121"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3"/>
      <c r="B266" s="1124" t="s">
        <v>7257</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2"/>
      <c r="BC266" s="1122"/>
      <c r="BD266" s="1034"/>
      <c r="BE266" s="1034"/>
      <c r="BF266" s="1034"/>
      <c r="BG266" s="1034"/>
      <c r="BH266" s="1122"/>
      <c r="BI266" s="1122"/>
      <c r="BJ266" s="1122"/>
    </row>
    <row r="267" ht="15.75" customHeight="1">
      <c r="A267" s="1120" t="s">
        <v>57</v>
      </c>
      <c r="B267" s="1135" t="s">
        <v>7082</v>
      </c>
      <c r="C267" s="1030" t="s">
        <v>7578</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6" t="s">
        <v>7579</v>
      </c>
      <c r="D268" s="1137"/>
      <c r="E268" s="1137"/>
      <c r="F268" s="1137"/>
      <c r="G268" s="1137"/>
      <c r="H268" s="1137"/>
      <c r="I268" s="1137"/>
      <c r="J268" s="1137"/>
      <c r="K268" s="1138"/>
      <c r="L268" s="1137"/>
      <c r="M268" s="1137"/>
      <c r="N268" s="1137"/>
      <c r="O268" s="1137"/>
      <c r="P268" s="1137"/>
      <c r="Q268" s="1137"/>
      <c r="R268" s="1137"/>
      <c r="S268" s="1137"/>
      <c r="T268" s="1137"/>
      <c r="U268" s="1137"/>
      <c r="V268" s="1137"/>
      <c r="W268" s="1137"/>
      <c r="X268" s="1137"/>
      <c r="Y268" s="1137"/>
      <c r="Z268" s="1137"/>
      <c r="AA268" s="1137"/>
      <c r="AB268" s="1137"/>
      <c r="AC268" s="1137"/>
      <c r="AD268" s="1137"/>
      <c r="AE268" s="1137"/>
      <c r="AF268" s="1137"/>
      <c r="AG268" s="1137"/>
      <c r="AH268" s="1137"/>
      <c r="AI268" s="1137"/>
      <c r="AJ268" s="1137"/>
      <c r="AK268" s="1137"/>
      <c r="AL268" s="1137"/>
      <c r="AM268" s="1137"/>
      <c r="AN268" s="1137"/>
      <c r="AO268" s="1137"/>
      <c r="AP268" s="1137"/>
      <c r="AQ268" s="1137"/>
      <c r="AR268" s="1137"/>
      <c r="AS268" s="1137"/>
      <c r="AT268" s="1137"/>
      <c r="AU268" s="1137"/>
      <c r="AV268" s="1137"/>
      <c r="AW268" s="1137"/>
      <c r="AX268" s="1137"/>
      <c r="AY268" s="1137"/>
      <c r="AZ268" s="1137"/>
      <c r="BA268" s="1137"/>
      <c r="BB268" s="1139"/>
      <c r="BC268" s="1139"/>
      <c r="BD268" s="1137"/>
      <c r="BE268" s="1137"/>
      <c r="BF268" s="1137"/>
      <c r="BG268" s="1137"/>
      <c r="BH268" s="1139"/>
      <c r="BI268" s="1139"/>
      <c r="BJ268" s="1139"/>
    </row>
    <row r="269" ht="15.75" customHeight="1">
      <c r="A269" s="1140" t="s">
        <v>73</v>
      </c>
      <c r="B269" s="1141" t="s">
        <v>7580</v>
      </c>
      <c r="C269" s="1030" t="s">
        <v>6791</v>
      </c>
      <c r="D269" s="1031" t="s">
        <v>6791</v>
      </c>
      <c r="E269" s="1031"/>
      <c r="F269" s="1031"/>
      <c r="G269" s="1031"/>
      <c r="H269" s="1031"/>
      <c r="I269" s="1031" t="s">
        <v>4693</v>
      </c>
      <c r="J269" s="1031"/>
      <c r="K269" s="1032" t="s">
        <v>7581</v>
      </c>
      <c r="L269" s="1031"/>
      <c r="M269" s="1031"/>
      <c r="N269" s="1031"/>
      <c r="O269" s="1032" t="s">
        <v>7582</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7583</v>
      </c>
      <c r="AS269" s="1031"/>
      <c r="AT269" s="1031"/>
      <c r="AU269" s="1031"/>
      <c r="AV269" s="1031"/>
      <c r="AW269" s="1031"/>
      <c r="AX269" s="1031"/>
      <c r="AY269" s="1031"/>
      <c r="AZ269" s="1031"/>
      <c r="BA269" s="1031"/>
      <c r="BB269" s="1142"/>
      <c r="BC269" s="1142"/>
      <c r="BD269" s="1034"/>
      <c r="BE269" s="1034"/>
      <c r="BF269" s="1034"/>
      <c r="BG269" s="1034"/>
      <c r="BH269" s="1142"/>
      <c r="BI269" s="1142"/>
      <c r="BJ269" s="1142"/>
    </row>
    <row r="270" ht="15.75" customHeight="1">
      <c r="A270" s="1143"/>
      <c r="B270" s="1144" t="s">
        <v>7584</v>
      </c>
      <c r="C270" s="1030" t="s">
        <v>423</v>
      </c>
      <c r="D270" s="1057" t="s">
        <v>423</v>
      </c>
      <c r="E270" s="1064" t="s">
        <v>5840</v>
      </c>
      <c r="F270" s="1057" t="s">
        <v>7585</v>
      </c>
      <c r="G270" s="1064" t="s">
        <v>897</v>
      </c>
      <c r="H270" s="1057" t="s">
        <v>7586</v>
      </c>
      <c r="I270" s="1057" t="s">
        <v>1335</v>
      </c>
      <c r="J270" s="1057" t="str">
        <f>HYPERLINK("https://youtu.be/ZpzmhXUsVhA","1:19.38")</f>
        <v>1:19.38</v>
      </c>
      <c r="K270" s="1032" t="s">
        <v>7587</v>
      </c>
      <c r="L270" s="1064"/>
      <c r="M270" s="1064"/>
      <c r="N270" s="1064" t="s">
        <v>7588</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5" t="s">
        <v>7589</v>
      </c>
      <c r="B271" s="1146" t="s">
        <v>7580</v>
      </c>
      <c r="C271" s="1030" t="s">
        <v>5407</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2"/>
      <c r="BC271" s="1142"/>
      <c r="BD271" s="1034"/>
      <c r="BE271" s="1034"/>
      <c r="BF271" s="1034"/>
      <c r="BG271" s="1034"/>
      <c r="BH271" s="1142"/>
      <c r="BI271" s="1142"/>
      <c r="BJ271" s="1142"/>
    </row>
    <row r="272" ht="15.75" customHeight="1">
      <c r="A272" s="1143"/>
      <c r="B272" s="1144" t="s">
        <v>7584</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7" t="s">
        <v>7590</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5" t="s">
        <v>7591</v>
      </c>
      <c r="B273" s="1148" t="s">
        <v>7592</v>
      </c>
      <c r="C273" s="1030" t="s">
        <v>4147</v>
      </c>
      <c r="D273" s="1031" t="s">
        <v>4147</v>
      </c>
      <c r="E273" s="1031"/>
      <c r="F273" s="1031"/>
      <c r="G273" s="1031"/>
      <c r="H273" s="1031"/>
      <c r="I273" s="1031"/>
      <c r="J273" s="1031"/>
      <c r="K273" s="1032" t="s">
        <v>7593</v>
      </c>
      <c r="L273" s="1031"/>
      <c r="M273" s="1031"/>
      <c r="N273" s="1031"/>
      <c r="O273" s="1031" t="s">
        <v>2324</v>
      </c>
      <c r="P273" s="1031"/>
      <c r="Q273" s="1031" t="s">
        <v>7594</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4" t="s">
        <v>1715</v>
      </c>
      <c r="AS273" s="1031"/>
      <c r="AT273" s="1031"/>
      <c r="AU273" s="1031"/>
      <c r="AV273" s="1031"/>
      <c r="AW273" s="1031"/>
      <c r="AX273" s="1031"/>
      <c r="AY273" s="1031"/>
      <c r="AZ273" s="1031"/>
      <c r="BA273" s="1031"/>
      <c r="BB273" s="1142"/>
      <c r="BC273" s="1142"/>
      <c r="BD273" s="1034"/>
      <c r="BE273" s="1034"/>
      <c r="BF273" s="1034"/>
      <c r="BG273" s="1034"/>
      <c r="BH273" s="1142"/>
      <c r="BI273" s="1142"/>
      <c r="BJ273" s="1142"/>
    </row>
    <row r="274" ht="15.75" customHeight="1">
      <c r="A274" s="1143"/>
      <c r="B274" s="1144" t="s">
        <v>7595</v>
      </c>
      <c r="C274" s="1030" t="s">
        <v>7541</v>
      </c>
      <c r="D274" s="1057" t="s">
        <v>424</v>
      </c>
      <c r="E274" s="1064" t="s">
        <v>815</v>
      </c>
      <c r="F274" s="1057" t="s">
        <v>7541</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40" t="s">
        <v>7596</v>
      </c>
      <c r="B275" s="1149" t="s">
        <v>7597</v>
      </c>
      <c r="C275" s="1030" t="s">
        <v>5959</v>
      </c>
      <c r="D275" s="1031" t="s">
        <v>5959</v>
      </c>
      <c r="E275" s="1031"/>
      <c r="F275" s="1031"/>
      <c r="G275" s="1031"/>
      <c r="H275" s="1031"/>
      <c r="I275" s="1031"/>
      <c r="J275" s="1031" t="s">
        <v>7486</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2"/>
      <c r="BC275" s="1142"/>
      <c r="BD275" s="1034"/>
      <c r="BE275" s="1034"/>
      <c r="BF275" s="1034"/>
      <c r="BG275" s="1034"/>
      <c r="BH275" s="1142"/>
      <c r="BI275" s="1142"/>
      <c r="BJ275" s="1142"/>
    </row>
    <row r="276" ht="15.75" customHeight="1">
      <c r="A276" s="1150"/>
      <c r="B276" s="1151" t="s">
        <v>7598</v>
      </c>
      <c r="C276" s="1030" t="s">
        <v>7423</v>
      </c>
      <c r="D276" s="1031" t="s">
        <v>1404</v>
      </c>
      <c r="E276" s="1031"/>
      <c r="F276" s="1031"/>
      <c r="G276" s="1031"/>
      <c r="H276" s="1031"/>
      <c r="I276" s="1031"/>
      <c r="J276" s="1031" t="s">
        <v>7423</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40" t="s">
        <v>74</v>
      </c>
      <c r="B277" s="1141" t="s">
        <v>7599</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2"/>
      <c r="BC277" s="1142"/>
      <c r="BD277" s="1034"/>
      <c r="BE277" s="1034"/>
      <c r="BF277" s="1034"/>
      <c r="BG277" s="1034"/>
      <c r="BH277" s="1142"/>
      <c r="BI277" s="1142"/>
      <c r="BJ277" s="1142"/>
    </row>
    <row r="278" ht="15.75" customHeight="1">
      <c r="A278" s="1143"/>
      <c r="B278" s="1144" t="s">
        <v>7600</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3"/>
      <c r="B279" s="1144" t="s">
        <v>7601</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2"/>
      <c r="BC279" s="1142"/>
      <c r="BD279" s="1034"/>
      <c r="BE279" s="1034"/>
      <c r="BF279" s="1034"/>
      <c r="BG279" s="1034"/>
      <c r="BH279" s="1142"/>
      <c r="BI279" s="1142"/>
      <c r="BJ279" s="1142"/>
    </row>
    <row r="280" ht="15.75" customHeight="1">
      <c r="A280" s="1140" t="s">
        <v>7602</v>
      </c>
      <c r="B280" s="1141"/>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2"/>
      <c r="BC280" s="1142"/>
      <c r="BD280" s="1034"/>
      <c r="BE280" s="1034"/>
      <c r="BF280" s="1034"/>
      <c r="BG280" s="1034"/>
      <c r="BH280" s="1142"/>
      <c r="BI280" s="1142"/>
      <c r="BJ280" s="1142"/>
    </row>
    <row r="281" ht="15.75" customHeight="1">
      <c r="A281" s="1145" t="s">
        <v>7093</v>
      </c>
      <c r="B281" s="1148" t="s">
        <v>7121</v>
      </c>
      <c r="C281" s="1030" t="s">
        <v>3072</v>
      </c>
      <c r="D281" s="1031" t="s">
        <v>3626</v>
      </c>
      <c r="E281" s="1031"/>
      <c r="F281" s="1031"/>
      <c r="G281" s="1031"/>
      <c r="H281" s="1031" t="s">
        <v>3072</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2"/>
      <c r="BC281" s="1142"/>
      <c r="BD281" s="1034"/>
      <c r="BE281" s="1034"/>
      <c r="BF281" s="1034"/>
      <c r="BG281" s="1034"/>
      <c r="BH281" s="1142"/>
      <c r="BI281" s="1142"/>
      <c r="BJ281" s="1142"/>
    </row>
    <row r="282" ht="15.75" customHeight="1">
      <c r="A282" s="1140" t="s">
        <v>7603</v>
      </c>
      <c r="B282" s="1152"/>
      <c r="C282" s="975" t="s">
        <v>7604</v>
      </c>
      <c r="D282" s="1037"/>
      <c r="E282" s="1037"/>
      <c r="F282" s="1037"/>
      <c r="G282" s="1037"/>
      <c r="H282" s="1057" t="s">
        <v>7604</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5" t="s">
        <v>7605</v>
      </c>
      <c r="B283" s="1148" t="s">
        <v>7606</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2"/>
      <c r="BC283" s="1142"/>
      <c r="BD283" s="1034"/>
      <c r="BE283" s="1034"/>
      <c r="BF283" s="1034"/>
      <c r="BG283" s="1034"/>
      <c r="BH283" s="1142"/>
      <c r="BI283" s="1142"/>
      <c r="BJ283" s="1142"/>
    </row>
    <row r="284" ht="15.75" customHeight="1">
      <c r="A284" s="1143"/>
      <c r="B284" s="1151" t="s">
        <v>7607</v>
      </c>
      <c r="C284" s="1030" t="s">
        <v>3472</v>
      </c>
      <c r="D284" s="1067" t="s">
        <v>4019</v>
      </c>
      <c r="E284" s="1067" t="s">
        <v>7128</v>
      </c>
      <c r="F284" s="1067"/>
      <c r="G284" s="1067"/>
      <c r="H284" s="1067"/>
      <c r="I284" s="1067"/>
      <c r="J284" s="1057" t="s">
        <v>3472</v>
      </c>
      <c r="K284" s="1063"/>
      <c r="L284" s="1067"/>
      <c r="M284" s="1067"/>
      <c r="N284" s="1067"/>
      <c r="O284" s="1067"/>
      <c r="P284" s="1067"/>
      <c r="Q284" s="1067"/>
      <c r="R284" s="1067"/>
      <c r="S284" s="1067"/>
      <c r="T284" s="1067"/>
      <c r="U284" s="1067"/>
      <c r="V284" s="1067"/>
      <c r="W284" s="1067"/>
      <c r="X284" s="1067"/>
      <c r="Y284" s="1067"/>
      <c r="Z284" s="1067"/>
      <c r="AA284" s="1067"/>
      <c r="AB284" s="1067"/>
      <c r="AC284" s="1067"/>
      <c r="AD284" s="1067"/>
      <c r="AE284" s="1067"/>
      <c r="AF284" s="1067"/>
      <c r="AG284" s="1067"/>
      <c r="AH284" s="1067"/>
      <c r="AI284" s="1067"/>
      <c r="AJ284" s="1067"/>
      <c r="AK284" s="1067"/>
      <c r="AL284" s="1067"/>
      <c r="AM284" s="1067"/>
      <c r="AN284" s="1067"/>
      <c r="AO284" s="1067"/>
      <c r="AP284" s="1067"/>
      <c r="AQ284" s="1067"/>
      <c r="AR284" s="1067"/>
      <c r="AS284" s="1067"/>
      <c r="AT284" s="1067"/>
      <c r="AU284" s="1067"/>
      <c r="AV284" s="1067"/>
      <c r="AW284" s="1067"/>
      <c r="AX284" s="1067"/>
      <c r="AY284" s="1067"/>
      <c r="AZ284" s="1067"/>
      <c r="BA284" s="1067"/>
      <c r="BB284" s="981"/>
      <c r="BC284" s="981"/>
      <c r="BD284" s="1034"/>
      <c r="BE284" s="1034"/>
      <c r="BF284" s="1034"/>
      <c r="BG284" s="1034"/>
      <c r="BH284" s="981"/>
      <c r="BI284" s="981"/>
      <c r="BJ284" s="981"/>
    </row>
    <row r="285" ht="15.75" customHeight="1">
      <c r="A285" s="1140" t="s">
        <v>7608</v>
      </c>
      <c r="B285" s="1141" t="s">
        <v>7609</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2"/>
      <c r="BC285" s="1142"/>
      <c r="BD285" s="1034"/>
      <c r="BE285" s="1034"/>
      <c r="BF285" s="1034"/>
      <c r="BG285" s="1034"/>
      <c r="BH285" s="1142"/>
      <c r="BI285" s="1142"/>
      <c r="BJ285" s="1142"/>
    </row>
    <row r="286" ht="15.75" customHeight="1">
      <c r="A286" s="1143"/>
      <c r="B286" s="1144" t="s">
        <v>7610</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40" t="s">
        <v>7611</v>
      </c>
      <c r="B287" s="1141" t="s">
        <v>7612</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3"/>
      <c r="B288" s="1151" t="s">
        <v>7613</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3"/>
      <c r="B289" s="1151" t="s">
        <v>7614</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40" t="s">
        <v>70</v>
      </c>
      <c r="B290" s="1141" t="s">
        <v>7615</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2"/>
      <c r="BC290" s="1142"/>
      <c r="BD290" s="1034"/>
      <c r="BE290" s="1034"/>
      <c r="BF290" s="1034"/>
      <c r="BG290" s="1034"/>
      <c r="BH290" s="1142"/>
      <c r="BI290" s="1142"/>
      <c r="BJ290" s="1142"/>
    </row>
    <row r="291" ht="15.75" customHeight="1">
      <c r="A291" s="1140" t="s">
        <v>71</v>
      </c>
      <c r="B291" s="1141" t="s">
        <v>7615</v>
      </c>
      <c r="C291" s="1030" t="s">
        <v>7616</v>
      </c>
      <c r="D291" s="1037"/>
      <c r="E291" s="1037"/>
      <c r="F291" s="1037"/>
      <c r="G291" s="1037"/>
      <c r="H291" s="1037"/>
      <c r="I291" s="1037"/>
      <c r="J291" s="1057" t="s">
        <v>7616</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6" t="s">
        <v>7617</v>
      </c>
      <c r="D292" s="1139"/>
      <c r="E292" s="1139"/>
      <c r="F292" s="1139"/>
      <c r="G292" s="1139"/>
      <c r="H292" s="1139"/>
      <c r="I292" s="1139"/>
      <c r="J292" s="1139"/>
      <c r="K292" s="1153"/>
      <c r="L292" s="1139"/>
      <c r="M292" s="1139"/>
      <c r="N292" s="1139"/>
      <c r="O292" s="1139"/>
      <c r="P292" s="1139"/>
      <c r="Q292" s="1139"/>
      <c r="R292" s="1139"/>
      <c r="S292" s="1139"/>
      <c r="T292" s="1139"/>
      <c r="U292" s="1139"/>
      <c r="V292" s="1139"/>
      <c r="W292" s="1139"/>
      <c r="X292" s="1139"/>
      <c r="Y292" s="1139"/>
      <c r="Z292" s="1139"/>
      <c r="AA292" s="1139"/>
      <c r="AB292" s="1139"/>
      <c r="AC292" s="1139"/>
      <c r="AD292" s="1139"/>
      <c r="AE292" s="1139"/>
      <c r="AF292" s="1139"/>
      <c r="AG292" s="1139"/>
      <c r="AH292" s="1139"/>
      <c r="AI292" s="1139"/>
      <c r="AJ292" s="1139"/>
      <c r="AK292" s="1139"/>
      <c r="AL292" s="1139"/>
      <c r="AM292" s="1139"/>
      <c r="AN292" s="1139"/>
      <c r="AO292" s="1139"/>
      <c r="AP292" s="1139"/>
      <c r="AQ292" s="1139"/>
      <c r="AR292" s="1139"/>
      <c r="AS292" s="1139"/>
      <c r="AT292" s="1139"/>
      <c r="AU292" s="1139"/>
      <c r="AV292" s="1139"/>
      <c r="AW292" s="1139"/>
      <c r="AX292" s="1139"/>
      <c r="AY292" s="1139"/>
      <c r="AZ292" s="1139"/>
      <c r="BA292" s="1139"/>
      <c r="BB292" s="1139"/>
      <c r="BC292" s="1139"/>
      <c r="BD292" s="1139"/>
      <c r="BE292" s="1139"/>
      <c r="BF292" s="1139"/>
      <c r="BG292" s="1139"/>
      <c r="BH292" s="1139"/>
      <c r="BI292" s="1139"/>
      <c r="BJ292" s="1139"/>
    </row>
    <row r="293" ht="15.75" customHeight="1">
      <c r="A293" s="1140" t="s">
        <v>7618</v>
      </c>
      <c r="B293" s="1149" t="s">
        <v>7084</v>
      </c>
      <c r="C293" s="1030" t="s">
        <v>528</v>
      </c>
      <c r="D293" s="1097"/>
      <c r="E293" s="1097"/>
      <c r="F293" s="1097"/>
      <c r="G293" s="1097"/>
      <c r="H293" s="1097"/>
      <c r="I293" s="1097"/>
      <c r="J293" s="1097"/>
      <c r="K293" s="1154"/>
      <c r="L293" s="1097"/>
      <c r="M293" s="1097"/>
      <c r="N293" s="1097"/>
      <c r="O293" s="1097"/>
      <c r="P293" s="1097"/>
      <c r="Q293" s="1097"/>
      <c r="R293" s="1097"/>
      <c r="S293" s="1097"/>
      <c r="T293" s="1097"/>
      <c r="U293" s="1097"/>
      <c r="V293" s="1097"/>
      <c r="W293" s="1097"/>
      <c r="X293" s="1097"/>
      <c r="Y293" s="1097"/>
      <c r="Z293" s="1097"/>
      <c r="AA293" s="1097"/>
      <c r="AB293" s="1097"/>
      <c r="AC293" s="1097"/>
      <c r="AD293" s="1097"/>
      <c r="AE293" s="1097"/>
      <c r="AF293" s="1097"/>
      <c r="AG293" s="1097"/>
      <c r="AH293" s="1097"/>
      <c r="AI293" s="1097"/>
      <c r="AJ293" s="1097"/>
      <c r="AK293" s="1097"/>
      <c r="AL293" s="1097"/>
      <c r="AM293" s="1097"/>
      <c r="AN293" s="1097"/>
      <c r="AO293" s="1097"/>
      <c r="AP293" s="1097"/>
      <c r="AQ293" s="1097"/>
      <c r="AR293" s="1097" t="s">
        <v>3131</v>
      </c>
      <c r="AS293" s="1097"/>
      <c r="AT293" s="1097"/>
      <c r="AU293" s="1097"/>
      <c r="AV293" s="1097"/>
      <c r="AW293" s="1097"/>
      <c r="AX293" s="1097"/>
      <c r="AY293" s="1097"/>
      <c r="AZ293" s="1097"/>
      <c r="BA293" s="1097"/>
      <c r="BB293" s="981"/>
      <c r="BC293" s="981"/>
      <c r="BD293" s="1034"/>
      <c r="BE293" s="1034"/>
      <c r="BF293" s="1034"/>
      <c r="BG293" s="1034"/>
      <c r="BH293" s="981"/>
      <c r="BI293" s="981"/>
      <c r="BJ293" s="981"/>
    </row>
    <row r="294" ht="15.75" customHeight="1">
      <c r="A294" s="1143"/>
      <c r="B294" s="1151" t="s">
        <v>7619</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2"/>
      <c r="BC294" s="1142"/>
      <c r="BD294" s="1034"/>
      <c r="BE294" s="1034"/>
      <c r="BF294" s="1034"/>
      <c r="BG294" s="1034"/>
      <c r="BH294" s="1142"/>
      <c r="BI294" s="1142"/>
      <c r="BJ294" s="1142"/>
    </row>
    <row r="295" ht="15.75" customHeight="1">
      <c r="A295" s="1143"/>
      <c r="B295" s="1151" t="s">
        <v>7620</v>
      </c>
      <c r="C295" s="1030" t="s">
        <v>2898</v>
      </c>
      <c r="D295" s="1057" t="s">
        <v>5206</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40" t="s">
        <v>7621</v>
      </c>
      <c r="B296" s="1149"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2"/>
      <c r="BC296" s="1142"/>
      <c r="BD296" s="1034"/>
      <c r="BE296" s="1034"/>
      <c r="BF296" s="1034"/>
      <c r="BG296" s="1034"/>
      <c r="BH296" s="1142"/>
      <c r="BI296" s="1142"/>
      <c r="BJ296" s="1142"/>
    </row>
    <row r="297" ht="15.75" customHeight="1">
      <c r="A297" s="1143"/>
      <c r="B297" s="1151" t="s">
        <v>7184</v>
      </c>
      <c r="C297" s="1030" t="s">
        <v>6134</v>
      </c>
      <c r="D297" s="1057" t="s">
        <v>4406</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5021</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40" t="s">
        <v>7622</v>
      </c>
      <c r="B298" s="1149" t="s">
        <v>7082</v>
      </c>
      <c r="C298" s="1030" t="s">
        <v>2342</v>
      </c>
      <c r="D298" s="1155" t="s">
        <v>1781</v>
      </c>
      <c r="E298" s="1155" t="s">
        <v>4736</v>
      </c>
      <c r="F298" s="1156"/>
      <c r="G298" s="1155" t="s">
        <v>7623</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2"/>
      <c r="BC298" s="1142"/>
      <c r="BD298" s="992"/>
      <c r="BE298" s="992"/>
      <c r="BF298" s="992"/>
      <c r="BG298" s="992"/>
      <c r="BH298" s="1142"/>
      <c r="BI298" s="1142"/>
      <c r="BJ298" s="1142"/>
    </row>
    <row r="299" ht="15.75" customHeight="1">
      <c r="A299" s="1140" t="s">
        <v>7624</v>
      </c>
      <c r="B299" s="1149" t="s">
        <v>7625</v>
      </c>
      <c r="C299" s="1030" t="s">
        <v>7626</v>
      </c>
      <c r="D299" s="1057" t="s">
        <v>7626</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3"/>
      <c r="B300" s="1157" t="s">
        <v>7627</v>
      </c>
      <c r="C300" s="1030" t="s">
        <v>7628</v>
      </c>
      <c r="D300" s="1057" t="s">
        <v>7629</v>
      </c>
      <c r="E300" s="1064"/>
      <c r="F300" s="1064"/>
      <c r="G300" s="1064"/>
      <c r="H300" s="1064" t="s">
        <v>1420</v>
      </c>
      <c r="I300" s="1064"/>
      <c r="J300" s="1064"/>
      <c r="K300" s="1032"/>
      <c r="L300" s="1064"/>
      <c r="M300" s="1064"/>
      <c r="N300" s="1064"/>
      <c r="O300" s="1064"/>
      <c r="P300" s="1064"/>
      <c r="Q300" s="1064"/>
      <c r="R300" s="1064"/>
      <c r="S300" s="1064"/>
      <c r="T300" s="1064"/>
      <c r="U300" s="1064"/>
      <c r="V300" s="1057" t="s">
        <v>7628</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2"/>
      <c r="BC300" s="1142"/>
      <c r="BD300" s="1034"/>
      <c r="BE300" s="1034"/>
      <c r="BF300" s="1034"/>
      <c r="BG300" s="1034"/>
      <c r="BH300" s="1142"/>
      <c r="BI300" s="1142"/>
      <c r="BJ300" s="1142"/>
    </row>
    <row r="301" ht="15.75" customHeight="1">
      <c r="A301" s="1140" t="s">
        <v>7630</v>
      </c>
      <c r="B301" s="1149" t="s">
        <v>7631</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3"/>
      <c r="B302" s="1151" t="s">
        <v>7632</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2"/>
      <c r="BC302" s="1142"/>
      <c r="BD302" s="1034"/>
      <c r="BE302" s="1034"/>
      <c r="BF302" s="1034"/>
      <c r="BG302" s="1034"/>
      <c r="BH302" s="1142"/>
      <c r="BI302" s="1142"/>
      <c r="BJ302" s="1142"/>
    </row>
    <row r="303" ht="15.75" customHeight="1">
      <c r="A303" s="1143"/>
      <c r="B303" s="1151" t="s">
        <v>7633</v>
      </c>
      <c r="C303" s="1030" t="s">
        <v>7634</v>
      </c>
      <c r="D303" s="1057" t="s">
        <v>7634</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3"/>
      <c r="B304" s="1151" t="s">
        <v>7635</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2"/>
      <c r="BC304" s="1142"/>
      <c r="BD304" s="1034"/>
      <c r="BE304" s="1034"/>
      <c r="BF304" s="1034"/>
      <c r="BG304" s="1034"/>
      <c r="BH304" s="1142"/>
      <c r="BI304" s="1142"/>
      <c r="BJ304" s="1142"/>
    </row>
    <row r="305" ht="15.75" customHeight="1">
      <c r="A305" s="1143"/>
      <c r="B305" s="1151" t="s">
        <v>7636</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3"/>
      <c r="B306" s="1151" t="s">
        <v>7637</v>
      </c>
      <c r="C306" s="1030" t="s">
        <v>7638</v>
      </c>
      <c r="D306" s="1057" t="s">
        <v>3900</v>
      </c>
      <c r="E306" s="1064"/>
      <c r="F306" s="1064"/>
      <c r="G306" s="1064"/>
      <c r="H306" s="1057" t="s">
        <v>7638</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2"/>
      <c r="BC306" s="1142"/>
      <c r="BD306" s="1034"/>
      <c r="BE306" s="1034"/>
      <c r="BF306" s="1034"/>
      <c r="BG306" s="1034"/>
      <c r="BH306" s="1142"/>
      <c r="BI306" s="1142"/>
      <c r="BJ306" s="1142"/>
    </row>
    <row r="307" ht="15.75" customHeight="1">
      <c r="A307" s="1143"/>
      <c r="B307" s="1151" t="s">
        <v>7639</v>
      </c>
      <c r="C307" s="1030" t="s">
        <v>7640</v>
      </c>
      <c r="D307" s="1037"/>
      <c r="E307" s="1037"/>
      <c r="F307" s="1037"/>
      <c r="G307" s="1037"/>
      <c r="H307" s="1057" t="s">
        <v>7641</v>
      </c>
      <c r="I307" s="1037"/>
      <c r="J307" s="1037"/>
      <c r="K307" s="1038"/>
      <c r="L307" s="1037"/>
      <c r="M307" s="1057" t="s">
        <v>7642</v>
      </c>
      <c r="N307" s="1037"/>
      <c r="O307" s="1037"/>
      <c r="P307" s="1037"/>
      <c r="Q307" s="1037"/>
      <c r="R307" s="1037"/>
      <c r="S307" s="1037"/>
      <c r="T307" s="1037"/>
      <c r="U307" s="1037"/>
      <c r="V307" s="1057" t="s">
        <v>7640</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7643</v>
      </c>
      <c r="AS307" s="1057" t="s">
        <v>7644</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40" t="s">
        <v>7645</v>
      </c>
      <c r="B308" s="1149"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7" t="s">
        <v>5404</v>
      </c>
      <c r="AS308" s="1037" t="s">
        <v>6780</v>
      </c>
      <c r="AT308" s="1037"/>
      <c r="AU308" s="1037"/>
      <c r="AV308" s="1037"/>
      <c r="AW308" s="1037"/>
      <c r="AX308" s="1037"/>
      <c r="AY308" s="1037"/>
      <c r="AZ308" s="1037"/>
      <c r="BA308" s="1037"/>
      <c r="BB308" s="1142"/>
      <c r="BC308" s="1142"/>
      <c r="BD308" s="1034"/>
      <c r="BE308" s="1034"/>
      <c r="BF308" s="1034"/>
      <c r="BG308" s="1034"/>
      <c r="BH308" s="1142"/>
      <c r="BI308" s="1142"/>
      <c r="BJ308" s="1142"/>
    </row>
    <row r="309" ht="15.75" customHeight="1">
      <c r="A309" s="1140" t="s">
        <v>7646</v>
      </c>
      <c r="B309" s="1149" t="s">
        <v>7647</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3"/>
      <c r="B310" s="1151" t="s">
        <v>7648</v>
      </c>
      <c r="C310" s="1030" t="s">
        <v>7649</v>
      </c>
      <c r="D310" s="1057" t="s">
        <v>7650</v>
      </c>
      <c r="E310" s="1064"/>
      <c r="F310" s="1064"/>
      <c r="G310" s="1064"/>
      <c r="H310" s="1064"/>
      <c r="I310" s="1064"/>
      <c r="J310" s="1064"/>
      <c r="K310" s="1032"/>
      <c r="L310" s="1057" t="s">
        <v>7649</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2"/>
      <c r="BC310" s="1142"/>
      <c r="BD310" s="1034"/>
      <c r="BE310" s="1034"/>
      <c r="BF310" s="1034"/>
      <c r="BG310" s="1034"/>
      <c r="BH310" s="1142"/>
      <c r="BI310" s="1142"/>
      <c r="BJ310" s="1142"/>
    </row>
    <row r="311" ht="15.75" customHeight="1">
      <c r="A311" s="1143"/>
      <c r="B311" s="1151" t="s">
        <v>7651</v>
      </c>
      <c r="C311" s="1158"/>
      <c r="D311" s="1064"/>
      <c r="E311" s="1064"/>
      <c r="F311" s="1064"/>
      <c r="G311" s="1064"/>
      <c r="H311" s="1064" t="s">
        <v>7652</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40" t="s">
        <v>7653</v>
      </c>
      <c r="B312" s="1141" t="s">
        <v>7654</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2"/>
      <c r="BC312" s="1142"/>
      <c r="BD312" s="1034"/>
      <c r="BE312" s="1034"/>
      <c r="BF312" s="1034"/>
      <c r="BG312" s="1034"/>
      <c r="BH312" s="1142"/>
      <c r="BI312" s="1142"/>
      <c r="BJ312" s="1142"/>
    </row>
    <row r="313" ht="15.75" customHeight="1">
      <c r="A313" s="1143"/>
      <c r="B313" s="1157" t="s">
        <v>7655</v>
      </c>
      <c r="C313" s="1030" t="s">
        <v>4541</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40" t="s">
        <v>7656</v>
      </c>
      <c r="B314" s="1149" t="s">
        <v>7082</v>
      </c>
      <c r="C314" s="1030" t="s">
        <v>7657</v>
      </c>
      <c r="D314" s="1065"/>
      <c r="E314" s="1057" t="s">
        <v>7658</v>
      </c>
      <c r="F314" s="1065"/>
      <c r="G314" s="1065"/>
      <c r="H314" s="1057" t="s">
        <v>7657</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2"/>
      <c r="BC314" s="1142"/>
      <c r="BD314" s="1034"/>
      <c r="BE314" s="1034"/>
      <c r="BF314" s="1034"/>
      <c r="BG314" s="1034"/>
      <c r="BH314" s="1142"/>
      <c r="BI314" s="1142"/>
      <c r="BJ314" s="1142"/>
    </row>
    <row r="315" ht="15.75" customHeight="1">
      <c r="A315" s="1140" t="s">
        <v>7659</v>
      </c>
      <c r="B315" s="1149" t="s">
        <v>7660</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50"/>
      <c r="B316" s="1151" t="s">
        <v>7661</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7662</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50"/>
      <c r="B317" s="1151" t="s">
        <v>7663</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2"/>
      <c r="BC317" s="1142"/>
      <c r="BD317" s="1060"/>
      <c r="BE317" s="1060"/>
      <c r="BF317" s="1060"/>
      <c r="BG317" s="1060"/>
      <c r="BH317" s="1142"/>
      <c r="BI317" s="1142"/>
      <c r="BJ317" s="11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1" t="s">
        <v>7665</v>
      </c>
      <c r="W1" s="1162" t="s">
        <v>7666</v>
      </c>
      <c r="AM1" s="1163" t="s">
        <v>7667</v>
      </c>
      <c r="BG1" s="1164" t="s">
        <v>7668</v>
      </c>
      <c r="BQ1" s="1165" t="s">
        <v>7669</v>
      </c>
      <c r="BV1" s="1166" t="s">
        <v>7670</v>
      </c>
      <c r="CE1" s="1161" t="s">
        <v>7671</v>
      </c>
      <c r="CM1" s="1167" t="s">
        <v>7672</v>
      </c>
      <c r="CP1" s="1168" t="s">
        <v>7673</v>
      </c>
      <c r="CT1" s="1169" t="s">
        <v>7674</v>
      </c>
    </row>
    <row r="2">
      <c r="A2" s="1170" t="s">
        <v>43</v>
      </c>
      <c r="B2" s="36" t="s">
        <v>44</v>
      </c>
      <c r="C2" s="36" t="s">
        <v>45</v>
      </c>
      <c r="F2" s="36" t="s">
        <v>7675</v>
      </c>
      <c r="H2" s="1171" t="s">
        <v>7676</v>
      </c>
      <c r="I2" s="1171" t="s">
        <v>7677</v>
      </c>
      <c r="J2" s="1171" t="s">
        <v>7678</v>
      </c>
      <c r="K2" s="1171" t="s">
        <v>7679</v>
      </c>
      <c r="L2" s="1171" t="s">
        <v>7680</v>
      </c>
      <c r="M2" s="1171" t="s">
        <v>7681</v>
      </c>
      <c r="N2" s="1171" t="s">
        <v>7682</v>
      </c>
      <c r="O2" s="1171" t="s">
        <v>7683</v>
      </c>
      <c r="P2" s="1171" t="s">
        <v>7684</v>
      </c>
      <c r="Q2" s="1171" t="s">
        <v>7685</v>
      </c>
      <c r="R2" s="1171" t="s">
        <v>7686</v>
      </c>
      <c r="S2" s="1171" t="s">
        <v>7687</v>
      </c>
      <c r="T2" s="1171" t="s">
        <v>7688</v>
      </c>
      <c r="U2" s="1171" t="s">
        <v>7689</v>
      </c>
      <c r="V2" s="1171" t="s">
        <v>7690</v>
      </c>
      <c r="W2" s="1172" t="s">
        <v>7691</v>
      </c>
      <c r="X2" s="1172" t="s">
        <v>7692</v>
      </c>
      <c r="Y2" s="1172" t="s">
        <v>7693</v>
      </c>
      <c r="Z2" s="1172" t="s">
        <v>7694</v>
      </c>
      <c r="AA2" s="1172" t="s">
        <v>7695</v>
      </c>
      <c r="AB2" s="1172" t="s">
        <v>7696</v>
      </c>
      <c r="AC2" s="1172" t="s">
        <v>7697</v>
      </c>
      <c r="AD2" s="1172" t="s">
        <v>7698</v>
      </c>
      <c r="AE2" s="1172" t="s">
        <v>7699</v>
      </c>
      <c r="AF2" s="1172" t="s">
        <v>7700</v>
      </c>
      <c r="AG2" s="1172" t="s">
        <v>7701</v>
      </c>
      <c r="AH2" s="1172" t="s">
        <v>7702</v>
      </c>
      <c r="AI2" s="1172" t="s">
        <v>7703</v>
      </c>
      <c r="AJ2" s="1172" t="s">
        <v>7704</v>
      </c>
      <c r="AK2" s="1172" t="s">
        <v>7705</v>
      </c>
      <c r="AL2" s="1172" t="s">
        <v>7706</v>
      </c>
      <c r="AM2" s="1173" t="s">
        <v>7707</v>
      </c>
      <c r="AN2" s="1173" t="s">
        <v>7708</v>
      </c>
      <c r="AO2" s="1173" t="s">
        <v>7709</v>
      </c>
      <c r="AP2" s="1173" t="s">
        <v>7710</v>
      </c>
      <c r="AQ2" s="1173" t="s">
        <v>7711</v>
      </c>
      <c r="AR2" s="1173" t="s">
        <v>7712</v>
      </c>
      <c r="AS2" s="1173" t="s">
        <v>7713</v>
      </c>
      <c r="AT2" s="1173" t="s">
        <v>7714</v>
      </c>
      <c r="AU2" s="1173" t="s">
        <v>7715</v>
      </c>
      <c r="AV2" s="1173" t="s">
        <v>7716</v>
      </c>
      <c r="AW2" s="1173" t="s">
        <v>7717</v>
      </c>
      <c r="AX2" s="1173" t="s">
        <v>7718</v>
      </c>
      <c r="AY2" s="1173" t="s">
        <v>7719</v>
      </c>
      <c r="AZ2" s="1173" t="s">
        <v>7720</v>
      </c>
      <c r="BA2" s="1173" t="s">
        <v>7721</v>
      </c>
      <c r="BB2" s="1173" t="s">
        <v>7722</v>
      </c>
      <c r="BC2" s="1173" t="s">
        <v>7723</v>
      </c>
      <c r="BD2" s="1173" t="s">
        <v>7724</v>
      </c>
      <c r="BE2" s="1173" t="s">
        <v>7725</v>
      </c>
      <c r="BF2" s="1173" t="s">
        <v>7726</v>
      </c>
      <c r="BG2" s="1174" t="s">
        <v>7727</v>
      </c>
      <c r="BH2" s="1174" t="s">
        <v>7728</v>
      </c>
      <c r="BI2" s="1174" t="s">
        <v>7729</v>
      </c>
      <c r="BJ2" s="1174" t="s">
        <v>7730</v>
      </c>
      <c r="BK2" s="1174" t="s">
        <v>7731</v>
      </c>
      <c r="BL2" s="1174" t="s">
        <v>7732</v>
      </c>
      <c r="BM2" s="1174" t="s">
        <v>7733</v>
      </c>
      <c r="BN2" s="1174" t="s">
        <v>7734</v>
      </c>
      <c r="BO2" s="1174" t="s">
        <v>7735</v>
      </c>
      <c r="BP2" s="1174" t="s">
        <v>7736</v>
      </c>
      <c r="BQ2" s="1175" t="s">
        <v>7737</v>
      </c>
      <c r="BR2" s="1175" t="s">
        <v>7738</v>
      </c>
      <c r="BS2" s="1175" t="s">
        <v>7739</v>
      </c>
      <c r="BT2" s="1175" t="s">
        <v>7740</v>
      </c>
      <c r="BU2" s="1175" t="s">
        <v>7741</v>
      </c>
      <c r="BV2" s="1176" t="s">
        <v>7742</v>
      </c>
      <c r="BW2" s="1176" t="s">
        <v>7743</v>
      </c>
      <c r="BX2" s="1176" t="s">
        <v>7744</v>
      </c>
      <c r="BY2" s="1176" t="s">
        <v>7745</v>
      </c>
      <c r="BZ2" s="1176" t="s">
        <v>7746</v>
      </c>
      <c r="CA2" s="1176" t="s">
        <v>7747</v>
      </c>
      <c r="CB2" s="1176" t="s">
        <v>7748</v>
      </c>
      <c r="CC2" s="1176" t="s">
        <v>7749</v>
      </c>
      <c r="CD2" s="1176" t="s">
        <v>7750</v>
      </c>
      <c r="CE2" s="1177" t="s">
        <v>7676</v>
      </c>
      <c r="CF2" s="1177" t="s">
        <v>7679</v>
      </c>
      <c r="CG2" s="1177" t="s">
        <v>7683</v>
      </c>
      <c r="CH2" s="1177" t="s">
        <v>7685</v>
      </c>
      <c r="CI2" s="1177" t="s">
        <v>7686</v>
      </c>
      <c r="CJ2" s="1177" t="s">
        <v>7689</v>
      </c>
      <c r="CK2" s="1177" t="s">
        <v>7751</v>
      </c>
      <c r="CL2" s="1177" t="s">
        <v>7752</v>
      </c>
      <c r="CM2" s="1178" t="s">
        <v>7753</v>
      </c>
      <c r="CN2" s="1178" t="s">
        <v>7754</v>
      </c>
      <c r="CO2" s="1178" t="s">
        <v>7755</v>
      </c>
      <c r="CP2" s="1179" t="s">
        <v>7756</v>
      </c>
      <c r="CQ2" s="1179" t="s">
        <v>7757</v>
      </c>
      <c r="CR2" s="1179" t="s">
        <v>7758</v>
      </c>
      <c r="CS2" s="1179" t="s">
        <v>7759</v>
      </c>
      <c r="CT2" s="1180" t="s">
        <v>7760</v>
      </c>
    </row>
    <row r="3">
      <c r="A3" s="1181" t="s">
        <v>7055</v>
      </c>
      <c r="B3" s="767" t="s">
        <v>7761</v>
      </c>
      <c r="C3" s="768" t="s">
        <v>912</v>
      </c>
      <c r="D3" s="769" t="s">
        <v>435</v>
      </c>
      <c r="E3" s="770" t="s">
        <v>435</v>
      </c>
      <c r="F3" s="771" t="s">
        <v>220</v>
      </c>
      <c r="G3" s="767" t="s">
        <v>3219</v>
      </c>
      <c r="H3" s="936" t="s">
        <v>7762</v>
      </c>
      <c r="I3" s="1182" t="s">
        <v>7763</v>
      </c>
      <c r="J3" s="936" t="s">
        <v>6830</v>
      </c>
      <c r="K3" s="1183" t="s">
        <v>7764</v>
      </c>
      <c r="L3" s="1182" t="s">
        <v>7765</v>
      </c>
      <c r="M3" s="1184" t="s">
        <v>7766</v>
      </c>
      <c r="N3" s="936" t="s">
        <v>7767</v>
      </c>
      <c r="O3" s="1185" t="s">
        <v>7768</v>
      </c>
      <c r="P3" s="1186" t="s">
        <v>7769</v>
      </c>
      <c r="Q3" s="1185" t="s">
        <v>7770</v>
      </c>
      <c r="R3" s="936" t="s">
        <v>7771</v>
      </c>
      <c r="S3" s="1187" t="s">
        <v>7772</v>
      </c>
      <c r="T3" s="939" t="s">
        <v>7773</v>
      </c>
      <c r="U3" s="1186" t="s">
        <v>7774</v>
      </c>
      <c r="V3" s="936" t="s">
        <v>7775</v>
      </c>
      <c r="W3" s="936" t="s">
        <v>2398</v>
      </c>
      <c r="X3" s="1187" t="s">
        <v>175</v>
      </c>
      <c r="Y3" s="936" t="s">
        <v>1873</v>
      </c>
      <c r="Z3" s="1187" t="s">
        <v>7776</v>
      </c>
      <c r="AA3" s="936" t="s">
        <v>4385</v>
      </c>
      <c r="AB3" s="1187"/>
      <c r="AC3" s="936" t="s">
        <v>7777</v>
      </c>
      <c r="AD3" s="936" t="s">
        <v>3735</v>
      </c>
      <c r="AE3" s="936" t="s">
        <v>7778</v>
      </c>
      <c r="AF3" s="1187" t="s">
        <v>7779</v>
      </c>
      <c r="AG3" s="1187"/>
      <c r="AH3" s="1187" t="s">
        <v>7780</v>
      </c>
      <c r="AI3" s="1187" t="s">
        <v>7781</v>
      </c>
      <c r="AJ3" s="1188"/>
      <c r="AK3" s="1187"/>
      <c r="AL3" s="936"/>
      <c r="AM3" s="1187" t="s">
        <v>7782</v>
      </c>
      <c r="AN3" s="1186" t="s">
        <v>7783</v>
      </c>
      <c r="AO3" s="1186" t="s">
        <v>7784</v>
      </c>
      <c r="AP3" s="1186" t="s">
        <v>7785</v>
      </c>
      <c r="AQ3" s="1186" t="s">
        <v>7786</v>
      </c>
      <c r="AR3" s="1186" t="s">
        <v>7787</v>
      </c>
      <c r="AS3" s="1186" t="s">
        <v>7788</v>
      </c>
      <c r="AT3" s="1184" t="s">
        <v>7789</v>
      </c>
      <c r="AU3" s="1186" t="s">
        <v>7790</v>
      </c>
      <c r="AV3" s="1186" t="s">
        <v>7791</v>
      </c>
      <c r="AW3" s="939" t="s">
        <v>7792</v>
      </c>
      <c r="AX3" s="1186" t="s">
        <v>7793</v>
      </c>
      <c r="AY3" s="1187" t="s">
        <v>7794</v>
      </c>
      <c r="AZ3" s="1187" t="s">
        <v>5026</v>
      </c>
      <c r="BA3" s="1186" t="s">
        <v>7795</v>
      </c>
      <c r="BB3" s="1187" t="s">
        <v>7796</v>
      </c>
      <c r="BC3" s="1187" t="s">
        <v>7797</v>
      </c>
      <c r="BD3" s="936" t="s">
        <v>7798</v>
      </c>
      <c r="BE3" s="1187"/>
      <c r="BF3" s="1186" t="s">
        <v>7799</v>
      </c>
      <c r="BG3" s="1187"/>
      <c r="BH3" s="1187"/>
      <c r="BI3" s="1187" t="s">
        <v>7800</v>
      </c>
      <c r="BJ3" s="1187"/>
      <c r="BK3" s="1187"/>
      <c r="BL3" s="936"/>
      <c r="BM3" s="1187" t="s">
        <v>7801</v>
      </c>
      <c r="BN3" s="1187"/>
      <c r="BO3" s="1187"/>
      <c r="BP3" s="1187"/>
      <c r="BQ3" s="936" t="s">
        <v>7802</v>
      </c>
      <c r="BR3" s="1188"/>
      <c r="BS3" s="936" t="s">
        <v>7803</v>
      </c>
      <c r="BT3" s="1188"/>
      <c r="BU3" s="936" t="s">
        <v>7804</v>
      </c>
      <c r="BV3" s="937"/>
      <c r="BW3" s="1188"/>
      <c r="BX3" s="1187" t="s">
        <v>3943</v>
      </c>
      <c r="BY3" s="1188"/>
      <c r="BZ3" s="937"/>
      <c r="CA3" s="1187" t="s">
        <v>6033</v>
      </c>
      <c r="CB3" s="1187" t="s">
        <v>368</v>
      </c>
      <c r="CC3" s="1187" t="s">
        <v>2341</v>
      </c>
      <c r="CD3" s="1187"/>
      <c r="CE3" s="936" t="s">
        <v>7805</v>
      </c>
      <c r="CF3" s="936" t="s">
        <v>7806</v>
      </c>
      <c r="CG3" s="1187"/>
      <c r="CH3" s="1187"/>
      <c r="CI3" s="1187"/>
      <c r="CJ3" s="1187"/>
      <c r="CK3" s="1187"/>
      <c r="CL3" s="1187"/>
      <c r="CM3" s="1187"/>
      <c r="CN3" s="936"/>
      <c r="CO3" s="1187"/>
      <c r="CP3" s="936" t="s">
        <v>7807</v>
      </c>
      <c r="CQ3" s="936" t="s">
        <v>7808</v>
      </c>
      <c r="CR3" s="1187"/>
      <c r="CS3" s="1187"/>
      <c r="CT3" s="1187" t="s">
        <v>7809</v>
      </c>
    </row>
    <row r="4">
      <c r="A4" s="1189" t="s">
        <v>6572</v>
      </c>
      <c r="B4" s="767" t="s">
        <v>7810</v>
      </c>
      <c r="C4" s="768" t="s">
        <v>330</v>
      </c>
      <c r="D4" s="769" t="s">
        <v>330</v>
      </c>
      <c r="E4" s="770" t="s">
        <v>2248</v>
      </c>
      <c r="F4" s="771" t="s">
        <v>7811</v>
      </c>
      <c r="G4" s="767" t="s">
        <v>5107</v>
      </c>
      <c r="H4" s="1190" t="s">
        <v>7812</v>
      </c>
      <c r="I4" s="1191" t="s">
        <v>7813</v>
      </c>
      <c r="J4" s="937"/>
      <c r="K4" s="936" t="s">
        <v>7814</v>
      </c>
      <c r="L4" s="1188"/>
      <c r="M4" s="1186" t="s">
        <v>7815</v>
      </c>
      <c r="N4" s="937"/>
      <c r="O4" s="939" t="s">
        <v>7816</v>
      </c>
      <c r="P4" s="1185" t="s">
        <v>7817</v>
      </c>
      <c r="Q4" s="1188"/>
      <c r="R4" s="939" t="s">
        <v>7818</v>
      </c>
      <c r="S4" s="937"/>
      <c r="T4" s="936" t="s">
        <v>7819</v>
      </c>
      <c r="U4" s="939" t="s">
        <v>6668</v>
      </c>
      <c r="V4" s="1186" t="s">
        <v>7820</v>
      </c>
      <c r="W4" s="939" t="s">
        <v>1291</v>
      </c>
      <c r="X4" s="939" t="s">
        <v>1725</v>
      </c>
      <c r="Y4" s="939" t="s">
        <v>2154</v>
      </c>
      <c r="Z4" s="1186" t="s">
        <v>3570</v>
      </c>
      <c r="AA4" s="1192"/>
      <c r="AB4" s="1193" t="s">
        <v>7821</v>
      </c>
      <c r="AC4" s="939" t="s">
        <v>3109</v>
      </c>
      <c r="AD4" s="939" t="s">
        <v>6134</v>
      </c>
      <c r="AE4" s="1192"/>
      <c r="AF4" s="1182" t="s">
        <v>6935</v>
      </c>
      <c r="AG4" s="1188"/>
      <c r="AH4" s="1185" t="s">
        <v>7822</v>
      </c>
      <c r="AI4" s="1185" t="s">
        <v>4912</v>
      </c>
      <c r="AJ4" s="1188"/>
      <c r="AK4" s="939" t="s">
        <v>7823</v>
      </c>
      <c r="AL4" s="937"/>
      <c r="AM4" s="1182" t="s">
        <v>7824</v>
      </c>
      <c r="AN4" s="936" t="s">
        <v>7825</v>
      </c>
      <c r="AO4" s="936" t="s">
        <v>7826</v>
      </c>
      <c r="AP4" s="1182" t="s">
        <v>7782</v>
      </c>
      <c r="AQ4" s="937"/>
      <c r="AR4" s="936" t="s">
        <v>7827</v>
      </c>
      <c r="AS4" s="937"/>
      <c r="AT4" s="1182" t="s">
        <v>7789</v>
      </c>
      <c r="AU4" s="1182" t="s">
        <v>7828</v>
      </c>
      <c r="AV4" s="937"/>
      <c r="AW4" s="1182" t="s">
        <v>7829</v>
      </c>
      <c r="AX4" s="937"/>
      <c r="AY4" s="937"/>
      <c r="AZ4" s="1182" t="s">
        <v>1663</v>
      </c>
      <c r="BA4" s="1185" t="s">
        <v>5163</v>
      </c>
      <c r="BB4" s="1182" t="s">
        <v>7830</v>
      </c>
      <c r="BC4" s="939" t="s">
        <v>7831</v>
      </c>
      <c r="BD4" s="1186" t="s">
        <v>7832</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7833</v>
      </c>
      <c r="C5" s="768" t="s">
        <v>827</v>
      </c>
      <c r="D5" s="769" t="s">
        <v>330</v>
      </c>
      <c r="E5" s="770" t="s">
        <v>737</v>
      </c>
      <c r="F5" s="771" t="s">
        <v>913</v>
      </c>
      <c r="G5" s="767" t="s">
        <v>4220</v>
      </c>
      <c r="H5" s="936" t="s">
        <v>7834</v>
      </c>
      <c r="I5" s="936" t="s">
        <v>6888</v>
      </c>
      <c r="J5" s="936"/>
      <c r="K5" s="1185" t="s">
        <v>7835</v>
      </c>
      <c r="L5" s="1186" t="s">
        <v>7836</v>
      </c>
      <c r="M5" s="936"/>
      <c r="N5" s="936"/>
      <c r="O5" s="1182" t="s">
        <v>7837</v>
      </c>
      <c r="P5" s="936" t="s">
        <v>7838</v>
      </c>
      <c r="Q5" s="936" t="s">
        <v>7839</v>
      </c>
      <c r="R5" s="1186" t="s">
        <v>7840</v>
      </c>
      <c r="S5" s="936"/>
      <c r="T5" s="1185" t="s">
        <v>7841</v>
      </c>
      <c r="U5" s="1185" t="s">
        <v>7842</v>
      </c>
      <c r="V5" s="936"/>
      <c r="W5" s="936" t="s">
        <v>7096</v>
      </c>
      <c r="X5" s="936"/>
      <c r="Y5" s="936" t="s">
        <v>1720</v>
      </c>
      <c r="Z5" s="1185" t="s">
        <v>1069</v>
      </c>
      <c r="AA5" s="1192"/>
      <c r="AB5" s="1192"/>
      <c r="AC5" s="936" t="s">
        <v>7843</v>
      </c>
      <c r="AD5" s="937"/>
      <c r="AE5" s="936"/>
      <c r="AF5" s="936" t="s">
        <v>7844</v>
      </c>
      <c r="AG5" s="936"/>
      <c r="AH5" s="936" t="s">
        <v>7845</v>
      </c>
      <c r="AI5" s="936" t="s">
        <v>2016</v>
      </c>
      <c r="AJ5" s="937"/>
      <c r="AK5" s="936"/>
      <c r="AL5" s="936"/>
      <c r="AM5" s="936" t="s">
        <v>7846</v>
      </c>
      <c r="AN5" s="937"/>
      <c r="AO5" s="937"/>
      <c r="AP5" s="936" t="s">
        <v>7847</v>
      </c>
      <c r="AQ5" s="1185" t="s">
        <v>7848</v>
      </c>
      <c r="AR5" s="936" t="s">
        <v>7849</v>
      </c>
      <c r="AS5" s="936"/>
      <c r="AT5" s="936" t="s">
        <v>7850</v>
      </c>
      <c r="AU5" s="939" t="s">
        <v>7851</v>
      </c>
      <c r="AV5" s="936"/>
      <c r="AW5" s="1195" t="s">
        <v>7852</v>
      </c>
      <c r="AX5" s="114"/>
      <c r="AY5" s="114" t="s">
        <v>7853</v>
      </c>
      <c r="AZ5" s="936" t="s">
        <v>2967</v>
      </c>
      <c r="BA5" s="936"/>
      <c r="BB5" s="936" t="s">
        <v>7832</v>
      </c>
      <c r="BC5" s="1186" t="s">
        <v>7854</v>
      </c>
      <c r="BD5" s="936" t="s">
        <v>7855</v>
      </c>
      <c r="BE5" s="936"/>
      <c r="BF5" s="936"/>
      <c r="BG5" s="936" t="s">
        <v>7856</v>
      </c>
      <c r="BH5" s="936"/>
      <c r="BI5" s="936"/>
      <c r="BJ5" s="936"/>
      <c r="BK5" s="936" t="s">
        <v>7857</v>
      </c>
      <c r="BL5" s="936"/>
      <c r="BM5" s="936"/>
      <c r="BN5" s="936"/>
      <c r="BO5" s="936"/>
      <c r="BP5" s="936" t="s">
        <v>7858</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7058</v>
      </c>
      <c r="B6" s="767" t="s">
        <v>7859</v>
      </c>
      <c r="C6" s="768" t="s">
        <v>987</v>
      </c>
      <c r="D6" s="769" t="s">
        <v>331</v>
      </c>
      <c r="E6" s="770" t="s">
        <v>827</v>
      </c>
      <c r="F6" s="771" t="s">
        <v>7811</v>
      </c>
      <c r="G6" s="767" t="s">
        <v>5659</v>
      </c>
      <c r="H6" s="1185" t="s">
        <v>7860</v>
      </c>
      <c r="I6" s="939" t="s">
        <v>7861</v>
      </c>
      <c r="J6" s="936"/>
      <c r="K6" s="1182" t="s">
        <v>7862</v>
      </c>
      <c r="L6" s="939" t="s">
        <v>7863</v>
      </c>
      <c r="M6" s="937"/>
      <c r="N6" s="937"/>
      <c r="O6" s="939" t="s">
        <v>7864</v>
      </c>
      <c r="P6" s="937"/>
      <c r="Q6" s="936" t="s">
        <v>7865</v>
      </c>
      <c r="R6" s="1185" t="s">
        <v>7866</v>
      </c>
      <c r="S6" s="937"/>
      <c r="T6" s="1182" t="s">
        <v>7867</v>
      </c>
      <c r="U6" s="1182" t="s">
        <v>669</v>
      </c>
      <c r="V6" s="936" t="s">
        <v>7868</v>
      </c>
      <c r="W6" s="937"/>
      <c r="X6" s="1182" t="s">
        <v>5933</v>
      </c>
      <c r="Y6" s="1185" t="s">
        <v>2524</v>
      </c>
      <c r="Z6" s="937"/>
      <c r="AA6" s="937"/>
      <c r="AB6" s="937"/>
      <c r="AC6" s="937"/>
      <c r="AD6" s="936" t="s">
        <v>7869</v>
      </c>
      <c r="AE6" s="1192"/>
      <c r="AF6" s="939" t="s">
        <v>460</v>
      </c>
      <c r="AG6" s="1192"/>
      <c r="AH6" s="937"/>
      <c r="AI6" s="937"/>
      <c r="AJ6" s="1186" t="s">
        <v>2206</v>
      </c>
      <c r="AK6" s="1185" t="s">
        <v>5924</v>
      </c>
      <c r="AL6" s="1197" t="s">
        <v>7870</v>
      </c>
      <c r="AM6" s="1185" t="s">
        <v>7871</v>
      </c>
      <c r="AN6" s="937"/>
      <c r="AO6" s="937"/>
      <c r="AP6" s="936" t="s">
        <v>7782</v>
      </c>
      <c r="AQ6" s="936"/>
      <c r="AR6" s="1185" t="s">
        <v>7872</v>
      </c>
      <c r="AS6" s="1192"/>
      <c r="AT6" s="1186" t="s">
        <v>7873</v>
      </c>
      <c r="AU6" s="939" t="s">
        <v>7874</v>
      </c>
      <c r="AV6" s="1185" t="s">
        <v>7875</v>
      </c>
      <c r="AW6" s="1185" t="s">
        <v>7876</v>
      </c>
      <c r="AX6" s="937"/>
      <c r="AY6" s="937"/>
      <c r="AZ6" s="1186" t="s">
        <v>4514</v>
      </c>
      <c r="BA6" s="1192"/>
      <c r="BB6" s="1185" t="s">
        <v>7877</v>
      </c>
      <c r="BC6" s="1185" t="s">
        <v>7878</v>
      </c>
      <c r="BD6" s="937"/>
      <c r="BE6" s="937"/>
      <c r="BF6" s="937"/>
      <c r="BG6" s="1198" t="s">
        <v>7879</v>
      </c>
      <c r="BH6" s="878"/>
      <c r="BI6" s="878"/>
      <c r="BJ6" s="878"/>
      <c r="BK6" s="1198" t="s">
        <v>7880</v>
      </c>
      <c r="BL6" s="878"/>
      <c r="BM6" s="840" t="s">
        <v>7881</v>
      </c>
      <c r="BN6" s="795" t="s">
        <v>7882</v>
      </c>
      <c r="BO6" s="878"/>
      <c r="BP6" s="878"/>
      <c r="BQ6" s="1199"/>
      <c r="BR6" s="937"/>
      <c r="BS6" s="1186" t="s">
        <v>7883</v>
      </c>
      <c r="BT6" s="937"/>
      <c r="BU6" s="937"/>
      <c r="BV6" s="937"/>
      <c r="BW6" s="937"/>
      <c r="BX6" s="937"/>
      <c r="BY6" s="937"/>
      <c r="BZ6" s="937"/>
      <c r="CA6" s="937"/>
      <c r="CB6" s="937"/>
      <c r="CC6" s="1185" t="s">
        <v>446</v>
      </c>
      <c r="CD6" s="1192"/>
      <c r="CE6" s="1200"/>
      <c r="CF6" s="1200"/>
      <c r="CG6" s="1201"/>
      <c r="CH6" s="1201"/>
      <c r="CI6" s="1200" t="s">
        <v>7884</v>
      </c>
      <c r="CJ6" s="1201"/>
      <c r="CK6" s="1201"/>
      <c r="CL6" s="1200" t="s">
        <v>4220</v>
      </c>
      <c r="CM6" s="1202" t="s">
        <v>2217</v>
      </c>
      <c r="CN6" s="1202" t="s">
        <v>4135</v>
      </c>
      <c r="CO6" s="1200"/>
      <c r="CP6" s="1200"/>
      <c r="CQ6" s="1200"/>
      <c r="CR6" s="1200"/>
      <c r="CS6" s="1202" t="s">
        <v>7885</v>
      </c>
      <c r="CT6" s="101"/>
    </row>
    <row r="7">
      <c r="A7" s="1203" t="s">
        <v>6405</v>
      </c>
      <c r="B7" s="767" t="s">
        <v>7886</v>
      </c>
      <c r="C7" s="768" t="s">
        <v>827</v>
      </c>
      <c r="D7" s="769" t="s">
        <v>1132</v>
      </c>
      <c r="E7" s="770" t="s">
        <v>1132</v>
      </c>
      <c r="F7" s="771" t="s">
        <v>4855</v>
      </c>
      <c r="G7" s="767" t="s">
        <v>2967</v>
      </c>
      <c r="H7" s="939" t="s">
        <v>7887</v>
      </c>
      <c r="I7" s="1183" t="s">
        <v>7888</v>
      </c>
      <c r="J7" s="1204"/>
      <c r="K7" s="939" t="s">
        <v>7889</v>
      </c>
      <c r="L7" s="1205"/>
      <c r="M7" s="1182" t="s">
        <v>7890</v>
      </c>
      <c r="N7" s="937"/>
      <c r="O7" s="937"/>
      <c r="P7" s="1187" t="s">
        <v>7891</v>
      </c>
      <c r="Q7" s="1188"/>
      <c r="R7" s="936"/>
      <c r="S7" s="937"/>
      <c r="T7" s="937"/>
      <c r="U7" s="1187" t="s">
        <v>7892</v>
      </c>
      <c r="V7" s="1187"/>
      <c r="W7" s="1182" t="s">
        <v>2118</v>
      </c>
      <c r="X7" s="939" t="s">
        <v>2171</v>
      </c>
      <c r="Y7" s="939" t="s">
        <v>2066</v>
      </c>
      <c r="Z7" s="1182" t="s">
        <v>7893</v>
      </c>
      <c r="AA7" s="1192"/>
      <c r="AB7" s="1192"/>
      <c r="AC7" s="1187" t="s">
        <v>7894</v>
      </c>
      <c r="AD7" s="939" t="s">
        <v>4406</v>
      </c>
      <c r="AE7" s="1192"/>
      <c r="AF7" s="939" t="s">
        <v>7895</v>
      </c>
      <c r="AG7" s="1205"/>
      <c r="AH7" s="1187" t="s">
        <v>7896</v>
      </c>
      <c r="AI7" s="1187" t="s">
        <v>119</v>
      </c>
      <c r="AJ7" s="1187"/>
      <c r="AK7" s="936" t="s">
        <v>3414</v>
      </c>
      <c r="AL7" s="1187" t="s">
        <v>6091</v>
      </c>
      <c r="AM7" s="1206" t="s">
        <v>7897</v>
      </c>
      <c r="AN7" s="1182" t="s">
        <v>7898</v>
      </c>
      <c r="AO7" s="1185" t="s">
        <v>7899</v>
      </c>
      <c r="AP7" s="939" t="s">
        <v>7900</v>
      </c>
      <c r="AQ7" s="1192"/>
      <c r="AR7" s="939" t="s">
        <v>7901</v>
      </c>
      <c r="AS7" s="1192"/>
      <c r="AT7" s="1185" t="s">
        <v>7857</v>
      </c>
      <c r="AU7" s="939" t="s">
        <v>7902</v>
      </c>
      <c r="AV7" s="1192"/>
      <c r="AW7" s="1207" t="s">
        <v>7903</v>
      </c>
      <c r="AX7" s="1192"/>
      <c r="AY7" s="1185" t="s">
        <v>7904</v>
      </c>
      <c r="AZ7" s="939" t="s">
        <v>4956</v>
      </c>
      <c r="BA7" s="1192"/>
      <c r="BB7" s="939" t="s">
        <v>7905</v>
      </c>
      <c r="BC7" s="1207" t="s">
        <v>7906</v>
      </c>
      <c r="BD7" s="1182" t="s">
        <v>7907</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7908</v>
      </c>
      <c r="BZ7" s="1185" t="s">
        <v>7909</v>
      </c>
      <c r="CA7" s="1186" t="s">
        <v>1276</v>
      </c>
      <c r="CB7" s="1186" t="s">
        <v>7910</v>
      </c>
      <c r="CC7" s="1186" t="s">
        <v>473</v>
      </c>
      <c r="CD7" s="1209" t="s">
        <v>2502</v>
      </c>
      <c r="CE7" s="1188"/>
      <c r="CF7" s="937"/>
      <c r="CG7" s="1188"/>
      <c r="CH7" s="1188"/>
      <c r="CI7" s="1188"/>
      <c r="CJ7" s="1188"/>
      <c r="CK7" s="1188"/>
      <c r="CL7" s="1188"/>
      <c r="CM7" s="1188"/>
      <c r="CN7" s="937"/>
      <c r="CO7" s="1188"/>
      <c r="CP7" s="1188"/>
      <c r="CQ7" s="1188"/>
      <c r="CR7" s="1188"/>
      <c r="CS7" s="1188"/>
      <c r="CT7" s="936" t="s">
        <v>7911</v>
      </c>
    </row>
    <row r="8">
      <c r="A8" s="1210" t="s">
        <v>7912</v>
      </c>
      <c r="B8" s="767" t="s">
        <v>7913</v>
      </c>
      <c r="C8" s="768" t="s">
        <v>737</v>
      </c>
      <c r="D8" s="769" t="s">
        <v>827</v>
      </c>
      <c r="E8" s="770" t="s">
        <v>330</v>
      </c>
      <c r="F8" s="771" t="s">
        <v>5648</v>
      </c>
      <c r="G8" s="767" t="s">
        <v>1131</v>
      </c>
      <c r="H8" s="939" t="s">
        <v>7914</v>
      </c>
      <c r="I8" s="939" t="s">
        <v>7915</v>
      </c>
      <c r="J8" s="1192"/>
      <c r="K8" s="937"/>
      <c r="L8" s="1188"/>
      <c r="M8" s="937"/>
      <c r="N8" s="937"/>
      <c r="O8" s="937"/>
      <c r="P8" s="936" t="s">
        <v>7916</v>
      </c>
      <c r="Q8" s="1188"/>
      <c r="R8" s="1182" t="s">
        <v>7917</v>
      </c>
      <c r="S8" s="937"/>
      <c r="T8" s="937"/>
      <c r="U8" s="1206" t="s">
        <v>7918</v>
      </c>
      <c r="V8" s="1205"/>
      <c r="W8" s="1184" t="s">
        <v>782</v>
      </c>
      <c r="X8" s="1205" t="s">
        <v>3633</v>
      </c>
      <c r="Y8" s="1211" t="s">
        <v>4909</v>
      </c>
      <c r="Z8" s="1192"/>
      <c r="AA8" s="1192" t="s">
        <v>7919</v>
      </c>
      <c r="AB8" s="1205"/>
      <c r="AC8" s="1182" t="s">
        <v>7920</v>
      </c>
      <c r="AD8" s="939" t="s">
        <v>817</v>
      </c>
      <c r="AE8" s="1192"/>
      <c r="AF8" s="1192"/>
      <c r="AG8" s="1205"/>
      <c r="AH8" s="1188"/>
      <c r="AI8" s="1188"/>
      <c r="AJ8" s="1188"/>
      <c r="AK8" s="1187" t="s">
        <v>323</v>
      </c>
      <c r="AL8" s="936"/>
      <c r="AM8" s="1186" t="s">
        <v>7921</v>
      </c>
      <c r="AN8" s="1187" t="s">
        <v>7922</v>
      </c>
      <c r="AO8" s="937"/>
      <c r="AP8" s="939" t="s">
        <v>7898</v>
      </c>
      <c r="AQ8" s="1192"/>
      <c r="AR8" s="937"/>
      <c r="AS8" s="937"/>
      <c r="AT8" s="939" t="s">
        <v>7923</v>
      </c>
      <c r="AU8" s="936"/>
      <c r="AV8" s="936"/>
      <c r="AW8" s="939" t="s">
        <v>7924</v>
      </c>
      <c r="AX8" s="937"/>
      <c r="AY8" s="937"/>
      <c r="AZ8" s="937"/>
      <c r="BA8" s="937"/>
      <c r="BB8" s="939" t="s">
        <v>7925</v>
      </c>
      <c r="BC8" s="1187" t="s">
        <v>7926</v>
      </c>
      <c r="BD8" s="937"/>
      <c r="BE8" s="1188"/>
      <c r="BF8" s="937"/>
      <c r="BG8" s="879"/>
      <c r="BH8" s="828" t="s">
        <v>7927</v>
      </c>
      <c r="BI8" s="879"/>
      <c r="BJ8" s="879"/>
      <c r="BK8" s="879"/>
      <c r="BL8" s="878"/>
      <c r="BM8" s="879"/>
      <c r="BN8" s="879"/>
      <c r="BO8" s="879"/>
      <c r="BP8" s="879"/>
      <c r="BQ8" s="1188"/>
      <c r="BR8" s="1188"/>
      <c r="BS8" s="1185" t="s">
        <v>7928</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7903</v>
      </c>
      <c r="CR8" s="1215"/>
      <c r="CS8" s="1215"/>
      <c r="CT8" s="1218"/>
    </row>
    <row r="9">
      <c r="A9" s="1219" t="s">
        <v>2857</v>
      </c>
      <c r="B9" s="767" t="s">
        <v>7066</v>
      </c>
      <c r="C9" s="768" t="s">
        <v>435</v>
      </c>
      <c r="D9" s="769" t="s">
        <v>435</v>
      </c>
      <c r="E9" s="770" t="s">
        <v>1413</v>
      </c>
      <c r="F9" s="771" t="s">
        <v>332</v>
      </c>
      <c r="G9" s="767" t="s">
        <v>5107</v>
      </c>
      <c r="H9" s="1220"/>
      <c r="I9" s="1220" t="s">
        <v>7929</v>
      </c>
      <c r="J9" s="937"/>
      <c r="K9" s="936" t="s">
        <v>7930</v>
      </c>
      <c r="L9" s="939" t="s">
        <v>7931</v>
      </c>
      <c r="M9" s="936" t="s">
        <v>7932</v>
      </c>
      <c r="N9" s="937"/>
      <c r="O9" s="936" t="s">
        <v>7933</v>
      </c>
      <c r="P9" s="936" t="s">
        <v>7934</v>
      </c>
      <c r="Q9" s="936" t="s">
        <v>7935</v>
      </c>
      <c r="R9" s="936" t="s">
        <v>7936</v>
      </c>
      <c r="S9" s="1185" t="s">
        <v>2896</v>
      </c>
      <c r="T9" s="937"/>
      <c r="U9" s="936" t="s">
        <v>3789</v>
      </c>
      <c r="V9" s="1188"/>
      <c r="W9" s="936" t="s">
        <v>4865</v>
      </c>
      <c r="X9" s="939" t="s">
        <v>3155</v>
      </c>
      <c r="Y9" s="939" t="s">
        <v>7937</v>
      </c>
      <c r="Z9" s="937"/>
      <c r="AA9" s="1186" t="s">
        <v>5564</v>
      </c>
      <c r="AB9" s="1188"/>
      <c r="AC9" s="936" t="s">
        <v>5735</v>
      </c>
      <c r="AD9" s="936" t="s">
        <v>158</v>
      </c>
      <c r="AE9" s="936"/>
      <c r="AF9" s="936" t="s">
        <v>5546</v>
      </c>
      <c r="AG9" s="1188"/>
      <c r="AH9" s="1188"/>
      <c r="AI9" s="1188"/>
      <c r="AJ9" s="1188"/>
      <c r="AK9" s="937"/>
      <c r="AL9" s="937"/>
      <c r="AM9" s="1187" t="s">
        <v>7903</v>
      </c>
      <c r="AN9" s="937"/>
      <c r="AO9" s="937"/>
      <c r="AP9" s="936" t="s">
        <v>7938</v>
      </c>
      <c r="AQ9" s="936" t="s">
        <v>7938</v>
      </c>
      <c r="AR9" s="936" t="s">
        <v>7939</v>
      </c>
      <c r="AS9" s="936" t="s">
        <v>7940</v>
      </c>
      <c r="AT9" s="936" t="s">
        <v>7940</v>
      </c>
      <c r="AU9" s="1185" t="s">
        <v>7941</v>
      </c>
      <c r="AV9" s="936" t="s">
        <v>7923</v>
      </c>
      <c r="AW9" s="936" t="s">
        <v>7897</v>
      </c>
      <c r="AX9" s="937"/>
      <c r="AY9" s="1186" t="s">
        <v>7942</v>
      </c>
      <c r="AZ9" s="936" t="s">
        <v>5026</v>
      </c>
      <c r="BA9" s="936"/>
      <c r="BB9" s="936" t="s">
        <v>7907</v>
      </c>
      <c r="BC9" s="1187" t="s">
        <v>7943</v>
      </c>
      <c r="BD9" s="1187" t="s">
        <v>7944</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7945</v>
      </c>
      <c r="CT9" s="937"/>
    </row>
    <row r="10">
      <c r="A10" s="1222" t="s">
        <v>2137</v>
      </c>
      <c r="B10" s="767" t="s">
        <v>7946</v>
      </c>
      <c r="C10" s="768" t="s">
        <v>1413</v>
      </c>
      <c r="D10" s="769" t="s">
        <v>435</v>
      </c>
      <c r="E10" s="770" t="s">
        <v>435</v>
      </c>
      <c r="F10" s="771" t="s">
        <v>827</v>
      </c>
      <c r="G10" s="767" t="s">
        <v>4514</v>
      </c>
      <c r="H10" s="1220" t="s">
        <v>7947</v>
      </c>
      <c r="I10" s="1223" t="s">
        <v>2150</v>
      </c>
      <c r="J10" s="936" t="s">
        <v>7948</v>
      </c>
      <c r="K10" s="936" t="s">
        <v>7949</v>
      </c>
      <c r="L10" s="936" t="s">
        <v>7950</v>
      </c>
      <c r="M10" s="936" t="s">
        <v>7951</v>
      </c>
      <c r="N10" s="936" t="s">
        <v>7952</v>
      </c>
      <c r="O10" s="936" t="s">
        <v>7953</v>
      </c>
      <c r="P10" s="936" t="s">
        <v>7954</v>
      </c>
      <c r="Q10" s="936" t="s">
        <v>7955</v>
      </c>
      <c r="R10" s="936" t="s">
        <v>7956</v>
      </c>
      <c r="S10" s="1182" t="s">
        <v>7957</v>
      </c>
      <c r="T10" s="936" t="s">
        <v>7958</v>
      </c>
      <c r="U10" s="936" t="s">
        <v>7959</v>
      </c>
      <c r="V10" s="1182" t="s">
        <v>7960</v>
      </c>
      <c r="W10" s="936" t="s">
        <v>3788</v>
      </c>
      <c r="X10" s="936" t="s">
        <v>7961</v>
      </c>
      <c r="Y10" s="1187" t="s">
        <v>158</v>
      </c>
      <c r="Z10" s="937"/>
      <c r="AA10" s="937"/>
      <c r="AB10" s="1188"/>
      <c r="AC10" s="1187" t="s">
        <v>7962</v>
      </c>
      <c r="AD10" s="1187" t="s">
        <v>5282</v>
      </c>
      <c r="AE10" s="1185" t="s">
        <v>2512</v>
      </c>
      <c r="AF10" s="1187" t="s">
        <v>7963</v>
      </c>
      <c r="AG10" s="936" t="s">
        <v>7964</v>
      </c>
      <c r="AH10" s="1188"/>
      <c r="AI10" s="1188"/>
      <c r="AJ10" s="1188"/>
      <c r="AK10" s="936" t="s">
        <v>7965</v>
      </c>
      <c r="AL10" s="936" t="s">
        <v>2742</v>
      </c>
      <c r="AM10" s="937"/>
      <c r="AN10" s="937"/>
      <c r="AO10" s="937"/>
      <c r="AP10" s="937"/>
      <c r="AQ10" s="937"/>
      <c r="AR10" s="937"/>
      <c r="AS10" s="937"/>
      <c r="AT10" s="936" t="s">
        <v>7966</v>
      </c>
      <c r="AU10" s="936" t="s">
        <v>7907</v>
      </c>
      <c r="AV10" s="937"/>
      <c r="AW10" s="936" t="s">
        <v>7905</v>
      </c>
      <c r="AX10" s="936" t="s">
        <v>7967</v>
      </c>
      <c r="AY10" s="937"/>
      <c r="AZ10" s="936"/>
      <c r="BA10" s="936"/>
      <c r="BB10" s="1192"/>
      <c r="BC10" s="936" t="s">
        <v>7943</v>
      </c>
      <c r="BD10" s="936" t="s">
        <v>7968</v>
      </c>
      <c r="BE10" s="936"/>
      <c r="BF10" s="936" t="s">
        <v>7969</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7970</v>
      </c>
    </row>
    <row r="11">
      <c r="A11" s="1224" t="s">
        <v>7971</v>
      </c>
      <c r="B11" s="767" t="s">
        <v>7972</v>
      </c>
      <c r="C11" s="768" t="s">
        <v>737</v>
      </c>
      <c r="D11" s="769" t="s">
        <v>827</v>
      </c>
      <c r="E11" s="770" t="s">
        <v>541</v>
      </c>
      <c r="F11" s="771" t="s">
        <v>5648</v>
      </c>
      <c r="G11" s="767" t="s">
        <v>3099</v>
      </c>
      <c r="H11" s="1220" t="s">
        <v>7973</v>
      </c>
      <c r="I11" s="1220" t="s">
        <v>7974</v>
      </c>
      <c r="J11" s="937"/>
      <c r="K11" s="936" t="s">
        <v>7975</v>
      </c>
      <c r="L11" s="1188"/>
      <c r="M11" s="937"/>
      <c r="N11" s="937"/>
      <c r="O11" s="937"/>
      <c r="P11" s="936" t="s">
        <v>7976</v>
      </c>
      <c r="Q11" s="1188"/>
      <c r="R11" s="937"/>
      <c r="S11" s="937"/>
      <c r="T11" s="936" t="s">
        <v>7977</v>
      </c>
      <c r="U11" s="936" t="s">
        <v>758</v>
      </c>
      <c r="V11" s="1188"/>
      <c r="W11" s="937"/>
      <c r="X11" s="939" t="s">
        <v>145</v>
      </c>
      <c r="Y11" s="939" t="s">
        <v>4050</v>
      </c>
      <c r="Z11" s="937"/>
      <c r="AA11" s="1185" t="s">
        <v>5982</v>
      </c>
      <c r="AB11" s="1188"/>
      <c r="AC11" s="939" t="s">
        <v>2207</v>
      </c>
      <c r="AD11" s="939" t="s">
        <v>2281</v>
      </c>
      <c r="AE11" s="939" t="s">
        <v>5909</v>
      </c>
      <c r="AF11" s="937"/>
      <c r="AG11" s="1188"/>
      <c r="AH11" s="1188"/>
      <c r="AI11" s="1188"/>
      <c r="AJ11" s="1188"/>
      <c r="AK11" s="1188"/>
      <c r="AL11" s="937"/>
      <c r="AM11" s="936" t="s">
        <v>7807</v>
      </c>
      <c r="AN11" s="1185" t="s">
        <v>7876</v>
      </c>
      <c r="AO11" s="937"/>
      <c r="AP11" s="1225" t="s">
        <v>7807</v>
      </c>
      <c r="AQ11" s="1182" t="s">
        <v>7978</v>
      </c>
      <c r="AR11" s="1182" t="s">
        <v>7968</v>
      </c>
      <c r="AS11" s="937"/>
      <c r="AT11" s="939" t="s">
        <v>7979</v>
      </c>
      <c r="AU11" s="939" t="s">
        <v>7980</v>
      </c>
      <c r="AV11" s="1182" t="s">
        <v>7981</v>
      </c>
      <c r="AW11" s="939" t="s">
        <v>7938</v>
      </c>
      <c r="AX11" s="1185" t="s">
        <v>7982</v>
      </c>
      <c r="AY11" s="937"/>
      <c r="AZ11" s="937"/>
      <c r="BA11" s="937"/>
      <c r="BB11" s="939" t="s">
        <v>7980</v>
      </c>
      <c r="BC11" s="937"/>
      <c r="BD11" s="1185" t="s">
        <v>7983</v>
      </c>
      <c r="BE11" s="1226" t="s">
        <v>7984</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7985</v>
      </c>
      <c r="C12" s="768" t="s">
        <v>827</v>
      </c>
      <c r="D12" s="769" t="s">
        <v>332</v>
      </c>
      <c r="E12" s="770" t="s">
        <v>435</v>
      </c>
      <c r="F12" s="771" t="s">
        <v>5648</v>
      </c>
      <c r="G12" s="767" t="s">
        <v>4855</v>
      </c>
      <c r="H12" s="1230" t="str">
        <f>HYPERLINK("https://www.twitch.tv/videos/990301696","3:46.19")</f>
        <v>3:46.19</v>
      </c>
      <c r="I12" s="1220" t="s">
        <v>7986</v>
      </c>
      <c r="J12" s="936"/>
      <c r="K12" s="936" t="s">
        <v>7987</v>
      </c>
      <c r="L12" s="1188"/>
      <c r="M12" s="1231" t="str">
        <f>HYPERLINK("https://youtu.be/muKa7MrNAp8","2:59.41")</f>
        <v>2:59.41</v>
      </c>
      <c r="N12" s="1184"/>
      <c r="O12" s="114" t="s">
        <v>7988</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7989</v>
      </c>
      <c r="X12" s="936"/>
      <c r="Y12" s="936" t="s">
        <v>7990</v>
      </c>
      <c r="Z12" s="937"/>
      <c r="AA12" s="937"/>
      <c r="AB12" s="1188"/>
      <c r="AC12" s="937"/>
      <c r="AD12" s="936" t="s">
        <v>193</v>
      </c>
      <c r="AE12" s="937"/>
      <c r="AF12" s="937"/>
      <c r="AG12" s="1188"/>
      <c r="AH12" s="936" t="s">
        <v>5859</v>
      </c>
      <c r="AI12" s="1187"/>
      <c r="AJ12" s="1187"/>
      <c r="AK12" s="1182" t="s">
        <v>7991</v>
      </c>
      <c r="AL12" s="1192"/>
      <c r="AM12" s="1187" t="s">
        <v>7938</v>
      </c>
      <c r="AN12" s="937"/>
      <c r="AO12" s="937"/>
      <c r="AP12" s="937"/>
      <c r="AQ12" s="937"/>
      <c r="AR12" s="937"/>
      <c r="AS12" s="937"/>
      <c r="AT12" s="936" t="s">
        <v>7992</v>
      </c>
      <c r="AU12" s="936" t="s">
        <v>7993</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3703</v>
      </c>
      <c r="H13" s="1220"/>
      <c r="I13" s="1220" t="s">
        <v>7994</v>
      </c>
      <c r="J13" s="936" t="s">
        <v>7995</v>
      </c>
      <c r="K13" s="936" t="s">
        <v>7996</v>
      </c>
      <c r="L13" s="1188"/>
      <c r="M13" s="936" t="s">
        <v>7997</v>
      </c>
      <c r="N13" s="936" t="s">
        <v>7998</v>
      </c>
      <c r="O13" s="937"/>
      <c r="P13" s="936" t="s">
        <v>7999</v>
      </c>
      <c r="Q13" s="1188"/>
      <c r="R13" s="1187" t="s">
        <v>8000</v>
      </c>
      <c r="S13" s="936" t="s">
        <v>8001</v>
      </c>
      <c r="T13" s="936" t="s">
        <v>7880</v>
      </c>
      <c r="U13" s="936" t="s">
        <v>8002</v>
      </c>
      <c r="V13" s="936" t="s">
        <v>8003</v>
      </c>
      <c r="W13" s="936" t="s">
        <v>8004</v>
      </c>
      <c r="X13" s="936" t="s">
        <v>4739</v>
      </c>
      <c r="Y13" s="936" t="s">
        <v>373</v>
      </c>
      <c r="Z13" s="1187" t="s">
        <v>4768</v>
      </c>
      <c r="AA13" s="936" t="s">
        <v>8005</v>
      </c>
      <c r="AB13" s="1187"/>
      <c r="AC13" s="1187" t="s">
        <v>2203</v>
      </c>
      <c r="AD13" s="1187" t="s">
        <v>8006</v>
      </c>
      <c r="AE13" s="936" t="s">
        <v>5055</v>
      </c>
      <c r="AF13" s="936" t="s">
        <v>8007</v>
      </c>
      <c r="AG13" s="1188"/>
      <c r="AH13" s="1188"/>
      <c r="AI13" s="1188"/>
      <c r="AJ13" s="1188"/>
      <c r="AK13" s="1188"/>
      <c r="AL13" s="936" t="s">
        <v>5472</v>
      </c>
      <c r="AM13" s="1187" t="s">
        <v>7925</v>
      </c>
      <c r="AN13" s="1187" t="s">
        <v>8008</v>
      </c>
      <c r="AO13" s="937"/>
      <c r="AP13" s="936" t="s">
        <v>8009</v>
      </c>
      <c r="AQ13" s="936" t="s">
        <v>7807</v>
      </c>
      <c r="AR13" s="1187" t="s">
        <v>8010</v>
      </c>
      <c r="AS13" s="936" t="s">
        <v>8011</v>
      </c>
      <c r="AT13" s="936" t="s">
        <v>8012</v>
      </c>
      <c r="AU13" s="936" t="s">
        <v>8013</v>
      </c>
      <c r="AV13" s="114" t="s">
        <v>8014</v>
      </c>
      <c r="AW13" s="936" t="s">
        <v>8015</v>
      </c>
      <c r="AX13" s="936" t="s">
        <v>7992</v>
      </c>
      <c r="AY13" s="937"/>
      <c r="AZ13" s="1187" t="s">
        <v>1724</v>
      </c>
      <c r="BA13" s="936"/>
      <c r="BB13" s="1187" t="s">
        <v>8016</v>
      </c>
      <c r="BC13" s="1187" t="s">
        <v>8017</v>
      </c>
      <c r="BD13" s="936" t="s">
        <v>8018</v>
      </c>
      <c r="BE13" s="936"/>
      <c r="BF13" s="937"/>
      <c r="BG13" s="1227"/>
      <c r="BH13" s="1227"/>
      <c r="BI13" s="1227"/>
      <c r="BJ13" s="1227"/>
      <c r="BK13" s="1227"/>
      <c r="BL13" s="1228"/>
      <c r="BM13" s="1227"/>
      <c r="BN13" s="1227"/>
      <c r="BO13" s="1227"/>
      <c r="BP13" s="1227"/>
      <c r="BQ13" s="1188"/>
      <c r="BR13" s="1188"/>
      <c r="BS13" s="1188"/>
      <c r="BT13" s="1188"/>
      <c r="BU13" s="1188"/>
      <c r="BV13" s="936" t="s">
        <v>8019</v>
      </c>
      <c r="BW13" s="1188"/>
      <c r="BX13" s="936" t="s">
        <v>4511</v>
      </c>
      <c r="BY13" s="936" t="s">
        <v>2979</v>
      </c>
      <c r="BZ13" s="937"/>
      <c r="CA13" s="1188"/>
      <c r="CB13" s="936" t="s">
        <v>1585</v>
      </c>
      <c r="CC13" s="1188"/>
      <c r="CD13" s="1188"/>
      <c r="CE13" s="1215"/>
      <c r="CF13" s="937"/>
      <c r="CG13" s="1188"/>
      <c r="CH13" s="1215"/>
      <c r="CI13" s="1215"/>
      <c r="CJ13" s="1200" t="s">
        <v>8020</v>
      </c>
      <c r="CK13" s="1200"/>
      <c r="CL13" s="1216" t="s">
        <v>7811</v>
      </c>
      <c r="CM13" s="1200" t="s">
        <v>8021</v>
      </c>
      <c r="CN13" s="1200" t="s">
        <v>5964</v>
      </c>
      <c r="CO13" s="1200" t="s">
        <v>4841</v>
      </c>
      <c r="CP13" s="1200" t="s">
        <v>7902</v>
      </c>
      <c r="CQ13" s="1200" t="s">
        <v>7899</v>
      </c>
      <c r="CR13" s="1215"/>
      <c r="CS13" s="1215"/>
      <c r="CT13" s="92"/>
    </row>
    <row r="14">
      <c r="A14" s="1242" t="s">
        <v>4710</v>
      </c>
      <c r="B14" s="767" t="s">
        <v>8022</v>
      </c>
      <c r="C14" s="768" t="s">
        <v>541</v>
      </c>
      <c r="D14" s="769" t="s">
        <v>541</v>
      </c>
      <c r="E14" s="770" t="s">
        <v>1413</v>
      </c>
      <c r="F14" s="771" t="s">
        <v>3434</v>
      </c>
      <c r="G14" s="767" t="s">
        <v>3822</v>
      </c>
      <c r="H14" s="1220"/>
      <c r="I14" s="1220" t="s">
        <v>7901</v>
      </c>
      <c r="J14" s="937"/>
      <c r="K14" s="939" t="s">
        <v>8023</v>
      </c>
      <c r="L14" s="1188"/>
      <c r="M14" s="939" t="s">
        <v>8024</v>
      </c>
      <c r="N14" s="937"/>
      <c r="O14" s="939" t="s">
        <v>8025</v>
      </c>
      <c r="P14" s="939" t="s">
        <v>8026</v>
      </c>
      <c r="Q14" s="1188"/>
      <c r="R14" s="1187" t="s">
        <v>8027</v>
      </c>
      <c r="S14" s="939" t="s">
        <v>8028</v>
      </c>
      <c r="T14" s="937"/>
      <c r="U14" s="939" t="s">
        <v>8029</v>
      </c>
      <c r="V14" s="1192"/>
      <c r="W14" s="936" t="s">
        <v>4963</v>
      </c>
      <c r="X14" s="939" t="s">
        <v>8030</v>
      </c>
      <c r="Y14" s="1187" t="s">
        <v>2669</v>
      </c>
      <c r="Z14" s="937"/>
      <c r="AA14" s="937"/>
      <c r="AB14" s="1188"/>
      <c r="AC14" s="936" t="s">
        <v>8031</v>
      </c>
      <c r="AD14" s="1183" t="s">
        <v>193</v>
      </c>
      <c r="AE14" s="937"/>
      <c r="AF14" s="937"/>
      <c r="AG14" s="1188"/>
      <c r="AH14" s="1187" t="s">
        <v>5304</v>
      </c>
      <c r="AI14" s="1188"/>
      <c r="AJ14" s="1188"/>
      <c r="AK14" s="1187" t="s">
        <v>4675</v>
      </c>
      <c r="AL14" s="936"/>
      <c r="AM14" s="939" t="s">
        <v>7922</v>
      </c>
      <c r="AN14" s="937"/>
      <c r="AO14" s="937"/>
      <c r="AP14" s="939" t="s">
        <v>8032</v>
      </c>
      <c r="AQ14" s="937"/>
      <c r="AR14" s="937"/>
      <c r="AS14" s="937"/>
      <c r="AT14" s="936" t="s">
        <v>8033</v>
      </c>
      <c r="AU14" s="937"/>
      <c r="AV14" s="937"/>
      <c r="AW14" s="937"/>
      <c r="AX14" s="937"/>
      <c r="AY14" s="937"/>
      <c r="AZ14" s="1185" t="s">
        <v>8034</v>
      </c>
      <c r="BA14" s="1192"/>
      <c r="BB14" s="939" t="s">
        <v>8035</v>
      </c>
      <c r="BC14" s="1206" t="s">
        <v>8017</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8036</v>
      </c>
      <c r="CF14" s="1202" t="s">
        <v>8037</v>
      </c>
      <c r="CG14" s="1243" t="s">
        <v>8038</v>
      </c>
      <c r="CH14" s="1215"/>
      <c r="CI14" s="1215"/>
      <c r="CJ14" s="1215"/>
      <c r="CK14" s="1215"/>
      <c r="CL14" s="1215"/>
      <c r="CM14" s="1215"/>
      <c r="CN14" s="1216" t="s">
        <v>5964</v>
      </c>
      <c r="CO14" s="1215"/>
      <c r="CP14" s="1215"/>
      <c r="CQ14" s="1215"/>
      <c r="CR14" s="1243" t="s">
        <v>1131</v>
      </c>
      <c r="CS14" s="1215"/>
      <c r="CT14" s="1188"/>
    </row>
    <row r="15">
      <c r="A15" s="1194" t="s">
        <v>1944</v>
      </c>
      <c r="B15" s="767" t="s">
        <v>8039</v>
      </c>
      <c r="C15" s="768" t="s">
        <v>541</v>
      </c>
      <c r="D15" s="769" t="s">
        <v>737</v>
      </c>
      <c r="E15" s="770" t="s">
        <v>737</v>
      </c>
      <c r="F15" s="771" t="s">
        <v>1132</v>
      </c>
      <c r="G15" s="767" t="s">
        <v>912</v>
      </c>
      <c r="H15" s="1220"/>
      <c r="I15" s="1220"/>
      <c r="J15" s="937"/>
      <c r="K15" s="937"/>
      <c r="L15" s="1188"/>
      <c r="M15" s="1187" t="s">
        <v>8040</v>
      </c>
      <c r="N15" s="937"/>
      <c r="O15" s="937"/>
      <c r="P15" s="937"/>
      <c r="Q15" s="1186" t="s">
        <v>8041</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7898</v>
      </c>
      <c r="AQ15" s="936"/>
      <c r="AR15" s="1187" t="s">
        <v>8042</v>
      </c>
      <c r="AS15" s="936"/>
      <c r="AT15" s="937"/>
      <c r="AU15" s="1187" t="s">
        <v>7980</v>
      </c>
      <c r="AV15" s="936"/>
      <c r="AW15" s="1187" t="s">
        <v>8043</v>
      </c>
      <c r="AX15" s="937"/>
      <c r="AY15" s="937"/>
      <c r="AZ15" s="937"/>
      <c r="BA15" s="937"/>
      <c r="BB15" s="1186" t="s">
        <v>8044</v>
      </c>
      <c r="BC15" s="1182" t="s">
        <v>7805</v>
      </c>
      <c r="BD15" s="937"/>
      <c r="BE15" s="1188"/>
      <c r="BF15" s="937"/>
      <c r="BG15" s="1188"/>
      <c r="BH15" s="1188"/>
      <c r="BI15" s="1188"/>
      <c r="BJ15" s="1188"/>
      <c r="BK15" s="1188"/>
      <c r="BL15" s="937"/>
      <c r="BM15" s="1186" t="s">
        <v>8045</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8046</v>
      </c>
      <c r="C16" s="768" t="s">
        <v>1199</v>
      </c>
      <c r="D16" s="769" t="s">
        <v>1413</v>
      </c>
      <c r="E16" s="770" t="s">
        <v>1413</v>
      </c>
      <c r="F16" s="771" t="s">
        <v>1199</v>
      </c>
      <c r="G16" s="767" t="s">
        <v>912</v>
      </c>
      <c r="H16" s="1245" t="s">
        <v>8047</v>
      </c>
      <c r="I16" s="1245" t="s">
        <v>8029</v>
      </c>
      <c r="J16" s="1186" t="s">
        <v>8048</v>
      </c>
      <c r="K16" s="1186" t="s">
        <v>8049</v>
      </c>
      <c r="L16" s="936" t="s">
        <v>8050</v>
      </c>
      <c r="M16" s="937"/>
      <c r="N16" s="1186" t="s">
        <v>3273</v>
      </c>
      <c r="O16" s="1186" t="s">
        <v>8051</v>
      </c>
      <c r="P16" s="937"/>
      <c r="Q16" s="936" t="s">
        <v>8052</v>
      </c>
      <c r="R16" s="936" t="s">
        <v>8053</v>
      </c>
      <c r="S16" s="1186" t="s">
        <v>8054</v>
      </c>
      <c r="T16" s="1186" t="s">
        <v>8055</v>
      </c>
      <c r="U16" s="936" t="s">
        <v>8056</v>
      </c>
      <c r="V16" s="936" t="s">
        <v>8057</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8058</v>
      </c>
      <c r="B17" s="767" t="s">
        <v>8059</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8060</v>
      </c>
      <c r="X17" s="1185" t="s">
        <v>1738</v>
      </c>
      <c r="Y17" s="937"/>
      <c r="Z17" s="937"/>
      <c r="AA17" s="937"/>
      <c r="AB17" s="1186" t="s">
        <v>8061</v>
      </c>
      <c r="AC17" s="1185" t="s">
        <v>2447</v>
      </c>
      <c r="AD17" s="939" t="s">
        <v>3564</v>
      </c>
      <c r="AE17" s="1192"/>
      <c r="AF17" s="1186" t="s">
        <v>8062</v>
      </c>
      <c r="AG17" s="1188"/>
      <c r="AH17" s="1186" t="s">
        <v>1620</v>
      </c>
      <c r="AI17" s="1186" t="s">
        <v>3014</v>
      </c>
      <c r="AJ17" s="1188"/>
      <c r="AK17" s="936" t="s">
        <v>4151</v>
      </c>
      <c r="AL17" s="937"/>
      <c r="AM17" s="937"/>
      <c r="AN17" s="937"/>
      <c r="AO17" s="937"/>
      <c r="AP17" s="939" t="s">
        <v>8063</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8064</v>
      </c>
      <c r="C18" s="768" t="s">
        <v>737</v>
      </c>
      <c r="D18" s="769" t="s">
        <v>1413</v>
      </c>
      <c r="E18" s="770" t="s">
        <v>737</v>
      </c>
      <c r="F18" s="771" t="s">
        <v>435</v>
      </c>
      <c r="G18" s="767" t="s">
        <v>2967</v>
      </c>
      <c r="H18" s="1220"/>
      <c r="I18" s="1220" t="s">
        <v>8065</v>
      </c>
      <c r="J18" s="936"/>
      <c r="K18" s="1187" t="s">
        <v>8066</v>
      </c>
      <c r="L18" s="1187"/>
      <c r="M18" s="1187" t="s">
        <v>8067</v>
      </c>
      <c r="N18" s="937"/>
      <c r="O18" s="1187" t="s">
        <v>8068</v>
      </c>
      <c r="P18" s="937"/>
      <c r="Q18" s="1188"/>
      <c r="R18" s="936" t="s">
        <v>8069</v>
      </c>
      <c r="S18" s="1184" t="s">
        <v>3854</v>
      </c>
      <c r="T18" s="1187" t="s">
        <v>8070</v>
      </c>
      <c r="U18" s="936" t="s">
        <v>8071</v>
      </c>
      <c r="V18" s="1187"/>
      <c r="W18" s="1187" t="s">
        <v>4375</v>
      </c>
      <c r="X18" s="936" t="s">
        <v>3439</v>
      </c>
      <c r="Y18" s="1187" t="s">
        <v>2821</v>
      </c>
      <c r="Z18" s="937"/>
      <c r="AA18" s="937"/>
      <c r="AB18" s="1188"/>
      <c r="AC18" s="1187" t="s">
        <v>8072</v>
      </c>
      <c r="AD18" s="936" t="s">
        <v>2030</v>
      </c>
      <c r="AE18" s="936"/>
      <c r="AF18" s="1187" t="s">
        <v>8073</v>
      </c>
      <c r="AG18" s="1186" t="s">
        <v>8074</v>
      </c>
      <c r="AH18" s="1182" t="s">
        <v>1263</v>
      </c>
      <c r="AI18" s="1188"/>
      <c r="AJ18" s="1188"/>
      <c r="AK18" s="1187" t="s">
        <v>705</v>
      </c>
      <c r="AL18" s="937"/>
      <c r="AM18" s="1187" t="s">
        <v>7983</v>
      </c>
      <c r="AN18" s="937"/>
      <c r="AO18" s="937"/>
      <c r="AP18" s="936" t="s">
        <v>7825</v>
      </c>
      <c r="AQ18" s="936"/>
      <c r="AR18" s="936" t="s">
        <v>7850</v>
      </c>
      <c r="AS18" s="936" t="s">
        <v>8075</v>
      </c>
      <c r="AT18" s="936" t="s">
        <v>8076</v>
      </c>
      <c r="AU18" s="936" t="s">
        <v>8077</v>
      </c>
      <c r="AV18" s="936"/>
      <c r="AW18" s="937"/>
      <c r="AX18" s="937"/>
      <c r="AY18" s="937"/>
      <c r="AZ18" s="1187" t="s">
        <v>4712</v>
      </c>
      <c r="BA18" s="936"/>
      <c r="BB18" s="1187" t="s">
        <v>7980</v>
      </c>
      <c r="BC18" s="1187" t="s">
        <v>8078</v>
      </c>
      <c r="BD18" s="1187" t="s">
        <v>7880</v>
      </c>
      <c r="BE18" s="1187"/>
      <c r="BF18" s="936"/>
      <c r="BG18" s="1188"/>
      <c r="BH18" s="1188"/>
      <c r="BI18" s="1188"/>
      <c r="BJ18" s="1188"/>
      <c r="BK18" s="1188"/>
      <c r="BL18" s="937"/>
      <c r="BM18" s="1188"/>
      <c r="BN18" s="1187" t="s">
        <v>8079</v>
      </c>
      <c r="BO18" s="1187" t="s">
        <v>8080</v>
      </c>
      <c r="BP18" s="1187"/>
      <c r="BQ18" s="1188"/>
      <c r="BR18" s="1188"/>
      <c r="BS18" s="1188"/>
      <c r="BT18" s="1188"/>
      <c r="BU18" s="1188"/>
      <c r="BV18" s="1221" t="s">
        <v>2074</v>
      </c>
      <c r="BW18" s="1188"/>
      <c r="BX18" s="937"/>
      <c r="BY18" s="936" t="s">
        <v>2179</v>
      </c>
      <c r="BZ18" s="937"/>
      <c r="CA18" s="1188"/>
      <c r="CB18" s="936" t="s">
        <v>4506</v>
      </c>
      <c r="CC18" s="1187" t="s">
        <v>8081</v>
      </c>
      <c r="CD18" s="1187"/>
      <c r="CE18" s="1188"/>
      <c r="CF18" s="937"/>
      <c r="CG18" s="1188"/>
      <c r="CH18" s="1188"/>
      <c r="CI18" s="1188"/>
      <c r="CJ18" s="1188"/>
      <c r="CK18" s="1188"/>
      <c r="CL18" s="1188"/>
      <c r="CM18" s="1187" t="s">
        <v>8082</v>
      </c>
      <c r="CN18" s="1187" t="s">
        <v>218</v>
      </c>
      <c r="CO18" s="1187" t="s">
        <v>4940</v>
      </c>
      <c r="CP18" s="1187" t="s">
        <v>8083</v>
      </c>
      <c r="CQ18" s="936" t="s">
        <v>8084</v>
      </c>
      <c r="CR18" s="1187" t="s">
        <v>1946</v>
      </c>
      <c r="CS18" s="936" t="s">
        <v>8085</v>
      </c>
      <c r="CT18" s="92"/>
    </row>
    <row r="19">
      <c r="A19" s="1248" t="s">
        <v>4639</v>
      </c>
      <c r="B19" s="767" t="s">
        <v>8086</v>
      </c>
      <c r="C19" s="768" t="s">
        <v>1413</v>
      </c>
      <c r="D19" s="769" t="s">
        <v>1413</v>
      </c>
      <c r="E19" s="770" t="s">
        <v>1413</v>
      </c>
      <c r="F19" s="771" t="s">
        <v>737</v>
      </c>
      <c r="G19" s="767" t="s">
        <v>4135</v>
      </c>
      <c r="H19" s="1220"/>
      <c r="I19" s="1220" t="s">
        <v>8087</v>
      </c>
      <c r="J19" s="936"/>
      <c r="K19" s="936" t="s">
        <v>6376</v>
      </c>
      <c r="L19" s="1187"/>
      <c r="M19" s="937"/>
      <c r="N19" s="937"/>
      <c r="O19" s="937"/>
      <c r="P19" s="937"/>
      <c r="Q19" s="1188"/>
      <c r="R19" s="1187" t="s">
        <v>8088</v>
      </c>
      <c r="S19" s="937"/>
      <c r="T19" s="1187" t="s">
        <v>8089</v>
      </c>
      <c r="U19" s="1187" t="s">
        <v>8090</v>
      </c>
      <c r="V19" s="1187" t="s">
        <v>8091</v>
      </c>
      <c r="W19" s="1187" t="s">
        <v>3227</v>
      </c>
      <c r="X19" s="936" t="s">
        <v>2568</v>
      </c>
      <c r="Y19" s="1187" t="s">
        <v>8092</v>
      </c>
      <c r="Z19" s="937"/>
      <c r="AA19" s="937"/>
      <c r="AB19" s="1188"/>
      <c r="AC19" s="939" t="s">
        <v>342</v>
      </c>
      <c r="AD19" s="1187" t="s">
        <v>3733</v>
      </c>
      <c r="AE19" s="936"/>
      <c r="AF19" s="1187" t="s">
        <v>8093</v>
      </c>
      <c r="AG19" s="1187"/>
      <c r="AH19" s="1187" t="s">
        <v>8094</v>
      </c>
      <c r="AI19" s="1188"/>
      <c r="AJ19" s="1188"/>
      <c r="AK19" s="1188"/>
      <c r="AL19" s="937"/>
      <c r="AM19" s="937"/>
      <c r="AN19" s="937"/>
      <c r="AO19" s="937"/>
      <c r="AP19" s="936" t="s">
        <v>7825</v>
      </c>
      <c r="AQ19" s="937"/>
      <c r="AR19" s="936" t="s">
        <v>8095</v>
      </c>
      <c r="AS19" s="937"/>
      <c r="AT19" s="937"/>
      <c r="AU19" s="936" t="s">
        <v>8096</v>
      </c>
      <c r="AV19" s="936"/>
      <c r="AW19" s="936" t="s">
        <v>7855</v>
      </c>
      <c r="AX19" s="937"/>
      <c r="AY19" s="937"/>
      <c r="AZ19" s="1187" t="s">
        <v>2217</v>
      </c>
      <c r="BA19" s="936"/>
      <c r="BB19" s="937"/>
      <c r="BC19" s="1187" t="s">
        <v>8097</v>
      </c>
      <c r="BD19" s="936" t="s">
        <v>8098</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8099</v>
      </c>
      <c r="C20" s="768" t="s">
        <v>1413</v>
      </c>
      <c r="D20" s="769" t="s">
        <v>1413</v>
      </c>
      <c r="E20" s="770" t="s">
        <v>1413</v>
      </c>
      <c r="F20" s="771" t="s">
        <v>1413</v>
      </c>
      <c r="G20" s="767" t="s">
        <v>4135</v>
      </c>
      <c r="H20" s="1220" t="s">
        <v>8100</v>
      </c>
      <c r="I20" s="1220" t="s">
        <v>8101</v>
      </c>
      <c r="J20" s="936" t="s">
        <v>8102</v>
      </c>
      <c r="K20" s="1220" t="s">
        <v>8103</v>
      </c>
      <c r="L20" s="936" t="s">
        <v>8104</v>
      </c>
      <c r="M20" s="936" t="s">
        <v>7887</v>
      </c>
      <c r="N20" s="936" t="s">
        <v>6790</v>
      </c>
      <c r="O20" s="936" t="s">
        <v>8105</v>
      </c>
      <c r="P20" s="936" t="s">
        <v>8106</v>
      </c>
      <c r="Q20" s="1188"/>
      <c r="R20" s="936" t="s">
        <v>7988</v>
      </c>
      <c r="S20" s="114" t="s">
        <v>8107</v>
      </c>
      <c r="T20" s="937"/>
      <c r="U20" s="1249" t="s">
        <v>8108</v>
      </c>
      <c r="V20" s="936" t="s">
        <v>8109</v>
      </c>
      <c r="W20" s="1187" t="s">
        <v>8110</v>
      </c>
      <c r="X20" s="936" t="s">
        <v>8111</v>
      </c>
      <c r="Y20" s="936" t="s">
        <v>246</v>
      </c>
      <c r="Z20" s="937"/>
      <c r="AA20" s="937"/>
      <c r="AB20" s="1188"/>
      <c r="AC20" s="1187" t="s">
        <v>8112</v>
      </c>
      <c r="AD20" s="936" t="s">
        <v>4011</v>
      </c>
      <c r="AE20" s="937"/>
      <c r="AF20" s="937"/>
      <c r="AG20" s="1188"/>
      <c r="AH20" s="1188"/>
      <c r="AI20" s="1188"/>
      <c r="AJ20" s="1188"/>
      <c r="AK20" s="1188"/>
      <c r="AL20" s="937"/>
      <c r="AM20" s="936"/>
      <c r="AN20" s="937"/>
      <c r="AO20" s="937"/>
      <c r="AP20" s="936" t="s">
        <v>7900</v>
      </c>
      <c r="AQ20" s="936" t="s">
        <v>8113</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8114</v>
      </c>
      <c r="C21" s="768" t="s">
        <v>1413</v>
      </c>
      <c r="D21" s="769" t="s">
        <v>1413</v>
      </c>
      <c r="E21" s="770" t="s">
        <v>1413</v>
      </c>
      <c r="F21" s="771" t="s">
        <v>1413</v>
      </c>
      <c r="G21" s="767" t="s">
        <v>5648</v>
      </c>
      <c r="H21" s="1220"/>
      <c r="I21" s="1220" t="s">
        <v>8115</v>
      </c>
      <c r="J21" s="936"/>
      <c r="K21" s="1187" t="s">
        <v>8116</v>
      </c>
      <c r="L21" s="1187"/>
      <c r="M21" s="936"/>
      <c r="N21" s="936"/>
      <c r="O21" s="1187" t="s">
        <v>8117</v>
      </c>
      <c r="P21" s="936"/>
      <c r="Q21" s="1188"/>
      <c r="R21" s="937"/>
      <c r="S21" s="937"/>
      <c r="T21" s="936"/>
      <c r="U21" s="1187" t="s">
        <v>8118</v>
      </c>
      <c r="V21" s="1187"/>
      <c r="W21" s="1187" t="s">
        <v>2290</v>
      </c>
      <c r="X21" s="936"/>
      <c r="Y21" s="1187" t="s">
        <v>3130</v>
      </c>
      <c r="Z21" s="936"/>
      <c r="AA21" s="936"/>
      <c r="AB21" s="1187"/>
      <c r="AC21" s="1187" t="s">
        <v>8119</v>
      </c>
      <c r="AD21" s="1187" t="s">
        <v>4784</v>
      </c>
      <c r="AE21" s="936"/>
      <c r="AF21" s="936"/>
      <c r="AG21" s="1187"/>
      <c r="AH21" s="1188"/>
      <c r="AI21" s="1188"/>
      <c r="AJ21" s="1188"/>
      <c r="AK21" s="1188"/>
      <c r="AL21" s="937"/>
      <c r="AM21" s="1187" t="s">
        <v>8032</v>
      </c>
      <c r="AN21" s="937"/>
      <c r="AO21" s="937"/>
      <c r="AP21" s="1187" t="s">
        <v>8120</v>
      </c>
      <c r="AQ21" s="936"/>
      <c r="AR21" s="1187" t="s">
        <v>8121</v>
      </c>
      <c r="AS21" s="936"/>
      <c r="AT21" s="1187" t="s">
        <v>8122</v>
      </c>
      <c r="AU21" s="1187" t="s">
        <v>8123</v>
      </c>
      <c r="AV21" s="936"/>
      <c r="AW21" s="936"/>
      <c r="AX21" s="937"/>
      <c r="AY21" s="937"/>
      <c r="AZ21" s="1187" t="s">
        <v>5026</v>
      </c>
      <c r="BA21" s="936"/>
      <c r="BB21" s="1187" t="s">
        <v>7856</v>
      </c>
      <c r="BC21" s="1187" t="s">
        <v>7978</v>
      </c>
      <c r="BD21" s="1187" t="s">
        <v>8018</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8124</v>
      </c>
      <c r="C22" s="768" t="s">
        <v>1413</v>
      </c>
      <c r="D22" s="769" t="s">
        <v>1413</v>
      </c>
      <c r="E22" s="770" t="s">
        <v>737</v>
      </c>
      <c r="F22" s="771" t="s">
        <v>435</v>
      </c>
      <c r="G22" s="767" t="s">
        <v>5648</v>
      </c>
      <c r="H22" s="1220" t="s">
        <v>8125</v>
      </c>
      <c r="I22" s="1220"/>
      <c r="J22" s="937"/>
      <c r="K22" s="1187" t="s">
        <v>8126</v>
      </c>
      <c r="L22" s="1187"/>
      <c r="M22" s="937"/>
      <c r="N22" s="937"/>
      <c r="O22" s="937"/>
      <c r="P22" s="937"/>
      <c r="Q22" s="1187" t="s">
        <v>8127</v>
      </c>
      <c r="R22" s="1187" t="s">
        <v>8128</v>
      </c>
      <c r="S22" s="937"/>
      <c r="T22" s="1187" t="s">
        <v>8129</v>
      </c>
      <c r="U22" s="1251" t="s">
        <v>3427</v>
      </c>
      <c r="V22" s="1251"/>
      <c r="W22" s="1187" t="s">
        <v>365</v>
      </c>
      <c r="X22" s="936"/>
      <c r="Y22" s="1187" t="s">
        <v>4746</v>
      </c>
      <c r="Z22" s="937"/>
      <c r="AA22" s="937"/>
      <c r="AB22" s="1188"/>
      <c r="AC22" s="1187" t="s">
        <v>8130</v>
      </c>
      <c r="AD22" s="1187" t="s">
        <v>3950</v>
      </c>
      <c r="AE22" s="1192"/>
      <c r="AF22" s="939" t="s">
        <v>720</v>
      </c>
      <c r="AG22" s="1205"/>
      <c r="AH22" s="1187" t="s">
        <v>4737</v>
      </c>
      <c r="AI22" s="1187" t="s">
        <v>5476</v>
      </c>
      <c r="AJ22" s="1188"/>
      <c r="AK22" s="1188"/>
      <c r="AL22" s="937"/>
      <c r="AM22" s="937"/>
      <c r="AN22" s="937"/>
      <c r="AO22" s="937"/>
      <c r="AP22" s="937"/>
      <c r="AQ22" s="937"/>
      <c r="AR22" s="937"/>
      <c r="AS22" s="937"/>
      <c r="AT22" s="937"/>
      <c r="AU22" s="937"/>
      <c r="AV22" s="937"/>
      <c r="AW22" s="937"/>
      <c r="AX22" s="936"/>
      <c r="AY22" s="1187" t="s">
        <v>8017</v>
      </c>
      <c r="AZ22" s="937"/>
      <c r="BA22" s="937"/>
      <c r="BB22" s="1187" t="s">
        <v>7984</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8131</v>
      </c>
    </row>
    <row r="23">
      <c r="A23" s="1255" t="s">
        <v>7018</v>
      </c>
      <c r="B23" s="767" t="s">
        <v>8132</v>
      </c>
      <c r="C23" s="768" t="s">
        <v>1413</v>
      </c>
      <c r="D23" s="769" t="s">
        <v>1413</v>
      </c>
      <c r="E23" s="770" t="s">
        <v>1413</v>
      </c>
      <c r="F23" s="771" t="s">
        <v>1413</v>
      </c>
      <c r="G23" s="767" t="s">
        <v>220</v>
      </c>
      <c r="H23" s="1220"/>
      <c r="I23" s="1220" t="s">
        <v>8133</v>
      </c>
      <c r="J23" s="936"/>
      <c r="K23" s="936" t="s">
        <v>8134</v>
      </c>
      <c r="L23" s="1187"/>
      <c r="M23" s="937"/>
      <c r="N23" s="1188" t="s">
        <v>8135</v>
      </c>
      <c r="O23" s="937"/>
      <c r="P23" s="937"/>
      <c r="Q23" s="1188"/>
      <c r="R23" s="1187" t="s">
        <v>8136</v>
      </c>
      <c r="S23" s="937"/>
      <c r="T23" s="1187" t="s">
        <v>8137</v>
      </c>
      <c r="U23" s="1187" t="s">
        <v>8138</v>
      </c>
      <c r="V23" s="1187"/>
      <c r="W23" s="1187" t="s">
        <v>5187</v>
      </c>
      <c r="X23" s="936"/>
      <c r="Y23" s="1187" t="s">
        <v>1016</v>
      </c>
      <c r="Z23" s="1188" t="s">
        <v>8139</v>
      </c>
      <c r="AA23" s="937"/>
      <c r="AB23" s="1188"/>
      <c r="AC23" s="936"/>
      <c r="AD23" s="1187" t="s">
        <v>1833</v>
      </c>
      <c r="AE23" s="936"/>
      <c r="AF23" s="936"/>
      <c r="AG23" s="1187"/>
      <c r="AH23" s="1187"/>
      <c r="AI23" s="1188" t="s">
        <v>8140</v>
      </c>
      <c r="AJ23" s="1188"/>
      <c r="AK23" s="1188"/>
      <c r="AL23" s="937"/>
      <c r="AM23" s="1188" t="s">
        <v>8141</v>
      </c>
      <c r="AN23" s="937"/>
      <c r="AO23" s="937"/>
      <c r="AP23" s="936" t="s">
        <v>8142</v>
      </c>
      <c r="AQ23" s="937"/>
      <c r="AR23" s="1188" t="s">
        <v>8143</v>
      </c>
      <c r="AS23" s="937"/>
      <c r="AT23" s="1188" t="s">
        <v>8144</v>
      </c>
      <c r="AU23" s="936" t="s">
        <v>8145</v>
      </c>
      <c r="AV23" s="936"/>
      <c r="AW23" s="936" t="s">
        <v>8032</v>
      </c>
      <c r="AX23" s="937"/>
      <c r="AY23" s="1188" t="s">
        <v>8036</v>
      </c>
      <c r="AZ23" s="936"/>
      <c r="BA23" s="936"/>
      <c r="BB23" s="1188" t="s">
        <v>8146</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8147</v>
      </c>
      <c r="C24" s="768" t="s">
        <v>1413</v>
      </c>
      <c r="D24" s="769" t="s">
        <v>737</v>
      </c>
      <c r="E24" s="770" t="s">
        <v>435</v>
      </c>
      <c r="F24" s="771" t="s">
        <v>1132</v>
      </c>
      <c r="G24" s="767" t="s">
        <v>5026</v>
      </c>
      <c r="H24" s="1230" t="s">
        <v>8148</v>
      </c>
      <c r="I24" s="1230" t="s">
        <v>5167</v>
      </c>
      <c r="J24" s="1192"/>
      <c r="K24" s="1187" t="s">
        <v>8149</v>
      </c>
      <c r="L24" s="1187"/>
      <c r="M24" s="936"/>
      <c r="N24" s="1187" t="s">
        <v>8150</v>
      </c>
      <c r="O24" s="1187" t="s">
        <v>8151</v>
      </c>
      <c r="P24" s="1187" t="s">
        <v>8152</v>
      </c>
      <c r="Q24" s="1187" t="s">
        <v>8153</v>
      </c>
      <c r="R24" s="1187" t="s">
        <v>8154</v>
      </c>
      <c r="S24" s="1187" t="s">
        <v>5186</v>
      </c>
      <c r="T24" s="1187" t="s">
        <v>8155</v>
      </c>
      <c r="U24" s="1187" t="s">
        <v>8156</v>
      </c>
      <c r="V24" s="1187"/>
      <c r="W24" s="1187" t="s">
        <v>5831</v>
      </c>
      <c r="X24" s="936"/>
      <c r="Y24" s="937"/>
      <c r="Z24" s="937"/>
      <c r="AA24" s="937"/>
      <c r="AB24" s="1188"/>
      <c r="AC24" s="1187" t="s">
        <v>8157</v>
      </c>
      <c r="AD24" s="1187" t="s">
        <v>8158</v>
      </c>
      <c r="AE24" s="936"/>
      <c r="AF24" s="1187" t="s">
        <v>6618</v>
      </c>
      <c r="AG24" s="1187"/>
      <c r="AH24" s="1187" t="s">
        <v>8159</v>
      </c>
      <c r="AI24" s="1187"/>
      <c r="AJ24" s="1187"/>
      <c r="AK24" s="1188"/>
      <c r="AL24" s="937"/>
      <c r="AM24" s="1187" t="s">
        <v>8160</v>
      </c>
      <c r="AN24" s="1187" t="s">
        <v>7993</v>
      </c>
      <c r="AO24" s="1187" t="s">
        <v>7923</v>
      </c>
      <c r="AP24" s="1187" t="s">
        <v>8161</v>
      </c>
      <c r="AQ24" s="936"/>
      <c r="AR24" s="1187" t="s">
        <v>8075</v>
      </c>
      <c r="AS24" s="936"/>
      <c r="AT24" s="1187" t="s">
        <v>8162</v>
      </c>
      <c r="AU24" s="1187" t="s">
        <v>8163</v>
      </c>
      <c r="AV24" s="936"/>
      <c r="AW24" s="1187" t="s">
        <v>7983</v>
      </c>
      <c r="AX24" s="936"/>
      <c r="AY24" s="1187" t="s">
        <v>8063</v>
      </c>
      <c r="AZ24" s="937"/>
      <c r="BA24" s="937"/>
      <c r="BB24" s="1187" t="s">
        <v>8008</v>
      </c>
      <c r="BC24" s="936" t="s">
        <v>8063</v>
      </c>
      <c r="BD24" s="1187" t="s">
        <v>8077</v>
      </c>
      <c r="BE24" s="1187"/>
      <c r="BF24" s="936"/>
      <c r="BG24" s="1257" t="s">
        <v>8164</v>
      </c>
      <c r="BH24" s="1258" t="s">
        <v>8165</v>
      </c>
      <c r="BI24" s="879"/>
      <c r="BJ24" s="879"/>
      <c r="BK24" s="879"/>
      <c r="BL24" s="879" t="s">
        <v>8166</v>
      </c>
      <c r="BM24" s="879" t="s">
        <v>8167</v>
      </c>
      <c r="BN24" s="879"/>
      <c r="BO24" s="879"/>
      <c r="BP24" s="879"/>
      <c r="BQ24" s="1188"/>
      <c r="BR24" s="1259" t="s">
        <v>8168</v>
      </c>
      <c r="BS24" s="1188"/>
      <c r="BT24" s="1188"/>
      <c r="BU24" s="1188"/>
      <c r="BV24" s="1260" t="s">
        <v>2059</v>
      </c>
      <c r="BW24" s="1187" t="s">
        <v>1777</v>
      </c>
      <c r="BX24" s="1187" t="s">
        <v>123</v>
      </c>
      <c r="BY24" s="1182" t="s">
        <v>4815</v>
      </c>
      <c r="BZ24" s="1187" t="s">
        <v>2203</v>
      </c>
      <c r="CA24" s="1187" t="s">
        <v>5383</v>
      </c>
      <c r="CB24" s="1187" t="s">
        <v>2119</v>
      </c>
      <c r="CC24" s="1187" t="s">
        <v>8169</v>
      </c>
      <c r="CD24" s="1187"/>
      <c r="CE24" s="1217" t="s">
        <v>8097</v>
      </c>
      <c r="CF24" s="1217" t="s">
        <v>7794</v>
      </c>
      <c r="CG24" s="1217" t="s">
        <v>8170</v>
      </c>
      <c r="CH24" s="1217"/>
      <c r="CI24" s="1215"/>
      <c r="CJ24" s="1215"/>
      <c r="CK24" s="1215"/>
      <c r="CL24" s="1215"/>
      <c r="CM24" s="1215"/>
      <c r="CN24" s="1201"/>
      <c r="CO24" s="1215"/>
      <c r="CP24" s="1215"/>
      <c r="CQ24" s="1215"/>
      <c r="CR24" s="1215"/>
      <c r="CS24" s="1215"/>
      <c r="CT24" s="1261" t="s">
        <v>4780</v>
      </c>
    </row>
    <row r="25">
      <c r="A25" s="1210" t="s">
        <v>7052</v>
      </c>
      <c r="B25" s="767" t="s">
        <v>437</v>
      </c>
      <c r="C25" s="768" t="s">
        <v>1413</v>
      </c>
      <c r="D25" s="769" t="s">
        <v>737</v>
      </c>
      <c r="E25" s="770" t="s">
        <v>1413</v>
      </c>
      <c r="F25" s="771" t="s">
        <v>827</v>
      </c>
      <c r="G25" s="767" t="s">
        <v>4135</v>
      </c>
      <c r="H25" s="1220"/>
      <c r="I25" s="1220" t="s">
        <v>8171</v>
      </c>
      <c r="J25" s="936"/>
      <c r="K25" s="936" t="s">
        <v>8172</v>
      </c>
      <c r="L25" s="1185" t="s">
        <v>3622</v>
      </c>
      <c r="M25" s="937"/>
      <c r="N25" s="937"/>
      <c r="O25" s="937"/>
      <c r="P25" s="936" t="s">
        <v>8173</v>
      </c>
      <c r="Q25" s="1188"/>
      <c r="R25" s="939" t="s">
        <v>8174</v>
      </c>
      <c r="S25" s="937"/>
      <c r="T25" s="937"/>
      <c r="U25" s="936" t="s">
        <v>749</v>
      </c>
      <c r="V25" s="1187"/>
      <c r="W25" s="1187" t="s">
        <v>4270</v>
      </c>
      <c r="X25" s="936" t="s">
        <v>3233</v>
      </c>
      <c r="Y25" s="939" t="s">
        <v>8175</v>
      </c>
      <c r="Z25" s="937"/>
      <c r="AA25" s="937"/>
      <c r="AB25" s="1188"/>
      <c r="AC25" s="1187" t="s">
        <v>8176</v>
      </c>
      <c r="AD25" s="1187" t="s">
        <v>8177</v>
      </c>
      <c r="AE25" s="936"/>
      <c r="AF25" s="1187" t="s">
        <v>8178</v>
      </c>
      <c r="AG25" s="1187"/>
      <c r="AH25" s="1187" t="s">
        <v>8179</v>
      </c>
      <c r="AI25" s="1188"/>
      <c r="AJ25" s="1188"/>
      <c r="AK25" s="1261" t="s">
        <v>3671</v>
      </c>
      <c r="AL25" s="1204"/>
      <c r="AM25" s="937"/>
      <c r="AN25" s="937"/>
      <c r="AO25" s="937"/>
      <c r="AP25" s="937"/>
      <c r="AQ25" s="937"/>
      <c r="AR25" s="1187" t="s">
        <v>8180</v>
      </c>
      <c r="AS25" s="936"/>
      <c r="AT25" s="937"/>
      <c r="AU25" s="937"/>
      <c r="AV25" s="937"/>
      <c r="AW25" s="1187" t="s">
        <v>7832</v>
      </c>
      <c r="AX25" s="937"/>
      <c r="AY25" s="937"/>
      <c r="AZ25" s="937"/>
      <c r="BA25" s="937"/>
      <c r="BB25" s="1187" t="s">
        <v>7907</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4956</v>
      </c>
      <c r="CP25" s="1188"/>
      <c r="CQ25" s="1188"/>
      <c r="CR25" s="1188"/>
      <c r="CS25" s="1188"/>
      <c r="CT25" s="92"/>
    </row>
    <row r="26">
      <c r="A26" s="1246" t="s">
        <v>6972</v>
      </c>
      <c r="B26" s="767" t="s">
        <v>8181</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7991</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8182</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8183</v>
      </c>
      <c r="J27" s="937"/>
      <c r="K27" s="936" t="s">
        <v>8184</v>
      </c>
      <c r="L27" s="1188"/>
      <c r="M27" s="937"/>
      <c r="N27" s="937"/>
      <c r="O27" s="937"/>
      <c r="P27" s="936" t="s">
        <v>8185</v>
      </c>
      <c r="Q27" s="1188"/>
      <c r="R27" s="937"/>
      <c r="S27" s="937"/>
      <c r="T27" s="937"/>
      <c r="U27" s="1183" t="s">
        <v>8186</v>
      </c>
      <c r="V27" s="1188"/>
      <c r="W27" s="937"/>
      <c r="X27" s="936" t="s">
        <v>7230</v>
      </c>
      <c r="Y27" s="939" t="s">
        <v>7307</v>
      </c>
      <c r="Z27" s="937"/>
      <c r="AA27" s="936" t="s">
        <v>8187</v>
      </c>
      <c r="AB27" s="1188"/>
      <c r="AC27" s="936" t="s">
        <v>8188</v>
      </c>
      <c r="AD27" s="936" t="s">
        <v>1886</v>
      </c>
      <c r="AE27" s="1182" t="s">
        <v>4936</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8189</v>
      </c>
      <c r="J28" s="937"/>
      <c r="K28" s="936" t="s">
        <v>8190</v>
      </c>
      <c r="L28" s="1188"/>
      <c r="M28" s="936" t="s">
        <v>8191</v>
      </c>
      <c r="N28" s="937"/>
      <c r="O28" s="937"/>
      <c r="P28" s="1187" t="s">
        <v>5718</v>
      </c>
      <c r="Q28" s="1188"/>
      <c r="R28" s="937"/>
      <c r="S28" s="936" t="s">
        <v>3497</v>
      </c>
      <c r="T28" s="936"/>
      <c r="U28" s="1187" t="s">
        <v>3610</v>
      </c>
      <c r="V28" s="1188"/>
      <c r="W28" s="937"/>
      <c r="X28" s="936" t="s">
        <v>8192</v>
      </c>
      <c r="Y28" s="936" t="s">
        <v>4995</v>
      </c>
      <c r="Z28" s="937"/>
      <c r="AA28" s="936" t="s">
        <v>8193</v>
      </c>
      <c r="AB28" s="1188"/>
      <c r="AC28" s="936" t="s">
        <v>8194</v>
      </c>
      <c r="AD28" s="936" t="s">
        <v>5283</v>
      </c>
      <c r="AE28" s="936" t="s">
        <v>8195</v>
      </c>
      <c r="AF28" s="936" t="s">
        <v>6903</v>
      </c>
      <c r="AG28" s="1188"/>
      <c r="AH28" s="1188"/>
      <c r="AI28" s="1188"/>
      <c r="AJ28" s="1188"/>
      <c r="AK28" s="1188"/>
      <c r="AL28" s="937"/>
      <c r="AM28" s="937"/>
      <c r="AN28" s="936" t="s">
        <v>8196</v>
      </c>
      <c r="AO28" s="1187" t="s">
        <v>8197</v>
      </c>
      <c r="AP28" s="937"/>
      <c r="AQ28" s="936" t="s">
        <v>7922</v>
      </c>
      <c r="AR28" s="937"/>
      <c r="AS28" s="937"/>
      <c r="AT28" s="937"/>
      <c r="AU28" s="936" t="s">
        <v>8145</v>
      </c>
      <c r="AV28" s="937"/>
      <c r="AW28" s="937"/>
      <c r="AX28" s="937"/>
      <c r="AY28" s="937"/>
      <c r="AZ28" s="937"/>
      <c r="BA28" s="937"/>
      <c r="BB28" s="937"/>
      <c r="BC28" s="937"/>
      <c r="BD28" s="937"/>
      <c r="BE28" s="1188"/>
      <c r="BF28" s="937"/>
      <c r="BG28" s="1227"/>
      <c r="BH28" s="1227"/>
      <c r="BI28" s="1227"/>
      <c r="BJ28" s="1227"/>
      <c r="BK28" s="1227"/>
      <c r="BL28" s="1264" t="s">
        <v>8198</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8199</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8200</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4797</v>
      </c>
      <c r="B31" s="767" t="s">
        <v>1496</v>
      </c>
      <c r="C31" s="768" t="s">
        <v>1413</v>
      </c>
      <c r="D31" s="769" t="s">
        <v>1413</v>
      </c>
      <c r="E31" s="770" t="s">
        <v>1413</v>
      </c>
      <c r="F31" s="771" t="s">
        <v>1413</v>
      </c>
      <c r="G31" s="767" t="s">
        <v>912</v>
      </c>
      <c r="H31" s="1220"/>
      <c r="I31" s="1220" t="s">
        <v>7128</v>
      </c>
      <c r="J31" s="937"/>
      <c r="K31" s="936" t="s">
        <v>8201</v>
      </c>
      <c r="L31" s="1188"/>
      <c r="M31" s="937"/>
      <c r="N31" s="937"/>
      <c r="O31" s="937"/>
      <c r="P31" s="936" t="s">
        <v>8202</v>
      </c>
      <c r="Q31" s="1188"/>
      <c r="R31" s="937"/>
      <c r="S31" s="937"/>
      <c r="T31" s="936" t="s">
        <v>8203</v>
      </c>
      <c r="U31" s="936" t="s">
        <v>8204</v>
      </c>
      <c r="V31" s="1188"/>
      <c r="W31" s="936" t="s">
        <v>247</v>
      </c>
      <c r="X31" s="936" t="s">
        <v>8205</v>
      </c>
      <c r="Y31" s="936" t="s">
        <v>363</v>
      </c>
      <c r="Z31" s="937"/>
      <c r="AA31" s="937"/>
      <c r="AB31" s="1188"/>
      <c r="AC31" s="937"/>
      <c r="AD31" s="937"/>
      <c r="AE31" s="937"/>
      <c r="AF31" s="937"/>
      <c r="AG31" s="1188"/>
      <c r="AH31" s="1188"/>
      <c r="AI31" s="1188"/>
      <c r="AJ31" s="1188"/>
      <c r="AK31" s="1188"/>
      <c r="AL31" s="937"/>
      <c r="AM31" s="937"/>
      <c r="AN31" s="937"/>
      <c r="AO31" s="937"/>
      <c r="AP31" s="1183" t="s">
        <v>7897</v>
      </c>
      <c r="AQ31" s="1183"/>
      <c r="AR31" s="937"/>
      <c r="AS31" s="936" t="s">
        <v>8076</v>
      </c>
      <c r="AT31" s="937"/>
      <c r="AU31" s="936" t="s">
        <v>8180</v>
      </c>
      <c r="AV31" s="937"/>
      <c r="AW31" s="937"/>
      <c r="AX31" s="937"/>
      <c r="AY31" s="937"/>
      <c r="AZ31" s="936" t="s">
        <v>2330</v>
      </c>
      <c r="BA31" s="937"/>
      <c r="BB31" s="1183" t="s">
        <v>8206</v>
      </c>
      <c r="BC31" s="936" t="s">
        <v>7824</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4754</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8207</v>
      </c>
      <c r="AD32" s="936" t="s">
        <v>2113</v>
      </c>
      <c r="AE32" s="936"/>
      <c r="AF32" s="1187" t="s">
        <v>6827</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7993</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8208</v>
      </c>
      <c r="I33" s="1220"/>
      <c r="J33" s="937"/>
      <c r="K33" s="937"/>
      <c r="L33" s="1188"/>
      <c r="M33" s="937"/>
      <c r="N33" s="937"/>
      <c r="O33" s="937"/>
      <c r="P33" s="937"/>
      <c r="Q33" s="1188"/>
      <c r="R33" s="937"/>
      <c r="S33" s="937"/>
      <c r="T33" s="939" t="s">
        <v>8209</v>
      </c>
      <c r="U33" s="936" t="s">
        <v>8210</v>
      </c>
      <c r="V33" s="936" t="s">
        <v>8211</v>
      </c>
      <c r="W33" s="937"/>
      <c r="X33" s="936" t="s">
        <v>8212</v>
      </c>
      <c r="Y33" s="936" t="s">
        <v>8213</v>
      </c>
      <c r="Z33" s="937"/>
      <c r="AA33" s="937"/>
      <c r="AB33" s="1188"/>
      <c r="AC33" s="939" t="s">
        <v>1572</v>
      </c>
      <c r="AD33" s="936" t="s">
        <v>5403</v>
      </c>
      <c r="AE33" s="937"/>
      <c r="AF33" s="937"/>
      <c r="AG33" s="1188"/>
      <c r="AH33" s="1188"/>
      <c r="AI33" s="1188"/>
      <c r="AJ33" s="1188"/>
      <c r="AK33" s="1188"/>
      <c r="AL33" s="937"/>
      <c r="AM33" s="936" t="s">
        <v>8214</v>
      </c>
      <c r="AN33" s="937"/>
      <c r="AO33" s="937"/>
      <c r="AP33" s="936" t="s">
        <v>7879</v>
      </c>
      <c r="AQ33" s="937"/>
      <c r="AR33" s="937"/>
      <c r="AS33" s="937"/>
      <c r="AT33" s="937"/>
      <c r="AU33" s="936" t="s">
        <v>7940</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8215</v>
      </c>
      <c r="CF33" s="937"/>
      <c r="CG33" s="1188"/>
      <c r="CH33" s="1188"/>
      <c r="CI33" s="1188"/>
      <c r="CJ33" s="1188"/>
      <c r="CK33" s="1188"/>
      <c r="CL33" s="1188"/>
      <c r="CM33" s="1188"/>
      <c r="CN33" s="937"/>
      <c r="CO33" s="1188"/>
      <c r="CP33" s="1188"/>
      <c r="CQ33" s="1188"/>
      <c r="CR33" s="1188"/>
      <c r="CS33" s="1188"/>
      <c r="CT33" s="1188"/>
    </row>
    <row r="34">
      <c r="A34" s="1189" t="s">
        <v>8216</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8217</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8218</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7847</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8219</v>
      </c>
      <c r="S40" s="937"/>
      <c r="T40" s="937"/>
      <c r="U40" s="936" t="s">
        <v>8220</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8221</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8222</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7850</v>
      </c>
      <c r="AV42" s="936"/>
      <c r="AW42" s="937"/>
      <c r="AX42" s="937"/>
      <c r="AY42" s="937"/>
      <c r="AZ42" s="937"/>
      <c r="BA42" s="937"/>
      <c r="BB42" s="937"/>
      <c r="BC42" s="936" t="s">
        <v>7938</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4994</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8223</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8224</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8225</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8226</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8227</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8228</v>
      </c>
      <c r="S50" s="937"/>
      <c r="T50" s="937"/>
      <c r="U50" s="939" t="s">
        <v>8229</v>
      </c>
      <c r="V50" s="1188"/>
      <c r="W50" s="936" t="s">
        <v>8230</v>
      </c>
      <c r="X50" s="936" t="s">
        <v>8230</v>
      </c>
      <c r="Y50" s="937"/>
      <c r="Z50" s="937"/>
      <c r="AA50" s="937"/>
      <c r="AB50" s="1188"/>
      <c r="AC50" s="937"/>
      <c r="AD50" s="937"/>
      <c r="AE50" s="937"/>
      <c r="AF50" s="937"/>
      <c r="AG50" s="1188"/>
      <c r="AH50" s="1188"/>
      <c r="AI50" s="1188"/>
      <c r="AJ50" s="1188"/>
      <c r="AK50" s="1188"/>
      <c r="AL50" s="937"/>
      <c r="AM50" s="937"/>
      <c r="AN50" s="937"/>
      <c r="AO50" s="937"/>
      <c r="AP50" s="936" t="s">
        <v>8231</v>
      </c>
      <c r="AQ50" s="939" t="s">
        <v>8232</v>
      </c>
      <c r="AR50" s="939" t="s">
        <v>8233</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8234</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7782</v>
      </c>
      <c r="BD52" s="1187" t="s">
        <v>8180</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8235</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8236</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8237</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7932</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8238</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8239</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7466</v>
      </c>
      <c r="Z1" s="33" t="s">
        <v>7520</v>
      </c>
      <c r="AC1" s="34" t="s">
        <v>42</v>
      </c>
      <c r="AF1" s="1281"/>
      <c r="AG1" s="1281"/>
    </row>
    <row r="2" ht="38.25" customHeight="1">
      <c r="A2" s="35" t="s">
        <v>43</v>
      </c>
      <c r="B2" s="36" t="s">
        <v>44</v>
      </c>
      <c r="C2" s="36" t="s">
        <v>45</v>
      </c>
      <c r="F2" s="36" t="s">
        <v>8241</v>
      </c>
      <c r="H2" s="1282"/>
      <c r="I2" s="1282"/>
      <c r="J2" s="1282"/>
      <c r="K2" s="1179" t="s">
        <v>8242</v>
      </c>
      <c r="L2" s="1179" t="s">
        <v>8243</v>
      </c>
      <c r="M2" s="1179" t="s">
        <v>8244</v>
      </c>
      <c r="N2" s="1283" t="s">
        <v>54</v>
      </c>
      <c r="O2" s="1283"/>
      <c r="P2" s="1283"/>
      <c r="Q2" s="42" t="s">
        <v>48</v>
      </c>
      <c r="R2" s="42" t="s">
        <v>8245</v>
      </c>
      <c r="S2" s="42"/>
      <c r="T2" s="44" t="s">
        <v>50</v>
      </c>
      <c r="U2" s="44" t="s">
        <v>54</v>
      </c>
      <c r="V2" s="44" t="s">
        <v>62</v>
      </c>
      <c r="W2" s="45" t="s">
        <v>52</v>
      </c>
      <c r="X2" s="45"/>
      <c r="Y2" s="45"/>
      <c r="Z2" s="47" t="s">
        <v>51</v>
      </c>
      <c r="AA2" s="1284" t="s">
        <v>8246</v>
      </c>
      <c r="AB2" s="47"/>
      <c r="AC2" s="1285" t="s">
        <v>8247</v>
      </c>
      <c r="AD2" s="1285"/>
      <c r="AE2" s="1285"/>
      <c r="AF2" s="1286"/>
      <c r="AG2" s="1286"/>
    </row>
    <row r="3">
      <c r="A3" s="1287" t="s">
        <v>4133</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7411</v>
      </c>
      <c r="U3" s="1188"/>
      <c r="V3" s="1188"/>
      <c r="W3" s="1254" t="s">
        <v>8248</v>
      </c>
      <c r="X3" s="1188"/>
      <c r="Y3" s="1188"/>
      <c r="Z3" s="1296" t="s">
        <v>8249</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2103</v>
      </c>
      <c r="U4" s="1188"/>
      <c r="V4" s="1188"/>
      <c r="W4" s="1186" t="s">
        <v>8250</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8251</v>
      </c>
      <c r="X5" s="1188"/>
      <c r="Y5" s="1188"/>
      <c r="Z5" s="1187" t="s">
        <v>8252</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7358</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8253</v>
      </c>
      <c r="S8" s="937"/>
      <c r="T8" s="1188"/>
      <c r="U8" s="1188"/>
      <c r="V8" s="1188"/>
      <c r="W8" s="937"/>
      <c r="X8" s="1188"/>
      <c r="Y8" s="1188"/>
      <c r="Z8" s="1186" t="s">
        <v>8254</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8255</v>
      </c>
      <c r="W9" s="937"/>
      <c r="X9" s="1188"/>
      <c r="Y9" s="1188"/>
      <c r="Z9" s="1188"/>
      <c r="AA9" s="1188"/>
      <c r="AB9" s="937"/>
      <c r="AC9" s="1185" t="s">
        <v>8256</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7384</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8257</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8258</v>
      </c>
      <c r="L12" s="937"/>
      <c r="M12" s="937"/>
      <c r="N12" s="1188"/>
      <c r="O12" s="1188"/>
      <c r="P12" s="1188"/>
      <c r="Q12" s="1188"/>
      <c r="R12" s="937"/>
      <c r="S12" s="937"/>
      <c r="T12" s="1188"/>
      <c r="U12" s="1188"/>
      <c r="V12" s="1188"/>
      <c r="W12" s="1186" t="s">
        <v>8250</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8259</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8058</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8260</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8261</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8262</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8263</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8264</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8265</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8266</v>
      </c>
      <c r="C1" s="1311" t="s">
        <v>8267</v>
      </c>
      <c r="D1" s="1312" t="s">
        <v>8268</v>
      </c>
      <c r="E1" s="1312" t="s">
        <v>7677</v>
      </c>
      <c r="F1" s="1312" t="s">
        <v>7678</v>
      </c>
      <c r="G1" s="1312" t="s">
        <v>8269</v>
      </c>
      <c r="H1" s="1313" t="s">
        <v>8270</v>
      </c>
      <c r="I1" s="1313" t="s">
        <v>8271</v>
      </c>
      <c r="J1" s="1314" t="s">
        <v>7689</v>
      </c>
      <c r="K1" s="1314" t="s">
        <v>8272</v>
      </c>
      <c r="L1" s="1314" t="s">
        <v>8273</v>
      </c>
      <c r="M1" s="1314" t="s">
        <v>8274</v>
      </c>
      <c r="N1" s="1314" t="s">
        <v>7752</v>
      </c>
      <c r="O1" s="1314" t="s">
        <v>8275</v>
      </c>
      <c r="P1" s="1314" t="s">
        <v>8276</v>
      </c>
      <c r="Q1" s="1315" t="s">
        <v>8277</v>
      </c>
      <c r="R1" s="1315" t="s">
        <v>7685</v>
      </c>
      <c r="S1" s="1315" t="s">
        <v>8278</v>
      </c>
      <c r="T1" s="1315" t="s">
        <v>8279</v>
      </c>
      <c r="U1" s="1315" t="s">
        <v>8280</v>
      </c>
      <c r="V1" s="1315" t="s">
        <v>8281</v>
      </c>
      <c r="W1" s="1316" t="s">
        <v>7679</v>
      </c>
      <c r="X1" s="1316" t="s">
        <v>7680</v>
      </c>
      <c r="Y1" s="1316" t="s">
        <v>8282</v>
      </c>
      <c r="Z1" s="1316" t="s">
        <v>8283</v>
      </c>
      <c r="AA1" s="1316" t="s">
        <v>7682</v>
      </c>
      <c r="AB1" s="1316" t="s">
        <v>8284</v>
      </c>
      <c r="AC1" s="1316" t="s">
        <v>8285</v>
      </c>
      <c r="AD1" s="1312" t="s">
        <v>8286</v>
      </c>
      <c r="AE1" s="1312" t="s">
        <v>8287</v>
      </c>
      <c r="AF1" s="1317" t="s">
        <v>7686</v>
      </c>
      <c r="AG1" s="1317" t="s">
        <v>8288</v>
      </c>
      <c r="AH1" s="1317" t="s">
        <v>8289</v>
      </c>
      <c r="AI1" s="1317" t="s">
        <v>7687</v>
      </c>
      <c r="AJ1" s="1317" t="s">
        <v>8290</v>
      </c>
      <c r="AK1" s="1317" t="s">
        <v>8291</v>
      </c>
      <c r="AL1" s="1317" t="s">
        <v>8292</v>
      </c>
      <c r="AM1" s="1318" t="s">
        <v>7688</v>
      </c>
      <c r="AN1" s="1318" t="s">
        <v>8293</v>
      </c>
      <c r="AO1" s="1318" t="s">
        <v>8294</v>
      </c>
      <c r="AP1" s="1318" t="s">
        <v>8295</v>
      </c>
      <c r="AQ1" s="1318" t="s">
        <v>8296</v>
      </c>
      <c r="AR1" s="1318" t="s">
        <v>8297</v>
      </c>
      <c r="AS1" s="1318" t="s">
        <v>8298</v>
      </c>
      <c r="AT1" s="1319" t="s">
        <v>8299</v>
      </c>
      <c r="AU1" s="1309" t="s">
        <v>8300</v>
      </c>
      <c r="AV1" s="1320" t="s">
        <v>8301</v>
      </c>
      <c r="AW1" s="1321" t="s">
        <v>8302</v>
      </c>
    </row>
    <row r="2" ht="15.75" customHeight="1">
      <c r="A2" s="1322" t="s">
        <v>8303</v>
      </c>
      <c r="B2" s="1323" t="s">
        <v>8304</v>
      </c>
      <c r="C2" s="1324" t="s">
        <v>8305</v>
      </c>
      <c r="D2" s="1325" t="s">
        <v>8306</v>
      </c>
      <c r="E2" s="1326" t="s">
        <v>8307</v>
      </c>
      <c r="F2" s="1325" t="s">
        <v>8308</v>
      </c>
      <c r="G2" s="1326" t="s">
        <v>8309</v>
      </c>
      <c r="H2" s="1327" t="s">
        <v>5986</v>
      </c>
      <c r="I2" s="1328" t="s">
        <v>3656</v>
      </c>
      <c r="J2" s="1329" t="s">
        <v>8310</v>
      </c>
      <c r="K2" s="1330" t="s">
        <v>4046</v>
      </c>
      <c r="L2" s="1330" t="s">
        <v>232</v>
      </c>
      <c r="M2" s="1331" t="s">
        <v>8311</v>
      </c>
      <c r="N2" s="1331" t="s">
        <v>8312</v>
      </c>
      <c r="O2" s="1331" t="s">
        <v>8313</v>
      </c>
      <c r="P2" s="1330" t="s">
        <v>1281</v>
      </c>
      <c r="Q2" s="1332" t="s">
        <v>8314</v>
      </c>
      <c r="R2" s="1333" t="s">
        <v>4384</v>
      </c>
      <c r="S2" s="1332" t="s">
        <v>814</v>
      </c>
      <c r="T2" s="1333" t="s">
        <v>8315</v>
      </c>
      <c r="U2" s="1332" t="s">
        <v>8316</v>
      </c>
      <c r="V2" s="1334">
        <v>58.55</v>
      </c>
      <c r="W2" s="1335" t="s">
        <v>8317</v>
      </c>
      <c r="X2" s="1336" t="s">
        <v>8318</v>
      </c>
      <c r="Y2" s="1336">
        <v>46.63</v>
      </c>
      <c r="Z2" s="1337" t="s">
        <v>8319</v>
      </c>
      <c r="AA2" s="1336" t="s">
        <v>3289</v>
      </c>
      <c r="AB2" s="1336" t="s">
        <v>8320</v>
      </c>
      <c r="AC2" s="1337" t="s">
        <v>3861</v>
      </c>
      <c r="AD2" s="1326" t="s">
        <v>761</v>
      </c>
      <c r="AE2" s="1325" t="s">
        <v>4643</v>
      </c>
      <c r="AF2" s="1338" t="s">
        <v>8321</v>
      </c>
      <c r="AG2" s="1338" t="s">
        <v>8322</v>
      </c>
      <c r="AH2" s="1338" t="s">
        <v>3683</v>
      </c>
      <c r="AI2" s="1339" t="s">
        <v>8323</v>
      </c>
      <c r="AJ2" s="1339" t="s">
        <v>8324</v>
      </c>
      <c r="AK2" s="1339" t="s">
        <v>8325</v>
      </c>
      <c r="AL2" s="1340" t="s">
        <v>5971</v>
      </c>
      <c r="AM2" s="1341" t="s">
        <v>3553</v>
      </c>
      <c r="AN2" s="1342" t="s">
        <v>8326</v>
      </c>
      <c r="AO2" s="1343" t="s">
        <v>6170</v>
      </c>
      <c r="AP2" s="1344" t="s">
        <v>8327</v>
      </c>
      <c r="AQ2" s="1341" t="s">
        <v>8328</v>
      </c>
      <c r="AR2" s="1343" t="s">
        <v>413</v>
      </c>
      <c r="AS2" s="1341">
        <v>42.83</v>
      </c>
      <c r="AT2" s="1345" t="s">
        <v>8329</v>
      </c>
      <c r="AU2" s="1324" t="s">
        <v>8330</v>
      </c>
      <c r="AV2" s="1324" t="str">
        <f t="shared" ref="AV2:AV74" si="1">TEXT(AU2-C2,"m:ss")</f>
        <v>2:21</v>
      </c>
      <c r="AW2" s="1346"/>
    </row>
    <row r="3" ht="15.75" customHeight="1">
      <c r="A3" s="1347" t="s">
        <v>8331</v>
      </c>
      <c r="B3" s="1348" t="s">
        <v>8332</v>
      </c>
      <c r="C3" s="1349">
        <v>0.04946180555555556</v>
      </c>
      <c r="D3" s="1350" t="s">
        <v>8333</v>
      </c>
      <c r="E3" s="1350" t="s">
        <v>8334</v>
      </c>
      <c r="F3" s="1350" t="s">
        <v>8335</v>
      </c>
      <c r="G3" s="1350" t="s">
        <v>8336</v>
      </c>
      <c r="H3" s="1351" t="s">
        <v>8337</v>
      </c>
      <c r="I3" s="1351" t="s">
        <v>8338</v>
      </c>
      <c r="J3" s="1352" t="s">
        <v>8339</v>
      </c>
      <c r="K3" s="1352" t="s">
        <v>1163</v>
      </c>
      <c r="L3" s="1352" t="s">
        <v>8340</v>
      </c>
      <c r="M3" s="1352" t="s">
        <v>8341</v>
      </c>
      <c r="N3" s="1352" t="s">
        <v>3678</v>
      </c>
      <c r="O3" s="1352" t="s">
        <v>8342</v>
      </c>
      <c r="P3" s="1352" t="s">
        <v>5425</v>
      </c>
      <c r="Q3" s="1353" t="s">
        <v>8343</v>
      </c>
      <c r="R3" s="1353" t="s">
        <v>6410</v>
      </c>
      <c r="S3" s="1353" t="s">
        <v>8312</v>
      </c>
      <c r="T3" s="1353" t="s">
        <v>8344</v>
      </c>
      <c r="U3" s="1354" t="s">
        <v>6996</v>
      </c>
      <c r="V3" s="1353" t="s">
        <v>4125</v>
      </c>
      <c r="W3" s="1355" t="s">
        <v>8345</v>
      </c>
      <c r="X3" s="1356" t="s">
        <v>2556</v>
      </c>
      <c r="Y3" s="1356" t="s">
        <v>5756</v>
      </c>
      <c r="Z3" s="1356" t="s">
        <v>8346</v>
      </c>
      <c r="AA3" s="1356" t="s">
        <v>8347</v>
      </c>
      <c r="AB3" s="1355" t="s">
        <v>2804</v>
      </c>
      <c r="AC3" s="1356" t="s">
        <v>4975</v>
      </c>
      <c r="AD3" s="1350" t="s">
        <v>8348</v>
      </c>
      <c r="AE3" s="1350" t="s">
        <v>8349</v>
      </c>
      <c r="AF3" s="1357" t="s">
        <v>8350</v>
      </c>
      <c r="AG3" s="1358" t="s">
        <v>8351</v>
      </c>
      <c r="AH3" s="1358" t="s">
        <v>2780</v>
      </c>
      <c r="AI3" s="1358" t="s">
        <v>4001</v>
      </c>
      <c r="AJ3" s="1357" t="s">
        <v>8352</v>
      </c>
      <c r="AK3" s="1358" t="s">
        <v>8353</v>
      </c>
      <c r="AL3" s="1358" t="s">
        <v>5927</v>
      </c>
      <c r="AM3" s="1359" t="s">
        <v>2356</v>
      </c>
      <c r="AN3" s="1359" t="s">
        <v>3490</v>
      </c>
      <c r="AO3" s="1360" t="s">
        <v>8354</v>
      </c>
      <c r="AP3" s="1360" t="s">
        <v>8355</v>
      </c>
      <c r="AQ3" s="1360" t="s">
        <v>8356</v>
      </c>
      <c r="AR3" s="1360" t="s">
        <v>6640</v>
      </c>
      <c r="AS3" s="1359" t="s">
        <v>5110</v>
      </c>
      <c r="AT3" s="1361" t="s">
        <v>8357</v>
      </c>
      <c r="AU3" s="1362" t="s">
        <v>8358</v>
      </c>
      <c r="AV3" s="1362" t="str">
        <f t="shared" si="1"/>
        <v>3:54</v>
      </c>
    </row>
    <row r="4" ht="15.75" customHeight="1">
      <c r="A4" s="1363" t="s">
        <v>8359</v>
      </c>
      <c r="B4" s="1364" t="s">
        <v>8360</v>
      </c>
      <c r="C4" s="1365">
        <v>0.050637731481481485</v>
      </c>
      <c r="D4" s="1366" t="s">
        <v>8361</v>
      </c>
      <c r="E4" s="1366" t="s">
        <v>8362</v>
      </c>
      <c r="F4" s="1366" t="s">
        <v>8363</v>
      </c>
      <c r="G4" s="1366" t="s">
        <v>8364</v>
      </c>
      <c r="H4" s="1367" t="s">
        <v>8365</v>
      </c>
      <c r="I4" s="1367" t="s">
        <v>348</v>
      </c>
      <c r="J4" s="1368" t="s">
        <v>8366</v>
      </c>
      <c r="K4" s="1368" t="s">
        <v>6007</v>
      </c>
      <c r="L4" s="1368" t="s">
        <v>3670</v>
      </c>
      <c r="M4" s="1368" t="s">
        <v>8367</v>
      </c>
      <c r="N4" s="1368" t="s">
        <v>8368</v>
      </c>
      <c r="O4" s="1368" t="s">
        <v>8369</v>
      </c>
      <c r="P4" s="1368" t="s">
        <v>8370</v>
      </c>
      <c r="Q4" s="1369" t="s">
        <v>8371</v>
      </c>
      <c r="R4" s="1369" t="s">
        <v>8372</v>
      </c>
      <c r="S4" s="1369" t="s">
        <v>2250</v>
      </c>
      <c r="T4" s="1369" t="s">
        <v>8373</v>
      </c>
      <c r="U4" s="1369" t="s">
        <v>8374</v>
      </c>
      <c r="V4" s="1369" t="s">
        <v>8375</v>
      </c>
      <c r="W4" s="1370" t="s">
        <v>8376</v>
      </c>
      <c r="X4" s="1370" t="s">
        <v>8377</v>
      </c>
      <c r="Y4" s="1370">
        <v>47.93</v>
      </c>
      <c r="Z4" s="1370" t="s">
        <v>8378</v>
      </c>
      <c r="AA4" s="1370" t="s">
        <v>8379</v>
      </c>
      <c r="AB4" s="1370" t="s">
        <v>8380</v>
      </c>
      <c r="AC4" s="1370">
        <v>49.24</v>
      </c>
      <c r="AD4" s="1371" t="s">
        <v>8381</v>
      </c>
      <c r="AE4" s="1366" t="s">
        <v>8382</v>
      </c>
      <c r="AF4" s="1372" t="s">
        <v>2662</v>
      </c>
      <c r="AG4" s="1372" t="s">
        <v>4538</v>
      </c>
      <c r="AH4" s="1372" t="s">
        <v>5113</v>
      </c>
      <c r="AI4" s="1372" t="s">
        <v>8383</v>
      </c>
      <c r="AJ4" s="1372" t="s">
        <v>8384</v>
      </c>
      <c r="AK4" s="1372" t="s">
        <v>8385</v>
      </c>
      <c r="AL4" s="1372" t="s">
        <v>8386</v>
      </c>
      <c r="AM4" s="1373" t="s">
        <v>8387</v>
      </c>
      <c r="AN4" s="1374" t="s">
        <v>8388</v>
      </c>
      <c r="AO4" s="1373" t="s">
        <v>8389</v>
      </c>
      <c r="AP4" s="1374" t="s">
        <v>8390</v>
      </c>
      <c r="AQ4" s="1373" t="s">
        <v>8391</v>
      </c>
      <c r="AR4" s="1373" t="s">
        <v>7086</v>
      </c>
      <c r="AS4" s="1373" t="s">
        <v>752</v>
      </c>
      <c r="AT4" s="1375" t="s">
        <v>8392</v>
      </c>
      <c r="AU4" s="1376" t="s">
        <v>8393</v>
      </c>
      <c r="AV4" s="1377" t="str">
        <f t="shared" si="1"/>
        <v>2:38</v>
      </c>
    </row>
    <row r="5" ht="15.75" customHeight="1">
      <c r="A5" s="1378" t="s">
        <v>1129</v>
      </c>
      <c r="B5" s="1379" t="s">
        <v>8304</v>
      </c>
      <c r="C5" s="1380">
        <v>0.049212962962962965</v>
      </c>
      <c r="D5" s="1381" t="s">
        <v>8394</v>
      </c>
      <c r="E5" s="1382" t="s">
        <v>8307</v>
      </c>
      <c r="F5" s="1381" t="s">
        <v>8395</v>
      </c>
      <c r="G5" s="1381" t="s">
        <v>8396</v>
      </c>
      <c r="H5" s="1382" t="s">
        <v>5986</v>
      </c>
      <c r="I5" s="1382" t="s">
        <v>3656</v>
      </c>
      <c r="J5" s="1381" t="s">
        <v>5478</v>
      </c>
      <c r="K5" s="1383" t="s">
        <v>2078</v>
      </c>
      <c r="L5" s="1384" t="s">
        <v>8397</v>
      </c>
      <c r="M5" s="1385" t="s">
        <v>8311</v>
      </c>
      <c r="N5" s="1385" t="s">
        <v>8312</v>
      </c>
      <c r="O5" s="1386" t="s">
        <v>8398</v>
      </c>
      <c r="P5" s="1383" t="s">
        <v>4028</v>
      </c>
      <c r="Q5" s="1385" t="s">
        <v>8314</v>
      </c>
      <c r="R5" s="1387" t="s">
        <v>6696</v>
      </c>
      <c r="S5" s="1385" t="s">
        <v>814</v>
      </c>
      <c r="T5" s="1381" t="s">
        <v>8399</v>
      </c>
      <c r="U5" s="1385" t="s">
        <v>8316</v>
      </c>
      <c r="V5" s="1383" t="s">
        <v>8400</v>
      </c>
      <c r="W5" s="1382" t="s">
        <v>8317</v>
      </c>
      <c r="X5" s="1381" t="s">
        <v>8401</v>
      </c>
      <c r="Y5" s="1381" t="s">
        <v>6643</v>
      </c>
      <c r="Z5" s="1381" t="s">
        <v>4977</v>
      </c>
      <c r="AA5" s="1381" t="s">
        <v>8402</v>
      </c>
      <c r="AB5" s="1384" t="s">
        <v>518</v>
      </c>
      <c r="AC5" s="1385" t="s">
        <v>3861</v>
      </c>
      <c r="AD5" s="1384" t="s">
        <v>8403</v>
      </c>
      <c r="AE5" s="1388" t="s">
        <v>8404</v>
      </c>
      <c r="AF5" s="1388" t="s">
        <v>8405</v>
      </c>
      <c r="AG5" s="1389" t="s">
        <v>2316</v>
      </c>
      <c r="AH5" s="1381" t="s">
        <v>8406</v>
      </c>
      <c r="AI5" s="1385" t="s">
        <v>8323</v>
      </c>
      <c r="AJ5" s="1384" t="s">
        <v>8407</v>
      </c>
      <c r="AK5" s="1385" t="s">
        <v>8325</v>
      </c>
      <c r="AL5" s="1381" t="s">
        <v>4458</v>
      </c>
      <c r="AM5" s="1381" t="s">
        <v>8061</v>
      </c>
      <c r="AN5" s="1381" t="s">
        <v>5207</v>
      </c>
      <c r="AO5" s="1387" t="s">
        <v>8408</v>
      </c>
      <c r="AP5" s="1381" t="s">
        <v>8409</v>
      </c>
      <c r="AQ5" s="1381" t="s">
        <v>8410</v>
      </c>
      <c r="AR5" s="1389" t="s">
        <v>1093</v>
      </c>
      <c r="AS5" s="1381" t="s">
        <v>4290</v>
      </c>
      <c r="AT5" s="1390" t="s">
        <v>8411</v>
      </c>
      <c r="AU5" s="1391" t="s">
        <v>8330</v>
      </c>
      <c r="AV5" s="1388" t="str">
        <f t="shared" si="1"/>
        <v>1:59</v>
      </c>
      <c r="AW5" s="1392" t="s">
        <v>8412</v>
      </c>
    </row>
    <row r="6" ht="15.75" customHeight="1">
      <c r="A6" s="1393" t="s">
        <v>433</v>
      </c>
      <c r="B6" s="1379" t="s">
        <v>8304</v>
      </c>
      <c r="C6" s="1380">
        <v>0.0493287037037037</v>
      </c>
      <c r="D6" s="1394" t="s">
        <v>8306</v>
      </c>
      <c r="E6" s="1395" t="s">
        <v>8413</v>
      </c>
      <c r="F6" s="1395" t="s">
        <v>8414</v>
      </c>
      <c r="G6" s="1395" t="s">
        <v>8415</v>
      </c>
      <c r="H6" s="1395" t="s">
        <v>8416</v>
      </c>
      <c r="I6" s="1387" t="s">
        <v>8417</v>
      </c>
      <c r="J6" s="1396" t="s">
        <v>8310</v>
      </c>
      <c r="K6" s="1395" t="s">
        <v>780</v>
      </c>
      <c r="L6" s="1395" t="s">
        <v>8418</v>
      </c>
      <c r="M6" s="1395" t="s">
        <v>8419</v>
      </c>
      <c r="N6" s="1395" t="s">
        <v>8420</v>
      </c>
      <c r="O6" s="1395" t="s">
        <v>8421</v>
      </c>
      <c r="P6" s="1396" t="s">
        <v>1281</v>
      </c>
      <c r="Q6" s="1383" t="s">
        <v>8422</v>
      </c>
      <c r="R6" s="1396" t="s">
        <v>4384</v>
      </c>
      <c r="S6" s="1395" t="s">
        <v>8310</v>
      </c>
      <c r="T6" s="1396" t="s">
        <v>8315</v>
      </c>
      <c r="U6" s="1383" t="s">
        <v>8327</v>
      </c>
      <c r="V6" s="1397" t="s">
        <v>8130</v>
      </c>
      <c r="W6" s="1395" t="s">
        <v>8423</v>
      </c>
      <c r="X6" s="1396" t="s">
        <v>8318</v>
      </c>
      <c r="Y6" s="1398">
        <v>46.72</v>
      </c>
      <c r="Z6" s="1398" t="s">
        <v>3276</v>
      </c>
      <c r="AA6" s="1396" t="s">
        <v>3289</v>
      </c>
      <c r="AB6" s="1396" t="s">
        <v>8320</v>
      </c>
      <c r="AC6" s="1395" t="s">
        <v>5407</v>
      </c>
      <c r="AD6" s="1395" t="s">
        <v>6563</v>
      </c>
      <c r="AE6" s="1399" t="s">
        <v>4643</v>
      </c>
      <c r="AF6" s="1398" t="s">
        <v>8424</v>
      </c>
      <c r="AG6" s="1397" t="s">
        <v>8425</v>
      </c>
      <c r="AH6" s="1396" t="s">
        <v>3683</v>
      </c>
      <c r="AI6" s="1395" t="s">
        <v>5808</v>
      </c>
      <c r="AJ6" s="1398" t="s">
        <v>8426</v>
      </c>
      <c r="AK6" s="1398" t="s">
        <v>5661</v>
      </c>
      <c r="AL6" s="1399" t="s">
        <v>5971</v>
      </c>
      <c r="AM6" s="1396" t="s">
        <v>3553</v>
      </c>
      <c r="AN6" s="1397" t="s">
        <v>4079</v>
      </c>
      <c r="AO6" s="1397" t="s">
        <v>155</v>
      </c>
      <c r="AP6" s="1397" t="s">
        <v>8427</v>
      </c>
      <c r="AQ6" s="1388" t="s">
        <v>8428</v>
      </c>
      <c r="AR6" s="1397" t="s">
        <v>8429</v>
      </c>
      <c r="AS6" s="1397" t="s">
        <v>8430</v>
      </c>
      <c r="AT6" s="1397" t="s">
        <v>8431</v>
      </c>
      <c r="AU6" s="1400" t="s">
        <v>8432</v>
      </c>
      <c r="AV6" s="1388" t="str">
        <f t="shared" si="1"/>
        <v>2:15</v>
      </c>
      <c r="AW6" s="1392"/>
    </row>
    <row r="7" ht="15.75" customHeight="1">
      <c r="A7" s="1378" t="s">
        <v>6300</v>
      </c>
      <c r="B7" s="1379" t="s">
        <v>8304</v>
      </c>
      <c r="C7" s="1380">
        <v>0.049444444444444444</v>
      </c>
      <c r="D7" s="1381" t="s">
        <v>8433</v>
      </c>
      <c r="E7" s="1381" t="s">
        <v>8434</v>
      </c>
      <c r="F7" s="1387" t="s">
        <v>8435</v>
      </c>
      <c r="G7" s="1385" t="s">
        <v>8309</v>
      </c>
      <c r="H7" s="1387" t="s">
        <v>8436</v>
      </c>
      <c r="I7" s="1387" t="s">
        <v>2772</v>
      </c>
      <c r="J7" s="1381" t="s">
        <v>8437</v>
      </c>
      <c r="K7" s="1387" t="s">
        <v>3211</v>
      </c>
      <c r="L7" s="1387" t="s">
        <v>4030</v>
      </c>
      <c r="M7" s="1387" t="s">
        <v>6220</v>
      </c>
      <c r="N7" s="1386" t="s">
        <v>8438</v>
      </c>
      <c r="O7" s="1387" t="s">
        <v>8439</v>
      </c>
      <c r="P7" s="1388" t="s">
        <v>7547</v>
      </c>
      <c r="Q7" s="1381" t="s">
        <v>8440</v>
      </c>
      <c r="R7" s="1387" t="s">
        <v>6448</v>
      </c>
      <c r="S7" s="1387" t="s">
        <v>3135</v>
      </c>
      <c r="T7" s="1388" t="s">
        <v>3488</v>
      </c>
      <c r="U7" s="1387" t="s">
        <v>8441</v>
      </c>
      <c r="V7" s="1387" t="s">
        <v>5103</v>
      </c>
      <c r="W7" s="1401" t="s">
        <v>8442</v>
      </c>
      <c r="X7" s="1388" t="s">
        <v>8443</v>
      </c>
      <c r="Y7" s="1402" t="s">
        <v>8444</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8445</v>
      </c>
      <c r="AG7" s="1403" t="str">
        <f>HYPERLINK("https://www.twitch.tv/videos/566334947","1:28.73")</f>
        <v>1:28.73</v>
      </c>
      <c r="AH7" s="1387" t="s">
        <v>8446</v>
      </c>
      <c r="AI7" s="1405" t="str">
        <f>HYPERLINK("https://www.twitch.tv/videos/584107631","1:27.68")</f>
        <v>1:27.68</v>
      </c>
      <c r="AJ7" s="1388" t="s">
        <v>8447</v>
      </c>
      <c r="AK7" s="1387" t="s">
        <v>6371</v>
      </c>
      <c r="AL7" s="1387" t="s">
        <v>8448</v>
      </c>
      <c r="AM7" s="1381" t="s">
        <v>4429</v>
      </c>
      <c r="AN7" s="1381" t="s">
        <v>2641</v>
      </c>
      <c r="AO7" s="1406" t="s">
        <v>5715</v>
      </c>
      <c r="AP7" s="1387" t="s">
        <v>8449</v>
      </c>
      <c r="AQ7" s="1388" t="s">
        <v>8450</v>
      </c>
      <c r="AR7" s="1384" t="s">
        <v>8451</v>
      </c>
      <c r="AS7" s="1404" t="str">
        <f>HYPERLINK("https://www.twitch.tv/videos/571767101","42.91")</f>
        <v>42.91</v>
      </c>
      <c r="AT7" s="1407" t="s">
        <v>8452</v>
      </c>
      <c r="AU7" s="1400" t="s">
        <v>8453</v>
      </c>
      <c r="AV7" s="1388" t="str">
        <f t="shared" si="1"/>
        <v>2:32</v>
      </c>
      <c r="AW7" s="1408" t="s">
        <v>8454</v>
      </c>
    </row>
    <row r="8" ht="15.75" customHeight="1">
      <c r="A8" s="1378" t="s">
        <v>1944</v>
      </c>
      <c r="B8" s="1379" t="s">
        <v>8304</v>
      </c>
      <c r="C8" s="1380">
        <v>0.04949074074074074</v>
      </c>
      <c r="D8" s="1402" t="s">
        <v>8455</v>
      </c>
      <c r="E8" s="1402" t="s">
        <v>8456</v>
      </c>
      <c r="F8" s="1402" t="s">
        <v>2121</v>
      </c>
      <c r="G8" s="1402" t="s">
        <v>8457</v>
      </c>
      <c r="H8" s="1384" t="s">
        <v>8458</v>
      </c>
      <c r="I8" s="1395">
        <v>47.34</v>
      </c>
      <c r="J8" s="1402" t="s">
        <v>644</v>
      </c>
      <c r="K8" s="1402" t="s">
        <v>8459</v>
      </c>
      <c r="L8" s="1402">
        <v>55.97</v>
      </c>
      <c r="M8" s="1402" t="s">
        <v>1905</v>
      </c>
      <c r="N8" s="1402" t="s">
        <v>8460</v>
      </c>
      <c r="O8" s="1409" t="s">
        <v>8313</v>
      </c>
      <c r="P8" s="1402">
        <v>47.49</v>
      </c>
      <c r="Q8" s="1402" t="s">
        <v>8461</v>
      </c>
      <c r="R8" s="1402" t="s">
        <v>1226</v>
      </c>
      <c r="S8" s="1410" t="s">
        <v>1964</v>
      </c>
      <c r="T8" s="1402" t="s">
        <v>8462</v>
      </c>
      <c r="U8" s="1381" t="s">
        <v>8463</v>
      </c>
      <c r="V8" s="1402">
        <v>59.32</v>
      </c>
      <c r="W8" s="1402" t="s">
        <v>8464</v>
      </c>
      <c r="X8" s="1402" t="s">
        <v>7483</v>
      </c>
      <c r="Y8" s="1402">
        <v>46.65</v>
      </c>
      <c r="Z8" s="1402" t="s">
        <v>8465</v>
      </c>
      <c r="AA8" s="1402" t="s">
        <v>2481</v>
      </c>
      <c r="AB8" s="1402" t="s">
        <v>8466</v>
      </c>
      <c r="AC8" s="1402">
        <v>47.89</v>
      </c>
      <c r="AD8" s="1402" t="s">
        <v>1963</v>
      </c>
      <c r="AE8" s="1402">
        <v>47.98</v>
      </c>
      <c r="AF8" s="1402" t="s">
        <v>8467</v>
      </c>
      <c r="AG8" s="1402" t="s">
        <v>8468</v>
      </c>
      <c r="AH8" s="1402">
        <v>57.45</v>
      </c>
      <c r="AI8" s="1398" t="s">
        <v>6305</v>
      </c>
      <c r="AJ8" s="1411" t="s">
        <v>8469</v>
      </c>
      <c r="AK8" s="1402" t="s">
        <v>5376</v>
      </c>
      <c r="AL8" s="1402">
        <v>56.23</v>
      </c>
      <c r="AM8" s="1402" t="s">
        <v>8344</v>
      </c>
      <c r="AN8" s="1402">
        <v>55.73</v>
      </c>
      <c r="AO8" s="1402" t="s">
        <v>3601</v>
      </c>
      <c r="AP8" s="1402" t="s">
        <v>8470</v>
      </c>
      <c r="AQ8" s="1402" t="s">
        <v>8471</v>
      </c>
      <c r="AR8" s="1402" t="s">
        <v>4305</v>
      </c>
      <c r="AS8" s="1402">
        <v>46.19</v>
      </c>
      <c r="AT8" s="1402" t="s">
        <v>8472</v>
      </c>
      <c r="AU8" s="1402" t="s">
        <v>8473</v>
      </c>
      <c r="AV8" s="1388" t="str">
        <f t="shared" si="1"/>
        <v>1:52</v>
      </c>
      <c r="AW8" s="1408" t="s">
        <v>8474</v>
      </c>
    </row>
    <row r="9" ht="15.75" customHeight="1">
      <c r="A9" s="1393" t="s">
        <v>328</v>
      </c>
      <c r="B9" s="1379" t="s">
        <v>8304</v>
      </c>
      <c r="C9" s="1380">
        <v>0.04957175925925926</v>
      </c>
      <c r="D9" s="1412" t="s">
        <v>8475</v>
      </c>
      <c r="E9" s="1395" t="s">
        <v>8476</v>
      </c>
      <c r="F9" s="1413" t="s">
        <v>8308</v>
      </c>
      <c r="G9" s="1397" t="s">
        <v>8477</v>
      </c>
      <c r="H9" s="1414" t="s">
        <v>5316</v>
      </c>
      <c r="I9" s="1397" t="s">
        <v>1383</v>
      </c>
      <c r="J9" s="1415" t="s">
        <v>8478</v>
      </c>
      <c r="K9" s="1397" t="s">
        <v>7329</v>
      </c>
      <c r="L9" s="1396" t="s">
        <v>232</v>
      </c>
      <c r="M9" s="1415" t="s">
        <v>8479</v>
      </c>
      <c r="N9" s="1395" t="s">
        <v>8480</v>
      </c>
      <c r="O9" s="1415" t="s">
        <v>8481</v>
      </c>
      <c r="P9" s="1397" t="s">
        <v>6212</v>
      </c>
      <c r="Q9" s="1397" t="s">
        <v>8461</v>
      </c>
      <c r="R9" s="1397" t="s">
        <v>5541</v>
      </c>
      <c r="S9" s="1397" t="s">
        <v>2083</v>
      </c>
      <c r="T9" s="1397" t="s">
        <v>3847</v>
      </c>
      <c r="U9" s="1397" t="s">
        <v>8482</v>
      </c>
      <c r="V9" s="1299" t="s">
        <v>8483</v>
      </c>
      <c r="W9" s="1416" t="s">
        <v>8484</v>
      </c>
      <c r="X9" s="1397" t="s">
        <v>8485</v>
      </c>
      <c r="Y9" s="1396">
        <v>46.63</v>
      </c>
      <c r="Z9" s="1417" t="s">
        <v>304</v>
      </c>
      <c r="AA9" s="1395" t="s">
        <v>8486</v>
      </c>
      <c r="AB9" s="1396" t="s">
        <v>8320</v>
      </c>
      <c r="AC9" s="1397" t="s">
        <v>5405</v>
      </c>
      <c r="AD9" s="1397" t="s">
        <v>8487</v>
      </c>
      <c r="AE9" s="1398" t="s">
        <v>8488</v>
      </c>
      <c r="AF9" s="1395" t="s">
        <v>8489</v>
      </c>
      <c r="AG9" s="1402" t="s">
        <v>8490</v>
      </c>
      <c r="AH9" s="1397" t="s">
        <v>8406</v>
      </c>
      <c r="AI9" s="1299" t="s">
        <v>8491</v>
      </c>
      <c r="AJ9" s="1398" t="s">
        <v>8492</v>
      </c>
      <c r="AK9" s="1397" t="s">
        <v>1294</v>
      </c>
      <c r="AL9" s="1397" t="s">
        <v>5055</v>
      </c>
      <c r="AM9" s="1397" t="s">
        <v>3847</v>
      </c>
      <c r="AN9" s="1415" t="s">
        <v>5153</v>
      </c>
      <c r="AO9" s="1397" t="s">
        <v>8429</v>
      </c>
      <c r="AP9" s="1397" t="s">
        <v>8493</v>
      </c>
      <c r="AQ9" s="1397" t="s">
        <v>8494</v>
      </c>
      <c r="AR9" s="1397" t="s">
        <v>4515</v>
      </c>
      <c r="AS9" s="1397" t="s">
        <v>8495</v>
      </c>
      <c r="AT9" s="1418" t="s">
        <v>8329</v>
      </c>
      <c r="AU9" s="1419" t="s">
        <v>8496</v>
      </c>
      <c r="AV9" s="1388" t="str">
        <f t="shared" si="1"/>
        <v>2:59</v>
      </c>
      <c r="AW9" s="1420"/>
    </row>
    <row r="10">
      <c r="A10" s="1393" t="s">
        <v>6195</v>
      </c>
      <c r="B10" s="1421" t="s">
        <v>8304</v>
      </c>
      <c r="C10" s="1380">
        <v>0.04958333333333333</v>
      </c>
      <c r="D10" s="1299" t="s">
        <v>8497</v>
      </c>
      <c r="E10" s="1402" t="s">
        <v>6168</v>
      </c>
      <c r="F10" s="1402" t="s">
        <v>8498</v>
      </c>
      <c r="G10" s="1402" t="s">
        <v>8499</v>
      </c>
      <c r="H10" s="1422" t="s">
        <v>8500</v>
      </c>
      <c r="I10" s="1422" t="s">
        <v>5578</v>
      </c>
      <c r="J10" s="1422" t="s">
        <v>2613</v>
      </c>
      <c r="K10" s="1422" t="s">
        <v>6553</v>
      </c>
      <c r="L10" s="1402">
        <v>56.42</v>
      </c>
      <c r="M10" s="1402" t="s">
        <v>5129</v>
      </c>
      <c r="N10" s="1402" t="s">
        <v>8501</v>
      </c>
      <c r="O10" s="1422" t="s">
        <v>8502</v>
      </c>
      <c r="P10" s="1422" t="s">
        <v>131</v>
      </c>
      <c r="Q10" s="1422" t="s">
        <v>8503</v>
      </c>
      <c r="R10" s="1402" t="s">
        <v>8504</v>
      </c>
      <c r="S10" s="1422" t="s">
        <v>8505</v>
      </c>
      <c r="T10" s="1422" t="s">
        <v>4891</v>
      </c>
      <c r="U10" s="1422" t="s">
        <v>8506</v>
      </c>
      <c r="V10" s="1402">
        <v>59.45</v>
      </c>
      <c r="W10" s="1422" t="s">
        <v>8507</v>
      </c>
      <c r="X10" s="1422" t="s">
        <v>8508</v>
      </c>
      <c r="Y10" s="1422" t="s">
        <v>4967</v>
      </c>
      <c r="Z10" s="1402" t="s">
        <v>4024</v>
      </c>
      <c r="AA10" s="1402" t="s">
        <v>8509</v>
      </c>
      <c r="AB10" s="1402" t="s">
        <v>4531</v>
      </c>
      <c r="AC10" s="1422" t="s">
        <v>4783</v>
      </c>
      <c r="AD10" s="1422" t="s">
        <v>8510</v>
      </c>
      <c r="AE10" s="1402">
        <v>47.89</v>
      </c>
      <c r="AF10" s="1402" t="s">
        <v>8511</v>
      </c>
      <c r="AG10" s="1399" t="s">
        <v>8322</v>
      </c>
      <c r="AH10" s="1402">
        <v>57.71</v>
      </c>
      <c r="AI10" s="1422" t="s">
        <v>8512</v>
      </c>
      <c r="AJ10" s="1402" t="s">
        <v>8469</v>
      </c>
      <c r="AK10" s="1422" t="s">
        <v>6379</v>
      </c>
      <c r="AL10" s="1402">
        <v>56.69</v>
      </c>
      <c r="AM10" s="1422" t="s">
        <v>8513</v>
      </c>
      <c r="AN10" s="1422" t="s">
        <v>3981</v>
      </c>
      <c r="AO10" s="1422" t="s">
        <v>2755</v>
      </c>
      <c r="AP10" s="1402" t="s">
        <v>8514</v>
      </c>
      <c r="AQ10" s="1423" t="s">
        <v>8328</v>
      </c>
      <c r="AR10" s="1422" t="s">
        <v>8515</v>
      </c>
      <c r="AS10" s="1402">
        <v>43.65</v>
      </c>
      <c r="AT10" s="1422" t="s">
        <v>8516</v>
      </c>
      <c r="AU10" s="1400" t="s">
        <v>8517</v>
      </c>
      <c r="AV10" s="1388" t="str">
        <f t="shared" si="1"/>
        <v>1:34</v>
      </c>
      <c r="AW10" s="1424" t="s">
        <v>8518</v>
      </c>
    </row>
    <row r="11">
      <c r="A11" s="1425" t="s">
        <v>910</v>
      </c>
      <c r="B11" s="1426" t="s">
        <v>8304</v>
      </c>
      <c r="C11" s="1380">
        <v>0.049652777777777775</v>
      </c>
      <c r="D11" s="1397" t="s">
        <v>8519</v>
      </c>
      <c r="E11" s="1397" t="s">
        <v>8520</v>
      </c>
      <c r="F11" s="1397" t="s">
        <v>8521</v>
      </c>
      <c r="G11" s="1398" t="s">
        <v>8522</v>
      </c>
      <c r="H11" s="1397" t="s">
        <v>6787</v>
      </c>
      <c r="I11" s="1397" t="s">
        <v>8236</v>
      </c>
      <c r="J11" s="1395" t="s">
        <v>8523</v>
      </c>
      <c r="K11" s="1397" t="s">
        <v>8524</v>
      </c>
      <c r="L11" s="1397" t="s">
        <v>3389</v>
      </c>
      <c r="M11" s="1397" t="s">
        <v>8525</v>
      </c>
      <c r="N11" s="1397" t="s">
        <v>8526</v>
      </c>
      <c r="O11" s="1397" t="s">
        <v>8317</v>
      </c>
      <c r="P11" s="1397" t="s">
        <v>5909</v>
      </c>
      <c r="Q11" s="1397" t="s">
        <v>4886</v>
      </c>
      <c r="R11" s="1397" t="s">
        <v>8527</v>
      </c>
      <c r="S11" s="1381" t="s">
        <v>2717</v>
      </c>
      <c r="T11" s="1397" t="s">
        <v>8528</v>
      </c>
      <c r="U11" s="1397" t="s">
        <v>8529</v>
      </c>
      <c r="V11" s="1397" t="s">
        <v>5313</v>
      </c>
      <c r="W11" s="1397" t="s">
        <v>1990</v>
      </c>
      <c r="X11" s="1390" t="s">
        <v>8530</v>
      </c>
      <c r="Y11" s="1397" t="s">
        <v>8531</v>
      </c>
      <c r="Z11" s="1409" t="s">
        <v>8319</v>
      </c>
      <c r="AA11" s="1390" t="s">
        <v>8532</v>
      </c>
      <c r="AB11" s="1397" t="s">
        <v>8533</v>
      </c>
      <c r="AC11" s="1397" t="s">
        <v>4884</v>
      </c>
      <c r="AD11" s="1397" t="s">
        <v>5581</v>
      </c>
      <c r="AE11" s="1398">
        <v>47.81</v>
      </c>
      <c r="AF11" s="1397" t="s">
        <v>8534</v>
      </c>
      <c r="AG11" s="1397" t="s">
        <v>8535</v>
      </c>
      <c r="AH11" s="1397" t="s">
        <v>746</v>
      </c>
      <c r="AI11" s="1397" t="s">
        <v>863</v>
      </c>
      <c r="AJ11" s="1397" t="s">
        <v>8536</v>
      </c>
      <c r="AK11" s="1397" t="s">
        <v>8537</v>
      </c>
      <c r="AL11" s="1397" t="s">
        <v>8538</v>
      </c>
      <c r="AM11" s="1397" t="s">
        <v>4429</v>
      </c>
      <c r="AN11" s="1409" t="s">
        <v>8326</v>
      </c>
      <c r="AO11" s="1409" t="s">
        <v>6170</v>
      </c>
      <c r="AP11" s="1397" t="s">
        <v>8539</v>
      </c>
      <c r="AQ11" s="1397" t="s">
        <v>3541</v>
      </c>
      <c r="AR11" s="1409" t="s">
        <v>413</v>
      </c>
      <c r="AS11" s="1397" t="s">
        <v>4365</v>
      </c>
      <c r="AT11" s="1397" t="s">
        <v>3376</v>
      </c>
      <c r="AU11" s="1419" t="s">
        <v>8540</v>
      </c>
      <c r="AV11" s="1388" t="str">
        <f t="shared" si="1"/>
        <v>2:27</v>
      </c>
      <c r="AW11" s="1427" t="s">
        <v>8412</v>
      </c>
    </row>
    <row r="12" ht="15.75" customHeight="1">
      <c r="A12" s="1428" t="s">
        <v>6701</v>
      </c>
      <c r="B12" s="1379" t="s">
        <v>8304</v>
      </c>
      <c r="C12" s="1380">
        <v>0.04967592592592593</v>
      </c>
      <c r="D12" s="1299" t="s">
        <v>8541</v>
      </c>
      <c r="E12" s="1387" t="s">
        <v>883</v>
      </c>
      <c r="F12" s="1387" t="s">
        <v>8542</v>
      </c>
      <c r="G12" s="1387" t="s">
        <v>8543</v>
      </c>
      <c r="H12" s="1299" t="s">
        <v>8544</v>
      </c>
      <c r="I12" s="1387" t="s">
        <v>8545</v>
      </c>
      <c r="J12" s="1387" t="s">
        <v>8546</v>
      </c>
      <c r="K12" s="1387" t="s">
        <v>8547</v>
      </c>
      <c r="L12" s="1387" t="s">
        <v>4298</v>
      </c>
      <c r="M12" s="1387" t="s">
        <v>8093</v>
      </c>
      <c r="N12" s="1387" t="s">
        <v>2174</v>
      </c>
      <c r="O12" s="1387" t="s">
        <v>8548</v>
      </c>
      <c r="P12" s="1387" t="s">
        <v>8545</v>
      </c>
      <c r="Q12" s="1387" t="s">
        <v>8549</v>
      </c>
      <c r="R12" s="1387" t="s">
        <v>1226</v>
      </c>
      <c r="S12" s="1429" t="s">
        <v>8550</v>
      </c>
      <c r="T12" s="1387" t="s">
        <v>4848</v>
      </c>
      <c r="U12" s="1387" t="s">
        <v>8551</v>
      </c>
      <c r="V12" s="1387" t="s">
        <v>8400</v>
      </c>
      <c r="W12" s="1387" t="s">
        <v>8552</v>
      </c>
      <c r="X12" s="1387" t="s">
        <v>960</v>
      </c>
      <c r="Y12" s="1387" t="s">
        <v>4208</v>
      </c>
      <c r="Z12" s="1387" t="s">
        <v>8553</v>
      </c>
      <c r="AA12" s="1387" t="s">
        <v>8554</v>
      </c>
      <c r="AB12" s="1387" t="s">
        <v>1972</v>
      </c>
      <c r="AC12" s="1387" t="s">
        <v>757</v>
      </c>
      <c r="AD12" s="1387" t="s">
        <v>8555</v>
      </c>
      <c r="AE12" s="1387" t="s">
        <v>6224</v>
      </c>
      <c r="AF12" s="1381" t="s">
        <v>8556</v>
      </c>
      <c r="AG12" s="1387" t="s">
        <v>8557</v>
      </c>
      <c r="AH12" s="1387" t="s">
        <v>4663</v>
      </c>
      <c r="AI12" s="1387" t="s">
        <v>2886</v>
      </c>
      <c r="AJ12" s="1387" t="s">
        <v>8558</v>
      </c>
      <c r="AK12" s="1387" t="s">
        <v>4031</v>
      </c>
      <c r="AL12" s="1387" t="s">
        <v>8559</v>
      </c>
      <c r="AM12" s="1387" t="s">
        <v>8560</v>
      </c>
      <c r="AN12" s="1299" t="s">
        <v>8418</v>
      </c>
      <c r="AO12" s="1387" t="s">
        <v>8561</v>
      </c>
      <c r="AP12" s="1387" t="s">
        <v>8562</v>
      </c>
      <c r="AQ12" s="1381" t="s">
        <v>8563</v>
      </c>
      <c r="AR12" s="1387" t="s">
        <v>8564</v>
      </c>
      <c r="AS12" s="1387" t="s">
        <v>7544</v>
      </c>
      <c r="AT12" s="1387" t="s">
        <v>8565</v>
      </c>
      <c r="AU12" s="1387" t="s">
        <v>8566</v>
      </c>
      <c r="AV12" s="1388" t="str">
        <f t="shared" si="1"/>
        <v>2:47</v>
      </c>
      <c r="AW12" s="1392" t="s">
        <v>8567</v>
      </c>
    </row>
    <row r="13" ht="15.75" customHeight="1">
      <c r="A13" s="1430" t="s">
        <v>2631</v>
      </c>
      <c r="B13" s="1379" t="s">
        <v>8304</v>
      </c>
      <c r="C13" s="1431">
        <v>0.04971064814814815</v>
      </c>
      <c r="D13" s="1389" t="s">
        <v>8568</v>
      </c>
      <c r="E13" s="1432" t="s">
        <v>507</v>
      </c>
      <c r="F13" s="1432" t="s">
        <v>8569</v>
      </c>
      <c r="G13" s="1432" t="s">
        <v>8570</v>
      </c>
      <c r="H13" s="1381" t="s">
        <v>8571</v>
      </c>
      <c r="I13" s="1433" t="s">
        <v>5597</v>
      </c>
      <c r="J13" s="1434" t="s">
        <v>8572</v>
      </c>
      <c r="K13" s="1434" t="s">
        <v>4156</v>
      </c>
      <c r="L13" s="1434" t="s">
        <v>4593</v>
      </c>
      <c r="M13" s="1434" t="s">
        <v>8525</v>
      </c>
      <c r="N13" s="1434" t="s">
        <v>2614</v>
      </c>
      <c r="O13" s="1434" t="s">
        <v>8573</v>
      </c>
      <c r="P13" s="1434" t="s">
        <v>8574</v>
      </c>
      <c r="Q13" s="1381" t="s">
        <v>8575</v>
      </c>
      <c r="R13" s="1435" t="s">
        <v>8576</v>
      </c>
      <c r="S13" s="1381" t="s">
        <v>1964</v>
      </c>
      <c r="T13" s="1435" t="s">
        <v>8577</v>
      </c>
      <c r="U13" s="1381" t="s">
        <v>6434</v>
      </c>
      <c r="V13" s="1435" t="s">
        <v>7777</v>
      </c>
      <c r="W13" s="1436" t="s">
        <v>8578</v>
      </c>
      <c r="X13" s="1436" t="s">
        <v>3873</v>
      </c>
      <c r="Y13" s="1436" t="s">
        <v>7557</v>
      </c>
      <c r="Z13" s="1436" t="s">
        <v>8579</v>
      </c>
      <c r="AA13" s="1436" t="s">
        <v>8425</v>
      </c>
      <c r="AB13" s="1436" t="s">
        <v>4338</v>
      </c>
      <c r="AC13" s="1436" t="s">
        <v>1079</v>
      </c>
      <c r="AD13" s="1432" t="s">
        <v>8580</v>
      </c>
      <c r="AE13" s="1432" t="s">
        <v>5238</v>
      </c>
      <c r="AF13" s="1437" t="s">
        <v>8581</v>
      </c>
      <c r="AG13" s="1437" t="s">
        <v>6955</v>
      </c>
      <c r="AH13" s="1437" t="s">
        <v>5248</v>
      </c>
      <c r="AI13" s="1437" t="s">
        <v>8582</v>
      </c>
      <c r="AJ13" s="1437" t="s">
        <v>8583</v>
      </c>
      <c r="AK13" s="1437" t="s">
        <v>8584</v>
      </c>
      <c r="AL13" s="1437" t="s">
        <v>4094</v>
      </c>
      <c r="AM13" s="1438" t="s">
        <v>8585</v>
      </c>
      <c r="AN13" s="1439" t="s">
        <v>4593</v>
      </c>
      <c r="AO13" s="1439" t="s">
        <v>8586</v>
      </c>
      <c r="AP13" s="1438" t="s">
        <v>8587</v>
      </c>
      <c r="AQ13" s="1438" t="s">
        <v>8588</v>
      </c>
      <c r="AR13" s="1439" t="s">
        <v>8589</v>
      </c>
      <c r="AS13" s="1438" t="s">
        <v>271</v>
      </c>
      <c r="AT13" s="1400" t="s">
        <v>8590</v>
      </c>
      <c r="AU13" s="1419" t="s">
        <v>8591</v>
      </c>
      <c r="AV13" s="1388" t="str">
        <f t="shared" si="1"/>
        <v>2:35</v>
      </c>
      <c r="AW13" s="1440" t="s">
        <v>8592</v>
      </c>
    </row>
    <row r="14" ht="15.75" customHeight="1">
      <c r="A14" s="1378" t="s">
        <v>6035</v>
      </c>
      <c r="B14" s="1441" t="s">
        <v>8304</v>
      </c>
      <c r="C14" s="1380">
        <v>0.04982638888888889</v>
      </c>
      <c r="D14" s="1389" t="s">
        <v>8593</v>
      </c>
      <c r="E14" s="1389" t="s">
        <v>4687</v>
      </c>
      <c r="F14" s="1389" t="s">
        <v>8594</v>
      </c>
      <c r="G14" s="1389" t="s">
        <v>8595</v>
      </c>
      <c r="H14" s="1389" t="s">
        <v>8596</v>
      </c>
      <c r="I14" s="1389" t="s">
        <v>5611</v>
      </c>
      <c r="J14" s="1389" t="s">
        <v>8597</v>
      </c>
      <c r="K14" s="1299" t="s">
        <v>8598</v>
      </c>
      <c r="L14" s="1389" t="s">
        <v>8599</v>
      </c>
      <c r="M14" s="1389" t="s">
        <v>8600</v>
      </c>
      <c r="N14" s="1389" t="s">
        <v>2019</v>
      </c>
      <c r="O14" s="1389" t="s">
        <v>8601</v>
      </c>
      <c r="P14" s="1299" t="s">
        <v>4410</v>
      </c>
      <c r="Q14" s="1389" t="s">
        <v>8602</v>
      </c>
      <c r="R14" s="1389" t="s">
        <v>2001</v>
      </c>
      <c r="S14" s="1389" t="s">
        <v>3135</v>
      </c>
      <c r="T14" s="1389" t="s">
        <v>8603</v>
      </c>
      <c r="U14" s="1389" t="s">
        <v>8604</v>
      </c>
      <c r="V14" s="1389" t="s">
        <v>7229</v>
      </c>
      <c r="W14" s="1389" t="s">
        <v>5393</v>
      </c>
      <c r="X14" s="1389" t="s">
        <v>8322</v>
      </c>
      <c r="Y14" s="1389" t="s">
        <v>8417</v>
      </c>
      <c r="Z14" s="1389" t="s">
        <v>7338</v>
      </c>
      <c r="AA14" s="1442" t="s">
        <v>8605</v>
      </c>
      <c r="AB14" s="1389" t="s">
        <v>5689</v>
      </c>
      <c r="AC14" s="1389" t="s">
        <v>1030</v>
      </c>
      <c r="AD14" s="1389" t="s">
        <v>6595</v>
      </c>
      <c r="AE14" s="1389" t="s">
        <v>4817</v>
      </c>
      <c r="AF14" s="1389" t="s">
        <v>8606</v>
      </c>
      <c r="AG14" s="1389" t="s">
        <v>1527</v>
      </c>
      <c r="AH14" s="1299" t="s">
        <v>8607</v>
      </c>
      <c r="AI14" s="1389" t="s">
        <v>7970</v>
      </c>
      <c r="AJ14" s="1389" t="s">
        <v>8608</v>
      </c>
      <c r="AK14" s="1389" t="s">
        <v>8609</v>
      </c>
      <c r="AL14" s="1389" t="s">
        <v>4330</v>
      </c>
      <c r="AM14" s="1389" t="s">
        <v>6445</v>
      </c>
      <c r="AN14" s="1389" t="s">
        <v>8610</v>
      </c>
      <c r="AO14" s="1389" t="s">
        <v>8451</v>
      </c>
      <c r="AP14" s="1443" t="s">
        <v>8327</v>
      </c>
      <c r="AQ14" s="1389" t="s">
        <v>8611</v>
      </c>
      <c r="AR14" s="1389" t="s">
        <v>8612</v>
      </c>
      <c r="AS14" s="1389" t="s">
        <v>8613</v>
      </c>
      <c r="AT14" s="1389" t="s">
        <v>8614</v>
      </c>
      <c r="AU14" s="1444" t="s">
        <v>8615</v>
      </c>
      <c r="AV14" s="1388" t="str">
        <f t="shared" si="1"/>
        <v>2:18</v>
      </c>
      <c r="AW14" s="1445" t="s">
        <v>8616</v>
      </c>
    </row>
    <row r="15" ht="15.75" customHeight="1">
      <c r="A15" s="1378" t="s">
        <v>2007</v>
      </c>
      <c r="B15" s="1379" t="s">
        <v>8304</v>
      </c>
      <c r="C15" s="1380">
        <v>0.049895833333333334</v>
      </c>
      <c r="D15" s="1299" t="s">
        <v>8617</v>
      </c>
      <c r="E15" s="1446" t="s">
        <v>883</v>
      </c>
      <c r="F15" s="1432" t="s">
        <v>8618</v>
      </c>
      <c r="G15" s="1446" t="s">
        <v>8619</v>
      </c>
      <c r="H15" s="1433" t="s">
        <v>8620</v>
      </c>
      <c r="I15" s="1433" t="s">
        <v>5477</v>
      </c>
      <c r="J15" s="1434" t="s">
        <v>8621</v>
      </c>
      <c r="K15" s="1447" t="s">
        <v>8622</v>
      </c>
      <c r="L15" s="1434" t="s">
        <v>8623</v>
      </c>
      <c r="M15" s="1434" t="s">
        <v>4979</v>
      </c>
      <c r="N15" s="1434" t="s">
        <v>8624</v>
      </c>
      <c r="O15" s="1447" t="s">
        <v>8625</v>
      </c>
      <c r="P15" s="1434" t="s">
        <v>8626</v>
      </c>
      <c r="Q15" s="1435" t="s">
        <v>3193</v>
      </c>
      <c r="R15" s="1448" t="s">
        <v>8627</v>
      </c>
      <c r="S15" s="1448" t="s">
        <v>8628</v>
      </c>
      <c r="T15" s="1448" t="s">
        <v>8629</v>
      </c>
      <c r="U15" s="1448" t="s">
        <v>8630</v>
      </c>
      <c r="V15" s="1435" t="s">
        <v>4391</v>
      </c>
      <c r="W15" s="1436" t="s">
        <v>8631</v>
      </c>
      <c r="X15" s="1449" t="s">
        <v>8632</v>
      </c>
      <c r="Y15" s="1436" t="s">
        <v>8633</v>
      </c>
      <c r="Z15" s="1436" t="s">
        <v>8634</v>
      </c>
      <c r="AA15" s="1436" t="s">
        <v>8635</v>
      </c>
      <c r="AB15" s="1449" t="s">
        <v>6923</v>
      </c>
      <c r="AC15" s="1449" t="s">
        <v>1219</v>
      </c>
      <c r="AD15" s="1446" t="s">
        <v>8636</v>
      </c>
      <c r="AE15" s="1446" t="s">
        <v>8637</v>
      </c>
      <c r="AF15" s="1450" t="s">
        <v>8638</v>
      </c>
      <c r="AG15" s="1437" t="s">
        <v>8639</v>
      </c>
      <c r="AH15" s="1437" t="s">
        <v>8640</v>
      </c>
      <c r="AI15" s="1437" t="s">
        <v>8535</v>
      </c>
      <c r="AJ15" s="1450" t="s">
        <v>8641</v>
      </c>
      <c r="AK15" s="1450" t="s">
        <v>890</v>
      </c>
      <c r="AL15" s="1437" t="s">
        <v>8642</v>
      </c>
      <c r="AM15" s="1439" t="s">
        <v>8643</v>
      </c>
      <c r="AN15" s="1438" t="s">
        <v>3028</v>
      </c>
      <c r="AO15" s="1439" t="s">
        <v>8644</v>
      </c>
      <c r="AP15" s="1438" t="s">
        <v>5548</v>
      </c>
      <c r="AQ15" s="1439" t="s">
        <v>8645</v>
      </c>
      <c r="AR15" s="1438" t="s">
        <v>1093</v>
      </c>
      <c r="AS15" s="1438" t="s">
        <v>3928</v>
      </c>
      <c r="AT15" s="1447" t="s">
        <v>6188</v>
      </c>
      <c r="AU15" s="1451" t="s">
        <v>8646</v>
      </c>
      <c r="AV15" s="1388" t="str">
        <f t="shared" si="1"/>
        <v>2:22</v>
      </c>
      <c r="AW15" s="1420" t="s">
        <v>8647</v>
      </c>
    </row>
    <row r="16">
      <c r="A16" s="1428" t="s">
        <v>2091</v>
      </c>
      <c r="B16" s="1426" t="s">
        <v>8304</v>
      </c>
      <c r="C16" s="1452">
        <v>0.049930555555555554</v>
      </c>
      <c r="D16" s="1453" t="s">
        <v>8648</v>
      </c>
      <c r="E16" s="1422" t="s">
        <v>8311</v>
      </c>
      <c r="F16" s="1422" t="s">
        <v>4222</v>
      </c>
      <c r="G16" s="1422" t="s">
        <v>8649</v>
      </c>
      <c r="H16" s="1422" t="s">
        <v>8650</v>
      </c>
      <c r="I16" s="1422" t="s">
        <v>5578</v>
      </c>
      <c r="J16" s="1422" t="s">
        <v>6108</v>
      </c>
      <c r="K16" s="1422" t="s">
        <v>8651</v>
      </c>
      <c r="L16" s="1422" t="s">
        <v>4094</v>
      </c>
      <c r="M16" s="1422" t="s">
        <v>8652</v>
      </c>
      <c r="N16" s="1422" t="s">
        <v>8653</v>
      </c>
      <c r="O16" s="1422" t="s">
        <v>797</v>
      </c>
      <c r="P16" s="1402">
        <v>47.54</v>
      </c>
      <c r="Q16" s="1454" t="s">
        <v>8654</v>
      </c>
      <c r="R16" s="1402" t="s">
        <v>8655</v>
      </c>
      <c r="S16" s="1454" t="s">
        <v>8550</v>
      </c>
      <c r="T16" s="1402" t="s">
        <v>8656</v>
      </c>
      <c r="U16" s="1454" t="s">
        <v>8657</v>
      </c>
      <c r="V16" s="1455">
        <v>58.55</v>
      </c>
      <c r="W16" s="1454" t="s">
        <v>8658</v>
      </c>
      <c r="X16" s="1454" t="s">
        <v>8659</v>
      </c>
      <c r="Y16" s="1456" t="s">
        <v>8444</v>
      </c>
      <c r="Z16" s="1454" t="s">
        <v>8346</v>
      </c>
      <c r="AA16" s="1422" t="s">
        <v>8660</v>
      </c>
      <c r="AB16" s="1454" t="s">
        <v>8661</v>
      </c>
      <c r="AC16" s="1388">
        <v>47.2</v>
      </c>
      <c r="AD16" s="1454" t="s">
        <v>8662</v>
      </c>
      <c r="AE16" s="1402">
        <v>47.88</v>
      </c>
      <c r="AF16" s="1454" t="s">
        <v>8663</v>
      </c>
      <c r="AG16" s="1454" t="s">
        <v>8664</v>
      </c>
      <c r="AH16" s="1454">
        <v>57.68</v>
      </c>
      <c r="AI16" s="1454" t="s">
        <v>2742</v>
      </c>
      <c r="AJ16" s="1402" t="s">
        <v>8665</v>
      </c>
      <c r="AK16" s="1457" t="s">
        <v>8666</v>
      </c>
      <c r="AL16" s="1454">
        <v>55.92</v>
      </c>
      <c r="AM16" s="1454" t="s">
        <v>2784</v>
      </c>
      <c r="AN16" s="1381" t="s">
        <v>5601</v>
      </c>
      <c r="AO16" s="1454" t="s">
        <v>7325</v>
      </c>
      <c r="AP16" s="1454" t="s">
        <v>8667</v>
      </c>
      <c r="AQ16" s="1454" t="s">
        <v>6562</v>
      </c>
      <c r="AR16" s="1454" t="s">
        <v>8668</v>
      </c>
      <c r="AS16" s="1458">
        <v>42.83</v>
      </c>
      <c r="AT16" s="1402" t="s">
        <v>7773</v>
      </c>
      <c r="AU16" s="1419" t="s">
        <v>8669</v>
      </c>
      <c r="AV16" s="1388" t="str">
        <f t="shared" si="1"/>
        <v>4:29</v>
      </c>
      <c r="AW16" s="1427" t="s">
        <v>8670</v>
      </c>
    </row>
    <row r="17" ht="15.75" customHeight="1">
      <c r="A17" s="1428" t="s">
        <v>2246</v>
      </c>
      <c r="B17" s="1379" t="s">
        <v>8304</v>
      </c>
      <c r="C17" s="1380">
        <v>0.0499537037037037</v>
      </c>
      <c r="D17" s="1387" t="s">
        <v>8671</v>
      </c>
      <c r="E17" s="1387" t="s">
        <v>2691</v>
      </c>
      <c r="F17" s="1387" t="s">
        <v>8672</v>
      </c>
      <c r="G17" s="1384" t="s">
        <v>8673</v>
      </c>
      <c r="H17" s="1387" t="s">
        <v>8674</v>
      </c>
      <c r="I17" s="1459" t="s">
        <v>8637</v>
      </c>
      <c r="J17" s="1387" t="s">
        <v>100</v>
      </c>
      <c r="K17" s="1387" t="s">
        <v>5094</v>
      </c>
      <c r="L17" s="1387" t="s">
        <v>8675</v>
      </c>
      <c r="M17" s="1387" t="s">
        <v>8676</v>
      </c>
      <c r="N17" s="1387" t="s">
        <v>8677</v>
      </c>
      <c r="O17" s="1387" t="s">
        <v>8678</v>
      </c>
      <c r="P17" s="1387" t="s">
        <v>8679</v>
      </c>
      <c r="Q17" s="1387" t="s">
        <v>4558</v>
      </c>
      <c r="R17" s="1435" t="s">
        <v>8680</v>
      </c>
      <c r="S17" s="1387" t="s">
        <v>3838</v>
      </c>
      <c r="T17" s="1387" t="s">
        <v>8530</v>
      </c>
      <c r="U17" s="1387" t="s">
        <v>8681</v>
      </c>
      <c r="V17" s="1387" t="s">
        <v>8682</v>
      </c>
      <c r="W17" s="1387" t="s">
        <v>8683</v>
      </c>
      <c r="X17" s="1387" t="s">
        <v>6924</v>
      </c>
      <c r="Y17" s="1387" t="s">
        <v>4163</v>
      </c>
      <c r="Z17" s="1387" t="s">
        <v>8684</v>
      </c>
      <c r="AA17" s="1387" t="s">
        <v>6924</v>
      </c>
      <c r="AB17" s="1387" t="s">
        <v>8526</v>
      </c>
      <c r="AC17" s="1387" t="s">
        <v>5511</v>
      </c>
      <c r="AD17" s="1387" t="s">
        <v>6978</v>
      </c>
      <c r="AE17" s="1387" t="s">
        <v>8685</v>
      </c>
      <c r="AF17" s="1387" t="s">
        <v>8686</v>
      </c>
      <c r="AG17" s="1387" t="s">
        <v>4984</v>
      </c>
      <c r="AH17" s="1387" t="s">
        <v>5132</v>
      </c>
      <c r="AI17" s="1387" t="s">
        <v>8687</v>
      </c>
      <c r="AJ17" s="1385" t="s">
        <v>8324</v>
      </c>
      <c r="AK17" s="1387" t="s">
        <v>2513</v>
      </c>
      <c r="AL17" s="1387" t="s">
        <v>8688</v>
      </c>
      <c r="AM17" s="1387" t="s">
        <v>8689</v>
      </c>
      <c r="AN17" s="1387" t="s">
        <v>552</v>
      </c>
      <c r="AO17" s="1387" t="s">
        <v>8690</v>
      </c>
      <c r="AP17" s="1387" t="s">
        <v>8691</v>
      </c>
      <c r="AQ17" s="1387" t="s">
        <v>4673</v>
      </c>
      <c r="AR17" s="1387" t="s">
        <v>7086</v>
      </c>
      <c r="AS17" s="1387" t="s">
        <v>8692</v>
      </c>
      <c r="AT17" s="1387" t="s">
        <v>2988</v>
      </c>
      <c r="AU17" s="1387" t="s">
        <v>8693</v>
      </c>
      <c r="AV17" s="1388" t="str">
        <f t="shared" si="1"/>
        <v>3:21</v>
      </c>
      <c r="AW17" s="1445" t="s">
        <v>8694</v>
      </c>
    </row>
    <row r="18" ht="15.75" customHeight="1">
      <c r="A18" s="1378" t="s">
        <v>8695</v>
      </c>
      <c r="B18" s="1379" t="s">
        <v>8304</v>
      </c>
      <c r="C18" s="1380">
        <v>0.049965277777777775</v>
      </c>
      <c r="D18" s="1299" t="s">
        <v>8696</v>
      </c>
      <c r="E18" s="1387" t="s">
        <v>4189</v>
      </c>
      <c r="F18" s="1387" t="s">
        <v>8697</v>
      </c>
      <c r="G18" s="1387" t="s">
        <v>8698</v>
      </c>
      <c r="H18" s="1388" t="s">
        <v>2271</v>
      </c>
      <c r="I18" s="1387" t="s">
        <v>1383</v>
      </c>
      <c r="J18" s="1387" t="s">
        <v>378</v>
      </c>
      <c r="K18" s="1387" t="s">
        <v>8699</v>
      </c>
      <c r="L18" s="1387" t="s">
        <v>5322</v>
      </c>
      <c r="M18" s="1387" t="s">
        <v>6220</v>
      </c>
      <c r="N18" s="1387" t="s">
        <v>8700</v>
      </c>
      <c r="O18" s="1387" t="s">
        <v>2559</v>
      </c>
      <c r="P18" s="1388" t="s">
        <v>5351</v>
      </c>
      <c r="Q18" s="1387" t="s">
        <v>8701</v>
      </c>
      <c r="R18" s="1387" t="s">
        <v>4348</v>
      </c>
      <c r="S18" s="1387" t="s">
        <v>6838</v>
      </c>
      <c r="T18" s="1387" t="s">
        <v>8061</v>
      </c>
      <c r="U18" s="1387" t="s">
        <v>8702</v>
      </c>
      <c r="V18" s="1387" t="s">
        <v>4903</v>
      </c>
      <c r="W18" s="1387" t="s">
        <v>8703</v>
      </c>
      <c r="X18" s="1388" t="s">
        <v>6454</v>
      </c>
      <c r="Y18" s="1388" t="s">
        <v>5436</v>
      </c>
      <c r="Z18" s="1387" t="s">
        <v>8704</v>
      </c>
      <c r="AA18" s="1387" t="s">
        <v>2316</v>
      </c>
      <c r="AB18" s="1387" t="s">
        <v>8705</v>
      </c>
      <c r="AC18" s="1387" t="s">
        <v>784</v>
      </c>
      <c r="AD18" s="1387" t="s">
        <v>5362</v>
      </c>
      <c r="AE18" s="1387" t="s">
        <v>8706</v>
      </c>
      <c r="AF18" s="1387" t="s">
        <v>871</v>
      </c>
      <c r="AG18" s="1387" t="s">
        <v>8707</v>
      </c>
      <c r="AH18" s="1387" t="s">
        <v>8708</v>
      </c>
      <c r="AI18" s="1387" t="s">
        <v>688</v>
      </c>
      <c r="AJ18" s="1388" t="s">
        <v>8709</v>
      </c>
      <c r="AK18" s="1437" t="s">
        <v>6743</v>
      </c>
      <c r="AL18" s="1387" t="s">
        <v>4550</v>
      </c>
      <c r="AM18" s="1387" t="s">
        <v>3289</v>
      </c>
      <c r="AN18" s="1388" t="s">
        <v>5971</v>
      </c>
      <c r="AO18" s="1388" t="s">
        <v>7086</v>
      </c>
      <c r="AP18" s="1388" t="s">
        <v>8710</v>
      </c>
      <c r="AQ18" s="1388" t="s">
        <v>8428</v>
      </c>
      <c r="AR18" s="1388" t="s">
        <v>487</v>
      </c>
      <c r="AS18" s="1388" t="s">
        <v>5588</v>
      </c>
      <c r="AT18" s="1388" t="s">
        <v>8606</v>
      </c>
      <c r="AU18" s="1387" t="s">
        <v>8711</v>
      </c>
      <c r="AV18" s="1388" t="str">
        <f t="shared" si="1"/>
        <v>3:46</v>
      </c>
      <c r="AW18" s="1460" t="s">
        <v>7853</v>
      </c>
    </row>
    <row r="19">
      <c r="A19" s="1428" t="s">
        <v>2026</v>
      </c>
      <c r="B19" s="1421" t="s">
        <v>8304</v>
      </c>
      <c r="C19" s="1461">
        <v>0.049965277777777775</v>
      </c>
      <c r="D19" s="1422" t="s">
        <v>8712</v>
      </c>
      <c r="E19" s="1422" t="s">
        <v>8419</v>
      </c>
      <c r="F19" s="1422" t="s">
        <v>8498</v>
      </c>
      <c r="G19" s="1422" t="s">
        <v>8713</v>
      </c>
      <c r="H19" s="1422" t="s">
        <v>8714</v>
      </c>
      <c r="I19" s="1422" t="s">
        <v>3613</v>
      </c>
      <c r="J19" s="1422" t="s">
        <v>8715</v>
      </c>
      <c r="K19" s="1462" t="s">
        <v>4046</v>
      </c>
      <c r="L19" s="1422" t="s">
        <v>8688</v>
      </c>
      <c r="M19" s="1422" t="s">
        <v>1053</v>
      </c>
      <c r="N19" s="1422" t="s">
        <v>8716</v>
      </c>
      <c r="O19" s="1422" t="s">
        <v>8717</v>
      </c>
      <c r="P19" s="1422" t="s">
        <v>6212</v>
      </c>
      <c r="Q19" s="1422" t="s">
        <v>8718</v>
      </c>
      <c r="R19" s="1422" t="s">
        <v>6448</v>
      </c>
      <c r="S19" s="1422" t="s">
        <v>8719</v>
      </c>
      <c r="T19" s="1422" t="s">
        <v>5726</v>
      </c>
      <c r="U19" s="1422" t="s">
        <v>8720</v>
      </c>
      <c r="V19" s="1422" t="s">
        <v>8721</v>
      </c>
      <c r="W19" s="1422" t="s">
        <v>5379</v>
      </c>
      <c r="X19" s="1422" t="s">
        <v>8722</v>
      </c>
      <c r="Y19" s="1422" t="s">
        <v>4608</v>
      </c>
      <c r="Z19" s="1422" t="s">
        <v>8723</v>
      </c>
      <c r="AA19" s="1422" t="s">
        <v>8724</v>
      </c>
      <c r="AB19" s="1422" t="s">
        <v>8661</v>
      </c>
      <c r="AC19" s="1422" t="s">
        <v>593</v>
      </c>
      <c r="AD19" s="1422" t="s">
        <v>8725</v>
      </c>
      <c r="AE19" s="1422" t="s">
        <v>5475</v>
      </c>
      <c r="AF19" s="1422" t="s">
        <v>8726</v>
      </c>
      <c r="AG19" s="1422" t="s">
        <v>1330</v>
      </c>
      <c r="AH19" s="1422" t="s">
        <v>8004</v>
      </c>
      <c r="AI19" s="1422" t="s">
        <v>8727</v>
      </c>
      <c r="AJ19" s="1422" t="s">
        <v>8728</v>
      </c>
      <c r="AK19" s="1422" t="s">
        <v>8729</v>
      </c>
      <c r="AL19" s="1422" t="s">
        <v>342</v>
      </c>
      <c r="AM19" s="1422" t="s">
        <v>8730</v>
      </c>
      <c r="AN19" s="1422" t="s">
        <v>232</v>
      </c>
      <c r="AO19" s="1422" t="s">
        <v>8731</v>
      </c>
      <c r="AP19" s="1422" t="s">
        <v>8732</v>
      </c>
      <c r="AQ19" s="1406" t="s">
        <v>6835</v>
      </c>
      <c r="AR19" s="1422" t="s">
        <v>2588</v>
      </c>
      <c r="AS19" s="1422" t="s">
        <v>925</v>
      </c>
      <c r="AT19" s="1422" t="s">
        <v>8733</v>
      </c>
      <c r="AU19" s="1387" t="s">
        <v>8734</v>
      </c>
      <c r="AV19" s="1388" t="str">
        <f t="shared" si="1"/>
        <v>2:19</v>
      </c>
      <c r="AW19" s="1460"/>
    </row>
    <row r="20" ht="15.75" customHeight="1">
      <c r="A20" s="1463" t="s">
        <v>5972</v>
      </c>
      <c r="B20" s="1379" t="s">
        <v>8304</v>
      </c>
      <c r="C20" s="1380">
        <v>0.05</v>
      </c>
      <c r="D20" s="1299" t="s">
        <v>8735</v>
      </c>
      <c r="E20" s="1387" t="s">
        <v>8093</v>
      </c>
      <c r="F20" s="1387" t="s">
        <v>8672</v>
      </c>
      <c r="G20" s="1388" t="s">
        <v>8736</v>
      </c>
      <c r="H20" s="1387" t="s">
        <v>8737</v>
      </c>
      <c r="I20" s="1388" t="s">
        <v>1981</v>
      </c>
      <c r="J20" s="1387" t="s">
        <v>2855</v>
      </c>
      <c r="K20" s="1387" t="s">
        <v>8738</v>
      </c>
      <c r="L20" s="1387" t="s">
        <v>4212</v>
      </c>
      <c r="M20" s="1387" t="s">
        <v>8739</v>
      </c>
      <c r="N20" s="1387" t="s">
        <v>8740</v>
      </c>
      <c r="O20" s="1387" t="s">
        <v>8658</v>
      </c>
      <c r="P20" s="1388" t="s">
        <v>3803</v>
      </c>
      <c r="Q20" s="1387" t="s">
        <v>8741</v>
      </c>
      <c r="R20" s="1387" t="s">
        <v>1666</v>
      </c>
      <c r="S20" s="1387" t="s">
        <v>7484</v>
      </c>
      <c r="T20" s="1387" t="s">
        <v>6479</v>
      </c>
      <c r="U20" s="1387" t="s">
        <v>8742</v>
      </c>
      <c r="V20" s="1387" t="s">
        <v>8743</v>
      </c>
      <c r="W20" s="1387" t="s">
        <v>8744</v>
      </c>
      <c r="X20" s="1387" t="s">
        <v>8745</v>
      </c>
      <c r="Y20" s="1387" t="s">
        <v>8746</v>
      </c>
      <c r="Z20" s="1387" t="s">
        <v>8747</v>
      </c>
      <c r="AA20" s="1387" t="s">
        <v>8748</v>
      </c>
      <c r="AB20" s="1387" t="s">
        <v>8749</v>
      </c>
      <c r="AC20" s="1388" t="s">
        <v>4836</v>
      </c>
      <c r="AD20" s="1387" t="s">
        <v>8750</v>
      </c>
      <c r="AE20" s="1388" t="s">
        <v>5425</v>
      </c>
      <c r="AF20" s="1464" t="s">
        <v>8321</v>
      </c>
      <c r="AG20" s="1387" t="s">
        <v>603</v>
      </c>
      <c r="AH20" s="1387" t="s">
        <v>7470</v>
      </c>
      <c r="AI20" s="1387" t="s">
        <v>194</v>
      </c>
      <c r="AJ20" s="1388" t="s">
        <v>8751</v>
      </c>
      <c r="AK20" s="1387" t="s">
        <v>8752</v>
      </c>
      <c r="AL20" s="1388" t="s">
        <v>3534</v>
      </c>
      <c r="AM20" s="1387" t="s">
        <v>1913</v>
      </c>
      <c r="AN20" s="1388" t="s">
        <v>2578</v>
      </c>
      <c r="AO20" s="1387" t="s">
        <v>8753</v>
      </c>
      <c r="AP20" s="1387" t="s">
        <v>8754</v>
      </c>
      <c r="AQ20" s="1388" t="s">
        <v>8755</v>
      </c>
      <c r="AR20" s="1387" t="s">
        <v>1590</v>
      </c>
      <c r="AS20" s="1388" t="s">
        <v>8613</v>
      </c>
      <c r="AT20" s="1387" t="s">
        <v>8756</v>
      </c>
      <c r="AU20" s="1387" t="s">
        <v>8757</v>
      </c>
      <c r="AV20" s="1388" t="str">
        <f t="shared" si="1"/>
        <v>1:53</v>
      </c>
      <c r="AW20" s="1460"/>
    </row>
    <row r="21">
      <c r="A21" s="1428" t="s">
        <v>1643</v>
      </c>
      <c r="B21" s="1426" t="s">
        <v>8304</v>
      </c>
      <c r="C21" s="1380">
        <v>0.050011574074074076</v>
      </c>
      <c r="D21" s="1465" t="s">
        <v>8758</v>
      </c>
      <c r="E21" s="1466" t="s">
        <v>8759</v>
      </c>
      <c r="F21" s="1466" t="s">
        <v>8760</v>
      </c>
      <c r="G21" s="1466" t="s">
        <v>8761</v>
      </c>
      <c r="H21" s="1466" t="s">
        <v>6537</v>
      </c>
      <c r="I21" s="1466" t="s">
        <v>8762</v>
      </c>
      <c r="J21" s="1466" t="s">
        <v>8763</v>
      </c>
      <c r="K21" s="1466" t="s">
        <v>8764</v>
      </c>
      <c r="L21" s="1466" t="s">
        <v>8538</v>
      </c>
      <c r="M21" s="1466" t="s">
        <v>861</v>
      </c>
      <c r="N21" s="1466" t="s">
        <v>8765</v>
      </c>
      <c r="O21" s="1466" t="s">
        <v>8766</v>
      </c>
      <c r="P21" s="1466" t="s">
        <v>131</v>
      </c>
      <c r="Q21" s="1466" t="s">
        <v>8767</v>
      </c>
      <c r="R21" s="1466" t="s">
        <v>6477</v>
      </c>
      <c r="S21" s="1466" t="s">
        <v>3402</v>
      </c>
      <c r="T21" s="1466" t="s">
        <v>4477</v>
      </c>
      <c r="U21" s="1466" t="s">
        <v>8768</v>
      </c>
      <c r="V21" s="1466" t="s">
        <v>2267</v>
      </c>
      <c r="W21" s="1466" t="s">
        <v>8769</v>
      </c>
      <c r="X21" s="1466" t="s">
        <v>2068</v>
      </c>
      <c r="Y21" s="1467" t="s">
        <v>3703</v>
      </c>
      <c r="Z21" s="1466" t="s">
        <v>8770</v>
      </c>
      <c r="AA21" s="1466" t="s">
        <v>8425</v>
      </c>
      <c r="AB21" s="1466" t="s">
        <v>6438</v>
      </c>
      <c r="AC21" s="1466" t="s">
        <v>5632</v>
      </c>
      <c r="AD21" s="1466" t="s">
        <v>6595</v>
      </c>
      <c r="AE21" s="1467" t="s">
        <v>6041</v>
      </c>
      <c r="AF21" s="1466" t="s">
        <v>8771</v>
      </c>
      <c r="AG21" s="1466" t="s">
        <v>8772</v>
      </c>
      <c r="AH21" s="1466" t="s">
        <v>2539</v>
      </c>
      <c r="AI21" s="1466" t="s">
        <v>1324</v>
      </c>
      <c r="AJ21" s="1467" t="s">
        <v>8773</v>
      </c>
      <c r="AK21" s="1466" t="s">
        <v>8774</v>
      </c>
      <c r="AL21" s="1466" t="s">
        <v>8775</v>
      </c>
      <c r="AM21" s="1466" t="s">
        <v>8776</v>
      </c>
      <c r="AN21" s="1466" t="s">
        <v>8777</v>
      </c>
      <c r="AO21" s="1466" t="s">
        <v>8778</v>
      </c>
      <c r="AP21" s="1466" t="s">
        <v>8779</v>
      </c>
      <c r="AQ21" s="1466" t="s">
        <v>8780</v>
      </c>
      <c r="AR21" s="1467" t="s">
        <v>7085</v>
      </c>
      <c r="AS21" s="1466" t="s">
        <v>7545</v>
      </c>
      <c r="AT21" s="1466" t="s">
        <v>8781</v>
      </c>
      <c r="AU21" s="1422" t="s">
        <v>8782</v>
      </c>
      <c r="AV21" s="1388" t="str">
        <f t="shared" si="1"/>
        <v>2:22</v>
      </c>
      <c r="AW21" s="1427" t="s">
        <v>8783</v>
      </c>
    </row>
    <row r="22">
      <c r="A22" s="1428" t="s">
        <v>7049</v>
      </c>
      <c r="B22" s="1421" t="s">
        <v>8332</v>
      </c>
      <c r="C22" s="1380">
        <v>0.05016203703703704</v>
      </c>
      <c r="D22" s="1402" t="s">
        <v>8784</v>
      </c>
      <c r="E22" s="1468" t="s">
        <v>8334</v>
      </c>
      <c r="F22" s="1402" t="s">
        <v>8785</v>
      </c>
      <c r="G22" s="1402" t="s">
        <v>8786</v>
      </c>
      <c r="H22" s="1402" t="s">
        <v>8787</v>
      </c>
      <c r="I22" s="1402" t="s">
        <v>4872</v>
      </c>
      <c r="J22" s="1402" t="s">
        <v>4106</v>
      </c>
      <c r="K22" s="1402" t="s">
        <v>8788</v>
      </c>
      <c r="L22" s="1299" t="s">
        <v>4963</v>
      </c>
      <c r="M22" s="1469" t="s">
        <v>8341</v>
      </c>
      <c r="N22" s="1402" t="s">
        <v>8789</v>
      </c>
      <c r="O22" s="1402" t="s">
        <v>8790</v>
      </c>
      <c r="P22" s="1402" t="s">
        <v>5703</v>
      </c>
      <c r="Q22" s="1402" t="s">
        <v>2664</v>
      </c>
      <c r="R22" s="1402" t="s">
        <v>897</v>
      </c>
      <c r="S22" s="1402" t="s">
        <v>8791</v>
      </c>
      <c r="T22" s="1402" t="s">
        <v>1388</v>
      </c>
      <c r="U22" s="1402" t="s">
        <v>8792</v>
      </c>
      <c r="V22" s="1402" t="s">
        <v>8793</v>
      </c>
      <c r="W22" s="1470" t="s">
        <v>8345</v>
      </c>
      <c r="X22" s="1402" t="s">
        <v>1297</v>
      </c>
      <c r="Y22" s="1402" t="s">
        <v>1164</v>
      </c>
      <c r="Z22" s="1470" t="s">
        <v>8346</v>
      </c>
      <c r="AA22" s="1470" t="s">
        <v>8347</v>
      </c>
      <c r="AB22" s="1402" t="s">
        <v>8794</v>
      </c>
      <c r="AC22" s="1402" t="s">
        <v>4643</v>
      </c>
      <c r="AD22" s="1402" t="s">
        <v>8795</v>
      </c>
      <c r="AE22" s="1402" t="s">
        <v>4738</v>
      </c>
      <c r="AF22" s="1402" t="s">
        <v>5612</v>
      </c>
      <c r="AG22" s="1402" t="s">
        <v>8796</v>
      </c>
      <c r="AH22" s="1402" t="s">
        <v>4238</v>
      </c>
      <c r="AI22" s="1468" t="s">
        <v>4001</v>
      </c>
      <c r="AJ22" s="1402" t="s">
        <v>8797</v>
      </c>
      <c r="AK22" s="1402" t="s">
        <v>8798</v>
      </c>
      <c r="AL22" s="1402" t="s">
        <v>2496</v>
      </c>
      <c r="AM22" s="1402" t="s">
        <v>3843</v>
      </c>
      <c r="AN22" s="1402" t="s">
        <v>5813</v>
      </c>
      <c r="AO22" s="1402" t="s">
        <v>8799</v>
      </c>
      <c r="AP22" s="1402" t="s">
        <v>8800</v>
      </c>
      <c r="AQ22" s="1402" t="s">
        <v>3828</v>
      </c>
      <c r="AR22" s="1470" t="s">
        <v>6640</v>
      </c>
      <c r="AS22" s="1402" t="s">
        <v>752</v>
      </c>
      <c r="AT22" s="1470" t="s">
        <v>8357</v>
      </c>
      <c r="AU22" s="1387" t="s">
        <v>8801</v>
      </c>
      <c r="AV22" s="1388" t="str">
        <f t="shared" si="1"/>
        <v>3:20</v>
      </c>
      <c r="AW22" s="1471"/>
    </row>
    <row r="23" ht="15.75" customHeight="1">
      <c r="A23" s="1393" t="s">
        <v>1411</v>
      </c>
      <c r="B23" s="1379" t="s">
        <v>8304</v>
      </c>
      <c r="C23" s="1380">
        <v>0.05025462962962963</v>
      </c>
      <c r="D23" s="1299" t="s">
        <v>8802</v>
      </c>
      <c r="E23" s="1432" t="s">
        <v>8803</v>
      </c>
      <c r="F23" s="1446" t="s">
        <v>8804</v>
      </c>
      <c r="G23" s="1381" t="s">
        <v>8805</v>
      </c>
      <c r="H23" s="1433" t="s">
        <v>8806</v>
      </c>
      <c r="I23" s="1433" t="s">
        <v>1047</v>
      </c>
      <c r="J23" s="1434" t="s">
        <v>8459</v>
      </c>
      <c r="K23" s="1447" t="s">
        <v>8807</v>
      </c>
      <c r="L23" s="1447" t="s">
        <v>5051</v>
      </c>
      <c r="M23" s="1472" t="str">
        <f>HYPERLINK("https://youtu.be/teAIifUZjFw","1:14.18")</f>
        <v>1:14.18</v>
      </c>
      <c r="N23" s="1447" t="s">
        <v>3635</v>
      </c>
      <c r="O23" s="1447" t="s">
        <v>3500</v>
      </c>
      <c r="P23" s="1447" t="s">
        <v>2018</v>
      </c>
      <c r="Q23" s="1448" t="s">
        <v>8808</v>
      </c>
      <c r="R23" s="1435" t="s">
        <v>8809</v>
      </c>
      <c r="S23" s="1435" t="s">
        <v>5384</v>
      </c>
      <c r="T23" s="1473" t="str">
        <f>HYPERLINK("https://youtu.be/AiXricVH5ss","1:24.99")</f>
        <v>1:24.99</v>
      </c>
      <c r="U23" s="1474" t="str">
        <f>HYPERLINK("https://www.twitch.tv/videos/450151935","2:00.31")</f>
        <v>2:00.31</v>
      </c>
      <c r="V23" s="1435" t="s">
        <v>8810</v>
      </c>
      <c r="W23" s="1475" t="str">
        <f>HYPERLINK("https://youtu.be/eafNhBoXVWA","1:46.09")</f>
        <v>1:46.09</v>
      </c>
      <c r="X23" s="1449" t="s">
        <v>4408</v>
      </c>
      <c r="Y23" s="1449" t="s">
        <v>8545</v>
      </c>
      <c r="Z23" s="1449" t="s">
        <v>8811</v>
      </c>
      <c r="AA23" s="1436" t="s">
        <v>8490</v>
      </c>
      <c r="AB23" s="1449" t="s">
        <v>6791</v>
      </c>
      <c r="AC23" s="1449" t="s">
        <v>6800</v>
      </c>
      <c r="AD23" s="1476" t="str">
        <f>HYPERLINK("https://youtu.be/8FEcTKESSh0","1:49.80")</f>
        <v>1:49.80</v>
      </c>
      <c r="AE23" s="1432" t="s">
        <v>6224</v>
      </c>
      <c r="AF23" s="1450" t="s">
        <v>8812</v>
      </c>
      <c r="AG23" s="1450" t="s">
        <v>8813</v>
      </c>
      <c r="AH23" s="1450" t="s">
        <v>8814</v>
      </c>
      <c r="AI23" s="1450" t="s">
        <v>3844</v>
      </c>
      <c r="AJ23" s="1450" t="s">
        <v>8815</v>
      </c>
      <c r="AK23" s="1437" t="s">
        <v>8656</v>
      </c>
      <c r="AL23" s="1450" t="s">
        <v>8816</v>
      </c>
      <c r="AM23" s="1439" t="s">
        <v>8643</v>
      </c>
      <c r="AN23" s="1439" t="s">
        <v>8062</v>
      </c>
      <c r="AO23" s="1439" t="s">
        <v>8817</v>
      </c>
      <c r="AP23" s="1438" t="s">
        <v>8818</v>
      </c>
      <c r="AQ23" s="1438" t="s">
        <v>8819</v>
      </c>
      <c r="AR23" s="1439" t="s">
        <v>8820</v>
      </c>
      <c r="AS23" s="1438" t="s">
        <v>5453</v>
      </c>
      <c r="AT23" s="1472" t="str">
        <f>HYPERLINK("https://youtu.be/xDirVtS1AZ4?t=4416","2:27.45")</f>
        <v>2:27.45</v>
      </c>
      <c r="AU23" s="1451" t="s">
        <v>8821</v>
      </c>
      <c r="AV23" s="1388" t="str">
        <f t="shared" si="1"/>
        <v>2:34</v>
      </c>
      <c r="AW23" s="1420" t="s">
        <v>8822</v>
      </c>
    </row>
    <row r="24">
      <c r="A24" s="1428" t="s">
        <v>6572</v>
      </c>
      <c r="B24" s="1421" t="s">
        <v>8304</v>
      </c>
      <c r="C24" s="1380">
        <v>0.0502662037037037</v>
      </c>
      <c r="D24" s="1299" t="s">
        <v>8823</v>
      </c>
      <c r="E24" s="1387" t="s">
        <v>8479</v>
      </c>
      <c r="F24" s="1387" t="s">
        <v>8824</v>
      </c>
      <c r="G24" s="1387" t="s">
        <v>8825</v>
      </c>
      <c r="H24" s="1387" t="s">
        <v>8826</v>
      </c>
      <c r="I24" s="1299" t="s">
        <v>261</v>
      </c>
      <c r="J24" s="1299" t="s">
        <v>8827</v>
      </c>
      <c r="K24" s="1387" t="s">
        <v>8738</v>
      </c>
      <c r="L24" s="1387" t="s">
        <v>4094</v>
      </c>
      <c r="M24" s="1299" t="s">
        <v>2646</v>
      </c>
      <c r="N24" s="1387" t="s">
        <v>8828</v>
      </c>
      <c r="O24" s="1387" t="s">
        <v>8829</v>
      </c>
      <c r="P24" s="1299" t="s">
        <v>8830</v>
      </c>
      <c r="Q24" s="1387" t="s">
        <v>8831</v>
      </c>
      <c r="R24" s="1299" t="s">
        <v>8832</v>
      </c>
      <c r="S24" s="1387" t="s">
        <v>8833</v>
      </c>
      <c r="T24" s="1299" t="s">
        <v>8834</v>
      </c>
      <c r="U24" s="1387" t="s">
        <v>162</v>
      </c>
      <c r="V24" s="1299" t="s">
        <v>4903</v>
      </c>
      <c r="W24" s="1299" t="s">
        <v>6313</v>
      </c>
      <c r="X24" s="1299" t="s">
        <v>6454</v>
      </c>
      <c r="Y24" s="1299" t="s">
        <v>969</v>
      </c>
      <c r="Z24" s="1299" t="s">
        <v>8835</v>
      </c>
      <c r="AA24" s="1387" t="s">
        <v>8836</v>
      </c>
      <c r="AB24" s="1299" t="s">
        <v>6799</v>
      </c>
      <c r="AC24" s="1387" t="s">
        <v>8837</v>
      </c>
      <c r="AD24" s="1299" t="s">
        <v>6013</v>
      </c>
      <c r="AE24" s="1387" t="s">
        <v>8838</v>
      </c>
      <c r="AF24" s="1387" t="s">
        <v>8839</v>
      </c>
      <c r="AG24" s="1299" t="s">
        <v>2055</v>
      </c>
      <c r="AH24" s="1299" t="s">
        <v>2585</v>
      </c>
      <c r="AI24" s="1387" t="s">
        <v>8840</v>
      </c>
      <c r="AJ24" s="1299" t="s">
        <v>8841</v>
      </c>
      <c r="AK24" s="1299" t="s">
        <v>8318</v>
      </c>
      <c r="AL24" s="1299" t="s">
        <v>4550</v>
      </c>
      <c r="AM24" s="1299" t="s">
        <v>8842</v>
      </c>
      <c r="AN24" s="1299" t="s">
        <v>4550</v>
      </c>
      <c r="AO24" s="1299" t="s">
        <v>1977</v>
      </c>
      <c r="AP24" s="1387" t="s">
        <v>8843</v>
      </c>
      <c r="AQ24" s="1299" t="s">
        <v>2177</v>
      </c>
      <c r="AR24" s="1387" t="s">
        <v>8182</v>
      </c>
      <c r="AS24" s="1299" t="s">
        <v>1826</v>
      </c>
      <c r="AT24" s="1387" t="s">
        <v>8844</v>
      </c>
      <c r="AU24" s="1387" t="s">
        <v>8845</v>
      </c>
      <c r="AV24" s="1388" t="str">
        <f t="shared" si="1"/>
        <v>2:28</v>
      </c>
      <c r="AW24" s="1424" t="s">
        <v>8846</v>
      </c>
    </row>
    <row r="25">
      <c r="A25" s="1428" t="s">
        <v>8847</v>
      </c>
      <c r="B25" s="1477" t="s">
        <v>8304</v>
      </c>
      <c r="C25" s="1380">
        <v>0.0503125</v>
      </c>
      <c r="D25" s="1299" t="s">
        <v>8848</v>
      </c>
      <c r="E25" s="1432" t="s">
        <v>8849</v>
      </c>
      <c r="F25" s="1432" t="s">
        <v>8850</v>
      </c>
      <c r="G25" s="1432" t="s">
        <v>7888</v>
      </c>
      <c r="H25" s="1478" t="s">
        <v>8851</v>
      </c>
      <c r="I25" s="1478" t="s">
        <v>7556</v>
      </c>
      <c r="J25" s="1434" t="s">
        <v>1973</v>
      </c>
      <c r="K25" s="1434" t="s">
        <v>5825</v>
      </c>
      <c r="L25" s="1434" t="s">
        <v>3197</v>
      </c>
      <c r="M25" s="1434" t="s">
        <v>8852</v>
      </c>
      <c r="N25" s="1434" t="s">
        <v>8853</v>
      </c>
      <c r="O25" s="1434" t="s">
        <v>3986</v>
      </c>
      <c r="P25" s="1434" t="s">
        <v>5076</v>
      </c>
      <c r="Q25" s="1435" t="s">
        <v>8854</v>
      </c>
      <c r="R25" s="1435" t="s">
        <v>8855</v>
      </c>
      <c r="S25" s="1435" t="s">
        <v>544</v>
      </c>
      <c r="T25" s="1435" t="s">
        <v>8856</v>
      </c>
      <c r="U25" s="1435" t="s">
        <v>8857</v>
      </c>
      <c r="V25" s="1435" t="s">
        <v>8858</v>
      </c>
      <c r="W25" s="1436" t="s">
        <v>8859</v>
      </c>
      <c r="X25" s="1436" t="s">
        <v>4408</v>
      </c>
      <c r="Y25" s="1436" t="s">
        <v>1546</v>
      </c>
      <c r="Z25" s="1436" t="s">
        <v>2358</v>
      </c>
      <c r="AA25" s="1436" t="s">
        <v>8860</v>
      </c>
      <c r="AB25" s="1436" t="s">
        <v>3667</v>
      </c>
      <c r="AC25" s="1436" t="s">
        <v>8861</v>
      </c>
      <c r="AD25" s="1432" t="s">
        <v>8862</v>
      </c>
      <c r="AE25" s="1432" t="s">
        <v>8685</v>
      </c>
      <c r="AF25" s="1437" t="s">
        <v>8863</v>
      </c>
      <c r="AG25" s="1437" t="s">
        <v>7006</v>
      </c>
      <c r="AH25" s="1437" t="s">
        <v>8864</v>
      </c>
      <c r="AI25" s="1437" t="s">
        <v>5034</v>
      </c>
      <c r="AJ25" s="1437" t="s">
        <v>8865</v>
      </c>
      <c r="AK25" s="1437" t="s">
        <v>8351</v>
      </c>
      <c r="AL25" s="1437" t="s">
        <v>8538</v>
      </c>
      <c r="AM25" s="1439" t="s">
        <v>8582</v>
      </c>
      <c r="AN25" s="1439" t="s">
        <v>8866</v>
      </c>
      <c r="AO25" s="1439" t="s">
        <v>3487</v>
      </c>
      <c r="AP25" s="1439" t="s">
        <v>8867</v>
      </c>
      <c r="AQ25" s="1439" t="s">
        <v>8868</v>
      </c>
      <c r="AR25" s="1439" t="s">
        <v>2884</v>
      </c>
      <c r="AS25" s="1439" t="s">
        <v>299</v>
      </c>
      <c r="AT25" s="1434" t="s">
        <v>8869</v>
      </c>
      <c r="AU25" s="1419" t="s">
        <v>8870</v>
      </c>
      <c r="AV25" s="1388" t="str">
        <f t="shared" si="1"/>
        <v>2:59</v>
      </c>
      <c r="AW25" s="1427" t="s">
        <v>8871</v>
      </c>
    </row>
    <row r="26" ht="15.75" customHeight="1">
      <c r="A26" s="1428" t="s">
        <v>2594</v>
      </c>
      <c r="B26" s="1426" t="s">
        <v>8332</v>
      </c>
      <c r="C26" s="1380">
        <v>0.050347222222222224</v>
      </c>
      <c r="D26" s="1299" t="s">
        <v>8872</v>
      </c>
      <c r="E26" s="1299" t="s">
        <v>8873</v>
      </c>
      <c r="F26" s="1299" t="s">
        <v>8874</v>
      </c>
      <c r="G26" s="1299" t="s">
        <v>8875</v>
      </c>
      <c r="H26" s="1299" t="s">
        <v>5814</v>
      </c>
      <c r="I26" s="1299" t="s">
        <v>694</v>
      </c>
      <c r="J26" s="1469" t="s">
        <v>8339</v>
      </c>
      <c r="K26" s="1469" t="s">
        <v>1163</v>
      </c>
      <c r="L26" s="1469" t="s">
        <v>8340</v>
      </c>
      <c r="M26" s="1434" t="s">
        <v>8876</v>
      </c>
      <c r="N26" s="1469" t="s">
        <v>3678</v>
      </c>
      <c r="O26" s="1299" t="s">
        <v>8877</v>
      </c>
      <c r="P26" s="1469" t="s">
        <v>5425</v>
      </c>
      <c r="Q26" s="1469" t="s">
        <v>8343</v>
      </c>
      <c r="R26" s="1469" t="s">
        <v>6410</v>
      </c>
      <c r="S26" s="1469" t="s">
        <v>8312</v>
      </c>
      <c r="T26" s="1299" t="s">
        <v>4510</v>
      </c>
      <c r="U26" s="1299" t="s">
        <v>8878</v>
      </c>
      <c r="V26" s="1469" t="s">
        <v>4125</v>
      </c>
      <c r="W26" s="1299" t="s">
        <v>6311</v>
      </c>
      <c r="X26" s="1299" t="s">
        <v>1518</v>
      </c>
      <c r="Y26" s="1469" t="s">
        <v>5756</v>
      </c>
      <c r="Z26" s="1299" t="s">
        <v>1063</v>
      </c>
      <c r="AA26" s="1299" t="s">
        <v>8879</v>
      </c>
      <c r="AB26" s="1299" t="s">
        <v>5743</v>
      </c>
      <c r="AC26" s="1299" t="s">
        <v>1965</v>
      </c>
      <c r="AD26" s="1299" t="s">
        <v>8880</v>
      </c>
      <c r="AE26" s="1299" t="s">
        <v>4360</v>
      </c>
      <c r="AF26" s="1299" t="s">
        <v>8881</v>
      </c>
      <c r="AG26" s="1299" t="s">
        <v>5509</v>
      </c>
      <c r="AH26" s="1299" t="s">
        <v>4537</v>
      </c>
      <c r="AI26" s="1299" t="s">
        <v>3119</v>
      </c>
      <c r="AJ26" s="1299" t="s">
        <v>8882</v>
      </c>
      <c r="AK26" s="1299" t="s">
        <v>2928</v>
      </c>
      <c r="AL26" s="1299" t="s">
        <v>8883</v>
      </c>
      <c r="AM26" s="1299" t="s">
        <v>8884</v>
      </c>
      <c r="AN26" s="1299" t="s">
        <v>4321</v>
      </c>
      <c r="AO26" s="1299" t="s">
        <v>6505</v>
      </c>
      <c r="AP26" s="1299" t="s">
        <v>8885</v>
      </c>
      <c r="AQ26" s="1299" t="s">
        <v>8886</v>
      </c>
      <c r="AR26" s="1299" t="s">
        <v>2884</v>
      </c>
      <c r="AS26" s="1299" t="s">
        <v>7216</v>
      </c>
      <c r="AT26" s="1299" t="s">
        <v>8887</v>
      </c>
      <c r="AU26" s="1437" t="s">
        <v>8358</v>
      </c>
      <c r="AV26" s="1388" t="str">
        <f t="shared" si="1"/>
        <v>2:37</v>
      </c>
      <c r="AW26" s="1479"/>
    </row>
    <row r="27" ht="15.75" customHeight="1">
      <c r="A27" s="1378" t="s">
        <v>8888</v>
      </c>
      <c r="B27" s="1441" t="s">
        <v>8332</v>
      </c>
      <c r="C27" s="1380">
        <v>0.05042824074074074</v>
      </c>
      <c r="D27" s="1299" t="s">
        <v>8593</v>
      </c>
      <c r="E27" s="1432" t="s">
        <v>6064</v>
      </c>
      <c r="F27" s="1432" t="s">
        <v>8889</v>
      </c>
      <c r="G27" s="1446" t="s">
        <v>8890</v>
      </c>
      <c r="H27" s="1433" t="s">
        <v>8891</v>
      </c>
      <c r="I27" s="1478" t="s">
        <v>3083</v>
      </c>
      <c r="J27" s="1434" t="s">
        <v>4707</v>
      </c>
      <c r="K27" s="1434" t="s">
        <v>8788</v>
      </c>
      <c r="L27" s="1434" t="s">
        <v>2460</v>
      </c>
      <c r="M27" s="1434" t="s">
        <v>2046</v>
      </c>
      <c r="N27" s="1434" t="s">
        <v>4032</v>
      </c>
      <c r="O27" s="1434" t="s">
        <v>8892</v>
      </c>
      <c r="P27" s="1447" t="s">
        <v>757</v>
      </c>
      <c r="Q27" s="1435" t="s">
        <v>8893</v>
      </c>
      <c r="R27" s="1435" t="s">
        <v>3135</v>
      </c>
      <c r="S27" s="1435" t="s">
        <v>6753</v>
      </c>
      <c r="T27" s="1448" t="s">
        <v>8509</v>
      </c>
      <c r="U27" s="1435" t="s">
        <v>8463</v>
      </c>
      <c r="V27" s="1448" t="s">
        <v>8894</v>
      </c>
      <c r="W27" s="1449" t="s">
        <v>6540</v>
      </c>
      <c r="X27" s="1480" t="s">
        <v>2556</v>
      </c>
      <c r="Y27" s="1449" t="s">
        <v>8895</v>
      </c>
      <c r="Z27" s="1436" t="s">
        <v>8896</v>
      </c>
      <c r="AA27" s="1449" t="s">
        <v>8897</v>
      </c>
      <c r="AB27" s="1299" t="s">
        <v>6609</v>
      </c>
      <c r="AC27" s="1449" t="s">
        <v>3263</v>
      </c>
      <c r="AD27" s="1481" t="s">
        <v>8348</v>
      </c>
      <c r="AE27" s="1432" t="s">
        <v>4360</v>
      </c>
      <c r="AF27" s="1437" t="s">
        <v>8898</v>
      </c>
      <c r="AG27" s="1450" t="s">
        <v>3783</v>
      </c>
      <c r="AH27" s="1450" t="s">
        <v>8899</v>
      </c>
      <c r="AI27" s="1388" t="s">
        <v>8836</v>
      </c>
      <c r="AJ27" s="1450" t="s">
        <v>8900</v>
      </c>
      <c r="AK27" s="1482" t="s">
        <v>8353</v>
      </c>
      <c r="AL27" s="1450" t="s">
        <v>3268</v>
      </c>
      <c r="AM27" s="1439" t="s">
        <v>8901</v>
      </c>
      <c r="AN27" s="1439" t="s">
        <v>4933</v>
      </c>
      <c r="AO27" s="1439" t="s">
        <v>2082</v>
      </c>
      <c r="AP27" s="1439" t="s">
        <v>8902</v>
      </c>
      <c r="AQ27" s="1438" t="s">
        <v>8903</v>
      </c>
      <c r="AR27" s="1438" t="s">
        <v>3318</v>
      </c>
      <c r="AS27" s="1438" t="s">
        <v>5128</v>
      </c>
      <c r="AT27" s="1434" t="s">
        <v>8904</v>
      </c>
      <c r="AU27" s="1419" t="s">
        <v>8905</v>
      </c>
      <c r="AV27" s="1388" t="str">
        <f t="shared" si="1"/>
        <v>2:55</v>
      </c>
      <c r="AW27" s="1483"/>
    </row>
    <row r="28" ht="15.75" customHeight="1">
      <c r="A28" s="1378" t="s">
        <v>4154</v>
      </c>
      <c r="B28" s="1379" t="s">
        <v>8304</v>
      </c>
      <c r="C28" s="1484">
        <v>0.05043981481481481</v>
      </c>
      <c r="D28" s="1299" t="s">
        <v>8906</v>
      </c>
      <c r="E28" s="1388" t="s">
        <v>6510</v>
      </c>
      <c r="F28" s="1388" t="s">
        <v>6680</v>
      </c>
      <c r="G28" s="1388" t="s">
        <v>8907</v>
      </c>
      <c r="H28" s="1388" t="s">
        <v>8500</v>
      </c>
      <c r="I28" s="1388" t="s">
        <v>4615</v>
      </c>
      <c r="J28" s="1388" t="s">
        <v>4418</v>
      </c>
      <c r="K28" s="1388" t="s">
        <v>8699</v>
      </c>
      <c r="L28" s="1388" t="s">
        <v>3731</v>
      </c>
      <c r="M28" s="1388" t="s">
        <v>8908</v>
      </c>
      <c r="N28" s="1388" t="s">
        <v>8909</v>
      </c>
      <c r="O28" s="1388" t="s">
        <v>8910</v>
      </c>
      <c r="P28" s="1388" t="s">
        <v>5238</v>
      </c>
      <c r="Q28" s="1388" t="s">
        <v>8911</v>
      </c>
      <c r="R28" s="1388" t="s">
        <v>8912</v>
      </c>
      <c r="S28" s="1388" t="s">
        <v>8719</v>
      </c>
      <c r="T28" s="1388" t="s">
        <v>8913</v>
      </c>
      <c r="U28" s="1388" t="s">
        <v>8914</v>
      </c>
      <c r="V28" s="1388" t="s">
        <v>2267</v>
      </c>
      <c r="W28" s="1388" t="s">
        <v>8915</v>
      </c>
      <c r="X28" s="1388" t="s">
        <v>8916</v>
      </c>
      <c r="Y28" s="1388" t="s">
        <v>8746</v>
      </c>
      <c r="Z28" s="1388" t="s">
        <v>1063</v>
      </c>
      <c r="AA28" s="1388" t="s">
        <v>3119</v>
      </c>
      <c r="AB28" s="1388" t="s">
        <v>4707</v>
      </c>
      <c r="AC28" s="1388" t="s">
        <v>6800</v>
      </c>
      <c r="AD28" s="1388" t="s">
        <v>5986</v>
      </c>
      <c r="AE28" s="1388" t="s">
        <v>5475</v>
      </c>
      <c r="AF28" s="1388" t="s">
        <v>8917</v>
      </c>
      <c r="AG28" s="1388" t="s">
        <v>8918</v>
      </c>
      <c r="AH28" s="1388" t="s">
        <v>3868</v>
      </c>
      <c r="AI28" s="1388" t="s">
        <v>5034</v>
      </c>
      <c r="AJ28" s="1388" t="s">
        <v>8919</v>
      </c>
      <c r="AK28" s="1388" t="s">
        <v>8920</v>
      </c>
      <c r="AL28" s="1388" t="s">
        <v>5769</v>
      </c>
      <c r="AM28" s="1388" t="s">
        <v>1231</v>
      </c>
      <c r="AN28" s="1388" t="s">
        <v>4035</v>
      </c>
      <c r="AO28" s="1388" t="s">
        <v>5144</v>
      </c>
      <c r="AP28" s="1405" t="str">
        <f>HYPERLINK("https://www.twitch.tv/videos/511415405","2:00.79")</f>
        <v>2:00.79</v>
      </c>
      <c r="AQ28" s="1388" t="s">
        <v>8921</v>
      </c>
      <c r="AR28" s="1388" t="s">
        <v>6505</v>
      </c>
      <c r="AS28" s="1388" t="s">
        <v>8922</v>
      </c>
      <c r="AT28" s="1388" t="s">
        <v>8923</v>
      </c>
      <c r="AU28" s="1388" t="s">
        <v>8924</v>
      </c>
      <c r="AV28" s="1388" t="str">
        <f t="shared" si="1"/>
        <v>2:36</v>
      </c>
      <c r="AW28" s="1408" t="s">
        <v>7128</v>
      </c>
    </row>
    <row r="29">
      <c r="A29" s="1428" t="s">
        <v>1197</v>
      </c>
      <c r="B29" s="1426" t="s">
        <v>8304</v>
      </c>
      <c r="C29" s="1380">
        <v>0.050486111111111114</v>
      </c>
      <c r="D29" s="1432" t="s">
        <v>8925</v>
      </c>
      <c r="E29" s="1432" t="s">
        <v>8926</v>
      </c>
      <c r="F29" s="1432" t="s">
        <v>8927</v>
      </c>
      <c r="G29" s="1432" t="s">
        <v>8928</v>
      </c>
      <c r="H29" s="1299" t="s">
        <v>8929</v>
      </c>
      <c r="I29" s="1478" t="s">
        <v>853</v>
      </c>
      <c r="J29" s="1434" t="s">
        <v>5571</v>
      </c>
      <c r="K29" s="1434" t="s">
        <v>7019</v>
      </c>
      <c r="L29" s="1434" t="s">
        <v>6173</v>
      </c>
      <c r="M29" s="1434" t="s">
        <v>4894</v>
      </c>
      <c r="N29" s="1434" t="s">
        <v>8930</v>
      </c>
      <c r="O29" s="1434" t="s">
        <v>8931</v>
      </c>
      <c r="P29" s="1434" t="s">
        <v>8637</v>
      </c>
      <c r="Q29" s="1435" t="s">
        <v>877</v>
      </c>
      <c r="R29" s="1435" t="s">
        <v>4652</v>
      </c>
      <c r="S29" s="1435" t="s">
        <v>8798</v>
      </c>
      <c r="T29" s="1435" t="s">
        <v>8932</v>
      </c>
      <c r="U29" s="1435" t="s">
        <v>8933</v>
      </c>
      <c r="V29" s="1435" t="s">
        <v>8934</v>
      </c>
      <c r="W29" s="1436" t="s">
        <v>8935</v>
      </c>
      <c r="X29" s="1436" t="s">
        <v>8936</v>
      </c>
      <c r="Y29" s="1436" t="s">
        <v>8937</v>
      </c>
      <c r="Z29" s="1436" t="s">
        <v>8938</v>
      </c>
      <c r="AA29" s="1387" t="s">
        <v>8939</v>
      </c>
      <c r="AB29" s="1436" t="s">
        <v>3100</v>
      </c>
      <c r="AC29" s="1436" t="s">
        <v>1047</v>
      </c>
      <c r="AD29" s="1432" t="s">
        <v>8940</v>
      </c>
      <c r="AE29" s="1432" t="s">
        <v>2173</v>
      </c>
      <c r="AF29" s="1437" t="s">
        <v>8941</v>
      </c>
      <c r="AG29" s="1437" t="s">
        <v>523</v>
      </c>
      <c r="AH29" s="1437" t="s">
        <v>8942</v>
      </c>
      <c r="AI29" s="1437" t="s">
        <v>2625</v>
      </c>
      <c r="AJ29" s="1437" t="s">
        <v>8943</v>
      </c>
      <c r="AK29" s="1437" t="s">
        <v>6583</v>
      </c>
      <c r="AL29" s="1437" t="s">
        <v>2700</v>
      </c>
      <c r="AM29" s="1439" t="s">
        <v>8944</v>
      </c>
      <c r="AN29" s="1439" t="s">
        <v>8340</v>
      </c>
      <c r="AO29" s="1439" t="s">
        <v>8945</v>
      </c>
      <c r="AP29" s="1439" t="s">
        <v>8946</v>
      </c>
      <c r="AQ29" s="1439" t="s">
        <v>8947</v>
      </c>
      <c r="AR29" s="1439" t="s">
        <v>1091</v>
      </c>
      <c r="AS29" s="1439" t="s">
        <v>1546</v>
      </c>
      <c r="AT29" s="1434" t="s">
        <v>8948</v>
      </c>
      <c r="AU29" s="1419" t="s">
        <v>8949</v>
      </c>
      <c r="AV29" s="1388" t="str">
        <f t="shared" si="1"/>
        <v>3:47</v>
      </c>
      <c r="AW29" s="1427"/>
    </row>
    <row r="30" ht="15.75" customHeight="1">
      <c r="A30" s="1428" t="s">
        <v>1550</v>
      </c>
      <c r="B30" s="1379" t="s">
        <v>8304</v>
      </c>
      <c r="C30" s="1380">
        <v>0.05049768518518519</v>
      </c>
      <c r="D30" s="1299" t="s">
        <v>8950</v>
      </c>
      <c r="E30" s="1446" t="s">
        <v>8951</v>
      </c>
      <c r="F30" s="1476" t="str">
        <f>HYPERLINK("https://www.youtube.com/watch?v=rtR6KkKhM6I","1:59.91")</f>
        <v>1:59.91</v>
      </c>
      <c r="G30" s="1446" t="s">
        <v>8952</v>
      </c>
      <c r="H30" s="1485" t="str">
        <f>HYPERLINK("https://www.youtube.com/watch?v=cg-eipYsN1s","1:54.47")</f>
        <v>1:54.47</v>
      </c>
      <c r="I30" s="1433" t="s">
        <v>8895</v>
      </c>
      <c r="J30" s="1447" t="s">
        <v>8668</v>
      </c>
      <c r="K30" s="1434" t="s">
        <v>7090</v>
      </c>
      <c r="L30" s="1472" t="str">
        <f>HYPERLINK("https://www.youtube.com/watch?v=tJdjPKdAbw4","57.01")</f>
        <v>57.01</v>
      </c>
      <c r="M30" s="1447" t="s">
        <v>6448</v>
      </c>
      <c r="N30" s="1434" t="s">
        <v>2287</v>
      </c>
      <c r="O30" s="1447" t="s">
        <v>8953</v>
      </c>
      <c r="P30" s="1447" t="s">
        <v>131</v>
      </c>
      <c r="Q30" s="1448" t="s">
        <v>237</v>
      </c>
      <c r="R30" s="1448" t="s">
        <v>8954</v>
      </c>
      <c r="S30" s="1474" t="str">
        <f>HYPERLINK("https://www.youtube.com/watch?v=_3ms_ZhYFzo","1:18.01")</f>
        <v>1:18.01</v>
      </c>
      <c r="T30" s="1448" t="s">
        <v>8955</v>
      </c>
      <c r="U30" s="1474" t="str">
        <f>HYPERLINK("https://www.youtube.com/watch?v=ZOy_TI3Zw14","2:02.38")</f>
        <v>2:02.38</v>
      </c>
      <c r="V30" s="1448" t="s">
        <v>8934</v>
      </c>
      <c r="W30" s="1449" t="s">
        <v>4358</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8637</v>
      </c>
      <c r="AF30" s="1450" t="s">
        <v>8956</v>
      </c>
      <c r="AG30" s="1487" t="str">
        <f>HYPERLINK("https://www.youtube.com/watch?v=KXwTRrVVluY","1:30.62")</f>
        <v>1:30.62</v>
      </c>
      <c r="AH30" s="1450" t="s">
        <v>2921</v>
      </c>
      <c r="AI30" s="1450" t="s">
        <v>8813</v>
      </c>
      <c r="AJ30" s="1450" t="s">
        <v>8957</v>
      </c>
      <c r="AK30" s="1437" t="s">
        <v>8958</v>
      </c>
      <c r="AL30" s="1450" t="s">
        <v>8959</v>
      </c>
      <c r="AM30" s="1488" t="str">
        <f>HYPERLINK("https://www.youtube.com/watch?v=BAoEwuQ0LoI","1:25.68")</f>
        <v>1:25.68</v>
      </c>
      <c r="AN30" s="1488" t="str">
        <f>HYPERLINK("https://www.youtube.com/watch?v=F-LtZeEZXek","56.36")</f>
        <v>56.36</v>
      </c>
      <c r="AO30" s="1438" t="s">
        <v>8960</v>
      </c>
      <c r="AP30" s="1438" t="s">
        <v>8961</v>
      </c>
      <c r="AQ30" s="1438" t="s">
        <v>8962</v>
      </c>
      <c r="AR30" s="1488" t="str">
        <f>HYPERLINK("https://www.youtube.com/watch?v=WSIIkWWbKgE","1:21.74")</f>
        <v>1:21.74</v>
      </c>
      <c r="AS30" s="1438" t="s">
        <v>5444</v>
      </c>
      <c r="AT30" s="1472" t="str">
        <f>HYPERLINK("https://www.youtube.com/watch?v=H67SXBLcISI","2:29.09")</f>
        <v>2:29.09</v>
      </c>
      <c r="AU30" s="1451" t="s">
        <v>8963</v>
      </c>
      <c r="AV30" s="1388" t="str">
        <f t="shared" si="1"/>
        <v>2:03</v>
      </c>
      <c r="AW30" s="1489" t="s">
        <v>8964</v>
      </c>
    </row>
    <row r="31">
      <c r="A31" s="1428" t="s">
        <v>2965</v>
      </c>
      <c r="B31" s="1426" t="s">
        <v>8332</v>
      </c>
      <c r="C31" s="1380">
        <v>0.050520833333333334</v>
      </c>
      <c r="D31" s="1432" t="s">
        <v>8965</v>
      </c>
      <c r="E31" s="1453" t="s">
        <v>4535</v>
      </c>
      <c r="F31" s="1453" t="s">
        <v>8966</v>
      </c>
      <c r="G31" s="1432" t="s">
        <v>8967</v>
      </c>
      <c r="H31" s="1453" t="s">
        <v>8968</v>
      </c>
      <c r="I31" s="1453" t="s">
        <v>2987</v>
      </c>
      <c r="J31" s="1434" t="s">
        <v>8969</v>
      </c>
      <c r="K31" s="1490" t="s">
        <v>8970</v>
      </c>
      <c r="L31" s="1434" t="s">
        <v>8971</v>
      </c>
      <c r="M31" s="1491" t="s">
        <v>5629</v>
      </c>
      <c r="N31" s="1434" t="s">
        <v>972</v>
      </c>
      <c r="O31" s="1434" t="s">
        <v>3500</v>
      </c>
      <c r="P31" s="1434" t="s">
        <v>409</v>
      </c>
      <c r="Q31" s="1404" t="str">
        <f>HYPERLINK("https://www.twitch.tv/planktonsecretformula/v/1588460220?sr=a", "2:12.43")</f>
        <v>2:12.43</v>
      </c>
      <c r="R31" s="1435" t="s">
        <v>8912</v>
      </c>
      <c r="S31" s="1435" t="s">
        <v>8972</v>
      </c>
      <c r="T31" s="1492" t="s">
        <v>8344</v>
      </c>
      <c r="U31" s="1453" t="s">
        <v>8973</v>
      </c>
      <c r="V31" s="1453" t="s">
        <v>8974</v>
      </c>
      <c r="W31" s="1442" t="s">
        <v>8975</v>
      </c>
      <c r="X31" s="1436" t="s">
        <v>944</v>
      </c>
      <c r="Y31" s="1436" t="s">
        <v>8679</v>
      </c>
      <c r="Z31" s="1436" t="s">
        <v>8460</v>
      </c>
      <c r="AA31" s="1387" t="s">
        <v>8976</v>
      </c>
      <c r="AB31" s="1436" t="s">
        <v>3982</v>
      </c>
      <c r="AC31" s="1436" t="s">
        <v>868</v>
      </c>
      <c r="AD31" s="1432" t="s">
        <v>3935</v>
      </c>
      <c r="AE31" s="1432" t="s">
        <v>5703</v>
      </c>
      <c r="AF31" s="1437" t="s">
        <v>8977</v>
      </c>
      <c r="AG31" s="1453" t="s">
        <v>4522</v>
      </c>
      <c r="AH31" s="1437" t="s">
        <v>8978</v>
      </c>
      <c r="AI31" s="1437" t="s">
        <v>7330</v>
      </c>
      <c r="AJ31" s="1437" t="s">
        <v>8979</v>
      </c>
      <c r="AK31" s="1437" t="s">
        <v>8980</v>
      </c>
      <c r="AL31" s="1437" t="s">
        <v>8981</v>
      </c>
      <c r="AM31" s="1439" t="s">
        <v>8509</v>
      </c>
      <c r="AN31" s="1439" t="s">
        <v>8640</v>
      </c>
      <c r="AO31" s="1439" t="s">
        <v>2884</v>
      </c>
      <c r="AP31" s="1469" t="s">
        <v>8355</v>
      </c>
      <c r="AQ31" s="1404" t="str">
        <f>HYPERLINK("https://www.twitch.tv/planktonsecretformula/v/1678454360?sr=a&amp;t=0s", "1:37.46")</f>
        <v>1:37.46</v>
      </c>
      <c r="AR31" s="1439" t="s">
        <v>8982</v>
      </c>
      <c r="AS31" s="1439" t="s">
        <v>715</v>
      </c>
      <c r="AT31" s="1434" t="s">
        <v>8983</v>
      </c>
      <c r="AU31" s="1419" t="s">
        <v>8984</v>
      </c>
      <c r="AV31" s="1388" t="str">
        <f t="shared" si="1"/>
        <v>4:40</v>
      </c>
      <c r="AW31" s="1427" t="s">
        <v>8985</v>
      </c>
    </row>
    <row r="32" ht="15.75" customHeight="1">
      <c r="A32" s="1428" t="s">
        <v>2215</v>
      </c>
      <c r="B32" s="1493" t="s">
        <v>8332</v>
      </c>
      <c r="C32" s="1380">
        <v>0.05053240740740741</v>
      </c>
      <c r="D32" s="1432" t="s">
        <v>8986</v>
      </c>
      <c r="E32" s="1299" t="s">
        <v>8261</v>
      </c>
      <c r="F32" s="1299" t="s">
        <v>8987</v>
      </c>
      <c r="G32" s="1432" t="s">
        <v>8988</v>
      </c>
      <c r="H32" s="1494" t="s">
        <v>8337</v>
      </c>
      <c r="I32" s="1299" t="s">
        <v>1086</v>
      </c>
      <c r="J32" s="1299" t="s">
        <v>8989</v>
      </c>
      <c r="K32" s="1299" t="s">
        <v>8990</v>
      </c>
      <c r="L32" s="1299" t="s">
        <v>4663</v>
      </c>
      <c r="M32" s="1299" t="s">
        <v>8991</v>
      </c>
      <c r="N32" s="1434" t="s">
        <v>8992</v>
      </c>
      <c r="O32" s="1299" t="s">
        <v>8993</v>
      </c>
      <c r="P32" s="1434" t="s">
        <v>5405</v>
      </c>
      <c r="Q32" s="1299" t="s">
        <v>8994</v>
      </c>
      <c r="R32" s="1299" t="s">
        <v>6184</v>
      </c>
      <c r="S32" s="1435" t="s">
        <v>8995</v>
      </c>
      <c r="T32" s="1299" t="s">
        <v>8996</v>
      </c>
      <c r="U32" s="1435" t="s">
        <v>1081</v>
      </c>
      <c r="V32" s="1299" t="s">
        <v>7895</v>
      </c>
      <c r="W32" s="1299" t="s">
        <v>8910</v>
      </c>
      <c r="X32" s="1299" t="s">
        <v>8997</v>
      </c>
      <c r="Y32" s="1299" t="s">
        <v>4738</v>
      </c>
      <c r="Z32" s="1299" t="s">
        <v>2219</v>
      </c>
      <c r="AA32" s="1436" t="s">
        <v>4604</v>
      </c>
      <c r="AB32" s="1299" t="s">
        <v>5743</v>
      </c>
      <c r="AC32" s="1299" t="s">
        <v>409</v>
      </c>
      <c r="AD32" s="1299" t="s">
        <v>8998</v>
      </c>
      <c r="AE32" s="1481" t="s">
        <v>8349</v>
      </c>
      <c r="AF32" s="1299" t="s">
        <v>8999</v>
      </c>
      <c r="AG32" s="1299" t="s">
        <v>8383</v>
      </c>
      <c r="AH32" s="1299" t="s">
        <v>5735</v>
      </c>
      <c r="AI32" s="1437" t="s">
        <v>9000</v>
      </c>
      <c r="AJ32" s="1299" t="s">
        <v>9001</v>
      </c>
      <c r="AK32" s="1299" t="s">
        <v>1376</v>
      </c>
      <c r="AL32" s="1495" t="s">
        <v>5927</v>
      </c>
      <c r="AM32" s="1299" t="s">
        <v>4001</v>
      </c>
      <c r="AN32" s="1439" t="s">
        <v>4278</v>
      </c>
      <c r="AO32" s="1299" t="s">
        <v>2884</v>
      </c>
      <c r="AP32" s="1299" t="s">
        <v>9002</v>
      </c>
      <c r="AQ32" s="1496" t="s">
        <v>8356</v>
      </c>
      <c r="AR32" s="1299" t="s">
        <v>860</v>
      </c>
      <c r="AS32" s="1497" t="s">
        <v>5110</v>
      </c>
      <c r="AT32" s="1299" t="s">
        <v>9003</v>
      </c>
      <c r="AU32" s="1419" t="s">
        <v>9004</v>
      </c>
      <c r="AV32" s="1388" t="str">
        <f t="shared" si="1"/>
        <v>4:55</v>
      </c>
      <c r="AW32" s="1427" t="s">
        <v>9005</v>
      </c>
    </row>
    <row r="33" ht="15.75" customHeight="1">
      <c r="A33" s="1463" t="s">
        <v>9006</v>
      </c>
      <c r="B33" s="1379" t="s">
        <v>8304</v>
      </c>
      <c r="C33" s="1380">
        <v>0.050555555555555555</v>
      </c>
      <c r="D33" s="1299" t="s">
        <v>9007</v>
      </c>
      <c r="E33" s="1432" t="s">
        <v>9008</v>
      </c>
      <c r="F33" s="1432" t="s">
        <v>9009</v>
      </c>
      <c r="G33" s="1432" t="s">
        <v>9010</v>
      </c>
      <c r="H33" s="1478" t="s">
        <v>9011</v>
      </c>
      <c r="I33" s="1478" t="s">
        <v>9012</v>
      </c>
      <c r="J33" s="1434" t="s">
        <v>9013</v>
      </c>
      <c r="K33" s="1434" t="s">
        <v>9014</v>
      </c>
      <c r="L33" s="1434" t="s">
        <v>9015</v>
      </c>
      <c r="M33" s="1434" t="s">
        <v>3480</v>
      </c>
      <c r="N33" s="1434" t="s">
        <v>9016</v>
      </c>
      <c r="O33" s="1434" t="s">
        <v>8892</v>
      </c>
      <c r="P33" s="1434" t="s">
        <v>4783</v>
      </c>
      <c r="Q33" s="1435" t="s">
        <v>9017</v>
      </c>
      <c r="R33" s="1435" t="s">
        <v>2630</v>
      </c>
      <c r="S33" s="1435" t="s">
        <v>9018</v>
      </c>
      <c r="T33" s="1435" t="s">
        <v>9019</v>
      </c>
      <c r="U33" s="1435" t="s">
        <v>9020</v>
      </c>
      <c r="V33" s="1435" t="s">
        <v>8810</v>
      </c>
      <c r="W33" s="1436" t="s">
        <v>9021</v>
      </c>
      <c r="X33" s="1436" t="s">
        <v>9022</v>
      </c>
      <c r="Y33" s="1436" t="s">
        <v>9023</v>
      </c>
      <c r="Z33" s="1436" t="s">
        <v>1379</v>
      </c>
      <c r="AA33" s="1436" t="s">
        <v>9024</v>
      </c>
      <c r="AB33" s="1436" t="s">
        <v>6645</v>
      </c>
      <c r="AC33" s="1449" t="s">
        <v>7177</v>
      </c>
      <c r="AD33" s="1432" t="s">
        <v>9025</v>
      </c>
      <c r="AE33" s="1432" t="s">
        <v>8637</v>
      </c>
      <c r="AF33" s="1437" t="s">
        <v>9026</v>
      </c>
      <c r="AG33" s="1437" t="s">
        <v>9027</v>
      </c>
      <c r="AH33" s="1437" t="s">
        <v>5512</v>
      </c>
      <c r="AI33" s="1437" t="s">
        <v>9028</v>
      </c>
      <c r="AJ33" s="1437" t="s">
        <v>9029</v>
      </c>
      <c r="AK33" s="1437" t="s">
        <v>4408</v>
      </c>
      <c r="AL33" s="1437" t="s">
        <v>5563</v>
      </c>
      <c r="AM33" s="1439" t="s">
        <v>2068</v>
      </c>
      <c r="AN33" s="1439" t="s">
        <v>4557</v>
      </c>
      <c r="AO33" s="1439" t="s">
        <v>9030</v>
      </c>
      <c r="AP33" s="1439" t="s">
        <v>9031</v>
      </c>
      <c r="AQ33" s="1439" t="s">
        <v>9032</v>
      </c>
      <c r="AR33" s="1439" t="s">
        <v>9033</v>
      </c>
      <c r="AS33" s="1439" t="s">
        <v>969</v>
      </c>
      <c r="AT33" s="1434" t="s">
        <v>9034</v>
      </c>
      <c r="AU33" s="1419" t="s">
        <v>9035</v>
      </c>
      <c r="AV33" s="1388" t="str">
        <f t="shared" si="1"/>
        <v>2:07</v>
      </c>
      <c r="AW33" s="1483"/>
    </row>
    <row r="34">
      <c r="A34" s="1393" t="s">
        <v>641</v>
      </c>
      <c r="B34" s="1426" t="s">
        <v>8304</v>
      </c>
      <c r="C34" s="1380">
        <v>0.050555555555555555</v>
      </c>
      <c r="D34" s="1299" t="s">
        <v>9036</v>
      </c>
      <c r="E34" s="1299" t="s">
        <v>9037</v>
      </c>
      <c r="F34" s="1299" t="s">
        <v>9038</v>
      </c>
      <c r="G34" s="1299" t="s">
        <v>9039</v>
      </c>
      <c r="H34" s="1299" t="s">
        <v>9040</v>
      </c>
      <c r="I34" s="1299" t="s">
        <v>9041</v>
      </c>
      <c r="J34" s="1299" t="s">
        <v>1298</v>
      </c>
      <c r="K34" s="1299" t="s">
        <v>9042</v>
      </c>
      <c r="L34" s="1299" t="s">
        <v>4137</v>
      </c>
      <c r="M34" s="1299" t="s">
        <v>4012</v>
      </c>
      <c r="N34" s="1299" t="s">
        <v>9043</v>
      </c>
      <c r="O34" s="1299" t="s">
        <v>9044</v>
      </c>
      <c r="P34" s="1299" t="s">
        <v>9045</v>
      </c>
      <c r="Q34" s="1299" t="s">
        <v>9046</v>
      </c>
      <c r="R34" s="1299" t="s">
        <v>9047</v>
      </c>
      <c r="S34" s="1299" t="s">
        <v>9048</v>
      </c>
      <c r="T34" s="1299" t="s">
        <v>8351</v>
      </c>
      <c r="U34" s="1299" t="s">
        <v>9049</v>
      </c>
      <c r="V34" s="1299" t="s">
        <v>9050</v>
      </c>
      <c r="W34" s="1299" t="s">
        <v>4624</v>
      </c>
      <c r="X34" s="1299" t="s">
        <v>9051</v>
      </c>
      <c r="Y34" s="1299" t="s">
        <v>4967</v>
      </c>
      <c r="Z34" s="1299" t="s">
        <v>9052</v>
      </c>
      <c r="AA34" s="1299" t="s">
        <v>9053</v>
      </c>
      <c r="AB34" s="1299" t="s">
        <v>9054</v>
      </c>
      <c r="AC34" s="1299" t="s">
        <v>6800</v>
      </c>
      <c r="AD34" s="1299" t="s">
        <v>9055</v>
      </c>
      <c r="AE34" s="1299" t="s">
        <v>8488</v>
      </c>
      <c r="AF34" s="1299" t="s">
        <v>9056</v>
      </c>
      <c r="AG34" s="1299" t="s">
        <v>4964</v>
      </c>
      <c r="AH34" s="1299" t="s">
        <v>4379</v>
      </c>
      <c r="AI34" s="1299" t="s">
        <v>9057</v>
      </c>
      <c r="AJ34" s="1299" t="s">
        <v>9058</v>
      </c>
      <c r="AK34" s="1299" t="s">
        <v>1757</v>
      </c>
      <c r="AL34" s="1299" t="s">
        <v>1669</v>
      </c>
      <c r="AM34" s="1299" t="s">
        <v>3716</v>
      </c>
      <c r="AN34" s="1299" t="s">
        <v>3849</v>
      </c>
      <c r="AO34" s="1299" t="s">
        <v>6068</v>
      </c>
      <c r="AP34" s="1299" t="s">
        <v>9059</v>
      </c>
      <c r="AQ34" s="1299" t="s">
        <v>9060</v>
      </c>
      <c r="AR34" s="1299" t="s">
        <v>8586</v>
      </c>
      <c r="AS34" s="1299" t="s">
        <v>925</v>
      </c>
      <c r="AT34" s="1299" t="s">
        <v>3158</v>
      </c>
      <c r="AU34" s="1419" t="s">
        <v>8924</v>
      </c>
      <c r="AV34" s="1388" t="str">
        <f t="shared" si="1"/>
        <v>2:26</v>
      </c>
      <c r="AW34" s="1427" t="s">
        <v>9061</v>
      </c>
    </row>
    <row r="35" ht="15.75" customHeight="1">
      <c r="A35" s="1378" t="s">
        <v>735</v>
      </c>
      <c r="B35" s="1441" t="s">
        <v>8332</v>
      </c>
      <c r="C35" s="1380">
        <v>0.05056712962962963</v>
      </c>
      <c r="D35" s="1469" t="s">
        <v>8333</v>
      </c>
      <c r="E35" s="1446" t="s">
        <v>8803</v>
      </c>
      <c r="F35" s="1468" t="s">
        <v>8335</v>
      </c>
      <c r="G35" s="1387" t="s">
        <v>9062</v>
      </c>
      <c r="H35" s="1387" t="s">
        <v>9063</v>
      </c>
      <c r="I35" s="1468" t="s">
        <v>8338</v>
      </c>
      <c r="J35" s="1387" t="s">
        <v>1175</v>
      </c>
      <c r="K35" s="1387" t="s">
        <v>4848</v>
      </c>
      <c r="L35" s="1387" t="s">
        <v>2273</v>
      </c>
      <c r="M35" s="1387" t="s">
        <v>2193</v>
      </c>
      <c r="N35" s="1387" t="s">
        <v>8752</v>
      </c>
      <c r="O35" s="1387" t="s">
        <v>9064</v>
      </c>
      <c r="P35" s="1387" t="s">
        <v>3803</v>
      </c>
      <c r="Q35" s="1387" t="s">
        <v>9065</v>
      </c>
      <c r="R35" s="1387" t="s">
        <v>2984</v>
      </c>
      <c r="S35" s="1387" t="s">
        <v>9066</v>
      </c>
      <c r="T35" s="1387" t="s">
        <v>2400</v>
      </c>
      <c r="U35" s="1387" t="s">
        <v>8542</v>
      </c>
      <c r="V35" s="1387" t="s">
        <v>2694</v>
      </c>
      <c r="W35" s="1387" t="s">
        <v>9067</v>
      </c>
      <c r="X35" s="1387" t="s">
        <v>9068</v>
      </c>
      <c r="Y35" s="1387" t="s">
        <v>949</v>
      </c>
      <c r="Z35" s="1387" t="s">
        <v>8770</v>
      </c>
      <c r="AA35" s="1387" t="s">
        <v>6583</v>
      </c>
      <c r="AB35" s="1387" t="s">
        <v>9069</v>
      </c>
      <c r="AC35" s="1388" t="s">
        <v>531</v>
      </c>
      <c r="AD35" s="1387" t="s">
        <v>9070</v>
      </c>
      <c r="AE35" s="1387" t="s">
        <v>4738</v>
      </c>
      <c r="AF35" s="1387" t="s">
        <v>9071</v>
      </c>
      <c r="AG35" s="1468" t="s">
        <v>8351</v>
      </c>
      <c r="AH35" s="1468" t="s">
        <v>2780</v>
      </c>
      <c r="AI35" s="1387" t="s">
        <v>9072</v>
      </c>
      <c r="AJ35" s="1387" t="s">
        <v>9073</v>
      </c>
      <c r="AK35" s="1387" t="s">
        <v>5271</v>
      </c>
      <c r="AL35" s="1387" t="s">
        <v>4035</v>
      </c>
      <c r="AM35" s="1387" t="s">
        <v>8635</v>
      </c>
      <c r="AN35" s="1387" t="s">
        <v>342</v>
      </c>
      <c r="AO35" s="1468" t="s">
        <v>8354</v>
      </c>
      <c r="AP35" s="1387" t="s">
        <v>9074</v>
      </c>
      <c r="AQ35" s="1387" t="s">
        <v>6522</v>
      </c>
      <c r="AR35" s="1387" t="s">
        <v>2614</v>
      </c>
      <c r="AS35" s="1387" t="s">
        <v>3861</v>
      </c>
      <c r="AT35" s="1387" t="s">
        <v>9075</v>
      </c>
      <c r="AU35" s="1387" t="s">
        <v>8669</v>
      </c>
      <c r="AV35" s="1388" t="str">
        <f t="shared" si="1"/>
        <v>3:34</v>
      </c>
      <c r="AW35" s="1424" t="s">
        <v>9076</v>
      </c>
    </row>
    <row r="36" ht="15.75" customHeight="1">
      <c r="A36" s="1393" t="s">
        <v>641</v>
      </c>
      <c r="B36" s="1441" t="s">
        <v>8332</v>
      </c>
      <c r="C36" s="1484">
        <v>0.05056712962962963</v>
      </c>
      <c r="D36" s="1299" t="s">
        <v>9077</v>
      </c>
      <c r="E36" s="1388" t="s">
        <v>9078</v>
      </c>
      <c r="F36" s="1388" t="s">
        <v>8702</v>
      </c>
      <c r="G36" s="1388" t="s">
        <v>9079</v>
      </c>
      <c r="H36" s="1388" t="s">
        <v>4383</v>
      </c>
      <c r="I36" s="1388" t="s">
        <v>1114</v>
      </c>
      <c r="J36" s="1387" t="s">
        <v>9080</v>
      </c>
      <c r="K36" s="1387" t="s">
        <v>9080</v>
      </c>
      <c r="L36" s="1388" t="s">
        <v>9081</v>
      </c>
      <c r="M36" s="1388" t="s">
        <v>9082</v>
      </c>
      <c r="N36" s="1388" t="s">
        <v>9083</v>
      </c>
      <c r="O36" s="1468" t="s">
        <v>8342</v>
      </c>
      <c r="P36" s="1388" t="s">
        <v>7553</v>
      </c>
      <c r="Q36" s="1388" t="s">
        <v>785</v>
      </c>
      <c r="R36" s="1387" t="s">
        <v>9080</v>
      </c>
      <c r="S36" s="1388" t="s">
        <v>9084</v>
      </c>
      <c r="T36" s="1388" t="s">
        <v>779</v>
      </c>
      <c r="U36" s="1388" t="s">
        <v>9085</v>
      </c>
      <c r="V36" s="1388" t="s">
        <v>9086</v>
      </c>
      <c r="W36" s="1388" t="s">
        <v>9087</v>
      </c>
      <c r="X36" s="1388" t="s">
        <v>8860</v>
      </c>
      <c r="Y36" s="1388" t="s">
        <v>8861</v>
      </c>
      <c r="Z36" s="1388" t="s">
        <v>2613</v>
      </c>
      <c r="AA36" s="1388" t="s">
        <v>9088</v>
      </c>
      <c r="AB36" s="1388" t="s">
        <v>8561</v>
      </c>
      <c r="AC36" s="1388" t="s">
        <v>4410</v>
      </c>
      <c r="AD36" s="1388" t="s">
        <v>2308</v>
      </c>
      <c r="AE36" s="1388" t="s">
        <v>9023</v>
      </c>
      <c r="AF36" s="1388" t="s">
        <v>9089</v>
      </c>
      <c r="AG36" s="1388" t="s">
        <v>3909</v>
      </c>
      <c r="AH36" s="1388" t="s">
        <v>4399</v>
      </c>
      <c r="AI36" s="1388" t="s">
        <v>3664</v>
      </c>
      <c r="AJ36" s="1388" t="s">
        <v>9090</v>
      </c>
      <c r="AK36" s="1388" t="s">
        <v>1093</v>
      </c>
      <c r="AL36" s="1388" t="s">
        <v>8864</v>
      </c>
      <c r="AM36" s="1388" t="s">
        <v>9091</v>
      </c>
      <c r="AN36" s="1387" t="s">
        <v>9092</v>
      </c>
      <c r="AO36" s="1387" t="s">
        <v>9080</v>
      </c>
      <c r="AP36" s="1388" t="s">
        <v>5259</v>
      </c>
      <c r="AQ36" s="1388" t="s">
        <v>250</v>
      </c>
      <c r="AR36" s="1388" t="s">
        <v>4887</v>
      </c>
      <c r="AS36" s="1388" t="s">
        <v>9093</v>
      </c>
      <c r="AT36" s="1388" t="s">
        <v>9094</v>
      </c>
      <c r="AU36" s="1387" t="s">
        <v>9095</v>
      </c>
      <c r="AV36" s="1388" t="str">
        <f t="shared" si="1"/>
        <v>3:07</v>
      </c>
      <c r="AW36" s="1460" t="s">
        <v>9096</v>
      </c>
    </row>
    <row r="37" ht="15.75" customHeight="1">
      <c r="A37" s="1378" t="s">
        <v>4133</v>
      </c>
      <c r="B37" s="1379" t="s">
        <v>8304</v>
      </c>
      <c r="C37" s="1484">
        <v>0.05060185185185185</v>
      </c>
      <c r="D37" s="1299" t="s">
        <v>9097</v>
      </c>
      <c r="E37" s="1446" t="s">
        <v>4347</v>
      </c>
      <c r="F37" s="1446" t="s">
        <v>5843</v>
      </c>
      <c r="G37" s="1446" t="s">
        <v>9098</v>
      </c>
      <c r="H37" s="1433" t="s">
        <v>9099</v>
      </c>
      <c r="I37" s="1433" t="s">
        <v>1142</v>
      </c>
      <c r="J37" s="1447" t="s">
        <v>8501</v>
      </c>
      <c r="K37" s="1447" t="s">
        <v>7019</v>
      </c>
      <c r="L37" s="1447" t="s">
        <v>5476</v>
      </c>
      <c r="M37" s="1447" t="s">
        <v>9100</v>
      </c>
      <c r="N37" s="1447" t="s">
        <v>5179</v>
      </c>
      <c r="O37" s="1447" t="s">
        <v>9101</v>
      </c>
      <c r="P37" s="1447" t="s">
        <v>8685</v>
      </c>
      <c r="Q37" s="1448" t="s">
        <v>9102</v>
      </c>
      <c r="R37" s="1448" t="s">
        <v>5402</v>
      </c>
      <c r="S37" s="1448" t="s">
        <v>6645</v>
      </c>
      <c r="T37" s="1448" t="s">
        <v>9103</v>
      </c>
      <c r="U37" s="1448" t="s">
        <v>9104</v>
      </c>
      <c r="V37" s="1448" t="s">
        <v>9105</v>
      </c>
      <c r="W37" s="1449" t="s">
        <v>9106</v>
      </c>
      <c r="X37" s="1449" t="s">
        <v>7009</v>
      </c>
      <c r="Y37" s="1449" t="s">
        <v>5012</v>
      </c>
      <c r="Z37" s="1449" t="s">
        <v>1973</v>
      </c>
      <c r="AA37" s="1449" t="s">
        <v>9107</v>
      </c>
      <c r="AB37" s="1449" t="s">
        <v>8561</v>
      </c>
      <c r="AC37" s="1449" t="s">
        <v>5477</v>
      </c>
      <c r="AD37" s="1446" t="s">
        <v>6207</v>
      </c>
      <c r="AE37" s="1446" t="s">
        <v>8679</v>
      </c>
      <c r="AF37" s="1450" t="s">
        <v>9108</v>
      </c>
      <c r="AG37" s="1450" t="s">
        <v>9027</v>
      </c>
      <c r="AH37" s="1450" t="s">
        <v>9109</v>
      </c>
      <c r="AI37" s="1450" t="s">
        <v>5472</v>
      </c>
      <c r="AJ37" s="1450" t="s">
        <v>9110</v>
      </c>
      <c r="AK37" s="1450" t="s">
        <v>9111</v>
      </c>
      <c r="AL37" s="1450" t="s">
        <v>9112</v>
      </c>
      <c r="AM37" s="1438" t="s">
        <v>9113</v>
      </c>
      <c r="AN37" s="1438" t="s">
        <v>9114</v>
      </c>
      <c r="AO37" s="1438" t="s">
        <v>9115</v>
      </c>
      <c r="AP37" s="1438" t="s">
        <v>9116</v>
      </c>
      <c r="AQ37" s="1438" t="s">
        <v>8947</v>
      </c>
      <c r="AR37" s="1438" t="s">
        <v>9117</v>
      </c>
      <c r="AS37" s="1438" t="s">
        <v>4208</v>
      </c>
      <c r="AT37" s="1447" t="s">
        <v>9118</v>
      </c>
      <c r="AU37" s="1451" t="s">
        <v>9119</v>
      </c>
      <c r="AV37" s="1388" t="str">
        <f t="shared" si="1"/>
        <v>1:56</v>
      </c>
      <c r="AW37" s="1483"/>
    </row>
    <row r="38" ht="15.75" customHeight="1">
      <c r="A38" s="1393" t="s">
        <v>825</v>
      </c>
      <c r="B38" s="1379" t="s">
        <v>8304</v>
      </c>
      <c r="C38" s="1380">
        <v>0.05061342592592592</v>
      </c>
      <c r="D38" s="1299" t="s">
        <v>9120</v>
      </c>
      <c r="E38" s="1387" t="s">
        <v>8479</v>
      </c>
      <c r="F38" s="1387" t="s">
        <v>5335</v>
      </c>
      <c r="G38" s="1388" t="s">
        <v>9121</v>
      </c>
      <c r="H38" s="1387" t="s">
        <v>9122</v>
      </c>
      <c r="I38" s="1387" t="s">
        <v>385</v>
      </c>
      <c r="J38" s="1387" t="s">
        <v>7327</v>
      </c>
      <c r="K38" s="1388" t="s">
        <v>8699</v>
      </c>
      <c r="L38" s="1387" t="s">
        <v>9123</v>
      </c>
      <c r="M38" s="1387" t="s">
        <v>9124</v>
      </c>
      <c r="N38" s="1387" t="s">
        <v>4216</v>
      </c>
      <c r="O38" s="1387" t="s">
        <v>9125</v>
      </c>
      <c r="P38" s="1387" t="s">
        <v>1674</v>
      </c>
      <c r="Q38" s="1384" t="s">
        <v>9126</v>
      </c>
      <c r="R38" s="1387" t="s">
        <v>9127</v>
      </c>
      <c r="S38" s="1388" t="s">
        <v>9128</v>
      </c>
      <c r="T38" s="1387" t="s">
        <v>8842</v>
      </c>
      <c r="U38" s="1387" t="s">
        <v>6355</v>
      </c>
      <c r="V38" s="1387" t="s">
        <v>1661</v>
      </c>
      <c r="W38" s="1403" t="str">
        <f>HYPERLINK("https://www.youtube.com/watch?v=nn1ub1z3NYM","1:45.96")</f>
        <v>1:45.96</v>
      </c>
      <c r="X38" s="1387" t="s">
        <v>5561</v>
      </c>
      <c r="Y38" s="1388" t="s">
        <v>5436</v>
      </c>
      <c r="Z38" s="1387" t="s">
        <v>1497</v>
      </c>
      <c r="AA38" s="1387" t="s">
        <v>9129</v>
      </c>
      <c r="AB38" s="1387" t="s">
        <v>9130</v>
      </c>
      <c r="AC38" s="1387" t="s">
        <v>1047</v>
      </c>
      <c r="AD38" s="1387" t="s">
        <v>9131</v>
      </c>
      <c r="AE38" s="1384" t="s">
        <v>4555</v>
      </c>
      <c r="AF38" s="1388" t="s">
        <v>9132</v>
      </c>
      <c r="AG38" s="1387" t="s">
        <v>2081</v>
      </c>
      <c r="AH38" s="1387" t="s">
        <v>2921</v>
      </c>
      <c r="AI38" s="1387" t="s">
        <v>9133</v>
      </c>
      <c r="AJ38" s="1388" t="s">
        <v>7862</v>
      </c>
      <c r="AK38" s="1387" t="s">
        <v>9134</v>
      </c>
      <c r="AL38" s="1388" t="s">
        <v>4164</v>
      </c>
      <c r="AM38" s="1388" t="s">
        <v>9135</v>
      </c>
      <c r="AN38" s="1388" t="s">
        <v>2496</v>
      </c>
      <c r="AO38" s="1387" t="s">
        <v>5108</v>
      </c>
      <c r="AP38" s="1387" t="s">
        <v>9136</v>
      </c>
      <c r="AQ38" s="1387" t="s">
        <v>6200</v>
      </c>
      <c r="AR38" s="1387" t="s">
        <v>1298</v>
      </c>
      <c r="AS38" s="1387" t="s">
        <v>9137</v>
      </c>
      <c r="AT38" s="1387" t="s">
        <v>9138</v>
      </c>
      <c r="AU38" s="1387" t="s">
        <v>9139</v>
      </c>
      <c r="AV38" s="1388" t="str">
        <f t="shared" si="1"/>
        <v>2:25</v>
      </c>
      <c r="AW38" s="1424"/>
    </row>
    <row r="39">
      <c r="A39" s="1393" t="s">
        <v>9140</v>
      </c>
      <c r="B39" s="1421" t="s">
        <v>8304</v>
      </c>
      <c r="C39" s="1380">
        <v>0.050625</v>
      </c>
      <c r="D39" s="1498" t="s">
        <v>9141</v>
      </c>
      <c r="E39" s="1387" t="s">
        <v>4599</v>
      </c>
      <c r="F39" s="1387" t="s">
        <v>9142</v>
      </c>
      <c r="G39" s="1387" t="s">
        <v>8713</v>
      </c>
      <c r="H39" s="1387" t="s">
        <v>1577</v>
      </c>
      <c r="I39" s="1387" t="s">
        <v>1965</v>
      </c>
      <c r="J39" s="1387" t="s">
        <v>9143</v>
      </c>
      <c r="K39" s="1387" t="s">
        <v>3329</v>
      </c>
      <c r="L39" s="1387" t="s">
        <v>9144</v>
      </c>
      <c r="M39" s="1387" t="s">
        <v>9145</v>
      </c>
      <c r="N39" s="1387" t="s">
        <v>9146</v>
      </c>
      <c r="O39" s="1387" t="s">
        <v>9147</v>
      </c>
      <c r="P39" s="1387" t="s">
        <v>9023</v>
      </c>
      <c r="Q39" s="1387" t="s">
        <v>4527</v>
      </c>
      <c r="R39" s="1387" t="s">
        <v>3799</v>
      </c>
      <c r="S39" s="1387" t="s">
        <v>2597</v>
      </c>
      <c r="T39" s="1387" t="s">
        <v>2400</v>
      </c>
      <c r="U39" s="1387" t="s">
        <v>9148</v>
      </c>
      <c r="V39" s="1387" t="s">
        <v>2164</v>
      </c>
      <c r="W39" s="1387" t="s">
        <v>6856</v>
      </c>
      <c r="X39" s="1387" t="s">
        <v>9149</v>
      </c>
      <c r="Y39" s="1387" t="s">
        <v>9150</v>
      </c>
      <c r="Z39" s="1387" t="s">
        <v>9151</v>
      </c>
      <c r="AA39" s="1387" t="s">
        <v>9152</v>
      </c>
      <c r="AB39" s="1387"/>
      <c r="AC39" s="1387" t="s">
        <v>9153</v>
      </c>
      <c r="AD39" s="1387" t="s">
        <v>9154</v>
      </c>
      <c r="AE39" s="1387" t="s">
        <v>4817</v>
      </c>
      <c r="AF39" s="1387" t="s">
        <v>9155</v>
      </c>
      <c r="AG39" s="1387" t="s">
        <v>9156</v>
      </c>
      <c r="AH39" s="1387" t="s">
        <v>9157</v>
      </c>
      <c r="AI39" s="1387" t="s">
        <v>724</v>
      </c>
      <c r="AJ39" s="1387" t="s">
        <v>9158</v>
      </c>
      <c r="AK39" s="1387" t="s">
        <v>9159</v>
      </c>
      <c r="AL39" s="1387" t="s">
        <v>9160</v>
      </c>
      <c r="AM39" s="1387" t="s">
        <v>9161</v>
      </c>
      <c r="AN39" s="1387" t="s">
        <v>8388</v>
      </c>
      <c r="AO39" s="1387" t="s">
        <v>9162</v>
      </c>
      <c r="AP39" s="1387" t="s">
        <v>9163</v>
      </c>
      <c r="AQ39" s="1387" t="s">
        <v>9164</v>
      </c>
      <c r="AR39" s="1387" t="s">
        <v>7088</v>
      </c>
      <c r="AS39" s="1387" t="s">
        <v>9165</v>
      </c>
      <c r="AT39" s="1387" t="s">
        <v>7960</v>
      </c>
      <c r="AU39" s="1387" t="s">
        <v>9166</v>
      </c>
      <c r="AV39" s="1388" t="str">
        <f t="shared" si="1"/>
        <v>2:05</v>
      </c>
      <c r="AW39" s="1460"/>
    </row>
    <row r="40">
      <c r="A40" s="1393" t="s">
        <v>9167</v>
      </c>
      <c r="B40" s="1426" t="s">
        <v>8304</v>
      </c>
      <c r="C40" s="1380">
        <v>0.0506712962962963</v>
      </c>
      <c r="D40" s="1498" t="s">
        <v>9168</v>
      </c>
      <c r="E40" s="1432" t="s">
        <v>4347</v>
      </c>
      <c r="F40" s="1432" t="s">
        <v>8604</v>
      </c>
      <c r="G40" s="1432" t="s">
        <v>9169</v>
      </c>
      <c r="H40" s="1478" t="s">
        <v>9170</v>
      </c>
      <c r="I40" s="1478" t="s">
        <v>9171</v>
      </c>
      <c r="J40" s="1434" t="s">
        <v>9172</v>
      </c>
      <c r="K40" s="1434" t="s">
        <v>7588</v>
      </c>
      <c r="L40" s="1434" t="s">
        <v>9173</v>
      </c>
      <c r="M40" s="1434" t="s">
        <v>7585</v>
      </c>
      <c r="N40" s="1434" t="s">
        <v>9174</v>
      </c>
      <c r="O40" s="1434" t="s">
        <v>2197</v>
      </c>
      <c r="P40" s="1434" t="s">
        <v>7556</v>
      </c>
      <c r="Q40" s="1435" t="s">
        <v>6937</v>
      </c>
      <c r="R40" s="1435" t="s">
        <v>9175</v>
      </c>
      <c r="S40" s="1435" t="s">
        <v>9176</v>
      </c>
      <c r="T40" s="1435" t="s">
        <v>9177</v>
      </c>
      <c r="U40" s="1435" t="s">
        <v>9178</v>
      </c>
      <c r="V40" s="1435" t="s">
        <v>9179</v>
      </c>
      <c r="W40" s="1436" t="s">
        <v>9180</v>
      </c>
      <c r="X40" s="1436" t="s">
        <v>9181</v>
      </c>
      <c r="Y40" s="1436" t="s">
        <v>5950</v>
      </c>
      <c r="Z40" s="1436" t="s">
        <v>9182</v>
      </c>
      <c r="AA40" s="1387" t="s">
        <v>1762</v>
      </c>
      <c r="AB40" s="1436" t="s">
        <v>9183</v>
      </c>
      <c r="AC40" s="1436" t="s">
        <v>6800</v>
      </c>
      <c r="AD40" s="1432" t="s">
        <v>9184</v>
      </c>
      <c r="AE40" s="1432" t="s">
        <v>531</v>
      </c>
      <c r="AF40" s="1437" t="s">
        <v>9185</v>
      </c>
      <c r="AG40" s="1437" t="s">
        <v>3783</v>
      </c>
      <c r="AH40" s="1437" t="s">
        <v>5132</v>
      </c>
      <c r="AI40" s="1437" t="s">
        <v>9186</v>
      </c>
      <c r="AJ40" s="1437" t="s">
        <v>9187</v>
      </c>
      <c r="AK40" s="1437" t="s">
        <v>398</v>
      </c>
      <c r="AL40" s="1437" t="s">
        <v>2568</v>
      </c>
      <c r="AM40" s="1439" t="s">
        <v>8605</v>
      </c>
      <c r="AN40" s="1439" t="s">
        <v>8538</v>
      </c>
      <c r="AO40" s="1439" t="s">
        <v>8799</v>
      </c>
      <c r="AP40" s="1439" t="s">
        <v>9188</v>
      </c>
      <c r="AQ40" s="1439" t="s">
        <v>9189</v>
      </c>
      <c r="AR40" s="1439" t="s">
        <v>9190</v>
      </c>
      <c r="AS40" s="1439" t="s">
        <v>7133</v>
      </c>
      <c r="AT40" s="1434" t="s">
        <v>9191</v>
      </c>
      <c r="AU40" s="1419" t="s">
        <v>8949</v>
      </c>
      <c r="AV40" s="1388" t="str">
        <f t="shared" si="1"/>
        <v>3:31</v>
      </c>
      <c r="AW40" s="1483"/>
    </row>
    <row r="41" ht="15.75" customHeight="1">
      <c r="A41" s="1463" t="s">
        <v>9192</v>
      </c>
      <c r="B41" s="1379" t="s">
        <v>8304</v>
      </c>
      <c r="C41" s="1380">
        <v>0.05070601851851852</v>
      </c>
      <c r="D41" s="1299" t="s">
        <v>9193</v>
      </c>
      <c r="E41" s="1446" t="s">
        <v>8255</v>
      </c>
      <c r="F41" s="1446" t="s">
        <v>8539</v>
      </c>
      <c r="G41" s="1446" t="s">
        <v>9194</v>
      </c>
      <c r="H41" s="1433" t="s">
        <v>9195</v>
      </c>
      <c r="I41" s="1433" t="s">
        <v>385</v>
      </c>
      <c r="J41" s="1447" t="s">
        <v>2078</v>
      </c>
      <c r="K41" s="1447" t="s">
        <v>3234</v>
      </c>
      <c r="L41" s="1447" t="s">
        <v>5344</v>
      </c>
      <c r="M41" s="1447" t="s">
        <v>9196</v>
      </c>
      <c r="N41" s="1447" t="s">
        <v>9019</v>
      </c>
      <c r="O41" s="1447" t="s">
        <v>9197</v>
      </c>
      <c r="P41" s="1447" t="s">
        <v>5417</v>
      </c>
      <c r="Q41" s="1448" t="s">
        <v>9198</v>
      </c>
      <c r="R41" s="1448" t="s">
        <v>727</v>
      </c>
      <c r="S41" s="1448" t="s">
        <v>9162</v>
      </c>
      <c r="T41" s="1448" t="s">
        <v>9022</v>
      </c>
      <c r="U41" s="1448" t="s">
        <v>9199</v>
      </c>
      <c r="V41" s="1448" t="s">
        <v>1661</v>
      </c>
      <c r="W41" s="1449" t="s">
        <v>9200</v>
      </c>
      <c r="X41" s="1449" t="s">
        <v>8425</v>
      </c>
      <c r="Y41" s="1449" t="s">
        <v>9201</v>
      </c>
      <c r="Z41" s="1449" t="s">
        <v>9202</v>
      </c>
      <c r="AA41" s="1449" t="s">
        <v>9203</v>
      </c>
      <c r="AB41" s="1449" t="s">
        <v>2588</v>
      </c>
      <c r="AC41" s="1449" t="s">
        <v>2980</v>
      </c>
      <c r="AD41" s="1446" t="s">
        <v>9204</v>
      </c>
      <c r="AE41" s="1446" t="s">
        <v>5952</v>
      </c>
      <c r="AF41" s="1450" t="s">
        <v>8445</v>
      </c>
      <c r="AG41" s="1450" t="s">
        <v>9205</v>
      </c>
      <c r="AH41" s="1450" t="s">
        <v>2207</v>
      </c>
      <c r="AI41" s="1450" t="s">
        <v>9206</v>
      </c>
      <c r="AJ41" s="1450" t="s">
        <v>9207</v>
      </c>
      <c r="AK41" s="1450" t="s">
        <v>9208</v>
      </c>
      <c r="AL41" s="1450" t="s">
        <v>5311</v>
      </c>
      <c r="AM41" s="1438" t="s">
        <v>9051</v>
      </c>
      <c r="AN41" s="1438" t="s">
        <v>5311</v>
      </c>
      <c r="AO41" s="1438" t="s">
        <v>2287</v>
      </c>
      <c r="AP41" s="1438" t="s">
        <v>9209</v>
      </c>
      <c r="AQ41" s="1438" t="s">
        <v>9210</v>
      </c>
      <c r="AR41" s="1438" t="s">
        <v>9211</v>
      </c>
      <c r="AS41" s="1438" t="s">
        <v>4211</v>
      </c>
      <c r="AT41" s="1447" t="s">
        <v>9212</v>
      </c>
      <c r="AU41" s="1451" t="s">
        <v>9213</v>
      </c>
      <c r="AV41" s="1388" t="str">
        <f t="shared" si="1"/>
        <v>2:54</v>
      </c>
      <c r="AW41" s="1483"/>
    </row>
    <row r="42">
      <c r="A42" s="1499" t="s">
        <v>3403</v>
      </c>
      <c r="B42" s="1426" t="s">
        <v>8304</v>
      </c>
      <c r="C42" s="1500">
        <v>0.05077986111111111</v>
      </c>
      <c r="D42" s="1299" t="s">
        <v>9214</v>
      </c>
      <c r="E42" s="1501" t="s">
        <v>4489</v>
      </c>
      <c r="F42" s="1432" t="s">
        <v>9215</v>
      </c>
      <c r="G42" s="1432" t="s">
        <v>9216</v>
      </c>
      <c r="H42" s="1299" t="s">
        <v>3771</v>
      </c>
      <c r="I42" s="1478" t="s">
        <v>6029</v>
      </c>
      <c r="J42" s="1434" t="s">
        <v>8466</v>
      </c>
      <c r="K42" s="1434" t="s">
        <v>2884</v>
      </c>
      <c r="L42" s="1434" t="s">
        <v>8388</v>
      </c>
      <c r="M42" s="1434" t="s">
        <v>9217</v>
      </c>
      <c r="N42" s="1434" t="s">
        <v>5264</v>
      </c>
      <c r="O42" s="1434" t="s">
        <v>7783</v>
      </c>
      <c r="P42" s="1434" t="s">
        <v>9218</v>
      </c>
      <c r="Q42" s="1435" t="s">
        <v>9219</v>
      </c>
      <c r="R42" s="1435" t="s">
        <v>9127</v>
      </c>
      <c r="S42" s="1435" t="s">
        <v>8346</v>
      </c>
      <c r="T42" s="1435" t="s">
        <v>4055</v>
      </c>
      <c r="U42" s="1502" t="s">
        <v>9220</v>
      </c>
      <c r="V42" s="1435" t="s">
        <v>9221</v>
      </c>
      <c r="W42" s="1436" t="s">
        <v>9222</v>
      </c>
      <c r="X42" s="1436" t="s">
        <v>9223</v>
      </c>
      <c r="Y42" s="1503" t="s">
        <v>7557</v>
      </c>
      <c r="Z42" s="1436" t="s">
        <v>741</v>
      </c>
      <c r="AA42" s="1387" t="s">
        <v>9224</v>
      </c>
      <c r="AB42" s="1436" t="s">
        <v>9225</v>
      </c>
      <c r="AC42" s="1503" t="s">
        <v>771</v>
      </c>
      <c r="AD42" s="1432" t="s">
        <v>9226</v>
      </c>
      <c r="AE42" s="1504" t="s">
        <v>9227</v>
      </c>
      <c r="AF42" s="1437" t="s">
        <v>1287</v>
      </c>
      <c r="AG42" s="1437" t="s">
        <v>4984</v>
      </c>
      <c r="AH42" s="1437" t="s">
        <v>9228</v>
      </c>
      <c r="AI42" s="1437" t="s">
        <v>9229</v>
      </c>
      <c r="AJ42" s="1505" t="s">
        <v>9230</v>
      </c>
      <c r="AK42" s="1437" t="s">
        <v>9231</v>
      </c>
      <c r="AL42" s="1505" t="s">
        <v>4164</v>
      </c>
      <c r="AM42" s="1439" t="s">
        <v>3716</v>
      </c>
      <c r="AN42" s="1439" t="s">
        <v>5311</v>
      </c>
      <c r="AO42" s="1439" t="s">
        <v>8799</v>
      </c>
      <c r="AP42" s="1439" t="s">
        <v>9232</v>
      </c>
      <c r="AQ42" s="1439" t="s">
        <v>9233</v>
      </c>
      <c r="AR42" s="1506" t="s">
        <v>8700</v>
      </c>
      <c r="AS42" s="1439" t="s">
        <v>8922</v>
      </c>
      <c r="AT42" s="1434" t="s">
        <v>9234</v>
      </c>
      <c r="AU42" s="1419" t="s">
        <v>9235</v>
      </c>
      <c r="AV42" s="1451" t="str">
        <f t="shared" si="1"/>
        <v>3:42</v>
      </c>
      <c r="AW42" s="1483"/>
    </row>
    <row r="43">
      <c r="A43" s="1428" t="s">
        <v>2810</v>
      </c>
      <c r="B43" s="1421" t="s">
        <v>8304</v>
      </c>
      <c r="C43" s="1380">
        <v>0.050826388888888886</v>
      </c>
      <c r="D43" s="1387" t="s">
        <v>9236</v>
      </c>
      <c r="E43" s="1387" t="s">
        <v>9237</v>
      </c>
      <c r="F43" s="1432" t="s">
        <v>9238</v>
      </c>
      <c r="G43" s="1387" t="s">
        <v>9239</v>
      </c>
      <c r="H43" s="1387" t="s">
        <v>6183</v>
      </c>
      <c r="I43" s="1387" t="s">
        <v>1288</v>
      </c>
      <c r="J43" s="1387" t="s">
        <v>9240</v>
      </c>
      <c r="K43" s="1387" t="s">
        <v>3759</v>
      </c>
      <c r="L43" s="1387" t="s">
        <v>9241</v>
      </c>
      <c r="M43" s="1387" t="s">
        <v>9242</v>
      </c>
      <c r="N43" s="1387" t="s">
        <v>6396</v>
      </c>
      <c r="O43" s="1387" t="s">
        <v>9243</v>
      </c>
      <c r="P43" s="1387" t="s">
        <v>8706</v>
      </c>
      <c r="Q43" s="1387" t="s">
        <v>9244</v>
      </c>
      <c r="R43" s="1387" t="s">
        <v>9245</v>
      </c>
      <c r="S43" s="1387" t="s">
        <v>9246</v>
      </c>
      <c r="T43" s="1387" t="s">
        <v>1789</v>
      </c>
      <c r="U43" s="1387" t="s">
        <v>9247</v>
      </c>
      <c r="V43" s="1387" t="s">
        <v>7628</v>
      </c>
      <c r="W43" s="1387" t="s">
        <v>5401</v>
      </c>
      <c r="X43" s="1387" t="s">
        <v>9248</v>
      </c>
      <c r="Y43" s="1387" t="s">
        <v>7550</v>
      </c>
      <c r="Z43" s="1387" t="s">
        <v>2029</v>
      </c>
      <c r="AA43" s="1436" t="s">
        <v>8997</v>
      </c>
      <c r="AB43" s="1387" t="s">
        <v>1973</v>
      </c>
      <c r="AC43" s="1387" t="s">
        <v>6800</v>
      </c>
      <c r="AD43" s="1387" t="s">
        <v>9249</v>
      </c>
      <c r="AE43" s="1387" t="s">
        <v>4817</v>
      </c>
      <c r="AF43" s="1387" t="s">
        <v>9250</v>
      </c>
      <c r="AG43" s="1387" t="s">
        <v>1108</v>
      </c>
      <c r="AH43" s="1387" t="s">
        <v>3751</v>
      </c>
      <c r="AI43" s="1387" t="s">
        <v>9251</v>
      </c>
      <c r="AJ43" s="1387" t="s">
        <v>9252</v>
      </c>
      <c r="AK43" s="1387" t="s">
        <v>9134</v>
      </c>
      <c r="AL43" s="1387" t="s">
        <v>4171</v>
      </c>
      <c r="AM43" s="1387" t="s">
        <v>9134</v>
      </c>
      <c r="AN43" s="1387" t="s">
        <v>8388</v>
      </c>
      <c r="AO43" s="1387" t="s">
        <v>6505</v>
      </c>
      <c r="AP43" s="1387" t="s">
        <v>9253</v>
      </c>
      <c r="AQ43" s="1387" t="s">
        <v>9254</v>
      </c>
      <c r="AR43" s="1387" t="s">
        <v>5043</v>
      </c>
      <c r="AS43" s="1387" t="s">
        <v>9255</v>
      </c>
      <c r="AT43" s="1387" t="s">
        <v>9256</v>
      </c>
      <c r="AU43" s="1387" t="s">
        <v>9257</v>
      </c>
      <c r="AV43" s="1388" t="str">
        <f t="shared" si="1"/>
        <v>2:25</v>
      </c>
      <c r="AW43" s="1460"/>
    </row>
    <row r="44" ht="15.75" customHeight="1">
      <c r="A44" s="1428" t="s">
        <v>4561</v>
      </c>
      <c r="B44" s="1379" t="s">
        <v>8304</v>
      </c>
      <c r="C44" s="1484">
        <v>0.050868055555555555</v>
      </c>
      <c r="D44" s="1299" t="s">
        <v>9258</v>
      </c>
      <c r="E44" s="1388" t="s">
        <v>6746</v>
      </c>
      <c r="F44" s="1388" t="s">
        <v>9259</v>
      </c>
      <c r="G44" s="1388" t="s">
        <v>9260</v>
      </c>
      <c r="H44" s="1388" t="s">
        <v>9063</v>
      </c>
      <c r="I44" s="1388" t="s">
        <v>1288</v>
      </c>
      <c r="J44" s="1388" t="s">
        <v>9190</v>
      </c>
      <c r="K44" s="1388" t="s">
        <v>8738</v>
      </c>
      <c r="L44" s="1388" t="s">
        <v>8607</v>
      </c>
      <c r="M44" s="1388" t="s">
        <v>5237</v>
      </c>
      <c r="N44" s="1388" t="s">
        <v>7821</v>
      </c>
      <c r="O44" s="1388" t="s">
        <v>9261</v>
      </c>
      <c r="P44" s="1388" t="s">
        <v>9262</v>
      </c>
      <c r="Q44" s="1388" t="s">
        <v>9263</v>
      </c>
      <c r="R44" s="1388" t="s">
        <v>6485</v>
      </c>
      <c r="S44" s="1388" t="s">
        <v>8589</v>
      </c>
      <c r="T44" s="1388" t="s">
        <v>4543</v>
      </c>
      <c r="U44" s="1388" t="s">
        <v>9264</v>
      </c>
      <c r="V44" s="1388" t="s">
        <v>8793</v>
      </c>
      <c r="W44" s="1388" t="s">
        <v>9265</v>
      </c>
      <c r="X44" s="1388" t="s">
        <v>8796</v>
      </c>
      <c r="Y44" s="1388" t="s">
        <v>3336</v>
      </c>
      <c r="Z44" s="1388" t="s">
        <v>9266</v>
      </c>
      <c r="AA44" s="1388" t="s">
        <v>9267</v>
      </c>
      <c r="AB44" s="1388" t="s">
        <v>1706</v>
      </c>
      <c r="AC44" s="1388" t="s">
        <v>2883</v>
      </c>
      <c r="AD44" s="1388" t="s">
        <v>9268</v>
      </c>
      <c r="AE44" s="1388" t="s">
        <v>614</v>
      </c>
      <c r="AF44" s="1388" t="s">
        <v>9269</v>
      </c>
      <c r="AG44" s="1388" t="s">
        <v>5777</v>
      </c>
      <c r="AH44" s="1388" t="s">
        <v>9270</v>
      </c>
      <c r="AI44" s="1388" t="s">
        <v>6604</v>
      </c>
      <c r="AJ44" s="1388" t="s">
        <v>9271</v>
      </c>
      <c r="AK44" s="1388" t="s">
        <v>5299</v>
      </c>
      <c r="AL44" s="1388" t="s">
        <v>9272</v>
      </c>
      <c r="AM44" s="1388" t="s">
        <v>9273</v>
      </c>
      <c r="AN44" s="1388" t="s">
        <v>3539</v>
      </c>
      <c r="AO44" s="1388" t="s">
        <v>8699</v>
      </c>
      <c r="AP44" s="1388" t="s">
        <v>9274</v>
      </c>
      <c r="AQ44" s="1388" t="s">
        <v>9275</v>
      </c>
      <c r="AR44" s="1388" t="s">
        <v>8598</v>
      </c>
      <c r="AS44" s="1388" t="s">
        <v>4936</v>
      </c>
      <c r="AT44" s="1388" t="s">
        <v>9276</v>
      </c>
      <c r="AU44" s="1388" t="s">
        <v>9277</v>
      </c>
      <c r="AV44" s="1388" t="str">
        <f t="shared" si="1"/>
        <v>2:44</v>
      </c>
      <c r="AW44" s="1408"/>
    </row>
    <row r="45" ht="15.75" customHeight="1">
      <c r="A45" s="1428" t="s">
        <v>1944</v>
      </c>
      <c r="B45" s="1507" t="s">
        <v>8360</v>
      </c>
      <c r="C45" s="1380">
        <v>0.05092592592592592</v>
      </c>
      <c r="D45" s="1508" t="s">
        <v>8361</v>
      </c>
      <c r="E45" s="1509" t="s">
        <v>8362</v>
      </c>
      <c r="F45" s="1508" t="s">
        <v>8363</v>
      </c>
      <c r="G45" s="1387" t="s">
        <v>9278</v>
      </c>
      <c r="H45" s="1508" t="s">
        <v>8365</v>
      </c>
      <c r="I45" s="1388" t="s">
        <v>1406</v>
      </c>
      <c r="J45" s="1446" t="s">
        <v>9279</v>
      </c>
      <c r="K45" s="1388" t="s">
        <v>9019</v>
      </c>
      <c r="L45" s="1446" t="s">
        <v>2314</v>
      </c>
      <c r="M45" s="1388" t="s">
        <v>2630</v>
      </c>
      <c r="N45" s="1508" t="s">
        <v>8368</v>
      </c>
      <c r="O45" s="1388" t="s">
        <v>9280</v>
      </c>
      <c r="P45" s="1446" t="s">
        <v>633</v>
      </c>
      <c r="Q45" s="1509" t="s">
        <v>8371</v>
      </c>
      <c r="R45" s="1508" t="s">
        <v>8372</v>
      </c>
      <c r="S45" s="1388" t="s">
        <v>1093</v>
      </c>
      <c r="T45" s="1446" t="s">
        <v>6860</v>
      </c>
      <c r="U45" s="1509" t="s">
        <v>8374</v>
      </c>
      <c r="V45" s="1508" t="s">
        <v>8375</v>
      </c>
      <c r="W45" s="1388" t="s">
        <v>9281</v>
      </c>
      <c r="X45" s="1508" t="s">
        <v>8377</v>
      </c>
      <c r="Y45" s="1388" t="s">
        <v>5545</v>
      </c>
      <c r="Z45" s="1432" t="s">
        <v>9282</v>
      </c>
      <c r="AA45" s="1388" t="s">
        <v>2289</v>
      </c>
      <c r="AB45" s="1446" t="s">
        <v>9283</v>
      </c>
      <c r="AC45" s="1387" t="s">
        <v>9284</v>
      </c>
      <c r="AD45" s="1446" t="s">
        <v>9285</v>
      </c>
      <c r="AE45" s="1387" t="s">
        <v>9286</v>
      </c>
      <c r="AF45" s="1446" t="s">
        <v>9287</v>
      </c>
      <c r="AG45" s="1388" t="s">
        <v>7479</v>
      </c>
      <c r="AH45" s="1432" t="s">
        <v>9144</v>
      </c>
      <c r="AI45" s="1509" t="s">
        <v>8383</v>
      </c>
      <c r="AJ45" s="1446" t="s">
        <v>9288</v>
      </c>
      <c r="AK45" s="1388" t="s">
        <v>5689</v>
      </c>
      <c r="AL45" s="1508" t="s">
        <v>8386</v>
      </c>
      <c r="AM45" s="1388" t="s">
        <v>8660</v>
      </c>
      <c r="AN45" s="1446" t="s">
        <v>3894</v>
      </c>
      <c r="AO45" s="1387" t="s">
        <v>4755</v>
      </c>
      <c r="AP45" s="1432" t="s">
        <v>9289</v>
      </c>
      <c r="AQ45" s="1387" t="s">
        <v>9290</v>
      </c>
      <c r="AR45" s="1432" t="s">
        <v>9291</v>
      </c>
      <c r="AS45" s="1388" t="s">
        <v>901</v>
      </c>
      <c r="AT45" s="1508" t="s">
        <v>8392</v>
      </c>
      <c r="AU45" s="1387" t="s">
        <v>9292</v>
      </c>
      <c r="AV45" s="1388" t="str">
        <f t="shared" si="1"/>
        <v>2:24</v>
      </c>
      <c r="AW45" s="1424"/>
    </row>
    <row r="46">
      <c r="A46" s="1428" t="s">
        <v>2526</v>
      </c>
      <c r="B46" s="1493" t="s">
        <v>8332</v>
      </c>
      <c r="C46" s="1380">
        <v>0.05092592592592592</v>
      </c>
      <c r="D46" s="1299" t="s">
        <v>9293</v>
      </c>
      <c r="E46" s="1432" t="s">
        <v>9294</v>
      </c>
      <c r="F46" s="1432" t="s">
        <v>9295</v>
      </c>
      <c r="G46" s="1432" t="s">
        <v>9296</v>
      </c>
      <c r="H46" s="1478" t="s">
        <v>9297</v>
      </c>
      <c r="I46" s="1478" t="s">
        <v>2778</v>
      </c>
      <c r="J46" s="1434" t="s">
        <v>8462</v>
      </c>
      <c r="K46" s="1434" t="s">
        <v>3738</v>
      </c>
      <c r="L46" s="1434" t="s">
        <v>5622</v>
      </c>
      <c r="M46" s="1434" t="s">
        <v>2998</v>
      </c>
      <c r="N46" s="1434" t="s">
        <v>9091</v>
      </c>
      <c r="O46" s="1434" t="s">
        <v>9298</v>
      </c>
      <c r="P46" s="1434" t="s">
        <v>771</v>
      </c>
      <c r="Q46" s="1435" t="s">
        <v>6829</v>
      </c>
      <c r="R46" s="1435" t="s">
        <v>6533</v>
      </c>
      <c r="S46" s="1435" t="s">
        <v>7090</v>
      </c>
      <c r="T46" s="1435" t="s">
        <v>9299</v>
      </c>
      <c r="U46" s="1492" t="s">
        <v>6996</v>
      </c>
      <c r="V46" s="1435" t="s">
        <v>9300</v>
      </c>
      <c r="W46" s="1436" t="s">
        <v>6456</v>
      </c>
      <c r="X46" s="1436" t="s">
        <v>9301</v>
      </c>
      <c r="Y46" s="1436" t="s">
        <v>9302</v>
      </c>
      <c r="Z46" s="1436" t="s">
        <v>6753</v>
      </c>
      <c r="AA46" s="1436" t="s">
        <v>1998</v>
      </c>
      <c r="AB46" s="1436" t="s">
        <v>9303</v>
      </c>
      <c r="AC46" s="1436" t="s">
        <v>2432</v>
      </c>
      <c r="AD46" s="1432" t="s">
        <v>9304</v>
      </c>
      <c r="AE46" s="1432" t="s">
        <v>5138</v>
      </c>
      <c r="AF46" s="1437" t="s">
        <v>9305</v>
      </c>
      <c r="AG46" s="1437" t="s">
        <v>5269</v>
      </c>
      <c r="AH46" s="1437" t="s">
        <v>4399</v>
      </c>
      <c r="AI46" s="1437" t="s">
        <v>9306</v>
      </c>
      <c r="AJ46" s="1510" t="s">
        <v>8352</v>
      </c>
      <c r="AK46" s="1437" t="s">
        <v>1706</v>
      </c>
      <c r="AL46" s="1437" t="s">
        <v>5690</v>
      </c>
      <c r="AM46" s="1439" t="s">
        <v>3844</v>
      </c>
      <c r="AN46" s="1439" t="s">
        <v>3309</v>
      </c>
      <c r="AO46" s="1439" t="s">
        <v>2356</v>
      </c>
      <c r="AP46" s="1439" t="s">
        <v>9307</v>
      </c>
      <c r="AQ46" s="1439" t="s">
        <v>4253</v>
      </c>
      <c r="AR46" s="1439" t="s">
        <v>6818</v>
      </c>
      <c r="AS46" s="1439" t="s">
        <v>6212</v>
      </c>
      <c r="AT46" s="1434" t="s">
        <v>9308</v>
      </c>
      <c r="AU46" s="1511" t="s">
        <v>9309</v>
      </c>
      <c r="AV46" s="1388" t="str">
        <f t="shared" si="1"/>
        <v>4:25</v>
      </c>
      <c r="AW46" s="1420"/>
    </row>
    <row r="47" ht="15.75" customHeight="1">
      <c r="A47" s="1378" t="s">
        <v>4287</v>
      </c>
      <c r="B47" s="1441" t="s">
        <v>8332</v>
      </c>
      <c r="C47" s="1380">
        <v>0.05100810185185185</v>
      </c>
      <c r="D47" s="1299" t="s">
        <v>9310</v>
      </c>
      <c r="E47" s="1432" t="s">
        <v>9311</v>
      </c>
      <c r="F47" s="1432" t="s">
        <v>9312</v>
      </c>
      <c r="G47" s="1446" t="s">
        <v>9313</v>
      </c>
      <c r="H47" s="1478" t="s">
        <v>9314</v>
      </c>
      <c r="I47" s="1478" t="s">
        <v>1406</v>
      </c>
      <c r="J47" s="1434" t="s">
        <v>5043</v>
      </c>
      <c r="K47" s="1434" t="s">
        <v>9016</v>
      </c>
      <c r="L47" s="1434" t="s">
        <v>4316</v>
      </c>
      <c r="M47" s="1434" t="s">
        <v>1448</v>
      </c>
      <c r="N47" s="1434" t="s">
        <v>9315</v>
      </c>
      <c r="O47" s="1434" t="s">
        <v>8484</v>
      </c>
      <c r="P47" s="1434" t="s">
        <v>9316</v>
      </c>
      <c r="Q47" s="1435" t="s">
        <v>9317</v>
      </c>
      <c r="R47" s="1435" t="s">
        <v>3135</v>
      </c>
      <c r="S47" s="1435" t="s">
        <v>6791</v>
      </c>
      <c r="T47" s="1435" t="s">
        <v>9318</v>
      </c>
      <c r="U47" s="1435" t="s">
        <v>9319</v>
      </c>
      <c r="V47" s="1448" t="s">
        <v>1360</v>
      </c>
      <c r="W47" s="1436" t="s">
        <v>9320</v>
      </c>
      <c r="X47" s="1436" t="s">
        <v>9072</v>
      </c>
      <c r="Y47" s="1436" t="s">
        <v>3803</v>
      </c>
      <c r="Z47" s="1436" t="s">
        <v>6773</v>
      </c>
      <c r="AA47" s="1436" t="s">
        <v>1025</v>
      </c>
      <c r="AB47" s="1436" t="s">
        <v>3923</v>
      </c>
      <c r="AC47" s="1449" t="s">
        <v>7211</v>
      </c>
      <c r="AD47" s="1432" t="s">
        <v>9321</v>
      </c>
      <c r="AE47" s="1446" t="s">
        <v>4805</v>
      </c>
      <c r="AF47" s="1437" t="s">
        <v>9322</v>
      </c>
      <c r="AG47" s="1437" t="s">
        <v>9323</v>
      </c>
      <c r="AH47" s="1437" t="s">
        <v>9324</v>
      </c>
      <c r="AI47" s="1437" t="s">
        <v>8772</v>
      </c>
      <c r="AJ47" s="1437" t="s">
        <v>9325</v>
      </c>
      <c r="AK47" s="1437" t="s">
        <v>9326</v>
      </c>
      <c r="AL47" s="1437" t="s">
        <v>4501</v>
      </c>
      <c r="AM47" s="1439" t="s">
        <v>9327</v>
      </c>
      <c r="AN47" s="1439" t="s">
        <v>3109</v>
      </c>
      <c r="AO47" s="1439" t="s">
        <v>9328</v>
      </c>
      <c r="AP47" s="1439" t="s">
        <v>9329</v>
      </c>
      <c r="AQ47" s="1439" t="s">
        <v>4253</v>
      </c>
      <c r="AR47" s="1439" t="s">
        <v>9330</v>
      </c>
      <c r="AS47" s="1439" t="s">
        <v>4437</v>
      </c>
      <c r="AT47" s="1434" t="s">
        <v>9331</v>
      </c>
      <c r="AU47" s="1419" t="s">
        <v>9332</v>
      </c>
      <c r="AV47" s="1388" t="str">
        <f t="shared" si="1"/>
        <v>3:17</v>
      </c>
      <c r="AW47" s="1427" t="s">
        <v>9333</v>
      </c>
    </row>
    <row r="48" ht="15.75" customHeight="1">
      <c r="A48" s="1428" t="s">
        <v>985</v>
      </c>
      <c r="B48" s="1426" t="s">
        <v>8332</v>
      </c>
      <c r="C48" s="1380">
        <v>0.05112268518518519</v>
      </c>
      <c r="D48" s="1432" t="s">
        <v>9334</v>
      </c>
      <c r="E48" s="1432" t="s">
        <v>4572</v>
      </c>
      <c r="F48" s="1432" t="s">
        <v>9335</v>
      </c>
      <c r="G48" s="1432" t="s">
        <v>9336</v>
      </c>
      <c r="H48" s="1299" t="s">
        <v>9337</v>
      </c>
      <c r="I48" s="1478" t="s">
        <v>4872</v>
      </c>
      <c r="J48" s="1434" t="s">
        <v>3847</v>
      </c>
      <c r="K48" s="1434" t="s">
        <v>9338</v>
      </c>
      <c r="L48" s="1512" t="s">
        <v>3352</v>
      </c>
      <c r="M48" s="1434" t="s">
        <v>4384</v>
      </c>
      <c r="N48" s="1434" t="s">
        <v>9051</v>
      </c>
      <c r="O48" s="1434" t="s">
        <v>9339</v>
      </c>
      <c r="P48" s="1434" t="s">
        <v>1521</v>
      </c>
      <c r="Q48" s="1435" t="s">
        <v>9340</v>
      </c>
      <c r="R48" s="1512" t="s">
        <v>9341</v>
      </c>
      <c r="S48" s="1435" t="s">
        <v>413</v>
      </c>
      <c r="T48" s="1435" t="s">
        <v>9342</v>
      </c>
      <c r="U48" s="1435" t="s">
        <v>9343</v>
      </c>
      <c r="V48" s="1435" t="s">
        <v>9344</v>
      </c>
      <c r="W48" s="1436" t="s">
        <v>9345</v>
      </c>
      <c r="X48" s="1436" t="s">
        <v>9346</v>
      </c>
      <c r="Y48" s="1513" t="s">
        <v>901</v>
      </c>
      <c r="Z48" s="1436" t="s">
        <v>9347</v>
      </c>
      <c r="AA48" s="1387" t="s">
        <v>9348</v>
      </c>
      <c r="AB48" s="1436" t="s">
        <v>155</v>
      </c>
      <c r="AC48" s="1480" t="s">
        <v>4975</v>
      </c>
      <c r="AD48" s="1432" t="s">
        <v>9349</v>
      </c>
      <c r="AE48" s="1432" t="s">
        <v>8382</v>
      </c>
      <c r="AF48" s="1437" t="s">
        <v>8499</v>
      </c>
      <c r="AG48" s="1437" t="s">
        <v>272</v>
      </c>
      <c r="AH48" s="1437" t="s">
        <v>459</v>
      </c>
      <c r="AI48" s="1437" t="s">
        <v>9350</v>
      </c>
      <c r="AJ48" s="1437" t="s">
        <v>9351</v>
      </c>
      <c r="AK48" s="1437" t="s">
        <v>3985</v>
      </c>
      <c r="AL48" s="1437" t="s">
        <v>9352</v>
      </c>
      <c r="AM48" s="1439" t="s">
        <v>9353</v>
      </c>
      <c r="AN48" s="1496" t="s">
        <v>3490</v>
      </c>
      <c r="AO48" s="1439" t="s">
        <v>7588</v>
      </c>
      <c r="AP48" s="1439" t="s">
        <v>9354</v>
      </c>
      <c r="AQ48" s="1439" t="s">
        <v>9355</v>
      </c>
      <c r="AR48" s="1439" t="s">
        <v>9356</v>
      </c>
      <c r="AS48" s="1439" t="s">
        <v>8236</v>
      </c>
      <c r="AT48" s="1434" t="s">
        <v>9357</v>
      </c>
      <c r="AU48" s="1419" t="s">
        <v>9358</v>
      </c>
      <c r="AV48" s="1388" t="str">
        <f t="shared" si="1"/>
        <v>4:57</v>
      </c>
      <c r="AW48" s="1483"/>
    </row>
    <row r="49">
      <c r="A49" s="1428" t="s">
        <v>2328</v>
      </c>
      <c r="B49" s="1421" t="s">
        <v>8332</v>
      </c>
      <c r="C49" s="1380">
        <v>0.05112268518518519</v>
      </c>
      <c r="D49" s="1387" t="s">
        <v>9359</v>
      </c>
      <c r="E49" s="1387" t="s">
        <v>4489</v>
      </c>
      <c r="F49" s="1387" t="s">
        <v>9360</v>
      </c>
      <c r="G49" s="1468" t="s">
        <v>8336</v>
      </c>
      <c r="H49" s="1299" t="s">
        <v>9361</v>
      </c>
      <c r="I49" s="1387" t="s">
        <v>763</v>
      </c>
      <c r="J49" s="1387" t="s">
        <v>3415</v>
      </c>
      <c r="K49" s="1387" t="s">
        <v>2485</v>
      </c>
      <c r="L49" s="1387" t="s">
        <v>1360</v>
      </c>
      <c r="M49" s="1387" t="s">
        <v>9362</v>
      </c>
      <c r="N49" s="1387" t="s">
        <v>8884</v>
      </c>
      <c r="O49" s="1387" t="s">
        <v>9363</v>
      </c>
      <c r="P49" s="1387" t="s">
        <v>3336</v>
      </c>
      <c r="Q49" s="1387" t="s">
        <v>9364</v>
      </c>
      <c r="R49" s="1387" t="s">
        <v>2227</v>
      </c>
      <c r="S49" s="1387" t="s">
        <v>3638</v>
      </c>
      <c r="T49" s="1387" t="s">
        <v>7009</v>
      </c>
      <c r="U49" s="1435" t="s">
        <v>8667</v>
      </c>
      <c r="V49" s="1387" t="s">
        <v>9365</v>
      </c>
      <c r="W49" s="1387" t="s">
        <v>9366</v>
      </c>
      <c r="X49" s="1387" t="s">
        <v>1483</v>
      </c>
      <c r="Y49" s="1387" t="s">
        <v>7553</v>
      </c>
      <c r="Z49" s="1387" t="s">
        <v>8546</v>
      </c>
      <c r="AA49" s="1436" t="s">
        <v>609</v>
      </c>
      <c r="AB49" s="1387" t="s">
        <v>9367</v>
      </c>
      <c r="AC49" s="1387" t="s">
        <v>5138</v>
      </c>
      <c r="AD49" s="1387" t="s">
        <v>8714</v>
      </c>
      <c r="AE49" s="1387" t="s">
        <v>3336</v>
      </c>
      <c r="AF49" s="1387" t="s">
        <v>9368</v>
      </c>
      <c r="AG49" s="1387" t="s">
        <v>9369</v>
      </c>
      <c r="AH49" s="1387" t="s">
        <v>2508</v>
      </c>
      <c r="AI49" s="1387" t="s">
        <v>5860</v>
      </c>
      <c r="AJ49" s="1387" t="s">
        <v>9370</v>
      </c>
      <c r="AK49" s="1387" t="s">
        <v>8799</v>
      </c>
      <c r="AL49" s="1387" t="s">
        <v>9371</v>
      </c>
      <c r="AM49" s="1387" t="s">
        <v>2625</v>
      </c>
      <c r="AN49" s="1387" t="s">
        <v>9372</v>
      </c>
      <c r="AO49" s="1387" t="s">
        <v>8459</v>
      </c>
      <c r="AP49" s="1387" t="s">
        <v>9373</v>
      </c>
      <c r="AQ49" s="1387" t="s">
        <v>9374</v>
      </c>
      <c r="AR49" s="1387" t="s">
        <v>2206</v>
      </c>
      <c r="AS49" s="1387" t="s">
        <v>7550</v>
      </c>
      <c r="AT49" s="1387" t="s">
        <v>9375</v>
      </c>
      <c r="AU49" s="1387" t="s">
        <v>9376</v>
      </c>
      <c r="AV49" s="1388" t="str">
        <f t="shared" si="1"/>
        <v>3:15</v>
      </c>
      <c r="AW49" s="1514"/>
    </row>
    <row r="50" ht="15.75" customHeight="1">
      <c r="A50" s="1378" t="s">
        <v>9377</v>
      </c>
      <c r="B50" s="1515" t="s">
        <v>8304</v>
      </c>
      <c r="C50" s="1380">
        <v>0.051180555555555556</v>
      </c>
      <c r="D50" s="1299" t="s">
        <v>9378</v>
      </c>
      <c r="E50" s="1387" t="s">
        <v>9379</v>
      </c>
      <c r="F50" s="1387" t="s">
        <v>3987</v>
      </c>
      <c r="G50" s="1387" t="s">
        <v>7977</v>
      </c>
      <c r="H50" s="1387" t="s">
        <v>9380</v>
      </c>
      <c r="I50" s="1387" t="s">
        <v>160</v>
      </c>
      <c r="J50" s="1387" t="s">
        <v>972</v>
      </c>
      <c r="K50" s="1387" t="s">
        <v>8853</v>
      </c>
      <c r="L50" s="1387" t="s">
        <v>8406</v>
      </c>
      <c r="M50" s="1387" t="s">
        <v>9381</v>
      </c>
      <c r="N50" s="1387" t="s">
        <v>9382</v>
      </c>
      <c r="O50" s="1387" t="s">
        <v>9383</v>
      </c>
      <c r="P50" s="1387" t="s">
        <v>3552</v>
      </c>
      <c r="Q50" s="1387" t="s">
        <v>6384</v>
      </c>
      <c r="R50" s="1387" t="s">
        <v>9384</v>
      </c>
      <c r="S50" s="1387" t="s">
        <v>8182</v>
      </c>
      <c r="T50" s="1388" t="s">
        <v>4033</v>
      </c>
      <c r="U50" s="1388" t="s">
        <v>9385</v>
      </c>
      <c r="V50" s="1387" t="s">
        <v>1820</v>
      </c>
      <c r="W50" s="1387" t="s">
        <v>9386</v>
      </c>
      <c r="X50" s="1387" t="s">
        <v>9387</v>
      </c>
      <c r="Y50" s="1387" t="s">
        <v>8706</v>
      </c>
      <c r="Z50" s="1387" t="s">
        <v>9388</v>
      </c>
      <c r="AA50" s="1387" t="s">
        <v>9389</v>
      </c>
      <c r="AB50" s="1387" t="s">
        <v>9390</v>
      </c>
      <c r="AC50" s="1387" t="s">
        <v>935</v>
      </c>
      <c r="AD50" s="1387" t="s">
        <v>9321</v>
      </c>
      <c r="AE50" s="1387" t="s">
        <v>3486</v>
      </c>
      <c r="AF50" s="1388" t="s">
        <v>9391</v>
      </c>
      <c r="AG50" s="1387" t="s">
        <v>384</v>
      </c>
      <c r="AH50" s="1387" t="s">
        <v>9392</v>
      </c>
      <c r="AI50" s="1387" t="s">
        <v>9393</v>
      </c>
      <c r="AJ50" s="1387" t="s">
        <v>9394</v>
      </c>
      <c r="AK50" s="1387" t="s">
        <v>9395</v>
      </c>
      <c r="AL50" s="1387" t="s">
        <v>9396</v>
      </c>
      <c r="AM50" s="1387" t="s">
        <v>6502</v>
      </c>
      <c r="AN50" s="1387" t="s">
        <v>8959</v>
      </c>
      <c r="AO50" s="1403" t="str">
        <f>HYPERLINK("https://clips.twitch.tv/AltruisticEmpathicManateeDoritosChip","1:20.90")</f>
        <v>1:20.90</v>
      </c>
      <c r="AP50" s="1387" t="s">
        <v>9397</v>
      </c>
      <c r="AQ50" s="1387" t="s">
        <v>9398</v>
      </c>
      <c r="AR50" s="1387" t="s">
        <v>9399</v>
      </c>
      <c r="AS50" s="1387" t="s">
        <v>8922</v>
      </c>
      <c r="AT50" s="1387" t="s">
        <v>9400</v>
      </c>
      <c r="AU50" s="1387" t="s">
        <v>9401</v>
      </c>
      <c r="AV50" s="1388" t="str">
        <f t="shared" si="1"/>
        <v>2:40</v>
      </c>
      <c r="AW50" s="1460" t="s">
        <v>9402</v>
      </c>
    </row>
    <row r="51" ht="15.75" customHeight="1">
      <c r="A51" s="1428" t="s">
        <v>1550</v>
      </c>
      <c r="B51" s="1516" t="s">
        <v>8360</v>
      </c>
      <c r="C51" s="1484">
        <v>0.051319444444444445</v>
      </c>
      <c r="D51" s="1299" t="s">
        <v>9403</v>
      </c>
      <c r="E51" s="1388" t="s">
        <v>9404</v>
      </c>
      <c r="F51" s="1388" t="s">
        <v>9405</v>
      </c>
      <c r="G51" s="1388" t="s">
        <v>9406</v>
      </c>
      <c r="H51" s="1388" t="s">
        <v>4989</v>
      </c>
      <c r="I51" s="1388" t="s">
        <v>6223</v>
      </c>
      <c r="J51" s="1388" t="s">
        <v>9407</v>
      </c>
      <c r="K51" s="1388" t="s">
        <v>8689</v>
      </c>
      <c r="L51" s="1388" t="s">
        <v>3752</v>
      </c>
      <c r="M51" s="1388" t="s">
        <v>9175</v>
      </c>
      <c r="N51" s="1388" t="s">
        <v>8936</v>
      </c>
      <c r="O51" s="1388" t="s">
        <v>9408</v>
      </c>
      <c r="P51" s="1517" t="s">
        <v>8370</v>
      </c>
      <c r="Q51" s="1388" t="s">
        <v>9409</v>
      </c>
      <c r="R51" s="1388" t="s">
        <v>9410</v>
      </c>
      <c r="S51" s="1388" t="s">
        <v>1091</v>
      </c>
      <c r="T51" s="1388" t="s">
        <v>9411</v>
      </c>
      <c r="U51" s="1388" t="s">
        <v>126</v>
      </c>
      <c r="V51" s="1388" t="s">
        <v>447</v>
      </c>
      <c r="W51" s="1388" t="s">
        <v>9412</v>
      </c>
      <c r="X51" s="1388" t="s">
        <v>194</v>
      </c>
      <c r="Y51" s="1388" t="s">
        <v>9413</v>
      </c>
      <c r="Z51" s="1388" t="s">
        <v>6507</v>
      </c>
      <c r="AA51" s="1388" t="s">
        <v>9206</v>
      </c>
      <c r="AB51" s="1388" t="s">
        <v>4305</v>
      </c>
      <c r="AC51" s="1388" t="s">
        <v>6031</v>
      </c>
      <c r="AD51" s="1388" t="s">
        <v>9414</v>
      </c>
      <c r="AE51" s="1517" t="s">
        <v>8382</v>
      </c>
      <c r="AF51" s="1517" t="s">
        <v>2662</v>
      </c>
      <c r="AG51" s="1388" t="s">
        <v>4480</v>
      </c>
      <c r="AH51" s="1388" t="s">
        <v>9415</v>
      </c>
      <c r="AI51" s="1388" t="s">
        <v>9416</v>
      </c>
      <c r="AJ51" s="1388" t="s">
        <v>9417</v>
      </c>
      <c r="AK51" s="1388" t="s">
        <v>5825</v>
      </c>
      <c r="AL51" s="1388" t="s">
        <v>5997</v>
      </c>
      <c r="AM51" s="1517" t="s">
        <v>8387</v>
      </c>
      <c r="AN51" s="1387" t="s">
        <v>2460</v>
      </c>
      <c r="AO51" s="1388" t="s">
        <v>4802</v>
      </c>
      <c r="AP51" s="1388" t="s">
        <v>9418</v>
      </c>
      <c r="AQ51" s="1388" t="s">
        <v>9419</v>
      </c>
      <c r="AR51" s="1388" t="s">
        <v>8807</v>
      </c>
      <c r="AS51" s="1388" t="s">
        <v>4372</v>
      </c>
      <c r="AT51" s="1388" t="s">
        <v>9420</v>
      </c>
      <c r="AU51" s="1388" t="s">
        <v>9421</v>
      </c>
      <c r="AV51" s="1388" t="str">
        <f t="shared" si="1"/>
        <v>3:15</v>
      </c>
      <c r="AW51" s="1460" t="s">
        <v>9422</v>
      </c>
    </row>
    <row r="52">
      <c r="A52" s="1428" t="s">
        <v>1803</v>
      </c>
      <c r="B52" s="1426" t="s">
        <v>8304</v>
      </c>
      <c r="C52" s="1380">
        <v>0.05133101851851852</v>
      </c>
      <c r="D52" s="1498" t="s">
        <v>9423</v>
      </c>
      <c r="E52" s="1432" t="s">
        <v>9424</v>
      </c>
      <c r="F52" s="1432" t="s">
        <v>9425</v>
      </c>
      <c r="G52" s="1432" t="s">
        <v>9426</v>
      </c>
      <c r="H52" s="1478" t="s">
        <v>9427</v>
      </c>
      <c r="I52" s="1478" t="s">
        <v>2980</v>
      </c>
      <c r="J52" s="1434" t="s">
        <v>1997</v>
      </c>
      <c r="K52" s="1434" t="s">
        <v>9428</v>
      </c>
      <c r="L52" s="1434" t="s">
        <v>4021</v>
      </c>
      <c r="M52" s="1434" t="s">
        <v>9429</v>
      </c>
      <c r="N52" s="1434" t="s">
        <v>8554</v>
      </c>
      <c r="O52" s="1434" t="s">
        <v>9430</v>
      </c>
      <c r="P52" s="1434" t="s">
        <v>8488</v>
      </c>
      <c r="Q52" s="1435" t="s">
        <v>9431</v>
      </c>
      <c r="R52" s="1435" t="s">
        <v>9245</v>
      </c>
      <c r="S52" s="1435" t="s">
        <v>9432</v>
      </c>
      <c r="T52" s="1435" t="s">
        <v>8997</v>
      </c>
      <c r="U52" s="1435" t="s">
        <v>9433</v>
      </c>
      <c r="V52" s="1435" t="s">
        <v>8974</v>
      </c>
      <c r="W52" s="1436" t="s">
        <v>9434</v>
      </c>
      <c r="X52" s="1436" t="s">
        <v>9435</v>
      </c>
      <c r="Y52" s="1436" t="s">
        <v>5405</v>
      </c>
      <c r="Z52" s="1436" t="s">
        <v>1497</v>
      </c>
      <c r="AA52" s="1436" t="s">
        <v>9436</v>
      </c>
      <c r="AB52" s="1436" t="s">
        <v>6052</v>
      </c>
      <c r="AC52" s="1436" t="s">
        <v>261</v>
      </c>
      <c r="AD52" s="1432" t="s">
        <v>8737</v>
      </c>
      <c r="AE52" s="1432" t="s">
        <v>5405</v>
      </c>
      <c r="AF52" s="1437" t="s">
        <v>9437</v>
      </c>
      <c r="AG52" s="1437" t="s">
        <v>5724</v>
      </c>
      <c r="AH52" s="1437" t="s">
        <v>3833</v>
      </c>
      <c r="AI52" s="1437" t="s">
        <v>9438</v>
      </c>
      <c r="AJ52" s="1437" t="s">
        <v>9439</v>
      </c>
      <c r="AK52" s="1437" t="s">
        <v>9387</v>
      </c>
      <c r="AL52" s="1437" t="s">
        <v>3836</v>
      </c>
      <c r="AM52" s="1439" t="s">
        <v>9440</v>
      </c>
      <c r="AN52" s="1439" t="s">
        <v>3842</v>
      </c>
      <c r="AO52" s="1439" t="s">
        <v>9441</v>
      </c>
      <c r="AP52" s="1439" t="s">
        <v>9442</v>
      </c>
      <c r="AQ52" s="1439" t="s">
        <v>9032</v>
      </c>
      <c r="AR52" s="1439" t="s">
        <v>9443</v>
      </c>
      <c r="AS52" s="1439" t="s">
        <v>9444</v>
      </c>
      <c r="AT52" s="1434" t="s">
        <v>9445</v>
      </c>
      <c r="AU52" s="1419" t="s">
        <v>9446</v>
      </c>
      <c r="AV52" s="1388" t="str">
        <f t="shared" si="1"/>
        <v>1:34</v>
      </c>
      <c r="AW52" s="1483"/>
    </row>
    <row r="53">
      <c r="A53" s="1428" t="s">
        <v>2857</v>
      </c>
      <c r="B53" s="1426" t="s">
        <v>8304</v>
      </c>
      <c r="C53" s="1380">
        <v>0.05134259259259259</v>
      </c>
      <c r="D53" s="1432" t="s">
        <v>9447</v>
      </c>
      <c r="E53" s="1432" t="s">
        <v>6220</v>
      </c>
      <c r="F53" s="1432" t="s">
        <v>9448</v>
      </c>
      <c r="G53" s="1432" t="s">
        <v>9449</v>
      </c>
      <c r="H53" s="1432" t="s">
        <v>9450</v>
      </c>
      <c r="I53" s="1432" t="s">
        <v>1288</v>
      </c>
      <c r="J53" s="1434" t="s">
        <v>4891</v>
      </c>
      <c r="K53" s="1434" t="s">
        <v>6379</v>
      </c>
      <c r="L53" s="1434" t="s">
        <v>4761</v>
      </c>
      <c r="M53" s="1434" t="s">
        <v>3345</v>
      </c>
      <c r="N53" s="1434" t="s">
        <v>1931</v>
      </c>
      <c r="O53" s="1434" t="s">
        <v>9451</v>
      </c>
      <c r="P53" s="1434" t="s">
        <v>4435</v>
      </c>
      <c r="Q53" s="1435" t="s">
        <v>9452</v>
      </c>
      <c r="R53" s="1435" t="s">
        <v>2544</v>
      </c>
      <c r="S53" s="1435" t="s">
        <v>9453</v>
      </c>
      <c r="T53" s="1435" t="s">
        <v>9454</v>
      </c>
      <c r="U53" s="1435" t="s">
        <v>9343</v>
      </c>
      <c r="V53" s="1435" t="s">
        <v>9455</v>
      </c>
      <c r="W53" s="1436" t="s">
        <v>9456</v>
      </c>
      <c r="X53" s="1436" t="s">
        <v>8383</v>
      </c>
      <c r="Y53" s="1436" t="s">
        <v>9045</v>
      </c>
      <c r="Z53" s="1436" t="s">
        <v>2904</v>
      </c>
      <c r="AA53" s="1387" t="s">
        <v>587</v>
      </c>
      <c r="AB53" s="1436" t="s">
        <v>8731</v>
      </c>
      <c r="AC53" s="1436" t="s">
        <v>8895</v>
      </c>
      <c r="AD53" s="1432" t="s">
        <v>9457</v>
      </c>
      <c r="AE53" s="1432" t="s">
        <v>9227</v>
      </c>
      <c r="AF53" s="1437" t="s">
        <v>9458</v>
      </c>
      <c r="AG53" s="1437" t="s">
        <v>9459</v>
      </c>
      <c r="AH53" s="1437" t="s">
        <v>1827</v>
      </c>
      <c r="AI53" s="1437" t="s">
        <v>418</v>
      </c>
      <c r="AJ53" s="1437" t="s">
        <v>9460</v>
      </c>
      <c r="AK53" s="1437" t="s">
        <v>9461</v>
      </c>
      <c r="AL53" s="1437" t="s">
        <v>5498</v>
      </c>
      <c r="AM53" s="1439" t="s">
        <v>9462</v>
      </c>
      <c r="AN53" s="1439" t="s">
        <v>6173</v>
      </c>
      <c r="AO53" s="1439" t="s">
        <v>9463</v>
      </c>
      <c r="AP53" s="1439" t="s">
        <v>9464</v>
      </c>
      <c r="AQ53" s="1439" t="s">
        <v>9032</v>
      </c>
      <c r="AR53" s="1439" t="s">
        <v>9465</v>
      </c>
      <c r="AS53" s="1439" t="s">
        <v>1826</v>
      </c>
      <c r="AT53" s="1434" t="s">
        <v>9466</v>
      </c>
      <c r="AU53" s="1419" t="s">
        <v>9376</v>
      </c>
      <c r="AV53" s="1388" t="str">
        <f t="shared" si="1"/>
        <v>2:56</v>
      </c>
      <c r="AW53" s="1427" t="s">
        <v>9467</v>
      </c>
    </row>
    <row r="54" ht="15.75" customHeight="1">
      <c r="A54" s="1393" t="s">
        <v>1411</v>
      </c>
      <c r="B54" s="1516" t="s">
        <v>8360</v>
      </c>
      <c r="C54" s="1484">
        <v>0.05134259259259259</v>
      </c>
      <c r="D54" s="1299" t="s">
        <v>9468</v>
      </c>
      <c r="E54" s="1446" t="s">
        <v>9469</v>
      </c>
      <c r="F54" s="1446" t="s">
        <v>9448</v>
      </c>
      <c r="G54" s="1446" t="s">
        <v>9470</v>
      </c>
      <c r="H54" s="1433" t="s">
        <v>9471</v>
      </c>
      <c r="I54" s="1518" t="s">
        <v>348</v>
      </c>
      <c r="J54" s="1447" t="s">
        <v>9472</v>
      </c>
      <c r="K54" s="1447" t="s">
        <v>3716</v>
      </c>
      <c r="L54" s="1519" t="s">
        <v>3670</v>
      </c>
      <c r="M54" s="1447" t="s">
        <v>5541</v>
      </c>
      <c r="N54" s="1447" t="s">
        <v>9473</v>
      </c>
      <c r="O54" s="1519" t="s">
        <v>8369</v>
      </c>
      <c r="P54" s="1447" t="s">
        <v>385</v>
      </c>
      <c r="Q54" s="1448" t="s">
        <v>9474</v>
      </c>
      <c r="R54" s="1448" t="s">
        <v>1712</v>
      </c>
      <c r="S54" s="1448" t="s">
        <v>9475</v>
      </c>
      <c r="T54" s="1520" t="s">
        <v>8373</v>
      </c>
      <c r="U54" s="1448" t="s">
        <v>9476</v>
      </c>
      <c r="V54" s="1448" t="s">
        <v>3835</v>
      </c>
      <c r="W54" s="1521" t="s">
        <v>8376</v>
      </c>
      <c r="X54" s="1449" t="s">
        <v>4180</v>
      </c>
      <c r="Y54" s="1449" t="s">
        <v>6223</v>
      </c>
      <c r="Z54" s="1449" t="s">
        <v>6764</v>
      </c>
      <c r="AA54" s="1449" t="s">
        <v>8840</v>
      </c>
      <c r="AB54" s="1521" t="s">
        <v>8380</v>
      </c>
      <c r="AC54" s="1449" t="s">
        <v>7097</v>
      </c>
      <c r="AD54" s="1439" t="s">
        <v>9477</v>
      </c>
      <c r="AE54" s="1446" t="s">
        <v>9478</v>
      </c>
      <c r="AF54" s="1450" t="s">
        <v>9479</v>
      </c>
      <c r="AG54" s="1450" t="s">
        <v>9480</v>
      </c>
      <c r="AH54" s="1450" t="s">
        <v>9481</v>
      </c>
      <c r="AI54" s="1450" t="s">
        <v>9482</v>
      </c>
      <c r="AJ54" s="1450" t="s">
        <v>9483</v>
      </c>
      <c r="AK54" s="1522" t="s">
        <v>8385</v>
      </c>
      <c r="AL54" s="1450" t="s">
        <v>9484</v>
      </c>
      <c r="AM54" s="1438" t="s">
        <v>9369</v>
      </c>
      <c r="AN54" s="1439" t="s">
        <v>4127</v>
      </c>
      <c r="AO54" s="1438" t="s">
        <v>9485</v>
      </c>
      <c r="AP54" s="1438" t="s">
        <v>9486</v>
      </c>
      <c r="AQ54" s="1438" t="s">
        <v>9487</v>
      </c>
      <c r="AR54" s="1438" t="s">
        <v>8399</v>
      </c>
      <c r="AS54" s="1438" t="s">
        <v>4555</v>
      </c>
      <c r="AT54" s="1447" t="s">
        <v>9488</v>
      </c>
      <c r="AU54" s="1451" t="s">
        <v>9489</v>
      </c>
      <c r="AV54" s="1388" t="str">
        <f t="shared" si="1"/>
        <v>1:58</v>
      </c>
      <c r="AW54" s="1483"/>
    </row>
    <row r="55" ht="15.75" customHeight="1">
      <c r="A55" s="1378" t="s">
        <v>3383</v>
      </c>
      <c r="B55" s="1379" t="s">
        <v>8304</v>
      </c>
      <c r="C55" s="1484">
        <v>0.05134259259259259</v>
      </c>
      <c r="D55" s="1299" t="s">
        <v>9490</v>
      </c>
      <c r="E55" s="1388" t="s">
        <v>9491</v>
      </c>
      <c r="F55" s="1388" t="s">
        <v>9492</v>
      </c>
      <c r="G55" s="1388" t="s">
        <v>6814</v>
      </c>
      <c r="H55" s="1388" t="s">
        <v>8542</v>
      </c>
      <c r="I55" s="1388" t="s">
        <v>6000</v>
      </c>
      <c r="J55" s="1388" t="s">
        <v>9493</v>
      </c>
      <c r="K55" s="1388" t="s">
        <v>3759</v>
      </c>
      <c r="L55" s="1388" t="s">
        <v>9494</v>
      </c>
      <c r="M55" s="1388" t="s">
        <v>9495</v>
      </c>
      <c r="N55" s="1388" t="s">
        <v>2742</v>
      </c>
      <c r="O55" s="1388" t="s">
        <v>9222</v>
      </c>
      <c r="P55" s="1388" t="s">
        <v>1155</v>
      </c>
      <c r="Q55" s="1388" t="s">
        <v>2450</v>
      </c>
      <c r="R55" s="1388" t="s">
        <v>9245</v>
      </c>
      <c r="S55" s="1388" t="s">
        <v>9084</v>
      </c>
      <c r="T55" s="1388" t="s">
        <v>9496</v>
      </c>
      <c r="U55" s="1388" t="s">
        <v>9497</v>
      </c>
      <c r="V55" s="1388" t="s">
        <v>4125</v>
      </c>
      <c r="W55" s="1388" t="s">
        <v>9498</v>
      </c>
      <c r="X55" s="1388" t="s">
        <v>9499</v>
      </c>
      <c r="Y55" s="1388" t="s">
        <v>385</v>
      </c>
      <c r="Z55" s="1388" t="s">
        <v>6791</v>
      </c>
      <c r="AA55" s="1388" t="s">
        <v>9027</v>
      </c>
      <c r="AB55" s="1388" t="s">
        <v>8429</v>
      </c>
      <c r="AC55" s="1388" t="s">
        <v>935</v>
      </c>
      <c r="AD55" s="1388" t="s">
        <v>9500</v>
      </c>
      <c r="AE55" s="1388" t="s">
        <v>385</v>
      </c>
      <c r="AF55" s="1388" t="s">
        <v>9501</v>
      </c>
      <c r="AG55" s="1388" t="s">
        <v>9502</v>
      </c>
      <c r="AH55" s="1388" t="s">
        <v>5104</v>
      </c>
      <c r="AI55" s="1388" t="s">
        <v>9503</v>
      </c>
      <c r="AJ55" s="1388" t="s">
        <v>9439</v>
      </c>
      <c r="AK55" s="1388" t="s">
        <v>6529</v>
      </c>
      <c r="AL55" s="1388" t="s">
        <v>4362</v>
      </c>
      <c r="AM55" s="1388" t="s">
        <v>3983</v>
      </c>
      <c r="AN55" s="1388" t="s">
        <v>9504</v>
      </c>
      <c r="AO55" s="1388" t="s">
        <v>8547</v>
      </c>
      <c r="AP55" s="1388" t="s">
        <v>9505</v>
      </c>
      <c r="AQ55" s="1388" t="s">
        <v>9506</v>
      </c>
      <c r="AR55" s="1388" t="s">
        <v>9507</v>
      </c>
      <c r="AS55" s="1438" t="s">
        <v>4334</v>
      </c>
      <c r="AT55" s="1388" t="s">
        <v>9508</v>
      </c>
      <c r="AU55" s="1388" t="s">
        <v>8669</v>
      </c>
      <c r="AV55" s="1388" t="str">
        <f t="shared" si="1"/>
        <v>2:27</v>
      </c>
      <c r="AW55" s="1460"/>
    </row>
    <row r="56" ht="15.75" customHeight="1">
      <c r="A56" s="1428" t="s">
        <v>1343</v>
      </c>
      <c r="B56" s="1421" t="s">
        <v>8360</v>
      </c>
      <c r="C56" s="1380">
        <v>0.05140046296296296</v>
      </c>
      <c r="D56" s="1387" t="s">
        <v>9509</v>
      </c>
      <c r="E56" s="1387" t="s">
        <v>1578</v>
      </c>
      <c r="F56" s="1387" t="s">
        <v>9510</v>
      </c>
      <c r="G56" s="1509" t="s">
        <v>8364</v>
      </c>
      <c r="H56" s="1299" t="s">
        <v>9511</v>
      </c>
      <c r="I56" s="1387" t="s">
        <v>1754</v>
      </c>
      <c r="J56" s="1509" t="s">
        <v>8366</v>
      </c>
      <c r="K56" s="1387" t="s">
        <v>9512</v>
      </c>
      <c r="L56" s="1387" t="s">
        <v>9513</v>
      </c>
      <c r="M56" s="1509" t="s">
        <v>8367</v>
      </c>
      <c r="N56" s="1387" t="s">
        <v>9514</v>
      </c>
      <c r="O56" s="1387" t="s">
        <v>3367</v>
      </c>
      <c r="P56" s="1387" t="s">
        <v>1047</v>
      </c>
      <c r="Q56" s="1387" t="s">
        <v>9340</v>
      </c>
      <c r="R56" s="1387" t="s">
        <v>9515</v>
      </c>
      <c r="S56" s="1387" t="s">
        <v>9516</v>
      </c>
      <c r="T56" s="1387" t="s">
        <v>9517</v>
      </c>
      <c r="U56" s="1387" t="s">
        <v>9259</v>
      </c>
      <c r="V56" s="1387" t="s">
        <v>5655</v>
      </c>
      <c r="W56" s="1387" t="s">
        <v>9518</v>
      </c>
      <c r="X56" s="1387" t="s">
        <v>624</v>
      </c>
      <c r="Y56" s="1387" t="s">
        <v>9519</v>
      </c>
      <c r="Z56" s="1387" t="s">
        <v>9520</v>
      </c>
      <c r="AA56" s="1523" t="s">
        <v>8379</v>
      </c>
      <c r="AB56" s="1387" t="s">
        <v>5807</v>
      </c>
      <c r="AC56" s="1387" t="s">
        <v>9521</v>
      </c>
      <c r="AD56" s="1387" t="s">
        <v>8650</v>
      </c>
      <c r="AE56" s="1387" t="s">
        <v>2550</v>
      </c>
      <c r="AF56" s="1387" t="s">
        <v>9522</v>
      </c>
      <c r="AG56" s="1509" t="s">
        <v>4538</v>
      </c>
      <c r="AH56" s="1509" t="s">
        <v>5113</v>
      </c>
      <c r="AI56" s="1387" t="s">
        <v>9523</v>
      </c>
      <c r="AJ56" s="1387" t="s">
        <v>9524</v>
      </c>
      <c r="AK56" s="1387" t="s">
        <v>6743</v>
      </c>
      <c r="AL56" s="1387" t="s">
        <v>3751</v>
      </c>
      <c r="AM56" s="1387" t="s">
        <v>9525</v>
      </c>
      <c r="AN56" s="1387" t="s">
        <v>3439</v>
      </c>
      <c r="AO56" s="1509" t="s">
        <v>8389</v>
      </c>
      <c r="AP56" s="1524" t="s">
        <v>8390</v>
      </c>
      <c r="AQ56" s="1387" t="s">
        <v>3509</v>
      </c>
      <c r="AR56" s="1387" t="s">
        <v>9526</v>
      </c>
      <c r="AS56" s="1387" t="s">
        <v>5076</v>
      </c>
      <c r="AT56" s="1387" t="s">
        <v>9527</v>
      </c>
      <c r="AU56" s="1387" t="s">
        <v>8669</v>
      </c>
      <c r="AV56" s="1388" t="str">
        <f t="shared" si="1"/>
        <v>2:22</v>
      </c>
      <c r="AW56" s="1424" t="s">
        <v>9528</v>
      </c>
    </row>
    <row r="57" ht="15.75" customHeight="1">
      <c r="A57" s="1428" t="s">
        <v>7021</v>
      </c>
      <c r="B57" s="1507" t="s">
        <v>8304</v>
      </c>
      <c r="C57" s="1525">
        <v>0.05143518518518519</v>
      </c>
      <c r="D57" s="1432" t="s">
        <v>9529</v>
      </c>
      <c r="E57" s="1432" t="s">
        <v>4489</v>
      </c>
      <c r="F57" s="1432" t="s">
        <v>9530</v>
      </c>
      <c r="G57" s="1432" t="s">
        <v>8751</v>
      </c>
      <c r="H57" s="1478" t="s">
        <v>9531</v>
      </c>
      <c r="I57" s="1478" t="s">
        <v>7546</v>
      </c>
      <c r="J57" s="1434" t="s">
        <v>9016</v>
      </c>
      <c r="K57" s="1434" t="s">
        <v>9532</v>
      </c>
      <c r="L57" s="1434" t="s">
        <v>4537</v>
      </c>
      <c r="M57" s="1434" t="s">
        <v>6716</v>
      </c>
      <c r="N57" s="1526" t="s">
        <v>156</v>
      </c>
      <c r="O57" s="1434" t="s">
        <v>3809</v>
      </c>
      <c r="P57" s="1434" t="s">
        <v>409</v>
      </c>
      <c r="Q57" s="1435" t="s">
        <v>9533</v>
      </c>
      <c r="R57" s="1435" t="s">
        <v>8954</v>
      </c>
      <c r="S57" s="1435" t="s">
        <v>9534</v>
      </c>
      <c r="T57" s="1435" t="s">
        <v>9248</v>
      </c>
      <c r="U57" s="1435" t="s">
        <v>9031</v>
      </c>
      <c r="V57" s="1435" t="s">
        <v>2159</v>
      </c>
      <c r="W57" s="1436" t="s">
        <v>5502</v>
      </c>
      <c r="X57" s="1436" t="s">
        <v>8772</v>
      </c>
      <c r="Y57" s="1436" t="s">
        <v>3069</v>
      </c>
      <c r="Z57" s="1436" t="s">
        <v>9535</v>
      </c>
      <c r="AA57" s="1436" t="s">
        <v>8772</v>
      </c>
      <c r="AB57" s="1436" t="s">
        <v>9128</v>
      </c>
      <c r="AC57" s="1436" t="s">
        <v>479</v>
      </c>
      <c r="AD57" s="1432" t="s">
        <v>9536</v>
      </c>
      <c r="AE57" s="1432" t="s">
        <v>5061</v>
      </c>
      <c r="AF57" s="1437" t="s">
        <v>9537</v>
      </c>
      <c r="AG57" s="1437" t="s">
        <v>9538</v>
      </c>
      <c r="AH57" s="1437" t="s">
        <v>3908</v>
      </c>
      <c r="AI57" s="1437" t="s">
        <v>9538</v>
      </c>
      <c r="AJ57" s="1437" t="s">
        <v>9539</v>
      </c>
      <c r="AK57" s="1527" t="s">
        <v>4480</v>
      </c>
      <c r="AL57" s="1437" t="s">
        <v>8340</v>
      </c>
      <c r="AM57" s="1439" t="s">
        <v>9540</v>
      </c>
      <c r="AN57" s="1439" t="s">
        <v>565</v>
      </c>
      <c r="AO57" s="1439" t="s">
        <v>3608</v>
      </c>
      <c r="AP57" s="1439" t="s">
        <v>9541</v>
      </c>
      <c r="AQ57" s="1299" t="s">
        <v>4438</v>
      </c>
      <c r="AR57" s="1528" t="s">
        <v>9542</v>
      </c>
      <c r="AS57" s="1439" t="s">
        <v>9543</v>
      </c>
      <c r="AT57" s="1434" t="s">
        <v>9544</v>
      </c>
      <c r="AU57" s="1419" t="s">
        <v>9545</v>
      </c>
      <c r="AV57" s="1388" t="str">
        <f t="shared" si="1"/>
        <v>4:08</v>
      </c>
      <c r="AW57" s="1427" t="s">
        <v>9546</v>
      </c>
    </row>
    <row r="58" ht="15.75" customHeight="1">
      <c r="A58" s="1428" t="s">
        <v>3820</v>
      </c>
      <c r="B58" s="1426" t="s">
        <v>8304</v>
      </c>
      <c r="C58" s="1380">
        <v>0.05153935185185185</v>
      </c>
      <c r="D58" s="1459" t="s">
        <v>9547</v>
      </c>
      <c r="E58" s="1459" t="s">
        <v>7260</v>
      </c>
      <c r="F58" s="1459" t="s">
        <v>9548</v>
      </c>
      <c r="G58" s="1459" t="s">
        <v>4810</v>
      </c>
      <c r="H58" s="1299" t="s">
        <v>9549</v>
      </c>
      <c r="I58" s="1459" t="s">
        <v>1288</v>
      </c>
      <c r="J58" s="1459" t="s">
        <v>9550</v>
      </c>
      <c r="K58" s="1459" t="s">
        <v>3378</v>
      </c>
      <c r="L58" s="1459" t="s">
        <v>4059</v>
      </c>
      <c r="M58" s="1459" t="s">
        <v>6303</v>
      </c>
      <c r="N58" s="1459" t="s">
        <v>9551</v>
      </c>
      <c r="O58" s="1459" t="s">
        <v>3662</v>
      </c>
      <c r="P58" s="1459" t="s">
        <v>7553</v>
      </c>
      <c r="Q58" s="1459" t="s">
        <v>9552</v>
      </c>
      <c r="R58" s="1459" t="s">
        <v>3135</v>
      </c>
      <c r="S58" s="1529" t="s">
        <v>9172</v>
      </c>
      <c r="T58" s="1459" t="s">
        <v>8958</v>
      </c>
      <c r="U58" s="1459" t="s">
        <v>9553</v>
      </c>
      <c r="V58" s="1459" t="s">
        <v>1786</v>
      </c>
      <c r="W58" s="1459" t="s">
        <v>9554</v>
      </c>
      <c r="X58" s="1459" t="s">
        <v>1595</v>
      </c>
      <c r="Y58" s="1459" t="s">
        <v>3263</v>
      </c>
      <c r="Z58" s="1459" t="s">
        <v>6498</v>
      </c>
      <c r="AA58" s="1459" t="s">
        <v>892</v>
      </c>
      <c r="AB58" s="1459" t="s">
        <v>9555</v>
      </c>
      <c r="AC58" s="1459" t="s">
        <v>9521</v>
      </c>
      <c r="AD58" s="1459" t="s">
        <v>9556</v>
      </c>
      <c r="AE58" s="1459" t="s">
        <v>4817</v>
      </c>
      <c r="AF58" s="1530" t="s">
        <v>9557</v>
      </c>
      <c r="AG58" s="1459" t="s">
        <v>9558</v>
      </c>
      <c r="AH58" s="1459" t="s">
        <v>9559</v>
      </c>
      <c r="AI58" s="1459" t="s">
        <v>9560</v>
      </c>
      <c r="AJ58" s="1459" t="s">
        <v>9561</v>
      </c>
      <c r="AK58" s="1459" t="s">
        <v>4964</v>
      </c>
      <c r="AL58" s="1459" t="s">
        <v>9371</v>
      </c>
      <c r="AM58" s="1459" t="s">
        <v>9523</v>
      </c>
      <c r="AN58" s="1459" t="s">
        <v>2539</v>
      </c>
      <c r="AO58" s="1459" t="s">
        <v>5577</v>
      </c>
      <c r="AP58" s="1529" t="s">
        <v>9307</v>
      </c>
      <c r="AQ58" s="1459" t="s">
        <v>9562</v>
      </c>
      <c r="AR58" s="1459" t="s">
        <v>4891</v>
      </c>
      <c r="AS58" s="1459" t="s">
        <v>8922</v>
      </c>
      <c r="AT58" s="1459" t="s">
        <v>9563</v>
      </c>
      <c r="AU58" s="1459" t="s">
        <v>9564</v>
      </c>
      <c r="AV58" s="1531" t="str">
        <f t="shared" si="1"/>
        <v>2:41</v>
      </c>
      <c r="AW58" s="1532" t="s">
        <v>9565</v>
      </c>
    </row>
    <row r="59" ht="15.75" customHeight="1">
      <c r="A59" s="1378" t="s">
        <v>1881</v>
      </c>
      <c r="B59" s="1379" t="s">
        <v>8304</v>
      </c>
      <c r="C59" s="1380">
        <v>0.05157407407407407</v>
      </c>
      <c r="D59" s="1299" t="s">
        <v>9566</v>
      </c>
      <c r="E59" s="1432" t="s">
        <v>9567</v>
      </c>
      <c r="F59" s="1432" t="s">
        <v>9568</v>
      </c>
      <c r="G59" s="1446" t="s">
        <v>9039</v>
      </c>
      <c r="H59" s="1433" t="s">
        <v>9569</v>
      </c>
      <c r="I59" s="1433" t="s">
        <v>2020</v>
      </c>
      <c r="J59" s="1447" t="s">
        <v>5376</v>
      </c>
      <c r="K59" s="1447" t="s">
        <v>3234</v>
      </c>
      <c r="L59" s="1447" t="s">
        <v>9570</v>
      </c>
      <c r="M59" s="1447" t="s">
        <v>9242</v>
      </c>
      <c r="N59" s="1447" t="s">
        <v>1229</v>
      </c>
      <c r="O59" s="1447" t="s">
        <v>9518</v>
      </c>
      <c r="P59" s="1447" t="s">
        <v>8531</v>
      </c>
      <c r="Q59" s="1448" t="s">
        <v>9571</v>
      </c>
      <c r="R59" s="1448" t="s">
        <v>9572</v>
      </c>
      <c r="S59" s="1448" t="s">
        <v>9573</v>
      </c>
      <c r="T59" s="1448" t="s">
        <v>6502</v>
      </c>
      <c r="U59" s="1448" t="s">
        <v>6427</v>
      </c>
      <c r="V59" s="1448" t="s">
        <v>5019</v>
      </c>
      <c r="W59" s="1449" t="s">
        <v>9574</v>
      </c>
      <c r="X59" s="1449" t="s">
        <v>9575</v>
      </c>
      <c r="Y59" s="1449" t="s">
        <v>9413</v>
      </c>
      <c r="Z59" s="1449" t="s">
        <v>8380</v>
      </c>
      <c r="AA59" s="1449" t="s">
        <v>5860</v>
      </c>
      <c r="AB59" s="1449" t="s">
        <v>5571</v>
      </c>
      <c r="AC59" s="1449" t="s">
        <v>6136</v>
      </c>
      <c r="AD59" s="1432" t="s">
        <v>9576</v>
      </c>
      <c r="AE59" s="1446" t="s">
        <v>5425</v>
      </c>
      <c r="AF59" s="1450" t="s">
        <v>9577</v>
      </c>
      <c r="AG59" s="1450" t="s">
        <v>9578</v>
      </c>
      <c r="AH59" s="1450" t="s">
        <v>9579</v>
      </c>
      <c r="AI59" s="1450" t="s">
        <v>1038</v>
      </c>
      <c r="AJ59" s="1450" t="s">
        <v>9580</v>
      </c>
      <c r="AK59" s="1437" t="s">
        <v>624</v>
      </c>
      <c r="AL59" s="1437" t="s">
        <v>9581</v>
      </c>
      <c r="AM59" s="1438" t="s">
        <v>3308</v>
      </c>
      <c r="AN59" s="1438" t="s">
        <v>9582</v>
      </c>
      <c r="AO59" s="1438" t="s">
        <v>9583</v>
      </c>
      <c r="AP59" s="1438" t="s">
        <v>9584</v>
      </c>
      <c r="AQ59" s="1438" t="s">
        <v>9585</v>
      </c>
      <c r="AR59" s="1439" t="s">
        <v>7019</v>
      </c>
      <c r="AS59" s="1438" t="s">
        <v>4334</v>
      </c>
      <c r="AT59" s="1447" t="s">
        <v>9586</v>
      </c>
      <c r="AU59" s="1451" t="s">
        <v>9587</v>
      </c>
      <c r="AV59" s="1388" t="str">
        <f t="shared" si="1"/>
        <v>4:40</v>
      </c>
      <c r="AW59" s="1483" t="s">
        <v>9588</v>
      </c>
    </row>
    <row r="60" ht="15.75" customHeight="1">
      <c r="A60" s="1428" t="s">
        <v>9589</v>
      </c>
      <c r="B60" s="1426" t="s">
        <v>8304</v>
      </c>
      <c r="C60" s="1380">
        <v>0.051631944444444446</v>
      </c>
      <c r="D60" s="1432" t="s">
        <v>9590</v>
      </c>
      <c r="E60" s="1432" t="s">
        <v>7144</v>
      </c>
      <c r="F60" s="1432" t="s">
        <v>8539</v>
      </c>
      <c r="G60" s="1432" t="s">
        <v>9591</v>
      </c>
      <c r="H60" s="1478" t="s">
        <v>9592</v>
      </c>
      <c r="I60" s="1478" t="s">
        <v>9593</v>
      </c>
      <c r="J60" s="1434" t="s">
        <v>9594</v>
      </c>
      <c r="K60" s="1434" t="s">
        <v>6743</v>
      </c>
      <c r="L60" s="1434" t="s">
        <v>4391</v>
      </c>
      <c r="M60" s="1434" t="s">
        <v>9595</v>
      </c>
      <c r="N60" s="1434" t="s">
        <v>8955</v>
      </c>
      <c r="O60" s="1434" t="s">
        <v>9596</v>
      </c>
      <c r="P60" s="1434" t="s">
        <v>7177</v>
      </c>
      <c r="Q60" s="1435" t="s">
        <v>9597</v>
      </c>
      <c r="R60" s="1435" t="s">
        <v>9410</v>
      </c>
      <c r="S60" s="1435" t="s">
        <v>5506</v>
      </c>
      <c r="T60" s="1435" t="s">
        <v>5980</v>
      </c>
      <c r="U60" s="1435" t="s">
        <v>9598</v>
      </c>
      <c r="V60" s="1435" t="s">
        <v>9599</v>
      </c>
      <c r="W60" s="1436" t="s">
        <v>9600</v>
      </c>
      <c r="X60" s="1436" t="s">
        <v>624</v>
      </c>
      <c r="Y60" s="1436" t="s">
        <v>5010</v>
      </c>
      <c r="Z60" s="1436" t="s">
        <v>9601</v>
      </c>
      <c r="AA60" s="1387" t="s">
        <v>1680</v>
      </c>
      <c r="AB60" s="1436" t="s">
        <v>9183</v>
      </c>
      <c r="AC60" s="1436" t="s">
        <v>4615</v>
      </c>
      <c r="AD60" s="1432" t="s">
        <v>9602</v>
      </c>
      <c r="AE60" s="1432" t="s">
        <v>8830</v>
      </c>
      <c r="AF60" s="1533" t="s">
        <v>9603</v>
      </c>
      <c r="AG60" s="1437" t="s">
        <v>7240</v>
      </c>
      <c r="AH60" s="1437" t="s">
        <v>9579</v>
      </c>
      <c r="AI60" s="1437" t="s">
        <v>3955</v>
      </c>
      <c r="AJ60" s="1437" t="s">
        <v>9604</v>
      </c>
      <c r="AK60" s="1437" t="s">
        <v>1518</v>
      </c>
      <c r="AL60" s="1437" t="s">
        <v>4380</v>
      </c>
      <c r="AM60" s="1439" t="s">
        <v>5860</v>
      </c>
      <c r="AN60" s="1439" t="s">
        <v>5498</v>
      </c>
      <c r="AO60" s="1439" t="s">
        <v>7086</v>
      </c>
      <c r="AP60" s="1439" t="s">
        <v>9605</v>
      </c>
      <c r="AQ60" s="1439" t="s">
        <v>3242</v>
      </c>
      <c r="AR60" s="1439" t="s">
        <v>9146</v>
      </c>
      <c r="AS60" s="1439" t="s">
        <v>3861</v>
      </c>
      <c r="AT60" s="1434" t="s">
        <v>9606</v>
      </c>
      <c r="AU60" s="1419" t="s">
        <v>9607</v>
      </c>
      <c r="AV60" s="1388" t="str">
        <f t="shared" si="1"/>
        <v>2:25</v>
      </c>
      <c r="AW60" s="1479" t="s">
        <v>9608</v>
      </c>
    </row>
    <row r="61" ht="15.75" customHeight="1">
      <c r="A61" s="1463" t="s">
        <v>9609</v>
      </c>
      <c r="B61" s="1379" t="s">
        <v>8304</v>
      </c>
      <c r="C61" s="1484">
        <v>0.051631944444444446</v>
      </c>
      <c r="D61" s="1299" t="s">
        <v>9610</v>
      </c>
      <c r="E61" s="1531" t="s">
        <v>9611</v>
      </c>
      <c r="F61" s="1531" t="s">
        <v>8390</v>
      </c>
      <c r="G61" s="1531" t="s">
        <v>9612</v>
      </c>
      <c r="H61" s="1531" t="s">
        <v>9613</v>
      </c>
      <c r="I61" s="1531" t="s">
        <v>9521</v>
      </c>
      <c r="J61" s="1531" t="s">
        <v>3235</v>
      </c>
      <c r="K61" s="1531" t="s">
        <v>8765</v>
      </c>
      <c r="L61" s="1531" t="s">
        <v>5268</v>
      </c>
      <c r="M61" s="1531" t="s">
        <v>710</v>
      </c>
      <c r="N61" s="1531" t="s">
        <v>9614</v>
      </c>
      <c r="O61" s="1531" t="s">
        <v>4624</v>
      </c>
      <c r="P61" s="1531" t="s">
        <v>8338</v>
      </c>
      <c r="Q61" s="1531" t="s">
        <v>9615</v>
      </c>
      <c r="R61" s="1531" t="s">
        <v>9616</v>
      </c>
      <c r="S61" s="1531" t="s">
        <v>9399</v>
      </c>
      <c r="T61" s="1531" t="s">
        <v>9440</v>
      </c>
      <c r="U61" s="1531" t="s">
        <v>9617</v>
      </c>
      <c r="V61" s="1531" t="s">
        <v>9618</v>
      </c>
      <c r="W61" s="1531" t="s">
        <v>9619</v>
      </c>
      <c r="X61" s="1531" t="s">
        <v>9523</v>
      </c>
      <c r="Y61" s="1531" t="s">
        <v>4615</v>
      </c>
      <c r="Z61" s="1531" t="s">
        <v>6418</v>
      </c>
      <c r="AA61" s="1531" t="s">
        <v>8918</v>
      </c>
      <c r="AB61" s="1531" t="s">
        <v>9620</v>
      </c>
      <c r="AC61" s="1531" t="s">
        <v>385</v>
      </c>
      <c r="AD61" s="1531" t="s">
        <v>5901</v>
      </c>
      <c r="AE61" s="1531" t="s">
        <v>2980</v>
      </c>
      <c r="AF61" s="1531" t="s">
        <v>9313</v>
      </c>
      <c r="AG61" s="1531" t="s">
        <v>9621</v>
      </c>
      <c r="AH61" s="1531" t="s">
        <v>5313</v>
      </c>
      <c r="AI61" s="1531" t="s">
        <v>4095</v>
      </c>
      <c r="AJ61" s="1531" t="s">
        <v>9622</v>
      </c>
      <c r="AK61" s="1531" t="s">
        <v>9436</v>
      </c>
      <c r="AL61" s="1531" t="s">
        <v>4416</v>
      </c>
      <c r="AM61" s="1531" t="s">
        <v>9623</v>
      </c>
      <c r="AN61" s="1531" t="s">
        <v>8140</v>
      </c>
      <c r="AO61" s="1531" t="s">
        <v>5027</v>
      </c>
      <c r="AP61" s="1531" t="s">
        <v>9624</v>
      </c>
      <c r="AQ61" s="1531" t="s">
        <v>3269</v>
      </c>
      <c r="AR61" s="1531" t="s">
        <v>8939</v>
      </c>
      <c r="AS61" s="1531" t="s">
        <v>4600</v>
      </c>
      <c r="AT61" s="1531" t="s">
        <v>9625</v>
      </c>
      <c r="AU61" s="1534" t="str">
        <f>HYPERLINK("https://splits.io/pc9","1:16:48")</f>
        <v>1:16:48</v>
      </c>
      <c r="AV61" s="1531" t="str">
        <f t="shared" si="1"/>
        <v>2:27</v>
      </c>
      <c r="AW61" s="1535" t="s">
        <v>9626</v>
      </c>
    </row>
    <row r="62" ht="15.75" customHeight="1">
      <c r="A62" s="1378" t="s">
        <v>5568</v>
      </c>
      <c r="B62" s="1379" t="s">
        <v>8304</v>
      </c>
      <c r="C62" s="1484">
        <v>0.051631944444444446</v>
      </c>
      <c r="D62" s="1299" t="s">
        <v>9627</v>
      </c>
      <c r="E62" s="1531" t="s">
        <v>7260</v>
      </c>
      <c r="F62" s="1531" t="s">
        <v>9628</v>
      </c>
      <c r="G62" s="1531" t="s">
        <v>5213</v>
      </c>
      <c r="H62" s="1531" t="s">
        <v>9195</v>
      </c>
      <c r="I62" s="1531" t="s">
        <v>4615</v>
      </c>
      <c r="J62" s="1531" t="s">
        <v>8528</v>
      </c>
      <c r="K62" s="1531" t="s">
        <v>8178</v>
      </c>
      <c r="L62" s="1531" t="s">
        <v>5735</v>
      </c>
      <c r="M62" s="1531" t="s">
        <v>864</v>
      </c>
      <c r="N62" s="1531" t="s">
        <v>9629</v>
      </c>
      <c r="O62" s="1531" t="s">
        <v>9408</v>
      </c>
      <c r="P62" s="1531" t="s">
        <v>9316</v>
      </c>
      <c r="Q62" s="1531" t="s">
        <v>9630</v>
      </c>
      <c r="R62" s="1531" t="s">
        <v>9572</v>
      </c>
      <c r="S62" s="1531" t="s">
        <v>6371</v>
      </c>
      <c r="T62" s="1531" t="s">
        <v>9631</v>
      </c>
      <c r="U62" s="1531" t="s">
        <v>9632</v>
      </c>
      <c r="V62" s="1531" t="s">
        <v>9633</v>
      </c>
      <c r="W62" s="1531" t="s">
        <v>9634</v>
      </c>
      <c r="X62" s="1531" t="s">
        <v>9635</v>
      </c>
      <c r="Y62" s="1531" t="s">
        <v>1096</v>
      </c>
      <c r="Z62" s="1531" t="s">
        <v>4707</v>
      </c>
      <c r="AA62" s="1531" t="s">
        <v>9636</v>
      </c>
      <c r="AB62" s="1531" t="s">
        <v>6451</v>
      </c>
      <c r="AC62" s="1531" t="s">
        <v>9637</v>
      </c>
      <c r="AD62" s="1531" t="s">
        <v>9638</v>
      </c>
      <c r="AE62" s="1459" t="s">
        <v>5405</v>
      </c>
      <c r="AF62" s="1531" t="s">
        <v>9639</v>
      </c>
      <c r="AG62" s="1531" t="s">
        <v>9640</v>
      </c>
      <c r="AH62" s="1531" t="s">
        <v>2203</v>
      </c>
      <c r="AI62" s="1531" t="s">
        <v>5114</v>
      </c>
      <c r="AJ62" s="1531" t="s">
        <v>7955</v>
      </c>
      <c r="AK62" s="1531" t="s">
        <v>1626</v>
      </c>
      <c r="AL62" s="1531" t="s">
        <v>5498</v>
      </c>
      <c r="AM62" s="1531" t="s">
        <v>9641</v>
      </c>
      <c r="AN62" s="1531" t="s">
        <v>9642</v>
      </c>
      <c r="AO62" s="1531" t="s">
        <v>8577</v>
      </c>
      <c r="AP62" s="1531" t="s">
        <v>9643</v>
      </c>
      <c r="AQ62" s="1531" t="s">
        <v>9644</v>
      </c>
      <c r="AR62" s="1531" t="s">
        <v>4693</v>
      </c>
      <c r="AS62" s="1531" t="s">
        <v>2908</v>
      </c>
      <c r="AT62" s="1531" t="s">
        <v>9645</v>
      </c>
      <c r="AU62" s="1531" t="s">
        <v>9646</v>
      </c>
      <c r="AV62" s="1531" t="str">
        <f t="shared" si="1"/>
        <v>3:33</v>
      </c>
      <c r="AW62" s="1535"/>
    </row>
    <row r="63" ht="15.75" customHeight="1">
      <c r="A63" s="1378" t="s">
        <v>4063</v>
      </c>
      <c r="B63" s="1379" t="s">
        <v>8304</v>
      </c>
      <c r="C63" s="1484">
        <v>0.05164351851851852</v>
      </c>
      <c r="D63" s="1299" t="s">
        <v>9647</v>
      </c>
      <c r="E63" s="1531" t="s">
        <v>8479</v>
      </c>
      <c r="F63" s="1531" t="s">
        <v>9648</v>
      </c>
      <c r="G63" s="1531" t="s">
        <v>8364</v>
      </c>
      <c r="H63" s="1531" t="s">
        <v>9649</v>
      </c>
      <c r="I63" s="1531" t="s">
        <v>1288</v>
      </c>
      <c r="J63" s="1531" t="s">
        <v>803</v>
      </c>
      <c r="K63" s="1531" t="s">
        <v>6330</v>
      </c>
      <c r="L63" s="1531" t="s">
        <v>3309</v>
      </c>
      <c r="M63" s="1531" t="s">
        <v>9595</v>
      </c>
      <c r="N63" s="1531" t="s">
        <v>8632</v>
      </c>
      <c r="O63" s="1531" t="s">
        <v>9320</v>
      </c>
      <c r="P63" s="1531" t="s">
        <v>5061</v>
      </c>
      <c r="Q63" s="1531" t="s">
        <v>9650</v>
      </c>
      <c r="R63" s="1531" t="s">
        <v>3563</v>
      </c>
      <c r="S63" s="1531" t="s">
        <v>9651</v>
      </c>
      <c r="T63" s="1531" t="s">
        <v>9652</v>
      </c>
      <c r="U63" s="1531" t="s">
        <v>9653</v>
      </c>
      <c r="V63" s="1531" t="s">
        <v>9654</v>
      </c>
      <c r="W63" s="1531" t="s">
        <v>9655</v>
      </c>
      <c r="X63" s="1531" t="s">
        <v>603</v>
      </c>
      <c r="Y63" s="1531" t="s">
        <v>9656</v>
      </c>
      <c r="Z63" s="1531" t="s">
        <v>6764</v>
      </c>
      <c r="AA63" s="1531" t="s">
        <v>5509</v>
      </c>
      <c r="AB63" s="1531" t="s">
        <v>3415</v>
      </c>
      <c r="AC63" s="1531" t="s">
        <v>7211</v>
      </c>
      <c r="AD63" s="1531" t="s">
        <v>9657</v>
      </c>
      <c r="AE63" s="1531" t="s">
        <v>1981</v>
      </c>
      <c r="AF63" s="1531" t="s">
        <v>9658</v>
      </c>
      <c r="AG63" s="1531" t="s">
        <v>522</v>
      </c>
      <c r="AH63" s="1531" t="s">
        <v>5313</v>
      </c>
      <c r="AI63" s="1531" t="s">
        <v>9659</v>
      </c>
      <c r="AJ63" s="1531" t="s">
        <v>9660</v>
      </c>
      <c r="AK63" s="1531" t="s">
        <v>9661</v>
      </c>
      <c r="AL63" s="1531" t="s">
        <v>5058</v>
      </c>
      <c r="AM63" s="1531" t="s">
        <v>9088</v>
      </c>
      <c r="AN63" s="1531" t="s">
        <v>8675</v>
      </c>
      <c r="AO63" s="1531" t="s">
        <v>8399</v>
      </c>
      <c r="AP63" s="1531" t="s">
        <v>9662</v>
      </c>
      <c r="AQ63" s="1531" t="s">
        <v>9663</v>
      </c>
      <c r="AR63" s="1531" t="s">
        <v>3329</v>
      </c>
      <c r="AS63" s="1531" t="s">
        <v>9664</v>
      </c>
      <c r="AT63" s="1531" t="s">
        <v>9437</v>
      </c>
      <c r="AU63" s="1531" t="s">
        <v>9665</v>
      </c>
      <c r="AV63" s="1531" t="str">
        <f t="shared" si="1"/>
        <v>3:13</v>
      </c>
      <c r="AW63" s="1535" t="s">
        <v>9666</v>
      </c>
    </row>
    <row r="64" ht="15.75" customHeight="1">
      <c r="A64" s="1393" t="s">
        <v>825</v>
      </c>
      <c r="B64" s="1516" t="s">
        <v>8360</v>
      </c>
      <c r="C64" s="1484">
        <v>0.05167824074074074</v>
      </c>
      <c r="D64" s="1299" t="s">
        <v>9667</v>
      </c>
      <c r="E64" s="1531" t="s">
        <v>9668</v>
      </c>
      <c r="F64" s="1531" t="s">
        <v>9669</v>
      </c>
      <c r="G64" s="1531" t="s">
        <v>9670</v>
      </c>
      <c r="H64" s="1531" t="s">
        <v>9671</v>
      </c>
      <c r="I64" s="1531" t="s">
        <v>1969</v>
      </c>
      <c r="J64" s="1531" t="s">
        <v>9514</v>
      </c>
      <c r="K64" s="1531" t="s">
        <v>8609</v>
      </c>
      <c r="L64" s="1531" t="s">
        <v>1820</v>
      </c>
      <c r="M64" s="1531" t="s">
        <v>6485</v>
      </c>
      <c r="N64" s="1531" t="s">
        <v>8996</v>
      </c>
      <c r="O64" s="1531" t="s">
        <v>9672</v>
      </c>
      <c r="P64" s="1531" t="s">
        <v>2338</v>
      </c>
      <c r="Q64" s="1531" t="s">
        <v>717</v>
      </c>
      <c r="R64" s="1531" t="s">
        <v>9673</v>
      </c>
      <c r="S64" s="1531" t="s">
        <v>9674</v>
      </c>
      <c r="T64" s="1531" t="s">
        <v>9675</v>
      </c>
      <c r="U64" s="1531" t="s">
        <v>9274</v>
      </c>
      <c r="V64" s="1531" t="s">
        <v>484</v>
      </c>
      <c r="W64" s="1531" t="s">
        <v>5673</v>
      </c>
      <c r="X64" s="1531" t="s">
        <v>9229</v>
      </c>
      <c r="Y64" s="1531" t="s">
        <v>868</v>
      </c>
      <c r="Z64" s="1531" t="s">
        <v>3923</v>
      </c>
      <c r="AA64" s="1531" t="s">
        <v>1709</v>
      </c>
      <c r="AB64" s="1531" t="s">
        <v>9676</v>
      </c>
      <c r="AC64" s="1531" t="s">
        <v>9677</v>
      </c>
      <c r="AD64" s="1459" t="s">
        <v>9678</v>
      </c>
      <c r="AE64" s="1531" t="s">
        <v>1993</v>
      </c>
      <c r="AF64" s="1531" t="s">
        <v>9132</v>
      </c>
      <c r="AG64" s="1531" t="s">
        <v>7333</v>
      </c>
      <c r="AH64" s="1531" t="s">
        <v>4391</v>
      </c>
      <c r="AI64" s="1531" t="s">
        <v>6114</v>
      </c>
      <c r="AJ64" s="1531" t="s">
        <v>9679</v>
      </c>
      <c r="AK64" s="1531" t="s">
        <v>3488</v>
      </c>
      <c r="AL64" s="1531" t="s">
        <v>5113</v>
      </c>
      <c r="AM64" s="1531" t="s">
        <v>9680</v>
      </c>
      <c r="AN64" s="1531" t="s">
        <v>9681</v>
      </c>
      <c r="AO64" s="1531" t="s">
        <v>9682</v>
      </c>
      <c r="AP64" s="1531" t="s">
        <v>9683</v>
      </c>
      <c r="AQ64" s="1531" t="s">
        <v>9684</v>
      </c>
      <c r="AR64" s="1531" t="s">
        <v>9685</v>
      </c>
      <c r="AS64" s="1531" t="s">
        <v>9686</v>
      </c>
      <c r="AT64" s="1531" t="s">
        <v>9687</v>
      </c>
      <c r="AU64" s="1531" t="s">
        <v>9688</v>
      </c>
      <c r="AV64" s="1531" t="str">
        <f t="shared" si="1"/>
        <v>2:51</v>
      </c>
      <c r="AW64" s="1536"/>
    </row>
    <row r="65" ht="15.75" customHeight="1">
      <c r="A65" s="1428" t="s">
        <v>4561</v>
      </c>
      <c r="B65" s="1441" t="s">
        <v>8332</v>
      </c>
      <c r="C65" s="1484">
        <v>0.05170138888888889</v>
      </c>
      <c r="D65" s="1299" t="s">
        <v>9689</v>
      </c>
      <c r="E65" s="1531" t="s">
        <v>1697</v>
      </c>
      <c r="F65" s="1531" t="s">
        <v>9264</v>
      </c>
      <c r="G65" s="1531" t="s">
        <v>8713</v>
      </c>
      <c r="H65" s="1531" t="s">
        <v>9690</v>
      </c>
      <c r="I65" s="1531" t="s">
        <v>9691</v>
      </c>
      <c r="J65" s="1531" t="s">
        <v>9279</v>
      </c>
      <c r="K65" s="1531" t="s">
        <v>8577</v>
      </c>
      <c r="L65" s="1531" t="s">
        <v>3864</v>
      </c>
      <c r="M65" s="1531" t="s">
        <v>6696</v>
      </c>
      <c r="N65" s="1531" t="s">
        <v>5908</v>
      </c>
      <c r="O65" s="1531" t="s">
        <v>9383</v>
      </c>
      <c r="P65" s="1531" t="s">
        <v>479</v>
      </c>
      <c r="Q65" s="1531" t="s">
        <v>2817</v>
      </c>
      <c r="R65" s="1531" t="s">
        <v>9692</v>
      </c>
      <c r="S65" s="1531" t="s">
        <v>9583</v>
      </c>
      <c r="T65" s="1531" t="s">
        <v>2742</v>
      </c>
      <c r="U65" s="1531" t="s">
        <v>9693</v>
      </c>
      <c r="V65" s="1531" t="s">
        <v>9694</v>
      </c>
      <c r="W65" s="1531" t="s">
        <v>9619</v>
      </c>
      <c r="X65" s="1531" t="s">
        <v>3308</v>
      </c>
      <c r="Y65" s="1531" t="s">
        <v>2432</v>
      </c>
      <c r="Z65" s="1531" t="s">
        <v>487</v>
      </c>
      <c r="AA65" s="1531" t="s">
        <v>624</v>
      </c>
      <c r="AB65" s="1531" t="s">
        <v>9695</v>
      </c>
      <c r="AC65" s="1531" t="s">
        <v>924</v>
      </c>
      <c r="AD65" s="1531" t="s">
        <v>9337</v>
      </c>
      <c r="AE65" s="1531" t="s">
        <v>677</v>
      </c>
      <c r="AF65" s="1531" t="s">
        <v>9696</v>
      </c>
      <c r="AG65" s="1531" t="s">
        <v>9697</v>
      </c>
      <c r="AH65" s="1531" t="s">
        <v>9698</v>
      </c>
      <c r="AI65" s="1531" t="s">
        <v>9699</v>
      </c>
      <c r="AJ65" s="1531" t="s">
        <v>9700</v>
      </c>
      <c r="AK65" s="1531" t="s">
        <v>9283</v>
      </c>
      <c r="AL65" s="1531" t="s">
        <v>9701</v>
      </c>
      <c r="AM65" s="1531" t="s">
        <v>9560</v>
      </c>
      <c r="AN65" s="1531" t="s">
        <v>9702</v>
      </c>
      <c r="AO65" s="1531" t="s">
        <v>9328</v>
      </c>
      <c r="AP65" s="1531" t="s">
        <v>4465</v>
      </c>
      <c r="AQ65" s="1531" t="s">
        <v>9703</v>
      </c>
      <c r="AR65" s="1531" t="s">
        <v>9704</v>
      </c>
      <c r="AS65" s="1531" t="s">
        <v>6212</v>
      </c>
      <c r="AT65" s="1531" t="s">
        <v>9705</v>
      </c>
      <c r="AU65" s="1531" t="s">
        <v>9706</v>
      </c>
      <c r="AV65" s="1531" t="str">
        <f t="shared" si="1"/>
        <v>2:37</v>
      </c>
      <c r="AW65" s="1536" t="s">
        <v>9707</v>
      </c>
    </row>
    <row r="66" ht="15.75" customHeight="1">
      <c r="A66" s="1428" t="s">
        <v>4918</v>
      </c>
      <c r="B66" s="1421" t="s">
        <v>8332</v>
      </c>
      <c r="C66" s="1380">
        <v>0.05171296296296296</v>
      </c>
      <c r="D66" s="1498" t="s">
        <v>9708</v>
      </c>
      <c r="E66" s="1459" t="s">
        <v>9709</v>
      </c>
      <c r="F66" s="1459" t="s">
        <v>1464</v>
      </c>
      <c r="G66" s="1459" t="s">
        <v>9710</v>
      </c>
      <c r="H66" s="1459" t="s">
        <v>9711</v>
      </c>
      <c r="I66" s="1459" t="s">
        <v>9712</v>
      </c>
      <c r="J66" s="1459" t="s">
        <v>972</v>
      </c>
      <c r="K66" s="1459" t="s">
        <v>4848</v>
      </c>
      <c r="L66" s="1459" t="s">
        <v>1810</v>
      </c>
      <c r="M66" s="1537" t="s">
        <v>9713</v>
      </c>
      <c r="N66" s="1459" t="s">
        <v>9714</v>
      </c>
      <c r="O66" s="1459" t="s">
        <v>1779</v>
      </c>
      <c r="P66" s="1459" t="s">
        <v>5010</v>
      </c>
      <c r="Q66" s="1459" t="s">
        <v>9715</v>
      </c>
      <c r="R66" s="1459" t="s">
        <v>9716</v>
      </c>
      <c r="S66" s="1459" t="s">
        <v>3553</v>
      </c>
      <c r="T66" s="1459" t="s">
        <v>9717</v>
      </c>
      <c r="U66" s="1459" t="s">
        <v>9492</v>
      </c>
      <c r="V66" s="1537" t="s">
        <v>9718</v>
      </c>
      <c r="W66" s="1537" t="s">
        <v>9719</v>
      </c>
      <c r="X66" s="1459" t="s">
        <v>9389</v>
      </c>
      <c r="Y66" s="1299" t="s">
        <v>9041</v>
      </c>
      <c r="Z66" s="1459" t="s">
        <v>1516</v>
      </c>
      <c r="AA66" s="1459" t="s">
        <v>1330</v>
      </c>
      <c r="AB66" s="1537" t="s">
        <v>9720</v>
      </c>
      <c r="AC66" s="1459" t="s">
        <v>1981</v>
      </c>
      <c r="AD66" s="1459" t="s">
        <v>9721</v>
      </c>
      <c r="AE66" s="1459" t="s">
        <v>3685</v>
      </c>
      <c r="AF66" s="1459" t="s">
        <v>9722</v>
      </c>
      <c r="AG66" s="1459" t="s">
        <v>522</v>
      </c>
      <c r="AH66" s="1459" t="s">
        <v>9723</v>
      </c>
      <c r="AI66" s="1459" t="s">
        <v>5341</v>
      </c>
      <c r="AJ66" s="1459" t="s">
        <v>9724</v>
      </c>
      <c r="AK66" s="1459" t="s">
        <v>9725</v>
      </c>
      <c r="AL66" s="1459" t="s">
        <v>1581</v>
      </c>
      <c r="AM66" s="1459" t="s">
        <v>9551</v>
      </c>
      <c r="AN66" s="1459" t="s">
        <v>9726</v>
      </c>
      <c r="AO66" s="1459" t="s">
        <v>2714</v>
      </c>
      <c r="AP66" s="1459" t="s">
        <v>1929</v>
      </c>
      <c r="AQ66" s="1459" t="s">
        <v>755</v>
      </c>
      <c r="AR66" s="1459" t="s">
        <v>9356</v>
      </c>
      <c r="AS66" s="1459" t="s">
        <v>7557</v>
      </c>
      <c r="AT66" s="1459" t="s">
        <v>9727</v>
      </c>
      <c r="AU66" s="1459" t="s">
        <v>9728</v>
      </c>
      <c r="AV66" s="1531" t="str">
        <f t="shared" si="1"/>
        <v>4:14</v>
      </c>
      <c r="AW66" s="1532" t="s">
        <v>9729</v>
      </c>
    </row>
    <row r="67" ht="15.75" customHeight="1">
      <c r="A67" s="1428" t="s">
        <v>2137</v>
      </c>
      <c r="B67" s="1515" t="s">
        <v>8332</v>
      </c>
      <c r="C67" s="1380">
        <v>0.05173611111111111</v>
      </c>
      <c r="D67" s="1299" t="s">
        <v>9730</v>
      </c>
      <c r="E67" s="1459" t="s">
        <v>9731</v>
      </c>
      <c r="F67" s="1459" t="s">
        <v>9732</v>
      </c>
      <c r="G67" s="1459" t="s">
        <v>9733</v>
      </c>
      <c r="H67" s="1459" t="s">
        <v>6624</v>
      </c>
      <c r="I67" s="1459" t="s">
        <v>492</v>
      </c>
      <c r="J67" s="1459" t="s">
        <v>8656</v>
      </c>
      <c r="K67" s="1459" t="s">
        <v>9734</v>
      </c>
      <c r="L67" s="1459" t="s">
        <v>7626</v>
      </c>
      <c r="M67" s="1459" t="s">
        <v>3348</v>
      </c>
      <c r="N67" s="1459" t="s">
        <v>9735</v>
      </c>
      <c r="O67" s="1459" t="s">
        <v>9736</v>
      </c>
      <c r="P67" s="1459" t="s">
        <v>3613</v>
      </c>
      <c r="Q67" s="1459" t="s">
        <v>9737</v>
      </c>
      <c r="R67" s="1459" t="s">
        <v>9673</v>
      </c>
      <c r="S67" s="1459" t="s">
        <v>5442</v>
      </c>
      <c r="T67" s="1459" t="s">
        <v>9738</v>
      </c>
      <c r="U67" s="1459" t="s">
        <v>9739</v>
      </c>
      <c r="V67" s="1459" t="s">
        <v>125</v>
      </c>
      <c r="W67" s="1459" t="s">
        <v>5513</v>
      </c>
      <c r="X67" s="1459" t="s">
        <v>9578</v>
      </c>
      <c r="Y67" s="1459" t="s">
        <v>1096</v>
      </c>
      <c r="Z67" s="1459" t="s">
        <v>9740</v>
      </c>
      <c r="AA67" s="1459" t="s">
        <v>8918</v>
      </c>
      <c r="AB67" s="1459" t="s">
        <v>7085</v>
      </c>
      <c r="AC67" s="1459" t="s">
        <v>160</v>
      </c>
      <c r="AD67" s="1459" t="s">
        <v>9602</v>
      </c>
      <c r="AE67" s="1459" t="s">
        <v>9012</v>
      </c>
      <c r="AF67" s="1459" t="s">
        <v>9026</v>
      </c>
      <c r="AG67" s="1459" t="s">
        <v>4742</v>
      </c>
      <c r="AH67" s="1459" t="s">
        <v>9741</v>
      </c>
      <c r="AI67" s="1459" t="s">
        <v>9742</v>
      </c>
      <c r="AJ67" s="1459" t="s">
        <v>9743</v>
      </c>
      <c r="AK67" s="1459" t="s">
        <v>8644</v>
      </c>
      <c r="AL67" s="1459" t="s">
        <v>9744</v>
      </c>
      <c r="AM67" s="1459" t="s">
        <v>2800</v>
      </c>
      <c r="AN67" s="1459" t="s">
        <v>5058</v>
      </c>
      <c r="AO67" s="1459" t="s">
        <v>9485</v>
      </c>
      <c r="AP67" s="1459" t="s">
        <v>9745</v>
      </c>
      <c r="AQ67" s="1459" t="s">
        <v>9746</v>
      </c>
      <c r="AR67" s="1459" t="s">
        <v>415</v>
      </c>
      <c r="AS67" s="1459" t="s">
        <v>9747</v>
      </c>
      <c r="AT67" s="1459" t="s">
        <v>9748</v>
      </c>
      <c r="AU67" s="1459" t="s">
        <v>9749</v>
      </c>
      <c r="AV67" s="1531" t="str">
        <f t="shared" si="1"/>
        <v>3:51</v>
      </c>
      <c r="AW67" s="1532" t="s">
        <v>9750</v>
      </c>
    </row>
    <row r="68" ht="15.75" customHeight="1">
      <c r="A68" s="1428" t="s">
        <v>8058</v>
      </c>
      <c r="B68" s="1426" t="s">
        <v>8360</v>
      </c>
      <c r="C68" s="1380">
        <v>0.051805555555555556</v>
      </c>
      <c r="D68" s="1459" t="s">
        <v>9751</v>
      </c>
      <c r="E68" s="1459" t="s">
        <v>9752</v>
      </c>
      <c r="F68" s="1299" t="s">
        <v>9753</v>
      </c>
      <c r="G68" s="1459" t="s">
        <v>9754</v>
      </c>
      <c r="H68" s="1398" t="s">
        <v>9755</v>
      </c>
      <c r="I68" s="1398">
        <v>49.81</v>
      </c>
      <c r="J68" s="1398" t="s">
        <v>9756</v>
      </c>
      <c r="K68" s="1398" t="s">
        <v>5999</v>
      </c>
      <c r="L68" s="1398">
        <v>59.57</v>
      </c>
      <c r="M68" s="1398" t="s">
        <v>9757</v>
      </c>
      <c r="N68" s="1398" t="s">
        <v>9758</v>
      </c>
      <c r="O68" s="1397" t="s">
        <v>6540</v>
      </c>
      <c r="P68" s="1397" t="s">
        <v>9759</v>
      </c>
      <c r="Q68" s="1397" t="s">
        <v>9760</v>
      </c>
      <c r="R68" s="1398" t="s">
        <v>9761</v>
      </c>
      <c r="S68" s="1398" t="s">
        <v>9399</v>
      </c>
      <c r="T68" s="1398" t="s">
        <v>9762</v>
      </c>
      <c r="U68" s="1398" t="s">
        <v>9763</v>
      </c>
      <c r="V68" s="1398" t="s">
        <v>4266</v>
      </c>
      <c r="W68" s="1398" t="s">
        <v>9764</v>
      </c>
      <c r="X68" s="1398" t="s">
        <v>9765</v>
      </c>
      <c r="Y68" s="1397" t="s">
        <v>9284</v>
      </c>
      <c r="Z68" s="1538" t="s">
        <v>8378</v>
      </c>
      <c r="AA68" s="1398" t="s">
        <v>197</v>
      </c>
      <c r="AB68" s="1397" t="s">
        <v>4156</v>
      </c>
      <c r="AC68" s="1398">
        <v>49.53</v>
      </c>
      <c r="AD68" s="1398" t="s">
        <v>1860</v>
      </c>
      <c r="AE68" s="1397" t="s">
        <v>9766</v>
      </c>
      <c r="AF68" s="1398" t="s">
        <v>8536</v>
      </c>
      <c r="AG68" s="1398" t="s">
        <v>9767</v>
      </c>
      <c r="AH68" s="1398">
        <v>59.93</v>
      </c>
      <c r="AI68" s="1398" t="s">
        <v>9768</v>
      </c>
      <c r="AJ68" s="1398" t="s">
        <v>9769</v>
      </c>
      <c r="AK68" s="1398" t="s">
        <v>5661</v>
      </c>
      <c r="AL68" s="1398">
        <v>59.13</v>
      </c>
      <c r="AM68" s="1398" t="s">
        <v>9704</v>
      </c>
      <c r="AN68" s="1398">
        <v>57.86</v>
      </c>
      <c r="AO68" s="1398" t="s">
        <v>6859</v>
      </c>
      <c r="AP68" s="1398" t="s">
        <v>9770</v>
      </c>
      <c r="AQ68" s="1398" t="s">
        <v>9290</v>
      </c>
      <c r="AR68" s="1398" t="s">
        <v>5904</v>
      </c>
      <c r="AS68" s="1398">
        <v>47.67</v>
      </c>
      <c r="AT68" s="1459" t="s">
        <v>9771</v>
      </c>
      <c r="AU68" s="1459" t="s">
        <v>9772</v>
      </c>
      <c r="AV68" s="1531" t="str">
        <f t="shared" si="1"/>
        <v>2:57</v>
      </c>
      <c r="AW68" s="1539" t="s">
        <v>9773</v>
      </c>
    </row>
    <row r="69">
      <c r="A69" s="1540" t="s">
        <v>1253</v>
      </c>
      <c r="B69" s="1421" t="s">
        <v>8332</v>
      </c>
      <c r="C69" s="1541">
        <v>0.05181712962962963</v>
      </c>
      <c r="D69" s="1542" t="s">
        <v>9774</v>
      </c>
      <c r="E69" s="1384" t="s">
        <v>9775</v>
      </c>
      <c r="F69" s="1384" t="s">
        <v>9776</v>
      </c>
      <c r="G69" s="1384" t="s">
        <v>9777</v>
      </c>
      <c r="H69" s="1381" t="s">
        <v>9778</v>
      </c>
      <c r="I69" s="1384" t="s">
        <v>4912</v>
      </c>
      <c r="J69" s="1384" t="s">
        <v>9779</v>
      </c>
      <c r="K69" s="1384" t="s">
        <v>8909</v>
      </c>
      <c r="L69" s="1384" t="s">
        <v>9741</v>
      </c>
      <c r="M69" s="1384" t="s">
        <v>1449</v>
      </c>
      <c r="N69" s="1384" t="s">
        <v>9251</v>
      </c>
      <c r="O69" s="1384" t="s">
        <v>6595</v>
      </c>
      <c r="P69" s="1384" t="s">
        <v>8837</v>
      </c>
      <c r="Q69" s="1384" t="s">
        <v>9780</v>
      </c>
      <c r="R69" s="1384" t="s">
        <v>3164</v>
      </c>
      <c r="S69" s="1384" t="s">
        <v>4799</v>
      </c>
      <c r="T69" s="1384" t="s">
        <v>9781</v>
      </c>
      <c r="U69" s="1384" t="s">
        <v>9782</v>
      </c>
      <c r="V69" s="1384" t="s">
        <v>9694</v>
      </c>
      <c r="W69" s="1384" t="s">
        <v>9783</v>
      </c>
      <c r="X69" s="1384" t="s">
        <v>9346</v>
      </c>
      <c r="Y69" s="1384" t="s">
        <v>9784</v>
      </c>
      <c r="Z69" s="1384" t="s">
        <v>6089</v>
      </c>
      <c r="AA69" s="1513" t="s">
        <v>885</v>
      </c>
      <c r="AB69" s="1384" t="s">
        <v>9785</v>
      </c>
      <c r="AC69" s="1384" t="s">
        <v>2020</v>
      </c>
      <c r="AD69" s="1384" t="s">
        <v>9786</v>
      </c>
      <c r="AE69" s="1384" t="s">
        <v>7177</v>
      </c>
      <c r="AF69" s="1384" t="s">
        <v>9437</v>
      </c>
      <c r="AG69" s="1384" t="s">
        <v>398</v>
      </c>
      <c r="AH69" s="1384" t="s">
        <v>9787</v>
      </c>
      <c r="AI69" s="1384" t="s">
        <v>244</v>
      </c>
      <c r="AJ69" s="1384" t="s">
        <v>9788</v>
      </c>
      <c r="AK69" s="1384" t="s">
        <v>9030</v>
      </c>
      <c r="AL69" s="1384" t="s">
        <v>4628</v>
      </c>
      <c r="AM69" s="1384" t="s">
        <v>9789</v>
      </c>
      <c r="AN69" s="1384" t="s">
        <v>9081</v>
      </c>
      <c r="AO69" s="1384" t="s">
        <v>9790</v>
      </c>
      <c r="AP69" s="1384" t="s">
        <v>9791</v>
      </c>
      <c r="AQ69" s="1384" t="s">
        <v>9792</v>
      </c>
      <c r="AR69" s="1384" t="s">
        <v>9793</v>
      </c>
      <c r="AS69" s="1384" t="s">
        <v>351</v>
      </c>
      <c r="AT69" s="1384" t="s">
        <v>9794</v>
      </c>
      <c r="AU69" s="1387" t="s">
        <v>9795</v>
      </c>
      <c r="AV69" s="1451" t="str">
        <f t="shared" si="1"/>
        <v>3:49</v>
      </c>
      <c r="AW69" s="1543" t="s">
        <v>9796</v>
      </c>
    </row>
    <row r="70" ht="15.75" customHeight="1">
      <c r="A70" s="1378" t="s">
        <v>2999</v>
      </c>
      <c r="B70" s="1441" t="s">
        <v>8332</v>
      </c>
      <c r="C70" s="1484">
        <v>0.051863425925925924</v>
      </c>
      <c r="D70" s="1299" t="s">
        <v>9797</v>
      </c>
      <c r="E70" s="1531" t="s">
        <v>6190</v>
      </c>
      <c r="F70" s="1531" t="s">
        <v>9798</v>
      </c>
      <c r="G70" s="1531" t="s">
        <v>9799</v>
      </c>
      <c r="H70" s="1531" t="s">
        <v>9800</v>
      </c>
      <c r="I70" s="1531" t="s">
        <v>2037</v>
      </c>
      <c r="J70" s="1531" t="s">
        <v>1757</v>
      </c>
      <c r="K70" s="1531" t="s">
        <v>1679</v>
      </c>
      <c r="L70" s="1531" t="s">
        <v>3007</v>
      </c>
      <c r="M70" s="1531" t="s">
        <v>9572</v>
      </c>
      <c r="N70" s="1531" t="s">
        <v>4964</v>
      </c>
      <c r="O70" s="1531" t="s">
        <v>9801</v>
      </c>
      <c r="P70" s="1531" t="s">
        <v>1233</v>
      </c>
      <c r="Q70" s="1531" t="s">
        <v>9802</v>
      </c>
      <c r="R70" s="1531" t="s">
        <v>9803</v>
      </c>
      <c r="S70" s="1531" t="s">
        <v>9804</v>
      </c>
      <c r="T70" s="1531" t="s">
        <v>9805</v>
      </c>
      <c r="U70" s="1531" t="s">
        <v>9806</v>
      </c>
      <c r="V70" s="1531" t="s">
        <v>9365</v>
      </c>
      <c r="W70" s="1531" t="s">
        <v>9807</v>
      </c>
      <c r="X70" s="1531" t="s">
        <v>9699</v>
      </c>
      <c r="Y70" s="1531" t="s">
        <v>3083</v>
      </c>
      <c r="Z70" s="1531" t="s">
        <v>9808</v>
      </c>
      <c r="AA70" s="1531" t="s">
        <v>9809</v>
      </c>
      <c r="AB70" s="1531" t="s">
        <v>8182</v>
      </c>
      <c r="AC70" s="1531" t="s">
        <v>924</v>
      </c>
      <c r="AD70" s="1531" t="s">
        <v>9810</v>
      </c>
      <c r="AE70" s="1531" t="s">
        <v>1114</v>
      </c>
      <c r="AF70" s="1531" t="s">
        <v>9811</v>
      </c>
      <c r="AG70" s="1531" t="s">
        <v>9812</v>
      </c>
      <c r="AH70" s="1531" t="s">
        <v>5268</v>
      </c>
      <c r="AI70" s="1531" t="s">
        <v>9742</v>
      </c>
      <c r="AJ70" s="1531" t="s">
        <v>9813</v>
      </c>
      <c r="AK70" s="1531" t="s">
        <v>1973</v>
      </c>
      <c r="AL70" s="1531" t="s">
        <v>9787</v>
      </c>
      <c r="AM70" s="1531" t="s">
        <v>9814</v>
      </c>
      <c r="AN70" s="1531" t="s">
        <v>9272</v>
      </c>
      <c r="AO70" s="1531" t="s">
        <v>8530</v>
      </c>
      <c r="AP70" s="1531" t="s">
        <v>9815</v>
      </c>
      <c r="AQ70" s="1531" t="s">
        <v>9816</v>
      </c>
      <c r="AR70" s="1531" t="s">
        <v>8512</v>
      </c>
      <c r="AS70" s="1531" t="s">
        <v>4685</v>
      </c>
      <c r="AT70" s="1531" t="s">
        <v>9817</v>
      </c>
      <c r="AU70" s="1531" t="s">
        <v>9818</v>
      </c>
      <c r="AV70" s="1531" t="str">
        <f t="shared" si="1"/>
        <v>2:06</v>
      </c>
      <c r="AW70" s="1532" t="s">
        <v>9819</v>
      </c>
    </row>
    <row r="71" ht="15.75" customHeight="1">
      <c r="A71" s="1378" t="s">
        <v>1059</v>
      </c>
      <c r="B71" s="1379" t="s">
        <v>8304</v>
      </c>
      <c r="C71" s="1484">
        <v>0.051875</v>
      </c>
      <c r="D71" s="1299" t="s">
        <v>9820</v>
      </c>
      <c r="E71" s="1531" t="s">
        <v>3481</v>
      </c>
      <c r="F71" s="1531" t="s">
        <v>9821</v>
      </c>
      <c r="G71" s="1531" t="s">
        <v>9822</v>
      </c>
      <c r="H71" s="1531" t="s">
        <v>9823</v>
      </c>
      <c r="I71" s="1531" t="s">
        <v>9824</v>
      </c>
      <c r="J71" s="1531" t="s">
        <v>2513</v>
      </c>
      <c r="K71" s="1531" t="s">
        <v>9825</v>
      </c>
      <c r="L71" s="1531" t="s">
        <v>8400</v>
      </c>
      <c r="M71" s="1531" t="s">
        <v>6716</v>
      </c>
      <c r="N71" s="1531" t="s">
        <v>9440</v>
      </c>
      <c r="O71" s="1531" t="s">
        <v>4405</v>
      </c>
      <c r="P71" s="1531" t="s">
        <v>1521</v>
      </c>
      <c r="Q71" s="1531" t="s">
        <v>9826</v>
      </c>
      <c r="R71" s="1531" t="s">
        <v>9047</v>
      </c>
      <c r="S71" s="1531" t="s">
        <v>4370</v>
      </c>
      <c r="T71" s="1531" t="s">
        <v>9827</v>
      </c>
      <c r="U71" s="1531" t="s">
        <v>9617</v>
      </c>
      <c r="V71" s="1531" t="s">
        <v>6208</v>
      </c>
      <c r="W71" s="1531" t="s">
        <v>4405</v>
      </c>
      <c r="X71" s="1531" t="s">
        <v>9251</v>
      </c>
      <c r="Y71" s="1531" t="s">
        <v>9286</v>
      </c>
      <c r="Z71" s="1531" t="s">
        <v>9828</v>
      </c>
      <c r="AA71" s="1531" t="s">
        <v>418</v>
      </c>
      <c r="AB71" s="1531" t="s">
        <v>618</v>
      </c>
      <c r="AC71" s="1531" t="s">
        <v>9829</v>
      </c>
      <c r="AD71" s="1531" t="s">
        <v>9657</v>
      </c>
      <c r="AE71" s="1531" t="s">
        <v>935</v>
      </c>
      <c r="AF71" s="1531" t="s">
        <v>9830</v>
      </c>
      <c r="AG71" s="1531" t="s">
        <v>9831</v>
      </c>
      <c r="AH71" s="1531" t="s">
        <v>9570</v>
      </c>
      <c r="AI71" s="1531" t="s">
        <v>9832</v>
      </c>
      <c r="AJ71" s="1531" t="s">
        <v>9833</v>
      </c>
      <c r="AK71" s="1531" t="s">
        <v>9834</v>
      </c>
      <c r="AL71" s="1531" t="s">
        <v>5512</v>
      </c>
      <c r="AM71" s="1531" t="s">
        <v>9835</v>
      </c>
      <c r="AN71" s="1531" t="s">
        <v>6056</v>
      </c>
      <c r="AO71" s="1459" t="s">
        <v>9542</v>
      </c>
      <c r="AP71" s="1531" t="s">
        <v>9836</v>
      </c>
      <c r="AQ71" s="1531" t="s">
        <v>9837</v>
      </c>
      <c r="AR71" s="1531" t="s">
        <v>9068</v>
      </c>
      <c r="AS71" s="1531" t="s">
        <v>9137</v>
      </c>
      <c r="AT71" s="1531" t="s">
        <v>9838</v>
      </c>
      <c r="AU71" s="1459" t="s">
        <v>9839</v>
      </c>
      <c r="AV71" s="1531" t="str">
        <f t="shared" si="1"/>
        <v>0:37</v>
      </c>
      <c r="AW71" s="1536" t="s">
        <v>9840</v>
      </c>
    </row>
    <row r="72">
      <c r="A72" s="1428" t="s">
        <v>7026</v>
      </c>
      <c r="B72" s="1421" t="s">
        <v>8304</v>
      </c>
      <c r="C72" s="1380">
        <v>0.05188657407407407</v>
      </c>
      <c r="D72" s="1459" t="s">
        <v>9841</v>
      </c>
      <c r="E72" s="1299" t="s">
        <v>861</v>
      </c>
      <c r="F72" s="1299" t="s">
        <v>9842</v>
      </c>
      <c r="G72" s="1299" t="s">
        <v>9843</v>
      </c>
      <c r="H72" s="1299" t="s">
        <v>9844</v>
      </c>
      <c r="I72" s="1299" t="s">
        <v>677</v>
      </c>
      <c r="J72" s="1299" t="s">
        <v>3985</v>
      </c>
      <c r="K72" s="1299" t="s">
        <v>9042</v>
      </c>
      <c r="L72" s="1299" t="s">
        <v>2693</v>
      </c>
      <c r="M72" s="1299" t="s">
        <v>9845</v>
      </c>
      <c r="N72" s="1299" t="s">
        <v>3844</v>
      </c>
      <c r="O72" s="1299" t="s">
        <v>9846</v>
      </c>
      <c r="P72" s="1299" t="s">
        <v>5063</v>
      </c>
      <c r="Q72" s="1299" t="s">
        <v>9847</v>
      </c>
      <c r="R72" s="1299" t="s">
        <v>5478</v>
      </c>
      <c r="S72" s="1299" t="s">
        <v>9848</v>
      </c>
      <c r="T72" s="1299" t="s">
        <v>8383</v>
      </c>
      <c r="U72" s="1299" t="s">
        <v>9849</v>
      </c>
      <c r="V72" s="1299" t="s">
        <v>5366</v>
      </c>
      <c r="W72" s="1299" t="s">
        <v>9850</v>
      </c>
      <c r="X72" s="1299" t="s">
        <v>9851</v>
      </c>
      <c r="Y72" s="1299" t="s">
        <v>9852</v>
      </c>
      <c r="Z72" s="1299" t="s">
        <v>9054</v>
      </c>
      <c r="AA72" s="1299" t="s">
        <v>5034</v>
      </c>
      <c r="AB72" s="1299" t="s">
        <v>686</v>
      </c>
      <c r="AC72" s="1299" t="s">
        <v>9853</v>
      </c>
      <c r="AD72" s="1299" t="s">
        <v>9854</v>
      </c>
      <c r="AE72" s="1299" t="s">
        <v>5703</v>
      </c>
      <c r="AF72" s="1299" t="s">
        <v>9855</v>
      </c>
      <c r="AG72" s="1299" t="s">
        <v>2369</v>
      </c>
      <c r="AH72" s="1299" t="s">
        <v>2693</v>
      </c>
      <c r="AI72" s="1299" t="s">
        <v>196</v>
      </c>
      <c r="AJ72" s="1299" t="s">
        <v>9856</v>
      </c>
      <c r="AK72" s="1299" t="s">
        <v>9060</v>
      </c>
      <c r="AL72" s="1299" t="s">
        <v>9513</v>
      </c>
      <c r="AM72" s="1299" t="s">
        <v>9028</v>
      </c>
      <c r="AN72" s="1299" t="s">
        <v>3342</v>
      </c>
      <c r="AO72" s="1299" t="s">
        <v>8524</v>
      </c>
      <c r="AP72" s="1299" t="s">
        <v>9464</v>
      </c>
      <c r="AQ72" s="1299" t="s">
        <v>9837</v>
      </c>
      <c r="AR72" s="1299" t="s">
        <v>9857</v>
      </c>
      <c r="AS72" s="1299" t="s">
        <v>6212</v>
      </c>
      <c r="AT72" s="1299" t="s">
        <v>9858</v>
      </c>
      <c r="AU72" s="1459" t="s">
        <v>9859</v>
      </c>
      <c r="AV72" s="1531" t="str">
        <f t="shared" si="1"/>
        <v>4:21</v>
      </c>
      <c r="AW72" s="1532" t="s">
        <v>9860</v>
      </c>
    </row>
    <row r="73" ht="15.75" customHeight="1">
      <c r="A73" s="1378" t="s">
        <v>4731</v>
      </c>
      <c r="B73" s="1516" t="s">
        <v>8360</v>
      </c>
      <c r="C73" s="1380">
        <v>0.051909722222222225</v>
      </c>
      <c r="D73" s="1544" t="s">
        <v>9861</v>
      </c>
      <c r="E73" s="1453" t="s">
        <v>2193</v>
      </c>
      <c r="F73" s="1453" t="s">
        <v>9862</v>
      </c>
      <c r="G73" s="1453" t="s">
        <v>9863</v>
      </c>
      <c r="H73" s="1453" t="s">
        <v>9864</v>
      </c>
      <c r="I73" s="1544">
        <v>49.97</v>
      </c>
      <c r="J73" s="1453" t="s">
        <v>2176</v>
      </c>
      <c r="K73" s="1453" t="s">
        <v>9865</v>
      </c>
      <c r="L73" s="1453" t="s">
        <v>4996</v>
      </c>
      <c r="M73" s="1453" t="s">
        <v>2984</v>
      </c>
      <c r="N73" s="1453" t="s">
        <v>4630</v>
      </c>
      <c r="O73" s="1453" t="s">
        <v>5666</v>
      </c>
      <c r="P73" s="1544">
        <v>48.99</v>
      </c>
      <c r="Q73" s="1453" t="s">
        <v>9866</v>
      </c>
      <c r="R73" s="1453" t="s">
        <v>9867</v>
      </c>
      <c r="S73" s="1453" t="s">
        <v>4055</v>
      </c>
      <c r="T73" s="1453" t="s">
        <v>9868</v>
      </c>
      <c r="U73" s="1453" t="s">
        <v>9869</v>
      </c>
      <c r="V73" s="1453" t="s">
        <v>2375</v>
      </c>
      <c r="W73" s="1453" t="s">
        <v>9870</v>
      </c>
      <c r="X73" s="1453" t="s">
        <v>9575</v>
      </c>
      <c r="Y73" s="1545">
        <v>47.93</v>
      </c>
      <c r="Z73" s="1453" t="s">
        <v>9871</v>
      </c>
      <c r="AA73" s="1453" t="s">
        <v>4984</v>
      </c>
      <c r="AB73" s="1453" t="s">
        <v>9555</v>
      </c>
      <c r="AC73" s="1538">
        <v>49.24</v>
      </c>
      <c r="AD73" s="1453" t="s">
        <v>8929</v>
      </c>
      <c r="AE73" s="1544">
        <v>49.87</v>
      </c>
      <c r="AF73" s="1453" t="s">
        <v>9872</v>
      </c>
      <c r="AG73" s="1453" t="s">
        <v>9873</v>
      </c>
      <c r="AH73" s="1544">
        <v>59.9</v>
      </c>
      <c r="AI73" s="1453" t="s">
        <v>9874</v>
      </c>
      <c r="AJ73" s="1546" t="s">
        <v>8384</v>
      </c>
      <c r="AK73" s="1453" t="s">
        <v>1885</v>
      </c>
      <c r="AL73" s="1544">
        <v>58.74</v>
      </c>
      <c r="AM73" s="1453" t="s">
        <v>1931</v>
      </c>
      <c r="AN73" s="1544">
        <v>57.51</v>
      </c>
      <c r="AO73" s="1453" t="s">
        <v>4719</v>
      </c>
      <c r="AP73" s="1453" t="s">
        <v>9875</v>
      </c>
      <c r="AQ73" s="1453" t="s">
        <v>3509</v>
      </c>
      <c r="AR73" s="1546" t="s">
        <v>7086</v>
      </c>
      <c r="AS73" s="1544">
        <v>47.44</v>
      </c>
      <c r="AT73" s="1453" t="s">
        <v>9876</v>
      </c>
      <c r="AU73" s="1459" t="s">
        <v>9877</v>
      </c>
      <c r="AV73" s="1531" t="str">
        <f t="shared" si="1"/>
        <v>2:59</v>
      </c>
      <c r="AW73" s="1532" t="s">
        <v>7000</v>
      </c>
    </row>
    <row r="74">
      <c r="A74" s="1428" t="s">
        <v>8223</v>
      </c>
      <c r="B74" s="1426" t="s">
        <v>8304</v>
      </c>
      <c r="C74" s="1380">
        <v>0.05193287037037037</v>
      </c>
      <c r="D74" s="1498" t="s">
        <v>9878</v>
      </c>
      <c r="E74" s="1459" t="s">
        <v>6746</v>
      </c>
      <c r="F74" s="1459" t="s">
        <v>9879</v>
      </c>
      <c r="G74" s="1459" t="s">
        <v>9880</v>
      </c>
      <c r="H74" s="1459" t="s">
        <v>9881</v>
      </c>
      <c r="I74" s="1459" t="s">
        <v>2338</v>
      </c>
      <c r="J74" s="1459" t="s">
        <v>4084</v>
      </c>
      <c r="K74" s="1459" t="s">
        <v>8960</v>
      </c>
      <c r="L74" s="1459"/>
      <c r="M74" s="1459" t="s">
        <v>6338</v>
      </c>
      <c r="N74" s="1459" t="s">
        <v>9211</v>
      </c>
      <c r="O74" s="1459" t="s">
        <v>8376</v>
      </c>
      <c r="P74" s="1459" t="s">
        <v>9227</v>
      </c>
      <c r="Q74" s="1459" t="s">
        <v>9882</v>
      </c>
      <c r="R74" s="1459" t="s">
        <v>9883</v>
      </c>
      <c r="S74" s="1459" t="s">
        <v>8731</v>
      </c>
      <c r="T74" s="1459" t="s">
        <v>8976</v>
      </c>
      <c r="U74" s="1459" t="s">
        <v>2252</v>
      </c>
      <c r="V74" s="1459" t="s">
        <v>8793</v>
      </c>
      <c r="W74" s="1459" t="s">
        <v>5666</v>
      </c>
      <c r="X74" s="1459" t="s">
        <v>624</v>
      </c>
      <c r="Y74" s="1459" t="s">
        <v>8746</v>
      </c>
      <c r="Z74" s="1459" t="s">
        <v>9202</v>
      </c>
      <c r="AA74" s="1459" t="s">
        <v>6872</v>
      </c>
      <c r="AB74" s="1459" t="s">
        <v>9465</v>
      </c>
      <c r="AC74" s="1459" t="s">
        <v>2883</v>
      </c>
      <c r="AD74" s="1459" t="s">
        <v>9884</v>
      </c>
      <c r="AE74" s="1459" t="s">
        <v>9218</v>
      </c>
      <c r="AF74" s="1459" t="s">
        <v>9885</v>
      </c>
      <c r="AG74" s="1459" t="s">
        <v>9621</v>
      </c>
      <c r="AH74" s="1459" t="s">
        <v>9886</v>
      </c>
      <c r="AI74" s="1459" t="s">
        <v>9887</v>
      </c>
      <c r="AJ74" s="1459" t="s">
        <v>9888</v>
      </c>
      <c r="AK74" s="1459" t="s">
        <v>9889</v>
      </c>
      <c r="AL74" s="1459" t="s">
        <v>3077</v>
      </c>
      <c r="AM74" s="1459" t="s">
        <v>9890</v>
      </c>
      <c r="AN74" s="1459" t="s">
        <v>3352</v>
      </c>
      <c r="AO74" s="1459" t="s">
        <v>9891</v>
      </c>
      <c r="AP74" s="1459" t="s">
        <v>9892</v>
      </c>
      <c r="AQ74" s="1459" t="s">
        <v>9893</v>
      </c>
      <c r="AR74" s="1459" t="s">
        <v>9894</v>
      </c>
      <c r="AS74" s="1459" t="s">
        <v>3656</v>
      </c>
      <c r="AT74" s="1459" t="s">
        <v>9895</v>
      </c>
      <c r="AU74" s="1459" t="s">
        <v>9896</v>
      </c>
      <c r="AV74" s="1531" t="str">
        <f t="shared" si="1"/>
        <v>4:12</v>
      </c>
      <c r="AW74" s="1536"/>
    </row>
    <row r="75">
      <c r="A75" s="1428" t="s">
        <v>3556</v>
      </c>
      <c r="B75" s="1421" t="s">
        <v>8304</v>
      </c>
      <c r="C75" s="1380">
        <v>0.05196759259259259</v>
      </c>
      <c r="D75" s="1299" t="s">
        <v>9897</v>
      </c>
      <c r="E75" s="1459" t="s">
        <v>1161</v>
      </c>
      <c r="F75" s="1459" t="s">
        <v>1385</v>
      </c>
      <c r="G75" s="1459" t="s">
        <v>9898</v>
      </c>
      <c r="H75" s="1299" t="s">
        <v>9899</v>
      </c>
      <c r="I75" s="1459" t="s">
        <v>9593</v>
      </c>
      <c r="J75" s="1459" t="s">
        <v>3843</v>
      </c>
      <c r="K75" s="1459" t="s">
        <v>9190</v>
      </c>
      <c r="L75" s="1459" t="s">
        <v>4807</v>
      </c>
      <c r="M75" s="1459" t="s">
        <v>3096</v>
      </c>
      <c r="N75" s="1459" t="s">
        <v>9900</v>
      </c>
      <c r="O75" s="1459" t="s">
        <v>9901</v>
      </c>
      <c r="P75" s="1459" t="s">
        <v>8349</v>
      </c>
      <c r="Q75" s="1459" t="s">
        <v>9902</v>
      </c>
      <c r="R75" s="1459" t="s">
        <v>3096</v>
      </c>
      <c r="S75" s="1530" t="s">
        <v>2387</v>
      </c>
      <c r="T75" s="1459" t="s">
        <v>9436</v>
      </c>
      <c r="U75" s="1459" t="s">
        <v>9617</v>
      </c>
      <c r="V75" s="1459" t="s">
        <v>8974</v>
      </c>
      <c r="W75" s="1459" t="s">
        <v>9903</v>
      </c>
      <c r="X75" s="1459" t="s">
        <v>9636</v>
      </c>
      <c r="Y75" s="1547" t="s">
        <v>593</v>
      </c>
      <c r="Z75" s="1459" t="s">
        <v>9535</v>
      </c>
      <c r="AA75" s="1459" t="s">
        <v>9088</v>
      </c>
      <c r="AB75" s="1459" t="s">
        <v>487</v>
      </c>
      <c r="AC75" s="1459" t="s">
        <v>1142</v>
      </c>
      <c r="AD75" s="1459" t="s">
        <v>9904</v>
      </c>
      <c r="AE75" s="1547" t="s">
        <v>8706</v>
      </c>
      <c r="AF75" s="1459" t="s">
        <v>9905</v>
      </c>
      <c r="AG75" s="1459" t="s">
        <v>9906</v>
      </c>
      <c r="AH75" s="1459" t="s">
        <v>4908</v>
      </c>
      <c r="AI75" s="1459" t="s">
        <v>5951</v>
      </c>
      <c r="AJ75" s="1459" t="s">
        <v>9907</v>
      </c>
      <c r="AK75" s="1459" t="s">
        <v>456</v>
      </c>
      <c r="AL75" s="1459" t="s">
        <v>2207</v>
      </c>
      <c r="AM75" s="1459" t="s">
        <v>3476</v>
      </c>
      <c r="AN75" s="1459" t="s">
        <v>650</v>
      </c>
      <c r="AO75" s="1459" t="s">
        <v>9908</v>
      </c>
      <c r="AP75" s="1459" t="s">
        <v>9902</v>
      </c>
      <c r="AQ75" s="1459" t="s">
        <v>9909</v>
      </c>
      <c r="AR75" s="1459" t="s">
        <v>3843</v>
      </c>
      <c r="AS75" s="1459" t="s">
        <v>901</v>
      </c>
      <c r="AT75" s="1459" t="s">
        <v>9910</v>
      </c>
      <c r="AU75" s="1459" t="s">
        <v>9911</v>
      </c>
      <c r="AV75" s="1459" t="s">
        <v>8165</v>
      </c>
      <c r="AW75" s="1539" t="s">
        <v>9912</v>
      </c>
    </row>
    <row r="76" ht="15.75" customHeight="1">
      <c r="A76" s="1463" t="s">
        <v>9913</v>
      </c>
      <c r="B76" s="1379" t="s">
        <v>8304</v>
      </c>
      <c r="C76" s="1484">
        <v>0.05199074074074074</v>
      </c>
      <c r="D76" s="1299" t="s">
        <v>9914</v>
      </c>
      <c r="E76" s="1531" t="s">
        <v>5146</v>
      </c>
      <c r="F76" s="1531" t="s">
        <v>9915</v>
      </c>
      <c r="G76" s="1531" t="s">
        <v>9916</v>
      </c>
      <c r="H76" s="1531" t="s">
        <v>6654</v>
      </c>
      <c r="I76" s="1531" t="s">
        <v>9413</v>
      </c>
      <c r="J76" s="1531" t="s">
        <v>9917</v>
      </c>
      <c r="K76" s="1531" t="s">
        <v>9918</v>
      </c>
      <c r="L76" s="1531" t="s">
        <v>3007</v>
      </c>
      <c r="M76" s="1531" t="s">
        <v>9919</v>
      </c>
      <c r="N76" s="1531" t="s">
        <v>9134</v>
      </c>
      <c r="O76" s="1531" t="s">
        <v>9920</v>
      </c>
      <c r="P76" s="1531" t="s">
        <v>2423</v>
      </c>
      <c r="Q76" s="1531" t="s">
        <v>4922</v>
      </c>
      <c r="R76" s="1531" t="s">
        <v>5205</v>
      </c>
      <c r="S76" s="1531" t="s">
        <v>4734</v>
      </c>
      <c r="T76" s="1531" t="s">
        <v>5724</v>
      </c>
      <c r="U76" s="1531" t="s">
        <v>9921</v>
      </c>
      <c r="V76" s="1531" t="s">
        <v>6208</v>
      </c>
      <c r="W76" s="1531" t="s">
        <v>7034</v>
      </c>
      <c r="X76" s="1531" t="s">
        <v>9922</v>
      </c>
      <c r="Y76" s="1531" t="s">
        <v>2020</v>
      </c>
      <c r="Z76" s="1531" t="s">
        <v>9923</v>
      </c>
      <c r="AA76" s="1531" t="s">
        <v>9575</v>
      </c>
      <c r="AB76" s="1531" t="s">
        <v>9924</v>
      </c>
      <c r="AC76" s="1531" t="s">
        <v>8382</v>
      </c>
      <c r="AD76" s="1531" t="s">
        <v>9925</v>
      </c>
      <c r="AE76" s="1531" t="s">
        <v>7211</v>
      </c>
      <c r="AF76" s="1531" t="s">
        <v>9926</v>
      </c>
      <c r="AG76" s="1531" t="s">
        <v>9834</v>
      </c>
      <c r="AH76" s="1531" t="s">
        <v>9927</v>
      </c>
      <c r="AI76" s="1531" t="s">
        <v>9928</v>
      </c>
      <c r="AJ76" s="1531" t="s">
        <v>9929</v>
      </c>
      <c r="AK76" s="1531" t="s">
        <v>808</v>
      </c>
      <c r="AL76" s="1531" t="s">
        <v>3539</v>
      </c>
      <c r="AM76" s="1531" t="s">
        <v>9350</v>
      </c>
      <c r="AN76" s="1531" t="s">
        <v>9930</v>
      </c>
      <c r="AO76" s="1459" t="s">
        <v>6610</v>
      </c>
      <c r="AP76" s="1459" t="s">
        <v>9931</v>
      </c>
      <c r="AQ76" s="1531" t="s">
        <v>5240</v>
      </c>
      <c r="AR76" s="1531" t="s">
        <v>9932</v>
      </c>
      <c r="AS76" s="1531" t="s">
        <v>1159</v>
      </c>
      <c r="AT76" s="1531" t="s">
        <v>9458</v>
      </c>
      <c r="AU76" s="1534" t="str">
        <f>HYPERLINK("https://splits.io/m3t","1:18:40")</f>
        <v>1:18:40</v>
      </c>
      <c r="AV76" s="1531" t="str">
        <f t="shared" ref="AV76:AV79" si="2">TEXT(AU76-C76,"m:ss")</f>
        <v>3:48</v>
      </c>
      <c r="AW76" s="1535" t="s">
        <v>9933</v>
      </c>
    </row>
    <row r="77" ht="15.75" customHeight="1">
      <c r="A77" s="1463" t="s">
        <v>9934</v>
      </c>
      <c r="B77" s="1379" t="s">
        <v>8304</v>
      </c>
      <c r="C77" s="1484">
        <v>0.052002314814814814</v>
      </c>
      <c r="D77" s="1299" t="s">
        <v>9935</v>
      </c>
      <c r="E77" s="1531" t="s">
        <v>8600</v>
      </c>
      <c r="F77" s="1531" t="s">
        <v>9936</v>
      </c>
      <c r="G77" s="1531" t="s">
        <v>9937</v>
      </c>
      <c r="H77" s="1531" t="s">
        <v>9938</v>
      </c>
      <c r="I77" s="1531" t="s">
        <v>3353</v>
      </c>
      <c r="J77" s="1531" t="s">
        <v>9016</v>
      </c>
      <c r="K77" s="1531" t="s">
        <v>4370</v>
      </c>
      <c r="L77" s="1531" t="s">
        <v>3227</v>
      </c>
      <c r="M77" s="1531" t="s">
        <v>9616</v>
      </c>
      <c r="N77" s="1531" t="s">
        <v>4408</v>
      </c>
      <c r="O77" s="1531" t="s">
        <v>9939</v>
      </c>
      <c r="P77" s="1531" t="s">
        <v>9940</v>
      </c>
      <c r="Q77" s="1531" t="s">
        <v>113</v>
      </c>
      <c r="R77" s="1531" t="s">
        <v>1449</v>
      </c>
      <c r="S77" s="1531" t="s">
        <v>9103</v>
      </c>
      <c r="T77" s="1531" t="s">
        <v>523</v>
      </c>
      <c r="U77" s="1531" t="s">
        <v>1845</v>
      </c>
      <c r="V77" s="1531" t="s">
        <v>460</v>
      </c>
      <c r="W77" s="1531" t="s">
        <v>5581</v>
      </c>
      <c r="X77" s="1531" t="s">
        <v>9393</v>
      </c>
      <c r="Y77" s="1531" t="s">
        <v>2432</v>
      </c>
      <c r="Z77" s="1531" t="s">
        <v>5348</v>
      </c>
      <c r="AA77" s="1531" t="s">
        <v>9134</v>
      </c>
      <c r="AB77" s="1531" t="s">
        <v>9941</v>
      </c>
      <c r="AC77" s="1531" t="s">
        <v>2980</v>
      </c>
      <c r="AD77" s="1531" t="s">
        <v>9942</v>
      </c>
      <c r="AE77" s="1531" t="s">
        <v>5063</v>
      </c>
      <c r="AF77" s="1531" t="s">
        <v>9943</v>
      </c>
      <c r="AG77" s="1531" t="s">
        <v>9944</v>
      </c>
      <c r="AH77" s="1531" t="s">
        <v>2203</v>
      </c>
      <c r="AI77" s="1531" t="s">
        <v>9233</v>
      </c>
      <c r="AJ77" s="1531" t="s">
        <v>9945</v>
      </c>
      <c r="AK77" s="1531" t="s">
        <v>4522</v>
      </c>
      <c r="AL77" s="1531" t="s">
        <v>8708</v>
      </c>
      <c r="AM77" s="1531" t="s">
        <v>1454</v>
      </c>
      <c r="AN77" s="1531" t="s">
        <v>8483</v>
      </c>
      <c r="AO77" s="1531" t="s">
        <v>8788</v>
      </c>
      <c r="AP77" s="1531" t="s">
        <v>9946</v>
      </c>
      <c r="AQ77" s="1531" t="s">
        <v>9947</v>
      </c>
      <c r="AR77" s="1531" t="s">
        <v>9868</v>
      </c>
      <c r="AS77" s="1531" t="s">
        <v>9948</v>
      </c>
      <c r="AT77" s="1531" t="s">
        <v>9949</v>
      </c>
      <c r="AU77" s="1531" t="s">
        <v>9950</v>
      </c>
      <c r="AV77" s="1531" t="str">
        <f t="shared" si="2"/>
        <v>3:32</v>
      </c>
      <c r="AW77" s="1535" t="s">
        <v>9951</v>
      </c>
    </row>
    <row r="78" ht="15.75" customHeight="1">
      <c r="A78" s="1463" t="s">
        <v>9952</v>
      </c>
      <c r="B78" s="1441" t="s">
        <v>8332</v>
      </c>
      <c r="C78" s="1484">
        <v>0.05201388888888889</v>
      </c>
      <c r="D78" s="1299" t="s">
        <v>9953</v>
      </c>
      <c r="E78" s="1459" t="s">
        <v>9954</v>
      </c>
      <c r="F78" s="1531" t="s">
        <v>9955</v>
      </c>
      <c r="G78" s="1531" t="s">
        <v>9956</v>
      </c>
      <c r="H78" s="1531" t="s">
        <v>1574</v>
      </c>
      <c r="I78" s="1531" t="s">
        <v>9957</v>
      </c>
      <c r="J78" s="1531" t="s">
        <v>9958</v>
      </c>
      <c r="K78" s="1531" t="s">
        <v>4055</v>
      </c>
      <c r="L78" s="1531" t="s">
        <v>9959</v>
      </c>
      <c r="M78" s="1531" t="s">
        <v>9960</v>
      </c>
      <c r="N78" s="1531" t="s">
        <v>9961</v>
      </c>
      <c r="O78" s="1531" t="s">
        <v>9962</v>
      </c>
      <c r="P78" s="1531" t="s">
        <v>160</v>
      </c>
      <c r="Q78" s="1531" t="s">
        <v>9963</v>
      </c>
      <c r="R78" s="1531" t="s">
        <v>6533</v>
      </c>
      <c r="S78" s="1531" t="s">
        <v>8776</v>
      </c>
      <c r="T78" s="1531" t="s">
        <v>9964</v>
      </c>
      <c r="U78" s="1531" t="s">
        <v>9965</v>
      </c>
      <c r="V78" s="1531" t="s">
        <v>7895</v>
      </c>
      <c r="W78" s="1531" t="s">
        <v>9966</v>
      </c>
      <c r="X78" s="1531" t="s">
        <v>9393</v>
      </c>
      <c r="Y78" s="1531" t="s">
        <v>300</v>
      </c>
      <c r="Z78" s="1531" t="s">
        <v>2332</v>
      </c>
      <c r="AA78" s="1531" t="s">
        <v>5692</v>
      </c>
      <c r="AB78" s="1531" t="s">
        <v>8624</v>
      </c>
      <c r="AC78" s="1531" t="s">
        <v>853</v>
      </c>
      <c r="AD78" s="1531" t="s">
        <v>9967</v>
      </c>
      <c r="AE78" s="1531" t="s">
        <v>1096</v>
      </c>
      <c r="AF78" s="1531" t="s">
        <v>9968</v>
      </c>
      <c r="AG78" s="1531" t="s">
        <v>2800</v>
      </c>
      <c r="AH78" s="1531" t="s">
        <v>5911</v>
      </c>
      <c r="AI78" s="1531" t="s">
        <v>1659</v>
      </c>
      <c r="AJ78" s="1531" t="s">
        <v>9969</v>
      </c>
      <c r="AK78" s="1531" t="s">
        <v>3329</v>
      </c>
      <c r="AL78" s="1531" t="s">
        <v>3752</v>
      </c>
      <c r="AM78" s="1531" t="s">
        <v>927</v>
      </c>
      <c r="AN78" s="1531" t="s">
        <v>9701</v>
      </c>
      <c r="AO78" s="1531" t="s">
        <v>2206</v>
      </c>
      <c r="AP78" s="1531" t="s">
        <v>9970</v>
      </c>
      <c r="AQ78" s="1531" t="s">
        <v>1005</v>
      </c>
      <c r="AR78" s="1531" t="s">
        <v>8377</v>
      </c>
      <c r="AS78" s="1531" t="s">
        <v>9444</v>
      </c>
      <c r="AT78" s="1531" t="s">
        <v>9971</v>
      </c>
      <c r="AU78" s="1531" t="s">
        <v>9972</v>
      </c>
      <c r="AV78" s="1531" t="str">
        <f t="shared" si="2"/>
        <v>2:58</v>
      </c>
      <c r="AW78" s="1536" t="s">
        <v>9973</v>
      </c>
    </row>
    <row r="79" ht="15.75" customHeight="1">
      <c r="A79" s="1378" t="s">
        <v>6701</v>
      </c>
      <c r="B79" s="1441" t="s">
        <v>8332</v>
      </c>
      <c r="C79" s="1484">
        <v>0.05207175925925926</v>
      </c>
      <c r="D79" s="1299" t="s">
        <v>9974</v>
      </c>
      <c r="E79" s="1531" t="s">
        <v>9975</v>
      </c>
      <c r="F79" s="1531" t="s">
        <v>9976</v>
      </c>
      <c r="G79" s="1531" t="s">
        <v>9977</v>
      </c>
      <c r="H79" s="1531" t="s">
        <v>9978</v>
      </c>
      <c r="I79" s="1531" t="s">
        <v>4845</v>
      </c>
      <c r="J79" s="1531" t="s">
        <v>8901</v>
      </c>
      <c r="K79" s="1531" t="s">
        <v>9583</v>
      </c>
      <c r="L79" s="1531" t="s">
        <v>9979</v>
      </c>
      <c r="M79" s="1531" t="s">
        <v>2678</v>
      </c>
      <c r="N79" s="1531" t="s">
        <v>9980</v>
      </c>
      <c r="O79" s="1531" t="s">
        <v>9981</v>
      </c>
      <c r="P79" s="1531" t="s">
        <v>763</v>
      </c>
      <c r="Q79" s="1531" t="s">
        <v>9982</v>
      </c>
      <c r="R79" s="1531" t="s">
        <v>4801</v>
      </c>
      <c r="S79" s="1531" t="s">
        <v>5855</v>
      </c>
      <c r="T79" s="1531" t="s">
        <v>5724</v>
      </c>
      <c r="U79" s="1531" t="s">
        <v>9983</v>
      </c>
      <c r="V79" s="1531" t="s">
        <v>2375</v>
      </c>
      <c r="W79" s="1531" t="s">
        <v>8381</v>
      </c>
      <c r="X79" s="1531" t="s">
        <v>9984</v>
      </c>
      <c r="Y79" s="1531" t="s">
        <v>1406</v>
      </c>
      <c r="Z79" s="1531" t="s">
        <v>6476</v>
      </c>
      <c r="AA79" s="1531" t="s">
        <v>1482</v>
      </c>
      <c r="AB79" s="1531" t="s">
        <v>9985</v>
      </c>
      <c r="AC79" s="1531" t="s">
        <v>238</v>
      </c>
      <c r="AD79" s="1531" t="s">
        <v>9986</v>
      </c>
      <c r="AE79" s="1531" t="s">
        <v>6031</v>
      </c>
      <c r="AF79" s="1531" t="s">
        <v>9987</v>
      </c>
      <c r="AG79" s="1531" t="s">
        <v>9393</v>
      </c>
      <c r="AH79" s="1531" t="s">
        <v>7629</v>
      </c>
      <c r="AI79" s="1531" t="s">
        <v>9742</v>
      </c>
      <c r="AJ79" s="1531" t="s">
        <v>9988</v>
      </c>
      <c r="AK79" s="1531" t="s">
        <v>9989</v>
      </c>
      <c r="AL79" s="1531" t="s">
        <v>4173</v>
      </c>
      <c r="AM79" s="1531" t="s">
        <v>9482</v>
      </c>
      <c r="AN79" s="1531" t="s">
        <v>3752</v>
      </c>
      <c r="AO79" s="1531" t="s">
        <v>4055</v>
      </c>
      <c r="AP79" s="1531" t="s">
        <v>9244</v>
      </c>
      <c r="AQ79" s="1531" t="s">
        <v>9990</v>
      </c>
      <c r="AR79" s="1531" t="s">
        <v>1481</v>
      </c>
      <c r="AS79" s="1531" t="s">
        <v>5950</v>
      </c>
      <c r="AT79" s="1531" t="s">
        <v>6814</v>
      </c>
      <c r="AU79" s="1531" t="s">
        <v>9991</v>
      </c>
      <c r="AV79" s="1531" t="str">
        <f t="shared" si="2"/>
        <v>3:10</v>
      </c>
      <c r="AW79" s="1536" t="s">
        <v>9992</v>
      </c>
    </row>
    <row r="80">
      <c r="A80" s="1540" t="s">
        <v>3878</v>
      </c>
      <c r="B80" s="1516" t="s">
        <v>8360</v>
      </c>
      <c r="C80" s="1500">
        <v>0.052141203703703703</v>
      </c>
      <c r="D80" s="1299" t="s">
        <v>9993</v>
      </c>
      <c r="E80" s="1432" t="s">
        <v>2875</v>
      </c>
      <c r="F80" s="1432" t="s">
        <v>9994</v>
      </c>
      <c r="G80" s="1453" t="s">
        <v>9995</v>
      </c>
      <c r="H80" s="1453" t="s">
        <v>9996</v>
      </c>
      <c r="I80" s="1453" t="s">
        <v>114</v>
      </c>
      <c r="J80" s="1453" t="s">
        <v>7481</v>
      </c>
      <c r="K80" s="1548" t="s">
        <v>6007</v>
      </c>
      <c r="L80" s="1549" t="s">
        <v>7626</v>
      </c>
      <c r="M80" s="1453" t="s">
        <v>9997</v>
      </c>
      <c r="N80" s="1453" t="s">
        <v>5724</v>
      </c>
      <c r="O80" s="1453" t="s">
        <v>5481</v>
      </c>
      <c r="P80" s="1453" t="s">
        <v>1981</v>
      </c>
      <c r="Q80" s="1453" t="s">
        <v>9998</v>
      </c>
      <c r="R80" s="1453" t="s">
        <v>2411</v>
      </c>
      <c r="S80" s="1550" t="s">
        <v>2250</v>
      </c>
      <c r="T80" s="1453" t="s">
        <v>8748</v>
      </c>
      <c r="U80" s="1453" t="s">
        <v>3193</v>
      </c>
      <c r="V80" s="1453" t="s">
        <v>9999</v>
      </c>
      <c r="W80" s="1453" t="s">
        <v>10000</v>
      </c>
      <c r="X80" s="1453" t="s">
        <v>4394</v>
      </c>
      <c r="Y80" s="1453" t="s">
        <v>3263</v>
      </c>
      <c r="Z80" s="1453" t="s">
        <v>4025</v>
      </c>
      <c r="AA80" s="1453" t="s">
        <v>398</v>
      </c>
      <c r="AB80" s="1453" t="s">
        <v>621</v>
      </c>
      <c r="AC80" s="1453" t="s">
        <v>6031</v>
      </c>
      <c r="AD80" s="1551" t="s">
        <v>8674</v>
      </c>
      <c r="AE80" s="1453" t="s">
        <v>475</v>
      </c>
      <c r="AF80" s="1453" t="s">
        <v>10001</v>
      </c>
      <c r="AG80" s="1453" t="s">
        <v>10002</v>
      </c>
      <c r="AH80" s="1453" t="s">
        <v>4466</v>
      </c>
      <c r="AI80" s="1453" t="s">
        <v>3581</v>
      </c>
      <c r="AJ80" s="1453" t="s">
        <v>10003</v>
      </c>
      <c r="AK80" s="1453" t="s">
        <v>10004</v>
      </c>
      <c r="AL80" s="1453" t="s">
        <v>4925</v>
      </c>
      <c r="AM80" s="1453" t="s">
        <v>9623</v>
      </c>
      <c r="AN80" s="1453" t="s">
        <v>9173</v>
      </c>
      <c r="AO80" s="1453" t="s">
        <v>8656</v>
      </c>
      <c r="AP80" s="1453" t="s">
        <v>10005</v>
      </c>
      <c r="AQ80" s="1548" t="s">
        <v>8391</v>
      </c>
      <c r="AR80" s="1453" t="s">
        <v>10006</v>
      </c>
      <c r="AS80" s="1546" t="s">
        <v>752</v>
      </c>
      <c r="AT80" s="1453" t="s">
        <v>10007</v>
      </c>
      <c r="AU80" s="1419" t="s">
        <v>10008</v>
      </c>
      <c r="AV80" s="1419" t="s">
        <v>10009</v>
      </c>
      <c r="AW80" s="1552" t="s">
        <v>10010</v>
      </c>
    </row>
    <row r="81">
      <c r="A81" s="1428" t="s">
        <v>3757</v>
      </c>
      <c r="B81" s="1426" t="s">
        <v>8304</v>
      </c>
      <c r="C81" s="1380">
        <v>0.0522337962962963</v>
      </c>
      <c r="D81" s="1498" t="s">
        <v>10011</v>
      </c>
      <c r="E81" s="1459" t="s">
        <v>10012</v>
      </c>
      <c r="F81" s="1459" t="s">
        <v>10013</v>
      </c>
      <c r="G81" s="1459" t="s">
        <v>10014</v>
      </c>
      <c r="H81" s="1459" t="s">
        <v>10015</v>
      </c>
      <c r="I81" s="1459" t="s">
        <v>141</v>
      </c>
      <c r="J81" s="1459" t="s">
        <v>7970</v>
      </c>
      <c r="K81" s="1459" t="s">
        <v>4370</v>
      </c>
      <c r="L81" s="1459" t="s">
        <v>6019</v>
      </c>
      <c r="M81" s="1459" t="s">
        <v>10016</v>
      </c>
      <c r="N81" s="1459" t="s">
        <v>10017</v>
      </c>
      <c r="O81" s="1459" t="s">
        <v>10018</v>
      </c>
      <c r="P81" s="1459" t="s">
        <v>5063</v>
      </c>
      <c r="Q81" s="1459" t="s">
        <v>4744</v>
      </c>
      <c r="R81" s="1459" t="s">
        <v>6005</v>
      </c>
      <c r="S81" s="1459" t="s">
        <v>603</v>
      </c>
      <c r="T81" s="1459" t="s">
        <v>9789</v>
      </c>
      <c r="U81" s="1459" t="s">
        <v>8701</v>
      </c>
      <c r="V81" s="1459" t="s">
        <v>10019</v>
      </c>
      <c r="W81" s="1459" t="s">
        <v>10020</v>
      </c>
      <c r="X81" s="1459" t="s">
        <v>9906</v>
      </c>
      <c r="Y81" s="1459" t="s">
        <v>757</v>
      </c>
      <c r="Z81" s="1459" t="s">
        <v>10021</v>
      </c>
      <c r="AA81" s="1299" t="s">
        <v>10022</v>
      </c>
      <c r="AB81" s="1459" t="s">
        <v>7578</v>
      </c>
      <c r="AC81" s="1459" t="s">
        <v>9766</v>
      </c>
      <c r="AD81" s="1459" t="s">
        <v>6651</v>
      </c>
      <c r="AE81" s="1459" t="s">
        <v>4805</v>
      </c>
      <c r="AF81" s="1381" t="s">
        <v>10023</v>
      </c>
      <c r="AG81" s="1459" t="s">
        <v>10024</v>
      </c>
      <c r="AH81" s="1459" t="s">
        <v>4983</v>
      </c>
      <c r="AI81" s="1459" t="s">
        <v>7234</v>
      </c>
      <c r="AJ81" s="1459" t="s">
        <v>10025</v>
      </c>
      <c r="AK81" s="1459" t="s">
        <v>10026</v>
      </c>
      <c r="AL81" s="1459" t="s">
        <v>9702</v>
      </c>
      <c r="AM81" s="1459" t="s">
        <v>10027</v>
      </c>
      <c r="AN81" s="1459" t="s">
        <v>1150</v>
      </c>
      <c r="AO81" s="1459" t="s">
        <v>10028</v>
      </c>
      <c r="AP81" s="1459" t="s">
        <v>5515</v>
      </c>
      <c r="AQ81" s="1459" t="s">
        <v>10029</v>
      </c>
      <c r="AR81" s="1459" t="s">
        <v>689</v>
      </c>
      <c r="AS81" s="1381" t="s">
        <v>2816</v>
      </c>
      <c r="AT81" s="1459" t="s">
        <v>10030</v>
      </c>
      <c r="AU81" s="1459" t="s">
        <v>10031</v>
      </c>
      <c r="AV81" s="1531" t="str">
        <f t="shared" ref="AV81:AV99" si="3">TEXT(AU81-C81,"m:ss")</f>
        <v>4:32</v>
      </c>
      <c r="AW81" s="1532" t="s">
        <v>10032</v>
      </c>
    </row>
    <row r="82">
      <c r="A82" s="1428" t="s">
        <v>5092</v>
      </c>
      <c r="B82" s="1421" t="s">
        <v>8332</v>
      </c>
      <c r="C82" s="1380">
        <v>0.05232638888888889</v>
      </c>
      <c r="D82" s="1498" t="s">
        <v>10033</v>
      </c>
      <c r="E82" s="1459" t="s">
        <v>1230</v>
      </c>
      <c r="F82" s="1459" t="s">
        <v>10034</v>
      </c>
      <c r="G82" s="1459" t="s">
        <v>10035</v>
      </c>
      <c r="H82" s="1459" t="s">
        <v>10036</v>
      </c>
      <c r="I82" s="1459" t="s">
        <v>1346</v>
      </c>
      <c r="J82" s="1459" t="s">
        <v>6950</v>
      </c>
      <c r="K82" s="1459" t="s">
        <v>9594</v>
      </c>
      <c r="L82" s="1459" t="s">
        <v>10037</v>
      </c>
      <c r="M82" s="1459" t="s">
        <v>6682</v>
      </c>
      <c r="N82" s="1459" t="s">
        <v>10038</v>
      </c>
      <c r="O82" s="1459" t="s">
        <v>10039</v>
      </c>
      <c r="P82" s="1459" t="s">
        <v>515</v>
      </c>
      <c r="Q82" s="1459" t="s">
        <v>9409</v>
      </c>
      <c r="R82" s="1459" t="s">
        <v>5265</v>
      </c>
      <c r="S82" s="1459" t="s">
        <v>9251</v>
      </c>
      <c r="T82" s="1459" t="s">
        <v>10040</v>
      </c>
      <c r="U82" s="1459" t="s">
        <v>10041</v>
      </c>
      <c r="V82" s="1459" t="s">
        <v>10042</v>
      </c>
      <c r="W82" s="1459" t="s">
        <v>6096</v>
      </c>
      <c r="X82" s="1459" t="s">
        <v>309</v>
      </c>
      <c r="Y82" s="1459" t="s">
        <v>7095</v>
      </c>
      <c r="Z82" s="1459" t="s">
        <v>780</v>
      </c>
      <c r="AA82" s="1531" t="s">
        <v>9251</v>
      </c>
      <c r="AB82" s="1459" t="s">
        <v>10043</v>
      </c>
      <c r="AC82" s="1459" t="s">
        <v>6000</v>
      </c>
      <c r="AD82" s="1459" t="s">
        <v>10044</v>
      </c>
      <c r="AE82" s="1459" t="s">
        <v>223</v>
      </c>
      <c r="AF82" s="1459" t="s">
        <v>7888</v>
      </c>
      <c r="AG82" s="1459" t="s">
        <v>3416</v>
      </c>
      <c r="AH82" s="1459" t="s">
        <v>1810</v>
      </c>
      <c r="AI82" s="1459" t="s">
        <v>417</v>
      </c>
      <c r="AJ82" s="1459" t="s">
        <v>10045</v>
      </c>
      <c r="AK82" s="1459" t="s">
        <v>10046</v>
      </c>
      <c r="AL82" s="1459" t="s">
        <v>9744</v>
      </c>
      <c r="AM82" s="1459" t="s">
        <v>2800</v>
      </c>
      <c r="AN82" s="1459" t="s">
        <v>5793</v>
      </c>
      <c r="AO82" s="1459" t="s">
        <v>3302</v>
      </c>
      <c r="AP82" s="1459" t="s">
        <v>10047</v>
      </c>
      <c r="AQ82" s="1459" t="s">
        <v>6681</v>
      </c>
      <c r="AR82" s="1459" t="s">
        <v>5999</v>
      </c>
      <c r="AS82" s="1459" t="s">
        <v>10048</v>
      </c>
      <c r="AT82" s="1459" t="s">
        <v>10049</v>
      </c>
      <c r="AU82" s="1459" t="s">
        <v>10050</v>
      </c>
      <c r="AV82" s="1531" t="str">
        <f t="shared" si="3"/>
        <v>3:48</v>
      </c>
      <c r="AW82" s="1536"/>
    </row>
    <row r="83" ht="15.75" customHeight="1">
      <c r="A83" s="1378" t="s">
        <v>10051</v>
      </c>
      <c r="B83" s="1379" t="s">
        <v>8304</v>
      </c>
      <c r="C83" s="1484">
        <v>0.05240740740740741</v>
      </c>
      <c r="D83" s="1299" t="s">
        <v>10052</v>
      </c>
      <c r="E83" s="1531" t="s">
        <v>1578</v>
      </c>
      <c r="F83" s="1531" t="s">
        <v>6965</v>
      </c>
      <c r="G83" s="1531" t="s">
        <v>9724</v>
      </c>
      <c r="H83" s="1531" t="s">
        <v>10053</v>
      </c>
      <c r="I83" s="1531" t="s">
        <v>10054</v>
      </c>
      <c r="J83" s="1531" t="s">
        <v>10055</v>
      </c>
      <c r="K83" s="1531" t="s">
        <v>5159</v>
      </c>
      <c r="L83" s="1531" t="s">
        <v>4399</v>
      </c>
      <c r="M83" s="1531" t="s">
        <v>4348</v>
      </c>
      <c r="N83" s="1531" t="s">
        <v>4704</v>
      </c>
      <c r="O83" s="1531" t="s">
        <v>10056</v>
      </c>
      <c r="P83" s="1531" t="s">
        <v>10057</v>
      </c>
      <c r="Q83" s="1531" t="s">
        <v>4066</v>
      </c>
      <c r="R83" s="1531" t="s">
        <v>2227</v>
      </c>
      <c r="S83" s="1531" t="s">
        <v>9485</v>
      </c>
      <c r="T83" s="1531" t="s">
        <v>4984</v>
      </c>
      <c r="U83" s="1531" t="s">
        <v>10058</v>
      </c>
      <c r="V83" s="1531" t="s">
        <v>10059</v>
      </c>
      <c r="W83" s="1531" t="s">
        <v>10060</v>
      </c>
      <c r="X83" s="1531" t="s">
        <v>10061</v>
      </c>
      <c r="Y83" s="1531" t="s">
        <v>6223</v>
      </c>
      <c r="Z83" s="1531" t="s">
        <v>9923</v>
      </c>
      <c r="AA83" s="1531" t="s">
        <v>1998</v>
      </c>
      <c r="AB83" s="1531" t="s">
        <v>10062</v>
      </c>
      <c r="AC83" s="1531" t="s">
        <v>1536</v>
      </c>
      <c r="AD83" s="1531" t="s">
        <v>10063</v>
      </c>
      <c r="AE83" s="1531" t="s">
        <v>1536</v>
      </c>
      <c r="AF83" s="1531" t="s">
        <v>10064</v>
      </c>
      <c r="AG83" s="1531" t="s">
        <v>9659</v>
      </c>
      <c r="AH83" s="1531" t="s">
        <v>2100</v>
      </c>
      <c r="AI83" s="1531" t="s">
        <v>3087</v>
      </c>
      <c r="AJ83" s="1531" t="s">
        <v>10065</v>
      </c>
      <c r="AK83" s="1531" t="s">
        <v>1708</v>
      </c>
      <c r="AL83" s="1531" t="s">
        <v>10066</v>
      </c>
      <c r="AM83" s="1531" t="s">
        <v>1121</v>
      </c>
      <c r="AN83" s="1531" t="s">
        <v>2876</v>
      </c>
      <c r="AO83" s="1531" t="s">
        <v>10067</v>
      </c>
      <c r="AP83" s="1531" t="s">
        <v>3360</v>
      </c>
      <c r="AQ83" s="1531" t="s">
        <v>10068</v>
      </c>
      <c r="AR83" s="1531" t="s">
        <v>10069</v>
      </c>
      <c r="AS83" s="1531" t="s">
        <v>8922</v>
      </c>
      <c r="AT83" s="1531" t="s">
        <v>9029</v>
      </c>
      <c r="AU83" s="1531" t="s">
        <v>10070</v>
      </c>
      <c r="AV83" s="1531" t="str">
        <f t="shared" si="3"/>
        <v>3:40</v>
      </c>
      <c r="AW83" s="1535" t="s">
        <v>10071</v>
      </c>
    </row>
    <row r="84" ht="15.75" customHeight="1">
      <c r="A84" s="1463" t="s">
        <v>10072</v>
      </c>
      <c r="B84" s="1379" t="s">
        <v>8304</v>
      </c>
      <c r="C84" s="1484">
        <v>0.05263888888888889</v>
      </c>
      <c r="D84" s="1299" t="s">
        <v>10073</v>
      </c>
      <c r="E84" s="1531" t="s">
        <v>9775</v>
      </c>
      <c r="F84" s="1531" t="s">
        <v>10074</v>
      </c>
      <c r="G84" s="1531" t="s">
        <v>10075</v>
      </c>
      <c r="H84" s="1531" t="s">
        <v>10076</v>
      </c>
      <c r="I84" s="1531" t="s">
        <v>10077</v>
      </c>
      <c r="J84" s="1531" t="s">
        <v>8730</v>
      </c>
      <c r="K84" s="1531" t="s">
        <v>3985</v>
      </c>
      <c r="L84" s="1531" t="s">
        <v>4059</v>
      </c>
      <c r="M84" s="1531" t="s">
        <v>9052</v>
      </c>
      <c r="N84" s="1531" t="s">
        <v>10078</v>
      </c>
      <c r="O84" s="1531" t="s">
        <v>8348</v>
      </c>
      <c r="P84" s="1531" t="s">
        <v>479</v>
      </c>
      <c r="Q84" s="1531" t="s">
        <v>10079</v>
      </c>
      <c r="R84" s="1531" t="s">
        <v>5478</v>
      </c>
      <c r="S84" s="1531" t="s">
        <v>1976</v>
      </c>
      <c r="T84" s="1531" t="s">
        <v>10080</v>
      </c>
      <c r="U84" s="1531" t="s">
        <v>10081</v>
      </c>
      <c r="V84" s="1531" t="s">
        <v>10082</v>
      </c>
      <c r="W84" s="1531" t="s">
        <v>10083</v>
      </c>
      <c r="X84" s="1531" t="s">
        <v>5590</v>
      </c>
      <c r="Y84" s="1531" t="s">
        <v>1536</v>
      </c>
      <c r="Z84" s="1531" t="s">
        <v>3415</v>
      </c>
      <c r="AA84" s="1459" t="s">
        <v>6877</v>
      </c>
      <c r="AB84" s="1531" t="s">
        <v>5144</v>
      </c>
      <c r="AC84" s="1531" t="s">
        <v>9784</v>
      </c>
      <c r="AD84" s="1531" t="s">
        <v>2913</v>
      </c>
      <c r="AE84" s="1531" t="s">
        <v>1142</v>
      </c>
      <c r="AF84" s="1531" t="s">
        <v>10084</v>
      </c>
      <c r="AG84" s="1531" t="s">
        <v>2701</v>
      </c>
      <c r="AH84" s="1531" t="s">
        <v>7229</v>
      </c>
      <c r="AI84" s="1531" t="s">
        <v>10085</v>
      </c>
      <c r="AJ84" s="1531" t="s">
        <v>10086</v>
      </c>
      <c r="AK84" s="1531" t="s">
        <v>9389</v>
      </c>
      <c r="AL84" s="1531" t="s">
        <v>10087</v>
      </c>
      <c r="AM84" s="1531" t="s">
        <v>10088</v>
      </c>
      <c r="AN84" s="1531" t="s">
        <v>3751</v>
      </c>
      <c r="AO84" s="1531" t="s">
        <v>8656</v>
      </c>
      <c r="AP84" s="1531" t="s">
        <v>10089</v>
      </c>
      <c r="AQ84" s="1531" t="s">
        <v>10090</v>
      </c>
      <c r="AR84" s="1531" t="s">
        <v>154</v>
      </c>
      <c r="AS84" s="1531" t="s">
        <v>1159</v>
      </c>
      <c r="AT84" s="1531" t="s">
        <v>10091</v>
      </c>
      <c r="AU84" s="1531" t="s">
        <v>10092</v>
      </c>
      <c r="AV84" s="1531" t="str">
        <f t="shared" si="3"/>
        <v>4:28</v>
      </c>
      <c r="AW84" s="1535" t="s">
        <v>10093</v>
      </c>
    </row>
    <row r="85">
      <c r="A85" s="1428" t="s">
        <v>3324</v>
      </c>
      <c r="B85" s="1507" t="s">
        <v>8360</v>
      </c>
      <c r="C85" s="1380">
        <v>0.052662037037037035</v>
      </c>
      <c r="D85" s="1299" t="s">
        <v>10094</v>
      </c>
      <c r="E85" s="1299" t="s">
        <v>527</v>
      </c>
      <c r="F85" s="1299" t="s">
        <v>10095</v>
      </c>
      <c r="G85" s="1299" t="s">
        <v>10096</v>
      </c>
      <c r="H85" s="1299" t="s">
        <v>8551</v>
      </c>
      <c r="I85" s="1299" t="s">
        <v>10097</v>
      </c>
      <c r="J85" s="1299" t="s">
        <v>1681</v>
      </c>
      <c r="K85" s="1299" t="s">
        <v>10098</v>
      </c>
      <c r="L85" s="1299" t="s">
        <v>2694</v>
      </c>
      <c r="M85" s="1299" t="s">
        <v>268</v>
      </c>
      <c r="N85" s="1299" t="s">
        <v>8819</v>
      </c>
      <c r="O85" s="1299" t="s">
        <v>10099</v>
      </c>
      <c r="P85" s="1299" t="s">
        <v>2058</v>
      </c>
      <c r="Q85" s="1299" t="s">
        <v>10100</v>
      </c>
      <c r="R85" s="1299" t="s">
        <v>3430</v>
      </c>
      <c r="S85" s="1299" t="s">
        <v>10101</v>
      </c>
      <c r="T85" s="1299" t="s">
        <v>10102</v>
      </c>
      <c r="U85" s="1299" t="s">
        <v>10103</v>
      </c>
      <c r="V85" s="1299" t="s">
        <v>10104</v>
      </c>
      <c r="W85" s="1299" t="s">
        <v>10105</v>
      </c>
      <c r="X85" s="1299" t="s">
        <v>2666</v>
      </c>
      <c r="Y85" s="1299" t="s">
        <v>2831</v>
      </c>
      <c r="Z85" s="1299" t="s">
        <v>6108</v>
      </c>
      <c r="AA85" s="1459" t="s">
        <v>10106</v>
      </c>
      <c r="AB85" s="1299" t="s">
        <v>10107</v>
      </c>
      <c r="AC85" s="1299" t="s">
        <v>7097</v>
      </c>
      <c r="AD85" s="1553" t="s">
        <v>8381</v>
      </c>
      <c r="AE85" s="1299" t="s">
        <v>333</v>
      </c>
      <c r="AF85" s="1299" t="s">
        <v>10108</v>
      </c>
      <c r="AG85" s="1299" t="s">
        <v>6597</v>
      </c>
      <c r="AH85" s="1299" t="s">
        <v>3450</v>
      </c>
      <c r="AI85" s="1299" t="s">
        <v>10109</v>
      </c>
      <c r="AJ85" s="1299" t="s">
        <v>10110</v>
      </c>
      <c r="AK85" s="1299" t="s">
        <v>10111</v>
      </c>
      <c r="AL85" s="1299" t="s">
        <v>4537</v>
      </c>
      <c r="AM85" s="1299" t="s">
        <v>5580</v>
      </c>
      <c r="AN85" s="1553" t="s">
        <v>8388</v>
      </c>
      <c r="AO85" s="1299" t="s">
        <v>10112</v>
      </c>
      <c r="AP85" s="1299" t="s">
        <v>10113</v>
      </c>
      <c r="AQ85" s="1299" t="s">
        <v>10114</v>
      </c>
      <c r="AR85" s="1299" t="s">
        <v>5825</v>
      </c>
      <c r="AS85" s="1299" t="s">
        <v>8937</v>
      </c>
      <c r="AT85" s="1299" t="s">
        <v>10115</v>
      </c>
      <c r="AU85" s="1554" t="s">
        <v>10116</v>
      </c>
      <c r="AV85" s="1531" t="str">
        <f t="shared" si="3"/>
        <v>4:43</v>
      </c>
      <c r="AW85" s="1539" t="s">
        <v>10117</v>
      </c>
    </row>
    <row r="86" ht="15.75" customHeight="1">
      <c r="A86" s="1428" t="s">
        <v>10118</v>
      </c>
      <c r="B86" s="1421" t="s">
        <v>8304</v>
      </c>
      <c r="C86" s="1380">
        <v>0.05267361111111111</v>
      </c>
      <c r="D86" s="1498" t="s">
        <v>9447</v>
      </c>
      <c r="E86" s="1459" t="s">
        <v>861</v>
      </c>
      <c r="F86" s="1459" t="s">
        <v>6623</v>
      </c>
      <c r="G86" s="1459" t="s">
        <v>10119</v>
      </c>
      <c r="H86" s="1459" t="s">
        <v>10120</v>
      </c>
      <c r="I86" s="1459" t="s">
        <v>5508</v>
      </c>
      <c r="J86" s="1299" t="s">
        <v>10121</v>
      </c>
      <c r="K86" s="1459" t="s">
        <v>10122</v>
      </c>
      <c r="L86" s="1459" t="s">
        <v>3450</v>
      </c>
      <c r="M86" s="1459" t="s">
        <v>6579</v>
      </c>
      <c r="N86" s="1459" t="s">
        <v>10123</v>
      </c>
      <c r="O86" s="1459" t="s">
        <v>10124</v>
      </c>
      <c r="P86" s="1459" t="s">
        <v>9413</v>
      </c>
      <c r="Q86" s="1459" t="s">
        <v>10125</v>
      </c>
      <c r="R86" s="1459" t="s">
        <v>5525</v>
      </c>
      <c r="S86" s="1459" t="s">
        <v>6616</v>
      </c>
      <c r="T86" s="1459" t="s">
        <v>10126</v>
      </c>
      <c r="U86" s="1459" t="s">
        <v>10127</v>
      </c>
      <c r="V86" s="1459" t="s">
        <v>9105</v>
      </c>
      <c r="W86" s="1459" t="s">
        <v>10128</v>
      </c>
      <c r="X86" s="1459" t="s">
        <v>2369</v>
      </c>
      <c r="Y86" s="1459" t="s">
        <v>9012</v>
      </c>
      <c r="Z86" s="1459" t="s">
        <v>8501</v>
      </c>
      <c r="AA86" s="1459" t="s">
        <v>10129</v>
      </c>
      <c r="AB86" s="1459" t="s">
        <v>9651</v>
      </c>
      <c r="AC86" s="1459" t="s">
        <v>8861</v>
      </c>
      <c r="AD86" s="1459" t="s">
        <v>10130</v>
      </c>
      <c r="AE86" s="1459" t="s">
        <v>2338</v>
      </c>
      <c r="AF86" s="1459" t="s">
        <v>10131</v>
      </c>
      <c r="AG86" s="1459" t="s">
        <v>10132</v>
      </c>
      <c r="AH86" s="1459" t="s">
        <v>4059</v>
      </c>
      <c r="AI86" s="1459" t="s">
        <v>10133</v>
      </c>
      <c r="AJ86" s="1459" t="s">
        <v>10134</v>
      </c>
      <c r="AK86" s="1459" t="s">
        <v>1608</v>
      </c>
      <c r="AL86" s="1459" t="s">
        <v>2554</v>
      </c>
      <c r="AM86" s="1459" t="s">
        <v>1608</v>
      </c>
      <c r="AN86" s="1459" t="s">
        <v>2554</v>
      </c>
      <c r="AO86" s="1459" t="s">
        <v>5904</v>
      </c>
      <c r="AP86" s="1459" t="s">
        <v>10135</v>
      </c>
      <c r="AQ86" s="1459" t="s">
        <v>2156</v>
      </c>
      <c r="AR86" s="1459" t="s">
        <v>9947</v>
      </c>
      <c r="AS86" s="1459" t="s">
        <v>3505</v>
      </c>
      <c r="AT86" s="1459" t="s">
        <v>10136</v>
      </c>
      <c r="AU86" s="1459" t="s">
        <v>10137</v>
      </c>
      <c r="AV86" s="1531" t="str">
        <f t="shared" si="3"/>
        <v>5:58</v>
      </c>
      <c r="AW86" s="1532" t="s">
        <v>10138</v>
      </c>
    </row>
    <row r="87" ht="15.75" customHeight="1">
      <c r="A87" s="1378" t="s">
        <v>5845</v>
      </c>
      <c r="B87" s="1441" t="s">
        <v>8332</v>
      </c>
      <c r="C87" s="1484">
        <v>0.05275462962962963</v>
      </c>
      <c r="D87" s="1299" t="s">
        <v>10139</v>
      </c>
      <c r="E87" s="1531" t="s">
        <v>9469</v>
      </c>
      <c r="F87" s="1531" t="s">
        <v>10140</v>
      </c>
      <c r="G87" s="1531" t="s">
        <v>8536</v>
      </c>
      <c r="H87" s="1531" t="s">
        <v>6443</v>
      </c>
      <c r="I87" s="1531" t="s">
        <v>2266</v>
      </c>
      <c r="J87" s="1531" t="s">
        <v>4001</v>
      </c>
      <c r="K87" s="1531" t="s">
        <v>9804</v>
      </c>
      <c r="L87" s="1531" t="s">
        <v>5182</v>
      </c>
      <c r="M87" s="1531" t="s">
        <v>3984</v>
      </c>
      <c r="N87" s="1531" t="s">
        <v>10141</v>
      </c>
      <c r="O87" s="1531" t="s">
        <v>10142</v>
      </c>
      <c r="P87" s="1531" t="s">
        <v>6072</v>
      </c>
      <c r="Q87" s="1531" t="s">
        <v>10143</v>
      </c>
      <c r="R87" s="1531" t="s">
        <v>10144</v>
      </c>
      <c r="S87" s="1531" t="s">
        <v>8322</v>
      </c>
      <c r="T87" s="1531" t="s">
        <v>2558</v>
      </c>
      <c r="U87" s="1531" t="s">
        <v>494</v>
      </c>
      <c r="V87" s="1531" t="s">
        <v>4121</v>
      </c>
      <c r="W87" s="1531" t="s">
        <v>10145</v>
      </c>
      <c r="X87" s="1531" t="s">
        <v>10146</v>
      </c>
      <c r="Y87" s="1531" t="s">
        <v>5616</v>
      </c>
      <c r="Z87" s="1531" t="s">
        <v>8624</v>
      </c>
      <c r="AA87" s="1531" t="s">
        <v>10147</v>
      </c>
      <c r="AB87" s="1531" t="s">
        <v>487</v>
      </c>
      <c r="AC87" s="1531" t="s">
        <v>9677</v>
      </c>
      <c r="AD87" s="1531" t="s">
        <v>10148</v>
      </c>
      <c r="AE87" s="1531" t="s">
        <v>10149</v>
      </c>
      <c r="AF87" s="1531" t="s">
        <v>9187</v>
      </c>
      <c r="AG87" s="1531" t="s">
        <v>3425</v>
      </c>
      <c r="AH87" s="1531" t="s">
        <v>720</v>
      </c>
      <c r="AI87" s="1531" t="s">
        <v>5212</v>
      </c>
      <c r="AJ87" s="1531" t="s">
        <v>10150</v>
      </c>
      <c r="AK87" s="1531" t="s">
        <v>8729</v>
      </c>
      <c r="AL87" s="1531" t="s">
        <v>5275</v>
      </c>
      <c r="AM87" s="1531" t="s">
        <v>3411</v>
      </c>
      <c r="AN87" s="1531" t="s">
        <v>6181</v>
      </c>
      <c r="AO87" s="1531" t="s">
        <v>10151</v>
      </c>
      <c r="AP87" s="1531" t="s">
        <v>10152</v>
      </c>
      <c r="AQ87" s="1531" t="s">
        <v>10153</v>
      </c>
      <c r="AR87" s="1531" t="s">
        <v>9738</v>
      </c>
      <c r="AS87" s="1531" t="s">
        <v>8637</v>
      </c>
      <c r="AT87" s="1531" t="s">
        <v>10154</v>
      </c>
      <c r="AU87" s="1531" t="s">
        <v>10155</v>
      </c>
      <c r="AV87" s="1531" t="str">
        <f t="shared" si="3"/>
        <v>3:59</v>
      </c>
      <c r="AW87" s="1536" t="s">
        <v>10156</v>
      </c>
    </row>
    <row r="88" ht="15.75" customHeight="1">
      <c r="A88" s="1463" t="s">
        <v>10157</v>
      </c>
      <c r="B88" s="1516" t="s">
        <v>8360</v>
      </c>
      <c r="C88" s="1484">
        <v>0.05291666666666667</v>
      </c>
      <c r="D88" s="1299" t="s">
        <v>10158</v>
      </c>
      <c r="E88" s="1531" t="s">
        <v>10159</v>
      </c>
      <c r="F88" s="1531" t="s">
        <v>5694</v>
      </c>
      <c r="G88" s="1531" t="s">
        <v>9351</v>
      </c>
      <c r="H88" s="1531" t="s">
        <v>9671</v>
      </c>
      <c r="I88" s="1531" t="s">
        <v>2987</v>
      </c>
      <c r="J88" s="1531" t="s">
        <v>10160</v>
      </c>
      <c r="K88" s="1531" t="s">
        <v>5343</v>
      </c>
      <c r="L88" s="1531" t="s">
        <v>6935</v>
      </c>
      <c r="M88" s="1531" t="s">
        <v>10161</v>
      </c>
      <c r="N88" s="1531" t="s">
        <v>10162</v>
      </c>
      <c r="O88" s="1531" t="s">
        <v>10163</v>
      </c>
      <c r="P88" s="1531" t="s">
        <v>9521</v>
      </c>
      <c r="Q88" s="1531" t="s">
        <v>10164</v>
      </c>
      <c r="R88" s="1531" t="s">
        <v>9410</v>
      </c>
      <c r="S88" s="1531" t="s">
        <v>4477</v>
      </c>
      <c r="T88" s="1531" t="s">
        <v>8535</v>
      </c>
      <c r="U88" s="1531" t="s">
        <v>5295</v>
      </c>
      <c r="V88" s="1531" t="s">
        <v>1080</v>
      </c>
      <c r="W88" s="1531" t="s">
        <v>1963</v>
      </c>
      <c r="X88" s="1531" t="s">
        <v>3079</v>
      </c>
      <c r="Y88" s="1531" t="s">
        <v>656</v>
      </c>
      <c r="Z88" s="1531" t="s">
        <v>10165</v>
      </c>
      <c r="AA88" s="1459" t="s">
        <v>6867</v>
      </c>
      <c r="AB88" s="1531" t="s">
        <v>3378</v>
      </c>
      <c r="AC88" s="1531" t="s">
        <v>2432</v>
      </c>
      <c r="AD88" s="1531" t="s">
        <v>10166</v>
      </c>
      <c r="AE88" s="1531" t="s">
        <v>10167</v>
      </c>
      <c r="AF88" s="1531" t="s">
        <v>10168</v>
      </c>
      <c r="AG88" s="1531" t="s">
        <v>10169</v>
      </c>
      <c r="AH88" s="1531" t="s">
        <v>10170</v>
      </c>
      <c r="AI88" s="1531" t="s">
        <v>10171</v>
      </c>
      <c r="AJ88" s="1531" t="s">
        <v>10172</v>
      </c>
      <c r="AK88" s="1531" t="s">
        <v>10173</v>
      </c>
      <c r="AL88" s="1531" t="s">
        <v>1581</v>
      </c>
      <c r="AM88" s="1531" t="s">
        <v>3443</v>
      </c>
      <c r="AN88" s="1531" t="s">
        <v>10174</v>
      </c>
      <c r="AO88" s="1531" t="s">
        <v>10175</v>
      </c>
      <c r="AP88" s="1531" t="s">
        <v>3427</v>
      </c>
      <c r="AQ88" s="1531" t="s">
        <v>10176</v>
      </c>
      <c r="AR88" s="1531" t="s">
        <v>10080</v>
      </c>
      <c r="AS88" s="1531" t="s">
        <v>4181</v>
      </c>
      <c r="AT88" s="1531" t="s">
        <v>10177</v>
      </c>
      <c r="AU88" s="1531" t="s">
        <v>10178</v>
      </c>
      <c r="AV88" s="1531" t="str">
        <f t="shared" si="3"/>
        <v>2:38</v>
      </c>
      <c r="AW88" s="1536"/>
    </row>
    <row r="89" ht="15.75" customHeight="1">
      <c r="A89" s="1428" t="s">
        <v>6098</v>
      </c>
      <c r="B89" s="1426" t="s">
        <v>8304</v>
      </c>
      <c r="C89" s="1380">
        <v>0.05324074074074074</v>
      </c>
      <c r="D89" s="1299" t="s">
        <v>10179</v>
      </c>
      <c r="E89" s="1299" t="s">
        <v>10180</v>
      </c>
      <c r="F89" s="1299" t="s">
        <v>10181</v>
      </c>
      <c r="G89" s="1299" t="s">
        <v>9058</v>
      </c>
      <c r="H89" s="1299" t="s">
        <v>10182</v>
      </c>
      <c r="I89" s="1299" t="s">
        <v>6031</v>
      </c>
      <c r="J89" s="1299" t="s">
        <v>1789</v>
      </c>
      <c r="K89" s="1299" t="s">
        <v>4228</v>
      </c>
      <c r="L89" s="1299" t="s">
        <v>10183</v>
      </c>
      <c r="M89" s="1299" t="s">
        <v>10184</v>
      </c>
      <c r="N89" s="1299" t="s">
        <v>10185</v>
      </c>
      <c r="O89" s="1299" t="s">
        <v>10186</v>
      </c>
      <c r="P89" s="1299" t="s">
        <v>10187</v>
      </c>
      <c r="Q89" s="1299" t="s">
        <v>10188</v>
      </c>
      <c r="R89" s="1299" t="s">
        <v>8319</v>
      </c>
      <c r="S89" s="1299" t="s">
        <v>10061</v>
      </c>
      <c r="T89" s="1299" t="s">
        <v>10189</v>
      </c>
      <c r="U89" s="1299" t="s">
        <v>10190</v>
      </c>
      <c r="V89" s="1299" t="s">
        <v>2716</v>
      </c>
      <c r="W89" s="1299" t="s">
        <v>10191</v>
      </c>
      <c r="X89" s="1299" t="s">
        <v>10192</v>
      </c>
      <c r="Y89" s="1299" t="s">
        <v>5508</v>
      </c>
      <c r="Z89" s="1299" t="s">
        <v>10193</v>
      </c>
      <c r="AA89" s="1459" t="s">
        <v>10194</v>
      </c>
      <c r="AB89" s="1299" t="s">
        <v>9453</v>
      </c>
      <c r="AC89" s="1299" t="s">
        <v>5477</v>
      </c>
      <c r="AD89" s="1299" t="s">
        <v>10195</v>
      </c>
      <c r="AE89" s="1299" t="s">
        <v>9286</v>
      </c>
      <c r="AF89" s="1299" t="s">
        <v>10196</v>
      </c>
      <c r="AG89" s="1299" t="s">
        <v>10002</v>
      </c>
      <c r="AH89" s="1299" t="s">
        <v>5582</v>
      </c>
      <c r="AI89" s="1299" t="s">
        <v>10197</v>
      </c>
      <c r="AJ89" s="1299" t="s">
        <v>10198</v>
      </c>
      <c r="AK89" s="1459" t="s">
        <v>10199</v>
      </c>
      <c r="AL89" s="1299" t="s">
        <v>9787</v>
      </c>
      <c r="AM89" s="1299" t="s">
        <v>10200</v>
      </c>
      <c r="AN89" s="1299" t="s">
        <v>9618</v>
      </c>
      <c r="AO89" s="1299" t="s">
        <v>4510</v>
      </c>
      <c r="AP89" s="1299" t="s">
        <v>10201</v>
      </c>
      <c r="AQ89" s="1299" t="s">
        <v>10202</v>
      </c>
      <c r="AR89" s="1459" t="s">
        <v>3449</v>
      </c>
      <c r="AS89" s="1299" t="s">
        <v>10203</v>
      </c>
      <c r="AT89" s="1299" t="s">
        <v>10204</v>
      </c>
      <c r="AU89" s="1459" t="s">
        <v>10116</v>
      </c>
      <c r="AV89" s="1531" t="str">
        <f t="shared" si="3"/>
        <v>3:53</v>
      </c>
      <c r="AW89" s="1532" t="s">
        <v>10205</v>
      </c>
    </row>
    <row r="90">
      <c r="A90" s="1428" t="s">
        <v>4639</v>
      </c>
      <c r="B90" s="1421" t="s">
        <v>8360</v>
      </c>
      <c r="C90" s="1380">
        <v>0.05331018518518518</v>
      </c>
      <c r="D90" s="1459" t="s">
        <v>10206</v>
      </c>
      <c r="E90" s="1459" t="s">
        <v>7020</v>
      </c>
      <c r="F90" s="1459" t="s">
        <v>9976</v>
      </c>
      <c r="G90" s="1459" t="s">
        <v>10207</v>
      </c>
      <c r="H90" s="1299" t="s">
        <v>10208</v>
      </c>
      <c r="I90" s="1459" t="s">
        <v>10209</v>
      </c>
      <c r="J90" s="1459" t="s">
        <v>9714</v>
      </c>
      <c r="K90" s="1459" t="s">
        <v>8530</v>
      </c>
      <c r="L90" s="1459" t="s">
        <v>4118</v>
      </c>
      <c r="M90" s="1459" t="s">
        <v>10210</v>
      </c>
      <c r="N90" s="1459" t="s">
        <v>9482</v>
      </c>
      <c r="O90" s="1459" t="s">
        <v>10211</v>
      </c>
      <c r="P90" s="1459" t="s">
        <v>6000</v>
      </c>
      <c r="Q90" s="1459" t="s">
        <v>10212</v>
      </c>
      <c r="R90" s="1459" t="s">
        <v>2135</v>
      </c>
      <c r="S90" s="1459" t="s">
        <v>6884</v>
      </c>
      <c r="T90" s="1459" t="s">
        <v>6422</v>
      </c>
      <c r="U90" s="1459" t="s">
        <v>10213</v>
      </c>
      <c r="V90" s="1459" t="s">
        <v>9694</v>
      </c>
      <c r="W90" s="1459" t="s">
        <v>10214</v>
      </c>
      <c r="X90" s="1459" t="s">
        <v>7475</v>
      </c>
      <c r="Y90" s="1459" t="s">
        <v>5385</v>
      </c>
      <c r="Z90" s="1459" t="s">
        <v>9485</v>
      </c>
      <c r="AA90" s="1459" t="s">
        <v>10215</v>
      </c>
      <c r="AB90" s="1459" t="s">
        <v>3211</v>
      </c>
      <c r="AC90" s="1459" t="s">
        <v>4221</v>
      </c>
      <c r="AD90" s="1459" t="s">
        <v>10216</v>
      </c>
      <c r="AE90" s="1459" t="s">
        <v>5616</v>
      </c>
      <c r="AF90" s="1459" t="s">
        <v>10217</v>
      </c>
      <c r="AG90" s="1459" t="s">
        <v>10218</v>
      </c>
      <c r="AH90" s="1459" t="s">
        <v>10219</v>
      </c>
      <c r="AI90" s="1459" t="s">
        <v>10220</v>
      </c>
      <c r="AJ90" s="1459" t="s">
        <v>10221</v>
      </c>
      <c r="AK90" s="1459" t="s">
        <v>8512</v>
      </c>
      <c r="AL90" s="1459" t="s">
        <v>2146</v>
      </c>
      <c r="AM90" s="1459" t="s">
        <v>10222</v>
      </c>
      <c r="AN90" s="1459" t="s">
        <v>10223</v>
      </c>
      <c r="AO90" s="1459" t="s">
        <v>10224</v>
      </c>
      <c r="AP90" s="1459" t="s">
        <v>2672</v>
      </c>
      <c r="AQ90" s="1459" t="s">
        <v>10225</v>
      </c>
      <c r="AR90" s="1459" t="s">
        <v>1594</v>
      </c>
      <c r="AS90" s="1459" t="s">
        <v>901</v>
      </c>
      <c r="AT90" s="1459" t="s">
        <v>10226</v>
      </c>
      <c r="AU90" s="1459" t="s">
        <v>10227</v>
      </c>
      <c r="AV90" s="1531" t="str">
        <f t="shared" si="3"/>
        <v>4:18</v>
      </c>
      <c r="AW90" s="1536"/>
    </row>
    <row r="91" ht="15.75" customHeight="1">
      <c r="A91" s="1463" t="s">
        <v>10228</v>
      </c>
      <c r="B91" s="1516" t="s">
        <v>8360</v>
      </c>
      <c r="C91" s="1380">
        <v>0.05348379629629629</v>
      </c>
      <c r="D91" s="1299" t="s">
        <v>10229</v>
      </c>
      <c r="E91" s="1531" t="s">
        <v>10012</v>
      </c>
      <c r="F91" s="1531" t="s">
        <v>6180</v>
      </c>
      <c r="G91" s="1531" t="s">
        <v>10230</v>
      </c>
      <c r="H91" s="1531" t="s">
        <v>10231</v>
      </c>
      <c r="I91" s="1531" t="s">
        <v>2391</v>
      </c>
      <c r="J91" s="1531" t="s">
        <v>8834</v>
      </c>
      <c r="K91" s="1531" t="s">
        <v>8373</v>
      </c>
      <c r="L91" s="1531" t="s">
        <v>4702</v>
      </c>
      <c r="M91" s="1531" t="s">
        <v>8995</v>
      </c>
      <c r="N91" s="1531" t="s">
        <v>10232</v>
      </c>
      <c r="O91" s="1531" t="s">
        <v>4271</v>
      </c>
      <c r="P91" s="1531" t="s">
        <v>853</v>
      </c>
      <c r="Q91" s="1459" t="s">
        <v>10233</v>
      </c>
      <c r="R91" s="1531" t="s">
        <v>9761</v>
      </c>
      <c r="S91" s="1531" t="s">
        <v>3909</v>
      </c>
      <c r="T91" s="1531" t="s">
        <v>9984</v>
      </c>
      <c r="U91" s="1531" t="s">
        <v>10234</v>
      </c>
      <c r="V91" s="1531" t="s">
        <v>3498</v>
      </c>
      <c r="W91" s="1531" t="s">
        <v>3598</v>
      </c>
      <c r="X91" s="1531" t="s">
        <v>3011</v>
      </c>
      <c r="Y91" s="1531" t="s">
        <v>1423</v>
      </c>
      <c r="Z91" s="1531" t="s">
        <v>8699</v>
      </c>
      <c r="AA91" s="1459" t="s">
        <v>10235</v>
      </c>
      <c r="AB91" s="1531" t="s">
        <v>9493</v>
      </c>
      <c r="AC91" s="1531" t="s">
        <v>1086</v>
      </c>
      <c r="AD91" s="1531" t="s">
        <v>10236</v>
      </c>
      <c r="AE91" s="1531" t="s">
        <v>581</v>
      </c>
      <c r="AF91" s="1459" t="s">
        <v>10237</v>
      </c>
      <c r="AG91" s="1531" t="s">
        <v>5635</v>
      </c>
      <c r="AH91" s="1531" t="s">
        <v>8934</v>
      </c>
      <c r="AI91" s="1531" t="s">
        <v>2584</v>
      </c>
      <c r="AJ91" s="1531" t="s">
        <v>10238</v>
      </c>
      <c r="AK91" s="1531" t="s">
        <v>8738</v>
      </c>
      <c r="AL91" s="1531" t="s">
        <v>10239</v>
      </c>
      <c r="AM91" s="1531" t="s">
        <v>8328</v>
      </c>
      <c r="AN91" s="1531" t="s">
        <v>9787</v>
      </c>
      <c r="AO91" s="1531" t="s">
        <v>8689</v>
      </c>
      <c r="AP91" s="1531" t="s">
        <v>10240</v>
      </c>
      <c r="AQ91" s="1531" t="s">
        <v>4396</v>
      </c>
      <c r="AR91" s="1531" t="s">
        <v>154</v>
      </c>
      <c r="AS91" s="1531" t="s">
        <v>8545</v>
      </c>
      <c r="AT91" s="1531" t="s">
        <v>4601</v>
      </c>
      <c r="AU91" s="1531" t="s">
        <v>10241</v>
      </c>
      <c r="AV91" s="1531" t="str">
        <f t="shared" si="3"/>
        <v>3:27</v>
      </c>
      <c r="AW91" s="1532" t="s">
        <v>10242</v>
      </c>
    </row>
    <row r="92">
      <c r="A92" s="1428" t="s">
        <v>5296</v>
      </c>
      <c r="B92" s="1426" t="s">
        <v>8304</v>
      </c>
      <c r="C92" s="1380">
        <v>0.05376157407407407</v>
      </c>
      <c r="D92" s="1459" t="s">
        <v>10243</v>
      </c>
      <c r="E92" s="1459" t="s">
        <v>10244</v>
      </c>
      <c r="F92" s="1459" t="s">
        <v>10245</v>
      </c>
      <c r="G92" s="1459" t="s">
        <v>10246</v>
      </c>
      <c r="H92" s="1555" t="s">
        <v>10247</v>
      </c>
      <c r="I92" s="1299" t="s">
        <v>238</v>
      </c>
      <c r="J92" s="1459" t="s">
        <v>9389</v>
      </c>
      <c r="K92" s="1459" t="s">
        <v>10248</v>
      </c>
      <c r="L92" s="1459" t="s">
        <v>2502</v>
      </c>
      <c r="M92" s="1459" t="s">
        <v>1256</v>
      </c>
      <c r="N92" s="1459" t="s">
        <v>10249</v>
      </c>
      <c r="O92" s="1459" t="s">
        <v>10250</v>
      </c>
      <c r="P92" s="1459" t="s">
        <v>949</v>
      </c>
      <c r="Q92" s="1459" t="s">
        <v>4310</v>
      </c>
      <c r="R92" s="1459" t="s">
        <v>10251</v>
      </c>
      <c r="S92" s="1556" t="s">
        <v>10252</v>
      </c>
      <c r="T92" s="1556" t="s">
        <v>8897</v>
      </c>
      <c r="U92" s="1459" t="s">
        <v>10253</v>
      </c>
      <c r="V92" s="1459" t="s">
        <v>10254</v>
      </c>
      <c r="W92" s="1459" t="s">
        <v>6851</v>
      </c>
      <c r="X92" s="1459" t="s">
        <v>10255</v>
      </c>
      <c r="Y92" s="1459" t="s">
        <v>2111</v>
      </c>
      <c r="Z92" s="1459" t="s">
        <v>9493</v>
      </c>
      <c r="AA92" s="1459" t="s">
        <v>10256</v>
      </c>
      <c r="AB92" s="1459" t="s">
        <v>10257</v>
      </c>
      <c r="AC92" s="1459" t="s">
        <v>6800</v>
      </c>
      <c r="AD92" s="1459" t="s">
        <v>5759</v>
      </c>
      <c r="AE92" s="1459" t="s">
        <v>2432</v>
      </c>
      <c r="AF92" s="1459" t="s">
        <v>6889</v>
      </c>
      <c r="AG92" s="1459" t="s">
        <v>10258</v>
      </c>
      <c r="AH92" s="1459" t="s">
        <v>8894</v>
      </c>
      <c r="AI92" s="1459" t="s">
        <v>6672</v>
      </c>
      <c r="AJ92" s="1459" t="s">
        <v>10259</v>
      </c>
      <c r="AK92" s="1459" t="s">
        <v>4693</v>
      </c>
      <c r="AL92" s="1459" t="s">
        <v>10260</v>
      </c>
      <c r="AM92" s="1459" t="s">
        <v>4705</v>
      </c>
      <c r="AN92" s="1459" t="s">
        <v>10261</v>
      </c>
      <c r="AO92" s="1459" t="s">
        <v>8318</v>
      </c>
      <c r="AP92" s="1459" t="s">
        <v>10262</v>
      </c>
      <c r="AQ92" s="1459" t="s">
        <v>10263</v>
      </c>
      <c r="AR92" s="1459" t="s">
        <v>5059</v>
      </c>
      <c r="AS92" s="1459" t="s">
        <v>8495</v>
      </c>
      <c r="AT92" s="1459" t="s">
        <v>10264</v>
      </c>
      <c r="AU92" s="1459" t="s">
        <v>10265</v>
      </c>
      <c r="AV92" s="1531" t="str">
        <f t="shared" si="3"/>
        <v>4:58</v>
      </c>
      <c r="AW92" s="1557"/>
    </row>
    <row r="93" ht="15.75" customHeight="1">
      <c r="A93" s="1463" t="s">
        <v>6217</v>
      </c>
      <c r="B93" s="1516" t="s">
        <v>8360</v>
      </c>
      <c r="C93" s="1484">
        <v>0.05386574074074074</v>
      </c>
      <c r="D93" s="1531" t="s">
        <v>10266</v>
      </c>
      <c r="E93" s="1531" t="s">
        <v>6401</v>
      </c>
      <c r="F93" s="1531" t="s">
        <v>10267</v>
      </c>
      <c r="G93" s="1531" t="s">
        <v>4235</v>
      </c>
      <c r="H93" s="1531" t="s">
        <v>10268</v>
      </c>
      <c r="I93" s="1531" t="s">
        <v>10209</v>
      </c>
      <c r="J93" s="1531" t="s">
        <v>10269</v>
      </c>
      <c r="K93" s="1531" t="s">
        <v>10270</v>
      </c>
      <c r="L93" s="1531" t="s">
        <v>1430</v>
      </c>
      <c r="M93" s="1531" t="s">
        <v>4445</v>
      </c>
      <c r="N93" s="1531" t="s">
        <v>6569</v>
      </c>
      <c r="O93" s="1531" t="s">
        <v>10271</v>
      </c>
      <c r="P93" s="1531" t="s">
        <v>6000</v>
      </c>
      <c r="Q93" s="1531" t="s">
        <v>10272</v>
      </c>
      <c r="R93" s="1531" t="s">
        <v>10273</v>
      </c>
      <c r="S93" s="1531" t="s">
        <v>10274</v>
      </c>
      <c r="T93" s="1531" t="s">
        <v>9473</v>
      </c>
      <c r="U93" s="1531" t="s">
        <v>10275</v>
      </c>
      <c r="V93" s="1531" t="s">
        <v>10276</v>
      </c>
      <c r="W93" s="1531" t="s">
        <v>10277</v>
      </c>
      <c r="X93" s="1531" t="s">
        <v>1327</v>
      </c>
      <c r="Y93" s="1531" t="s">
        <v>1806</v>
      </c>
      <c r="Z93" s="1531" t="s">
        <v>8909</v>
      </c>
      <c r="AA93" s="1299" t="s">
        <v>10278</v>
      </c>
      <c r="AB93" s="1531" t="s">
        <v>10279</v>
      </c>
      <c r="AC93" s="1531" t="s">
        <v>7549</v>
      </c>
      <c r="AD93" s="1531" t="s">
        <v>10280</v>
      </c>
      <c r="AE93" s="1531" t="s">
        <v>10281</v>
      </c>
      <c r="AF93" s="1531" t="s">
        <v>9833</v>
      </c>
      <c r="AG93" s="1531" t="s">
        <v>10282</v>
      </c>
      <c r="AH93" s="1531" t="s">
        <v>10283</v>
      </c>
      <c r="AI93" s="1531" t="s">
        <v>3354</v>
      </c>
      <c r="AJ93" s="1531" t="s">
        <v>10284</v>
      </c>
      <c r="AK93" s="1531" t="s">
        <v>3138</v>
      </c>
      <c r="AL93" s="1531" t="s">
        <v>4504</v>
      </c>
      <c r="AM93" s="1531" t="s">
        <v>9461</v>
      </c>
      <c r="AN93" s="1531" t="s">
        <v>8974</v>
      </c>
      <c r="AO93" s="1459" t="s">
        <v>9177</v>
      </c>
      <c r="AP93" s="1531" t="s">
        <v>10285</v>
      </c>
      <c r="AQ93" s="1531" t="s">
        <v>10286</v>
      </c>
      <c r="AR93" s="1531" t="s">
        <v>10287</v>
      </c>
      <c r="AS93" s="1531" t="s">
        <v>8706</v>
      </c>
      <c r="AT93" s="1531" t="s">
        <v>10288</v>
      </c>
      <c r="AU93" s="1531" t="s">
        <v>10227</v>
      </c>
      <c r="AV93" s="1531" t="str">
        <f t="shared" si="3"/>
        <v>3:30</v>
      </c>
      <c r="AW93" s="1536"/>
    </row>
    <row r="94">
      <c r="A94" s="1428" t="s">
        <v>5160</v>
      </c>
      <c r="B94" s="1426" t="s">
        <v>8360</v>
      </c>
      <c r="C94" s="1380">
        <v>0.05482638888888889</v>
      </c>
      <c r="D94" s="1498" t="s">
        <v>10289</v>
      </c>
      <c r="E94" s="1459" t="s">
        <v>9082</v>
      </c>
      <c r="F94" s="1459" t="s">
        <v>10290</v>
      </c>
      <c r="G94" s="1459" t="s">
        <v>10291</v>
      </c>
      <c r="H94" s="1459" t="s">
        <v>10292</v>
      </c>
      <c r="I94" s="1459" t="s">
        <v>10293</v>
      </c>
      <c r="J94" s="1459" t="s">
        <v>10294</v>
      </c>
      <c r="K94" s="1459" t="s">
        <v>9496</v>
      </c>
      <c r="L94" s="1459" t="s">
        <v>10295</v>
      </c>
      <c r="M94" s="1459" t="s">
        <v>1592</v>
      </c>
      <c r="N94" s="1459" t="s">
        <v>10296</v>
      </c>
      <c r="O94" s="1459" t="s">
        <v>10297</v>
      </c>
      <c r="P94" s="1459" t="s">
        <v>6223</v>
      </c>
      <c r="Q94" s="1459" t="s">
        <v>10298</v>
      </c>
      <c r="R94" s="1459" t="s">
        <v>8704</v>
      </c>
      <c r="S94" s="1459" t="s">
        <v>10299</v>
      </c>
      <c r="T94" s="1459" t="s">
        <v>10215</v>
      </c>
      <c r="U94" s="1459" t="s">
        <v>10300</v>
      </c>
      <c r="V94" s="1459" t="s">
        <v>928</v>
      </c>
      <c r="W94" s="1459" t="s">
        <v>10301</v>
      </c>
      <c r="X94" s="1459" t="s">
        <v>10302</v>
      </c>
      <c r="Y94" s="1459" t="s">
        <v>1763</v>
      </c>
      <c r="Z94" s="1459" t="s">
        <v>9514</v>
      </c>
      <c r="AA94" s="1459" t="s">
        <v>2344</v>
      </c>
      <c r="AB94" s="1459" t="s">
        <v>5264</v>
      </c>
      <c r="AC94" s="1459" t="s">
        <v>10303</v>
      </c>
      <c r="AD94" s="1459" t="s">
        <v>10304</v>
      </c>
      <c r="AE94" s="1459" t="s">
        <v>1536</v>
      </c>
      <c r="AF94" s="1459" t="s">
        <v>10305</v>
      </c>
      <c r="AG94" s="1459" t="s">
        <v>10306</v>
      </c>
      <c r="AH94" s="1459" t="s">
        <v>10307</v>
      </c>
      <c r="AI94" s="1459" t="s">
        <v>10308</v>
      </c>
      <c r="AJ94" s="1459" t="s">
        <v>10309</v>
      </c>
      <c r="AK94" s="1459" t="s">
        <v>244</v>
      </c>
      <c r="AL94" s="1459" t="s">
        <v>7626</v>
      </c>
      <c r="AM94" s="1459" t="s">
        <v>4239</v>
      </c>
      <c r="AN94" s="1459" t="s">
        <v>10310</v>
      </c>
      <c r="AO94" s="1459" t="s">
        <v>1789</v>
      </c>
      <c r="AP94" s="1459" t="s">
        <v>971</v>
      </c>
      <c r="AQ94" s="1459" t="s">
        <v>10311</v>
      </c>
      <c r="AR94" s="1459" t="s">
        <v>10312</v>
      </c>
      <c r="AS94" s="1459" t="s">
        <v>2173</v>
      </c>
      <c r="AT94" s="1459" t="s">
        <v>10313</v>
      </c>
      <c r="AU94" s="1459" t="s">
        <v>10314</v>
      </c>
      <c r="AV94" s="1531" t="str">
        <f t="shared" si="3"/>
        <v>3:40</v>
      </c>
      <c r="AW94" s="1532" t="s">
        <v>10315</v>
      </c>
    </row>
    <row r="95">
      <c r="A95" s="1428" t="s">
        <v>5346</v>
      </c>
      <c r="B95" s="1426" t="s">
        <v>8304</v>
      </c>
      <c r="C95" s="1380">
        <v>0.05482638888888889</v>
      </c>
      <c r="D95" s="1402" t="s">
        <v>10316</v>
      </c>
      <c r="E95" s="1402" t="s">
        <v>8908</v>
      </c>
      <c r="F95" s="1402" t="s">
        <v>10317</v>
      </c>
      <c r="G95" s="1402" t="s">
        <v>10318</v>
      </c>
      <c r="H95" s="1402" t="s">
        <v>10319</v>
      </c>
      <c r="I95" s="1402">
        <v>50.26</v>
      </c>
      <c r="J95" s="1402" t="s">
        <v>10294</v>
      </c>
      <c r="K95" s="1402" t="s">
        <v>10320</v>
      </c>
      <c r="L95" s="1402" t="s">
        <v>10321</v>
      </c>
      <c r="M95" s="1402" t="s">
        <v>2202</v>
      </c>
      <c r="N95" s="1402" t="s">
        <v>10322</v>
      </c>
      <c r="O95" s="1402" t="s">
        <v>10323</v>
      </c>
      <c r="P95" s="1402">
        <v>49.15</v>
      </c>
      <c r="Q95" s="1402" t="s">
        <v>10324</v>
      </c>
      <c r="R95" s="1402" t="s">
        <v>3402</v>
      </c>
      <c r="S95" s="1402" t="s">
        <v>10325</v>
      </c>
      <c r="T95" s="1402" t="s">
        <v>4984</v>
      </c>
      <c r="U95" s="1402" t="s">
        <v>10326</v>
      </c>
      <c r="V95" s="1402" t="s">
        <v>10327</v>
      </c>
      <c r="W95" s="1402" t="s">
        <v>10328</v>
      </c>
      <c r="X95" s="1402" t="s">
        <v>10329</v>
      </c>
      <c r="Y95" s="1558">
        <v>51.87</v>
      </c>
      <c r="Z95" s="1402" t="s">
        <v>5999</v>
      </c>
      <c r="AA95" s="1402" t="s">
        <v>6192</v>
      </c>
      <c r="AB95" s="1402" t="s">
        <v>1976</v>
      </c>
      <c r="AC95" s="1402">
        <v>49.75</v>
      </c>
      <c r="AD95" s="1402" t="s">
        <v>10330</v>
      </c>
      <c r="AE95" s="1558">
        <v>50.16</v>
      </c>
      <c r="AF95" s="1402" t="s">
        <v>10331</v>
      </c>
      <c r="AG95" s="1402" t="s">
        <v>10332</v>
      </c>
      <c r="AH95" s="1402" t="s">
        <v>6093</v>
      </c>
      <c r="AI95" s="1402" t="s">
        <v>1990</v>
      </c>
      <c r="AJ95" s="1402" t="s">
        <v>10333</v>
      </c>
      <c r="AK95" s="1402" t="s">
        <v>10249</v>
      </c>
      <c r="AL95" s="1402">
        <v>59.29</v>
      </c>
      <c r="AM95" s="1402" t="s">
        <v>4396</v>
      </c>
      <c r="AN95" s="1402" t="s">
        <v>619</v>
      </c>
      <c r="AO95" s="1402" t="s">
        <v>10334</v>
      </c>
      <c r="AP95" s="1402" t="s">
        <v>10335</v>
      </c>
      <c r="AQ95" s="1402" t="s">
        <v>10336</v>
      </c>
      <c r="AR95" s="1402" t="s">
        <v>6471</v>
      </c>
      <c r="AS95" s="1402">
        <v>47.7</v>
      </c>
      <c r="AT95" s="1402" t="s">
        <v>10337</v>
      </c>
      <c r="AU95" s="1422" t="s">
        <v>10338</v>
      </c>
      <c r="AV95" s="1531" t="str">
        <f t="shared" si="3"/>
        <v>5:51</v>
      </c>
      <c r="AW95" s="1539" t="s">
        <v>10339</v>
      </c>
    </row>
    <row r="96">
      <c r="A96" s="1428" t="s">
        <v>5414</v>
      </c>
      <c r="B96" s="1421" t="s">
        <v>8304</v>
      </c>
      <c r="C96" s="1380">
        <v>0.05559027777777778</v>
      </c>
      <c r="D96" s="1498" t="s">
        <v>10340</v>
      </c>
      <c r="E96" s="1459" t="s">
        <v>10341</v>
      </c>
      <c r="F96" s="1459" t="s">
        <v>10342</v>
      </c>
      <c r="G96" s="1459" t="s">
        <v>7974</v>
      </c>
      <c r="H96" s="1459" t="s">
        <v>5705</v>
      </c>
      <c r="I96" s="1459" t="s">
        <v>1978</v>
      </c>
      <c r="J96" s="1459" t="s">
        <v>10343</v>
      </c>
      <c r="K96" s="1459" t="s">
        <v>6004</v>
      </c>
      <c r="L96" s="1459" t="s">
        <v>8119</v>
      </c>
      <c r="M96" s="1459" t="s">
        <v>6476</v>
      </c>
      <c r="N96" s="1459" t="s">
        <v>10344</v>
      </c>
      <c r="O96" s="1459" t="s">
        <v>10345</v>
      </c>
      <c r="P96" s="1459" t="s">
        <v>289</v>
      </c>
      <c r="Q96" s="1459" t="s">
        <v>1753</v>
      </c>
      <c r="R96" s="1459" t="s">
        <v>10346</v>
      </c>
      <c r="S96" s="1459" t="s">
        <v>5133</v>
      </c>
      <c r="T96" s="1459" t="s">
        <v>10347</v>
      </c>
      <c r="U96" s="1459" t="s">
        <v>10348</v>
      </c>
      <c r="V96" s="1459" t="s">
        <v>6221</v>
      </c>
      <c r="W96" s="1459" t="s">
        <v>9063</v>
      </c>
      <c r="X96" s="1459" t="s">
        <v>10349</v>
      </c>
      <c r="Y96" s="1459" t="s">
        <v>99</v>
      </c>
      <c r="Z96" s="1459" t="s">
        <v>10350</v>
      </c>
      <c r="AA96" s="1459" t="s">
        <v>10109</v>
      </c>
      <c r="AB96" s="1459" t="s">
        <v>3234</v>
      </c>
      <c r="AC96" s="1459" t="s">
        <v>4615</v>
      </c>
      <c r="AD96" s="1459" t="s">
        <v>9360</v>
      </c>
      <c r="AE96" s="1459" t="s">
        <v>946</v>
      </c>
      <c r="AF96" s="1459" t="s">
        <v>10351</v>
      </c>
      <c r="AG96" s="1459" t="s">
        <v>3542</v>
      </c>
      <c r="AH96" s="1459" t="s">
        <v>8007</v>
      </c>
      <c r="AI96" s="1459" t="s">
        <v>10352</v>
      </c>
      <c r="AJ96" s="1459" t="s">
        <v>10353</v>
      </c>
      <c r="AK96" s="1459" t="s">
        <v>4439</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4797</v>
      </c>
      <c r="B97" s="1421" t="s">
        <v>8332</v>
      </c>
      <c r="C97" s="1461">
        <v>0.05565972222222222</v>
      </c>
      <c r="D97" s="1459" t="s">
        <v>10362</v>
      </c>
      <c r="E97" s="1459" t="s">
        <v>3480</v>
      </c>
      <c r="F97" s="1459" t="s">
        <v>10363</v>
      </c>
      <c r="G97" s="1459" t="s">
        <v>10364</v>
      </c>
      <c r="H97" s="1299" t="s">
        <v>8800</v>
      </c>
      <c r="I97" s="1459" t="s">
        <v>3230</v>
      </c>
      <c r="J97" s="1459" t="s">
        <v>9072</v>
      </c>
      <c r="K97" s="1459" t="s">
        <v>803</v>
      </c>
      <c r="L97" s="1459" t="s">
        <v>10365</v>
      </c>
      <c r="M97" s="1459" t="s">
        <v>10366</v>
      </c>
      <c r="N97" s="1459" t="s">
        <v>6120</v>
      </c>
      <c r="O97" s="1459" t="s">
        <v>10367</v>
      </c>
      <c r="P97" s="1459" t="s">
        <v>9766</v>
      </c>
      <c r="Q97" s="1459" t="s">
        <v>10368</v>
      </c>
      <c r="R97" s="1459" t="s">
        <v>9515</v>
      </c>
      <c r="S97" s="1459" t="s">
        <v>417</v>
      </c>
      <c r="T97" s="1459" t="s">
        <v>10369</v>
      </c>
      <c r="U97" s="1459" t="s">
        <v>10370</v>
      </c>
      <c r="V97" s="1459" t="s">
        <v>10371</v>
      </c>
      <c r="W97" s="1459" t="s">
        <v>10372</v>
      </c>
      <c r="X97" s="1459" t="s">
        <v>10373</v>
      </c>
      <c r="Y97" s="1459" t="s">
        <v>2432</v>
      </c>
      <c r="Z97" s="1459" t="s">
        <v>5227</v>
      </c>
      <c r="AA97" s="1459" t="s">
        <v>9699</v>
      </c>
      <c r="AB97" s="1459" t="s">
        <v>5159</v>
      </c>
      <c r="AC97" s="1459" t="s">
        <v>9521</v>
      </c>
      <c r="AD97" s="1459" t="s">
        <v>10374</v>
      </c>
      <c r="AE97" s="1459" t="s">
        <v>10375</v>
      </c>
      <c r="AF97" s="1459" t="s">
        <v>10376</v>
      </c>
      <c r="AG97" s="1459" t="s">
        <v>10377</v>
      </c>
      <c r="AH97" s="1459" t="s">
        <v>10378</v>
      </c>
      <c r="AI97" s="1459" t="s">
        <v>8886</v>
      </c>
      <c r="AJ97" s="1459" t="s">
        <v>10379</v>
      </c>
      <c r="AK97" s="1459" t="s">
        <v>6422</v>
      </c>
      <c r="AL97" s="1459" t="s">
        <v>3618</v>
      </c>
      <c r="AM97" s="1459" t="s">
        <v>4705</v>
      </c>
      <c r="AN97" s="1459" t="s">
        <v>10380</v>
      </c>
      <c r="AO97" s="1459" t="s">
        <v>1913</v>
      </c>
      <c r="AP97" s="1459" t="s">
        <v>10381</v>
      </c>
      <c r="AQ97" s="1459" t="s">
        <v>10382</v>
      </c>
      <c r="AR97" s="1459" t="s">
        <v>10383</v>
      </c>
      <c r="AS97" s="1459" t="s">
        <v>2229</v>
      </c>
      <c r="AT97" s="1459" t="s">
        <v>10384</v>
      </c>
      <c r="AU97" s="1459" t="s">
        <v>10385</v>
      </c>
      <c r="AV97" s="1531" t="str">
        <f t="shared" si="3"/>
        <v>8:24</v>
      </c>
      <c r="AW97" s="1532" t="s">
        <v>9402</v>
      </c>
    </row>
    <row r="98">
      <c r="A98" s="1463" t="s">
        <v>10386</v>
      </c>
      <c r="B98" s="1441" t="s">
        <v>8332</v>
      </c>
      <c r="C98" s="1484">
        <v>0.057881944444444444</v>
      </c>
      <c r="D98" s="1459" t="s">
        <v>10387</v>
      </c>
      <c r="E98" s="1531" t="s">
        <v>10388</v>
      </c>
      <c r="F98" s="1459" t="s">
        <v>10389</v>
      </c>
      <c r="G98" s="1459" t="s">
        <v>10390</v>
      </c>
      <c r="H98" s="1531" t="s">
        <v>10391</v>
      </c>
      <c r="I98" s="1531" t="s">
        <v>1027</v>
      </c>
      <c r="J98" s="1531" t="s">
        <v>10392</v>
      </c>
      <c r="K98" s="1531" t="s">
        <v>3289</v>
      </c>
      <c r="L98" s="1531" t="s">
        <v>3572</v>
      </c>
      <c r="M98" s="1531" t="s">
        <v>7327</v>
      </c>
      <c r="N98" s="1531" t="s">
        <v>10393</v>
      </c>
      <c r="O98" s="1531" t="s">
        <v>10394</v>
      </c>
      <c r="P98" s="1531" t="s">
        <v>2406</v>
      </c>
      <c r="Q98" s="1531" t="s">
        <v>10395</v>
      </c>
      <c r="R98" s="1531" t="s">
        <v>10396</v>
      </c>
      <c r="S98" s="1531" t="s">
        <v>10397</v>
      </c>
      <c r="T98" s="1531" t="s">
        <v>1761</v>
      </c>
      <c r="U98" s="1531" t="s">
        <v>10398</v>
      </c>
      <c r="V98" s="1531" t="s">
        <v>10399</v>
      </c>
      <c r="W98" s="1531" t="s">
        <v>10400</v>
      </c>
      <c r="X98" s="1531" t="s">
        <v>10401</v>
      </c>
      <c r="Y98" s="1531" t="s">
        <v>2797</v>
      </c>
      <c r="Z98" s="1531" t="s">
        <v>10402</v>
      </c>
      <c r="AA98" s="1459" t="s">
        <v>10403</v>
      </c>
      <c r="AB98" s="1531" t="s">
        <v>8834</v>
      </c>
      <c r="AC98" s="1531" t="s">
        <v>4470</v>
      </c>
      <c r="AD98" s="1531" t="s">
        <v>5194</v>
      </c>
      <c r="AE98" s="1531" t="s">
        <v>2560</v>
      </c>
      <c r="AF98" s="1531" t="s">
        <v>10404</v>
      </c>
      <c r="AG98" s="1531" t="s">
        <v>5638</v>
      </c>
      <c r="AH98" s="1531" t="s">
        <v>10405</v>
      </c>
      <c r="AI98" s="1531" t="s">
        <v>4771</v>
      </c>
      <c r="AJ98" s="1531" t="s">
        <v>10406</v>
      </c>
      <c r="AK98" s="1531" t="s">
        <v>10407</v>
      </c>
      <c r="AL98" s="1531" t="s">
        <v>3817</v>
      </c>
      <c r="AM98" s="1531" t="s">
        <v>4780</v>
      </c>
      <c r="AN98" s="1531" t="s">
        <v>10408</v>
      </c>
      <c r="AO98" s="1531" t="s">
        <v>9767</v>
      </c>
      <c r="AP98" s="1531" t="s">
        <v>10409</v>
      </c>
      <c r="AQ98" s="1531" t="s">
        <v>6442</v>
      </c>
      <c r="AR98" s="1531" t="s">
        <v>10410</v>
      </c>
      <c r="AS98" s="1531" t="s">
        <v>614</v>
      </c>
      <c r="AT98" s="1531" t="s">
        <v>10411</v>
      </c>
      <c r="AU98" s="1531" t="s">
        <v>10412</v>
      </c>
      <c r="AV98" s="1531" t="str">
        <f t="shared" si="3"/>
        <v>2:11</v>
      </c>
      <c r="AW98" s="1536" t="s">
        <v>10413</v>
      </c>
    </row>
    <row r="99" ht="15.75" customHeight="1">
      <c r="A99" s="1428" t="s">
        <v>6078</v>
      </c>
      <c r="B99" s="1441" t="s">
        <v>8332</v>
      </c>
      <c r="C99" s="1380">
        <v>0.06635416666666667</v>
      </c>
      <c r="D99" s="1299" t="s">
        <v>10414</v>
      </c>
      <c r="E99" s="1299" t="s">
        <v>8178</v>
      </c>
      <c r="F99" s="1299" t="s">
        <v>10415</v>
      </c>
      <c r="G99" s="1299" t="s">
        <v>10416</v>
      </c>
      <c r="H99" s="1299" t="s">
        <v>10417</v>
      </c>
      <c r="I99" s="1299" t="s">
        <v>3714</v>
      </c>
      <c r="J99" s="1299" t="s">
        <v>10418</v>
      </c>
      <c r="K99" s="1299" t="s">
        <v>3784</v>
      </c>
      <c r="L99" s="1299" t="s">
        <v>6477</v>
      </c>
      <c r="M99" s="1299" t="s">
        <v>863</v>
      </c>
      <c r="N99" s="1299" t="s">
        <v>10419</v>
      </c>
      <c r="O99" s="1299" t="s">
        <v>10420</v>
      </c>
      <c r="P99" s="1299" t="s">
        <v>5085</v>
      </c>
      <c r="Q99" s="1299" t="s">
        <v>10421</v>
      </c>
      <c r="R99" s="1299" t="s">
        <v>4454</v>
      </c>
      <c r="S99" s="1299" t="s">
        <v>10422</v>
      </c>
      <c r="T99" s="1299" t="s">
        <v>10301</v>
      </c>
      <c r="U99" s="1299" t="s">
        <v>10423</v>
      </c>
      <c r="V99" s="1299" t="s">
        <v>7020</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4129</v>
      </c>
      <c r="AI99" s="1299" t="s">
        <v>10432</v>
      </c>
      <c r="AJ99" s="1299" t="s">
        <v>10433</v>
      </c>
      <c r="AK99" s="1299" t="s">
        <v>10434</v>
      </c>
      <c r="AL99" s="1299" t="s">
        <v>10435</v>
      </c>
      <c r="AM99" s="1299" t="s">
        <v>10436</v>
      </c>
      <c r="AN99" s="1299" t="s">
        <v>8913</v>
      </c>
      <c r="AO99" s="1299" t="s">
        <v>2315</v>
      </c>
      <c r="AP99" s="1299" t="s">
        <v>10437</v>
      </c>
      <c r="AQ99" s="1299" t="s">
        <v>129</v>
      </c>
      <c r="AR99" s="1299" t="s">
        <v>10438</v>
      </c>
      <c r="AS99" s="1299" t="s">
        <v>3849</v>
      </c>
      <c r="AT99" s="1299" t="s">
        <v>10439</v>
      </c>
      <c r="AU99" s="1444" t="s">
        <v>10440</v>
      </c>
      <c r="AV99" s="1531" t="str">
        <f t="shared" si="3"/>
        <v>9:53</v>
      </c>
      <c r="AW99" s="1539" t="s">
        <v>10441</v>
      </c>
    </row>
    <row r="100">
      <c r="A100" s="1428" t="s">
        <v>4567</v>
      </c>
      <c r="B100" s="1426" t="s">
        <v>8332</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8350</v>
      </c>
      <c r="AG100" s="1437"/>
      <c r="AH100" s="1437"/>
      <c r="AI100" s="1437"/>
      <c r="AJ100" s="1437"/>
      <c r="AK100" s="1437"/>
      <c r="AL100" s="1437"/>
      <c r="AM100" s="1439"/>
      <c r="AN100" s="1439"/>
      <c r="AO100" s="1439"/>
      <c r="AP100" s="1439"/>
      <c r="AQ100" s="1439"/>
      <c r="AR100" s="1439"/>
      <c r="AS100" s="1439"/>
      <c r="AT100" s="1434"/>
      <c r="AU100" s="1419"/>
      <c r="AV100" s="1419"/>
      <c r="AW100" s="1427"/>
    </row>
    <row r="101">
      <c r="A101" s="1428" t="s">
        <v>6572</v>
      </c>
      <c r="B101" s="1421" t="s">
        <v>8332</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8345</v>
      </c>
      <c r="X101" s="1402"/>
      <c r="Y101" s="1402"/>
      <c r="Z101" s="1402"/>
      <c r="AA101" s="1402"/>
      <c r="AB101" s="1559" t="s">
        <v>2804</v>
      </c>
      <c r="AC101" s="1402"/>
      <c r="AD101" s="1402"/>
      <c r="AE101" s="1422"/>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8266</v>
      </c>
      <c r="C1" s="1311" t="s">
        <v>8267</v>
      </c>
      <c r="D1" s="1576" t="s">
        <v>10442</v>
      </c>
      <c r="E1" s="1577" t="s">
        <v>7253</v>
      </c>
      <c r="F1" s="1578" t="s">
        <v>7520</v>
      </c>
      <c r="G1" s="1579" t="s">
        <v>38</v>
      </c>
      <c r="H1" s="1580" t="s">
        <v>36</v>
      </c>
      <c r="I1" s="1576" t="s">
        <v>10443</v>
      </c>
      <c r="J1" s="1581" t="s">
        <v>39</v>
      </c>
      <c r="K1" s="1582" t="s">
        <v>7466</v>
      </c>
      <c r="L1" s="1319" t="s">
        <v>8299</v>
      </c>
      <c r="M1" s="1583" t="s">
        <v>8300</v>
      </c>
      <c r="N1" s="1584" t="s">
        <v>8301</v>
      </c>
      <c r="O1" s="1309" t="s">
        <v>8302</v>
      </c>
    </row>
    <row r="2" ht="15.75" customHeight="1">
      <c r="A2" s="1322" t="s">
        <v>8303</v>
      </c>
      <c r="B2" s="1585" t="s">
        <v>8304</v>
      </c>
      <c r="C2" s="1586">
        <v>0.04982638888888889</v>
      </c>
      <c r="D2" s="1587" t="s">
        <v>10444</v>
      </c>
      <c r="E2" s="1588" t="s">
        <v>10445</v>
      </c>
      <c r="F2" s="1589" t="s">
        <v>10446</v>
      </c>
      <c r="G2" s="1590" t="s">
        <v>10447</v>
      </c>
      <c r="H2" s="1591" t="s">
        <v>10448</v>
      </c>
      <c r="I2" s="1587" t="s">
        <v>10449</v>
      </c>
      <c r="J2" s="1592" t="s">
        <v>10450</v>
      </c>
      <c r="K2" s="1593" t="s">
        <v>10451</v>
      </c>
      <c r="L2" s="1594" t="s">
        <v>8329</v>
      </c>
      <c r="M2" s="1586">
        <v>0.050590277777777776</v>
      </c>
      <c r="N2" s="1595" t="str">
        <f t="shared" ref="N2:N36" si="1">TEXT(M2-C2, "m:ss")</f>
        <v>1:06</v>
      </c>
      <c r="O2" s="1346"/>
    </row>
    <row r="3" ht="15.75" customHeight="1">
      <c r="A3" s="1347" t="s">
        <v>8331</v>
      </c>
      <c r="B3" s="1596" t="s">
        <v>8332</v>
      </c>
      <c r="C3" s="1597">
        <v>0.051458333333333335</v>
      </c>
      <c r="D3" s="1350" t="s">
        <v>10452</v>
      </c>
      <c r="E3" s="1598" t="s">
        <v>5770</v>
      </c>
      <c r="F3" s="1352" t="s">
        <v>10453</v>
      </c>
      <c r="G3" s="1353" t="s">
        <v>10454</v>
      </c>
      <c r="H3" s="1356" t="s">
        <v>10455</v>
      </c>
      <c r="I3" s="1350" t="s">
        <v>10456</v>
      </c>
      <c r="J3" s="1358" t="s">
        <v>10457</v>
      </c>
      <c r="K3" s="1360" t="s">
        <v>10458</v>
      </c>
      <c r="L3" s="1361" t="s">
        <v>8904</v>
      </c>
      <c r="M3" s="1597">
        <v>0.05236111111111111</v>
      </c>
      <c r="N3" s="1599" t="str">
        <f t="shared" si="1"/>
        <v>1:18</v>
      </c>
    </row>
    <row r="4" ht="15.75" customHeight="1">
      <c r="A4" s="1363" t="s">
        <v>8359</v>
      </c>
      <c r="B4" s="1600" t="s">
        <v>8360</v>
      </c>
      <c r="C4" s="1601">
        <f>C21</f>
        <v>0.05158564815</v>
      </c>
      <c r="D4" s="1366" t="s">
        <v>10459</v>
      </c>
      <c r="E4" s="1602" t="s">
        <v>10460</v>
      </c>
      <c r="F4" s="1368" t="s">
        <v>10461</v>
      </c>
      <c r="G4" s="1369" t="s">
        <v>10462</v>
      </c>
      <c r="H4" s="1370" t="s">
        <v>10463</v>
      </c>
      <c r="I4" s="1366" t="s">
        <v>10464</v>
      </c>
      <c r="J4" s="1372" t="s">
        <v>10465</v>
      </c>
      <c r="K4" s="1373" t="s">
        <v>10466</v>
      </c>
      <c r="L4" s="1375" t="s">
        <v>8392</v>
      </c>
      <c r="M4" s="1603">
        <f>M21</f>
        <v>0.0521412037</v>
      </c>
      <c r="N4" s="1603" t="str">
        <f t="shared" si="1"/>
        <v>0:48</v>
      </c>
    </row>
    <row r="5" ht="15.75" customHeight="1">
      <c r="A5" s="1604" t="s">
        <v>433</v>
      </c>
      <c r="B5" s="1379" t="s">
        <v>8304</v>
      </c>
      <c r="C5" s="1605">
        <v>0.04998842592592593</v>
      </c>
      <c r="D5" s="1400" t="s">
        <v>10467</v>
      </c>
      <c r="E5" s="1606" t="s">
        <v>10445</v>
      </c>
      <c r="F5" s="1400" t="s">
        <v>10468</v>
      </c>
      <c r="G5" s="1400" t="s">
        <v>10469</v>
      </c>
      <c r="H5" s="1443" t="s">
        <v>10448</v>
      </c>
      <c r="I5" s="1400" t="s">
        <v>10470</v>
      </c>
      <c r="J5" s="1443" t="s">
        <v>10450</v>
      </c>
      <c r="K5" s="1400" t="s">
        <v>10471</v>
      </c>
      <c r="L5" s="1400" t="s">
        <v>8431</v>
      </c>
      <c r="M5" s="1400" t="s">
        <v>8432</v>
      </c>
      <c r="N5" s="1607" t="str">
        <f t="shared" si="1"/>
        <v>1:18</v>
      </c>
      <c r="O5" s="1400" t="s">
        <v>10472</v>
      </c>
    </row>
    <row r="6" ht="15.75" customHeight="1">
      <c r="A6" s="1540" t="s">
        <v>1129</v>
      </c>
      <c r="B6" s="1515" t="s">
        <v>8304</v>
      </c>
      <c r="C6" s="1608">
        <v>0.05</v>
      </c>
      <c r="D6" s="1403" t="s">
        <v>10473</v>
      </c>
      <c r="E6" s="1403" t="s">
        <v>10474</v>
      </c>
      <c r="F6" s="1609" t="s">
        <v>10446</v>
      </c>
      <c r="G6" s="1609" t="s">
        <v>10447</v>
      </c>
      <c r="H6" s="1610" t="s">
        <v>10475</v>
      </c>
      <c r="I6" s="1400" t="s">
        <v>10476</v>
      </c>
      <c r="J6" s="1400" t="s">
        <v>10477</v>
      </c>
      <c r="K6" s="1400" t="s">
        <v>10478</v>
      </c>
      <c r="L6" s="1400" t="s">
        <v>2065</v>
      </c>
      <c r="M6" s="1443" t="s">
        <v>8330</v>
      </c>
      <c r="N6" s="1607" t="str">
        <f t="shared" si="1"/>
        <v>0:51</v>
      </c>
      <c r="O6" s="1400" t="s">
        <v>10479</v>
      </c>
    </row>
    <row r="7" ht="15.75" customHeight="1">
      <c r="A7" s="1572" t="s">
        <v>1944</v>
      </c>
      <c r="B7" s="1379" t="s">
        <v>8304</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6195</v>
      </c>
      <c r="B8" s="1493" t="s">
        <v>8304</v>
      </c>
      <c r="C8" s="1612">
        <v>0.05025462962962963</v>
      </c>
      <c r="D8" s="1504" t="s">
        <v>10488</v>
      </c>
      <c r="E8" s="1401" t="s">
        <v>10489</v>
      </c>
      <c r="F8" s="1400" t="s">
        <v>10490</v>
      </c>
      <c r="G8" s="1400" t="s">
        <v>10491</v>
      </c>
      <c r="H8" s="1400" t="s">
        <v>10492</v>
      </c>
      <c r="I8" s="1400" t="s">
        <v>10272</v>
      </c>
      <c r="J8" s="1400" t="s">
        <v>10493</v>
      </c>
      <c r="K8" s="1400" t="s">
        <v>10494</v>
      </c>
      <c r="L8" s="1400" t="s">
        <v>8516</v>
      </c>
      <c r="M8" s="1611" t="s">
        <v>8517</v>
      </c>
      <c r="N8" s="1607" t="str">
        <f t="shared" si="1"/>
        <v>0:36</v>
      </c>
      <c r="O8" s="1400"/>
    </row>
    <row r="9" ht="15.75" customHeight="1">
      <c r="A9" s="1572" t="s">
        <v>6300</v>
      </c>
      <c r="B9" s="1379" t="s">
        <v>8304</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8304</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2007</v>
      </c>
      <c r="B11" s="1379" t="s">
        <v>8304</v>
      </c>
      <c r="C11" s="1605">
        <v>0.05061342592592592</v>
      </c>
      <c r="D11" s="1443" t="s">
        <v>10444</v>
      </c>
      <c r="E11" s="1615" t="s">
        <v>10511</v>
      </c>
      <c r="F11" s="1400" t="s">
        <v>10512</v>
      </c>
      <c r="G11" s="1400" t="s">
        <v>10513</v>
      </c>
      <c r="H11" s="1400" t="s">
        <v>10514</v>
      </c>
      <c r="I11" s="1400" t="s">
        <v>10515</v>
      </c>
      <c r="J11" s="1400" t="s">
        <v>10516</v>
      </c>
      <c r="K11" s="1400" t="s">
        <v>10517</v>
      </c>
      <c r="L11" s="1400" t="s">
        <v>6188</v>
      </c>
      <c r="M11" s="1611">
        <v>0.05153935185185185</v>
      </c>
      <c r="N11" s="1607" t="str">
        <f t="shared" si="1"/>
        <v>1:20</v>
      </c>
      <c r="O11" s="1400" t="s">
        <v>10472</v>
      </c>
    </row>
    <row r="12" ht="15.75" customHeight="1">
      <c r="A12" s="1604" t="s">
        <v>328</v>
      </c>
      <c r="B12" s="1379" t="s">
        <v>8304</v>
      </c>
      <c r="C12" s="1605">
        <v>0.05068287037037037</v>
      </c>
      <c r="D12" s="1400" t="s">
        <v>10518</v>
      </c>
      <c r="E12" s="1615" t="s">
        <v>10519</v>
      </c>
      <c r="F12" s="1400" t="s">
        <v>10520</v>
      </c>
      <c r="G12" s="1400" t="s">
        <v>10521</v>
      </c>
      <c r="H12" s="1400" t="s">
        <v>10522</v>
      </c>
      <c r="I12" s="1400" t="s">
        <v>10523</v>
      </c>
      <c r="J12" s="1400" t="s">
        <v>10524</v>
      </c>
      <c r="K12" s="1400" t="s">
        <v>10525</v>
      </c>
      <c r="L12" s="1418" t="s">
        <v>8329</v>
      </c>
      <c r="M12" s="1611">
        <v>0.05164351851851852</v>
      </c>
      <c r="N12" s="1607" t="str">
        <f t="shared" si="1"/>
        <v>1:23</v>
      </c>
      <c r="O12" s="1400" t="s">
        <v>10472</v>
      </c>
    </row>
    <row r="13" ht="15.75" customHeight="1">
      <c r="A13" s="1540" t="s">
        <v>1643</v>
      </c>
      <c r="B13" s="1323" t="s">
        <v>8304</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2631</v>
      </c>
      <c r="B14" s="1379" t="s">
        <v>8304</v>
      </c>
      <c r="C14" s="1619">
        <v>0.05103009259259259</v>
      </c>
      <c r="D14" s="1400" t="s">
        <v>10535</v>
      </c>
      <c r="E14" s="1615" t="s">
        <v>10084</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8304</v>
      </c>
      <c r="C15" s="1605">
        <v>0.05122685185185185</v>
      </c>
      <c r="D15" s="1400" t="s">
        <v>10543</v>
      </c>
      <c r="E15" s="1615" t="s">
        <v>8364</v>
      </c>
      <c r="F15" s="1400" t="s">
        <v>10544</v>
      </c>
      <c r="G15" s="1400" t="s">
        <v>10545</v>
      </c>
      <c r="H15" s="1400" t="s">
        <v>10447</v>
      </c>
      <c r="I15" s="1400" t="s">
        <v>8309</v>
      </c>
      <c r="J15" s="1400" t="s">
        <v>10546</v>
      </c>
      <c r="K15" s="1400" t="s">
        <v>10547</v>
      </c>
      <c r="L15" s="1400" t="s">
        <v>10548</v>
      </c>
      <c r="M15" s="1611">
        <v>0.052037037037037034</v>
      </c>
      <c r="N15" s="1607" t="str">
        <f t="shared" si="1"/>
        <v>1:10</v>
      </c>
      <c r="O15" s="1400" t="s">
        <v>10472</v>
      </c>
    </row>
    <row r="16" ht="15.75" customHeight="1">
      <c r="A16" s="1499" t="s">
        <v>1722</v>
      </c>
      <c r="B16" s="1493" t="s">
        <v>8304</v>
      </c>
      <c r="C16" s="1605">
        <v>0.05122685185185185</v>
      </c>
      <c r="D16" s="1504" t="s">
        <v>10549</v>
      </c>
      <c r="E16" s="1401" t="s">
        <v>10550</v>
      </c>
      <c r="F16" s="1400" t="s">
        <v>10551</v>
      </c>
      <c r="G16" s="1400" t="s">
        <v>10552</v>
      </c>
      <c r="H16" s="1400" t="s">
        <v>10553</v>
      </c>
      <c r="I16" s="1400" t="s">
        <v>10554</v>
      </c>
      <c r="J16" s="1400" t="s">
        <v>10555</v>
      </c>
      <c r="K16" s="1400" t="s">
        <v>10556</v>
      </c>
      <c r="L16" s="1400" t="s">
        <v>5839</v>
      </c>
      <c r="M16" s="1611">
        <v>0.05224537037037037</v>
      </c>
      <c r="N16" s="1607" t="str">
        <f t="shared" si="1"/>
        <v>1:28</v>
      </c>
      <c r="O16" s="1400" t="s">
        <v>10557</v>
      </c>
    </row>
    <row r="17" ht="15.75" customHeight="1">
      <c r="A17" s="1499" t="s">
        <v>6572</v>
      </c>
      <c r="B17" s="1493" t="s">
        <v>8304</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8695</v>
      </c>
      <c r="B18" s="1379" t="s">
        <v>8304</v>
      </c>
      <c r="C18" s="1612">
        <v>0.05144675925925926</v>
      </c>
      <c r="D18" s="1400" t="s">
        <v>10568</v>
      </c>
      <c r="E18" s="1615" t="s">
        <v>10569</v>
      </c>
      <c r="F18" s="1400" t="s">
        <v>10570</v>
      </c>
      <c r="G18" s="1400" t="s">
        <v>10571</v>
      </c>
      <c r="H18" s="1400" t="s">
        <v>10572</v>
      </c>
      <c r="I18" s="1400" t="s">
        <v>9537</v>
      </c>
      <c r="J18" s="1400" t="s">
        <v>10573</v>
      </c>
      <c r="K18" s="1400" t="s">
        <v>10574</v>
      </c>
      <c r="L18" s="1620" t="s">
        <v>8606</v>
      </c>
      <c r="M18" s="1611">
        <v>0.05258101851851852</v>
      </c>
      <c r="N18" s="1607" t="str">
        <f t="shared" si="1"/>
        <v>1:38</v>
      </c>
      <c r="O18" s="1400" t="s">
        <v>10472</v>
      </c>
    </row>
    <row r="19" ht="15.75" customHeight="1">
      <c r="A19" s="1499" t="s">
        <v>8888</v>
      </c>
      <c r="B19" s="1493" t="s">
        <v>8332</v>
      </c>
      <c r="C19" s="1605">
        <v>0.05146990740740741</v>
      </c>
      <c r="D19" s="1621" t="s">
        <v>10452</v>
      </c>
      <c r="E19" s="1401" t="s">
        <v>9916</v>
      </c>
      <c r="F19" s="1621" t="s">
        <v>10453</v>
      </c>
      <c r="G19" s="1621" t="s">
        <v>10454</v>
      </c>
      <c r="H19" s="1621" t="s">
        <v>10455</v>
      </c>
      <c r="I19" s="1400" t="s">
        <v>10575</v>
      </c>
      <c r="J19" s="1621" t="s">
        <v>10457</v>
      </c>
      <c r="K19" s="1621" t="s">
        <v>10458</v>
      </c>
      <c r="L19" s="1622" t="s">
        <v>8904</v>
      </c>
      <c r="M19" s="1623">
        <v>0.05236111111111111</v>
      </c>
      <c r="N19" s="1607" t="str">
        <f t="shared" si="1"/>
        <v>1:17</v>
      </c>
      <c r="O19" s="1400" t="s">
        <v>10472</v>
      </c>
    </row>
    <row r="20" ht="15.75" customHeight="1">
      <c r="A20" s="1604" t="s">
        <v>825</v>
      </c>
      <c r="B20" s="1379" t="s">
        <v>8304</v>
      </c>
      <c r="C20" s="1612">
        <v>0.051550925925925924</v>
      </c>
      <c r="D20" s="1400" t="s">
        <v>10576</v>
      </c>
      <c r="E20" s="1615" t="s">
        <v>9885</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1944</v>
      </c>
      <c r="B21" s="1515" t="s">
        <v>8360</v>
      </c>
      <c r="C21" s="1605">
        <v>0.05158564814814815</v>
      </c>
      <c r="D21" s="1625" t="s">
        <v>10459</v>
      </c>
      <c r="E21" s="1626" t="s">
        <v>10460</v>
      </c>
      <c r="F21" s="1625" t="s">
        <v>10461</v>
      </c>
      <c r="G21" s="1625" t="s">
        <v>10462</v>
      </c>
      <c r="H21" s="1625" t="s">
        <v>10463</v>
      </c>
      <c r="I21" s="1625" t="s">
        <v>10464</v>
      </c>
      <c r="J21" s="1625" t="s">
        <v>10465</v>
      </c>
      <c r="K21" s="1625" t="s">
        <v>10466</v>
      </c>
      <c r="L21" s="1625" t="s">
        <v>8392</v>
      </c>
      <c r="M21" s="1627">
        <v>0.052141203703703703</v>
      </c>
      <c r="N21" s="1607" t="str">
        <f t="shared" si="1"/>
        <v>0:48</v>
      </c>
      <c r="O21" s="1400" t="s">
        <v>10584</v>
      </c>
    </row>
    <row r="22" ht="15.75" customHeight="1">
      <c r="A22" s="1540" t="s">
        <v>2810</v>
      </c>
      <c r="B22" s="1493" t="s">
        <v>8304</v>
      </c>
      <c r="C22" s="1612">
        <v>0.051706365740740744</v>
      </c>
      <c r="D22" s="1471" t="s">
        <v>10585</v>
      </c>
      <c r="E22" s="1401" t="s">
        <v>10586</v>
      </c>
      <c r="F22" s="1400" t="s">
        <v>10587</v>
      </c>
      <c r="G22" s="1400" t="s">
        <v>10588</v>
      </c>
      <c r="H22" s="1400" t="s">
        <v>10589</v>
      </c>
      <c r="I22" s="1400" t="s">
        <v>10590</v>
      </c>
      <c r="J22" s="1400" t="s">
        <v>10591</v>
      </c>
      <c r="K22" s="1400" t="s">
        <v>10592</v>
      </c>
      <c r="L22" s="1400" t="s">
        <v>9256</v>
      </c>
      <c r="M22" s="1611">
        <v>0.0525</v>
      </c>
      <c r="N22" s="1611" t="str">
        <f t="shared" si="1"/>
        <v>1:09</v>
      </c>
      <c r="O22" s="1400"/>
    </row>
    <row r="23" ht="15.75" customHeight="1">
      <c r="A23" s="1628" t="s">
        <v>2091</v>
      </c>
      <c r="B23" s="1507" t="s">
        <v>8304</v>
      </c>
      <c r="C23" s="1612">
        <v>0.05171296296296296</v>
      </c>
      <c r="D23" s="1629" t="s">
        <v>10593</v>
      </c>
      <c r="E23" s="1629" t="s">
        <v>10594</v>
      </c>
      <c r="F23" s="1629" t="s">
        <v>10595</v>
      </c>
      <c r="G23" s="1629" t="s">
        <v>10596</v>
      </c>
      <c r="H23" s="1471" t="s">
        <v>10597</v>
      </c>
      <c r="I23" s="1629" t="s">
        <v>10598</v>
      </c>
      <c r="J23" s="1471" t="s">
        <v>10599</v>
      </c>
      <c r="K23" s="1629" t="s">
        <v>10600</v>
      </c>
      <c r="L23" s="1471" t="s">
        <v>7773</v>
      </c>
      <c r="M23" s="1611">
        <v>0.054375</v>
      </c>
      <c r="N23" s="1607" t="str">
        <f t="shared" si="1"/>
        <v>3:50</v>
      </c>
      <c r="O23" s="1400" t="s">
        <v>10601</v>
      </c>
    </row>
    <row r="24">
      <c r="A24" s="1624" t="s">
        <v>3403</v>
      </c>
      <c r="B24" s="1630" t="s">
        <v>8304</v>
      </c>
      <c r="C24" s="1605">
        <v>0.051719560185185184</v>
      </c>
      <c r="D24" s="1631" t="s">
        <v>10602</v>
      </c>
      <c r="E24" s="1632" t="s">
        <v>9039</v>
      </c>
      <c r="F24" s="1610" t="s">
        <v>10603</v>
      </c>
      <c r="G24" s="1610" t="s">
        <v>10604</v>
      </c>
      <c r="H24" s="1610" t="s">
        <v>10605</v>
      </c>
      <c r="I24" s="1610" t="s">
        <v>10606</v>
      </c>
      <c r="J24" s="1610" t="s">
        <v>10607</v>
      </c>
      <c r="K24" s="1610" t="s">
        <v>10608</v>
      </c>
      <c r="L24" s="1610" t="s">
        <v>9234</v>
      </c>
      <c r="M24" s="1611">
        <v>0.05334490740740741</v>
      </c>
      <c r="N24" s="1611" t="str">
        <f t="shared" si="1"/>
        <v>2:20</v>
      </c>
      <c r="O24" s="1400"/>
    </row>
    <row r="25" ht="15.75" customHeight="1">
      <c r="A25" s="1499" t="s">
        <v>2965</v>
      </c>
      <c r="B25" s="1493" t="s">
        <v>8304</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8360</v>
      </c>
      <c r="C26" s="1612">
        <v>0.052088194444444444</v>
      </c>
      <c r="D26" s="1471" t="s">
        <v>10618</v>
      </c>
      <c r="E26" s="1401" t="s">
        <v>10619</v>
      </c>
      <c r="F26" s="1400" t="s">
        <v>10620</v>
      </c>
      <c r="G26" s="1400" t="s">
        <v>10621</v>
      </c>
      <c r="H26" s="1400" t="s">
        <v>10622</v>
      </c>
      <c r="I26" s="1400" t="s">
        <v>10623</v>
      </c>
      <c r="J26" s="1400" t="s">
        <v>10624</v>
      </c>
      <c r="K26" s="1400" t="s">
        <v>10625</v>
      </c>
      <c r="L26" s="1400" t="s">
        <v>9527</v>
      </c>
      <c r="M26" s="1611">
        <v>0.053043981481481484</v>
      </c>
      <c r="N26" s="1607" t="str">
        <f t="shared" si="1"/>
        <v>1:23</v>
      </c>
      <c r="O26" s="1400" t="s">
        <v>10472</v>
      </c>
    </row>
    <row r="27" ht="15.75" customHeight="1">
      <c r="A27" s="1540" t="s">
        <v>2526</v>
      </c>
      <c r="B27" s="1493" t="s">
        <v>8332</v>
      </c>
      <c r="C27" s="1612">
        <v>0.05215277777777778</v>
      </c>
      <c r="D27" s="1400" t="s">
        <v>10626</v>
      </c>
      <c r="E27" s="1621" t="s">
        <v>5770</v>
      </c>
      <c r="F27" s="1400" t="s">
        <v>10627</v>
      </c>
      <c r="G27" s="1400" t="s">
        <v>10628</v>
      </c>
      <c r="H27" s="1400" t="s">
        <v>10629</v>
      </c>
      <c r="I27" s="1400" t="s">
        <v>10630</v>
      </c>
      <c r="J27" s="1400" t="s">
        <v>10631</v>
      </c>
      <c r="K27" s="1400" t="s">
        <v>10632</v>
      </c>
      <c r="L27" s="1400" t="s">
        <v>9308</v>
      </c>
      <c r="M27" s="1611">
        <v>0.05399305555555556</v>
      </c>
      <c r="N27" s="1607" t="str">
        <f t="shared" si="1"/>
        <v>2:39</v>
      </c>
      <c r="O27" s="1400" t="s">
        <v>10633</v>
      </c>
    </row>
    <row r="28" ht="15.75" customHeight="1">
      <c r="A28" s="1499" t="s">
        <v>2857</v>
      </c>
      <c r="B28" s="1493" t="s">
        <v>8304</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8332</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2965</v>
      </c>
      <c r="B30" s="1515" t="s">
        <v>8332</v>
      </c>
      <c r="C30" s="1605">
        <v>0.052316898148148154</v>
      </c>
      <c r="D30" s="1471" t="s">
        <v>10653</v>
      </c>
      <c r="E30" s="1401" t="s">
        <v>10654</v>
      </c>
      <c r="F30" s="1400" t="s">
        <v>10655</v>
      </c>
      <c r="G30" s="1400" t="s">
        <v>10656</v>
      </c>
      <c r="H30" s="1400" t="s">
        <v>10657</v>
      </c>
      <c r="I30" s="1400" t="s">
        <v>10658</v>
      </c>
      <c r="J30" s="1400" t="s">
        <v>10659</v>
      </c>
      <c r="K30" s="1400" t="s">
        <v>10660</v>
      </c>
      <c r="L30" s="1400" t="s">
        <v>8983</v>
      </c>
      <c r="M30" s="1611">
        <v>0.0537625</v>
      </c>
      <c r="N30" s="1607" t="str">
        <f t="shared" si="1"/>
        <v>2:05</v>
      </c>
      <c r="O30" s="1400" t="s">
        <v>10472</v>
      </c>
    </row>
    <row r="31" ht="15.75" customHeight="1">
      <c r="A31" s="1540" t="s">
        <v>3820</v>
      </c>
      <c r="B31" s="1493" t="s">
        <v>8304</v>
      </c>
      <c r="C31" s="1612">
        <v>0.05238425925925926</v>
      </c>
      <c r="D31" s="1504" t="s">
        <v>10661</v>
      </c>
      <c r="E31" s="1401" t="s">
        <v>10635</v>
      </c>
      <c r="F31" s="1400" t="s">
        <v>10662</v>
      </c>
      <c r="G31" s="1636" t="s">
        <v>10663</v>
      </c>
      <c r="H31" s="1400" t="s">
        <v>10664</v>
      </c>
      <c r="I31" s="1400" t="s">
        <v>10665</v>
      </c>
      <c r="J31" s="1400" t="s">
        <v>10666</v>
      </c>
      <c r="K31" s="1400" t="s">
        <v>10667</v>
      </c>
      <c r="L31" s="1400" t="s">
        <v>9563</v>
      </c>
      <c r="M31" s="1611">
        <v>0.05340277777777778</v>
      </c>
      <c r="N31" s="1607" t="str">
        <f t="shared" si="1"/>
        <v>1:28</v>
      </c>
      <c r="O31" s="1400" t="s">
        <v>10668</v>
      </c>
    </row>
    <row r="32" ht="15.75" customHeight="1">
      <c r="A32" s="1637" t="s">
        <v>7021</v>
      </c>
      <c r="B32" s="1493" t="s">
        <v>8304</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9589</v>
      </c>
      <c r="B33" s="1493" t="s">
        <v>8304</v>
      </c>
      <c r="C33" s="1605">
        <v>0.05268518518518518</v>
      </c>
      <c r="D33" s="1471" t="s">
        <v>10679</v>
      </c>
      <c r="E33" s="1401" t="s">
        <v>10680</v>
      </c>
      <c r="F33" s="1400" t="s">
        <v>10681</v>
      </c>
      <c r="G33" s="1400" t="s">
        <v>10682</v>
      </c>
      <c r="H33" s="1400" t="s">
        <v>10683</v>
      </c>
      <c r="I33" s="1400" t="s">
        <v>10684</v>
      </c>
      <c r="J33" s="1400" t="s">
        <v>10685</v>
      </c>
      <c r="K33" s="1400" t="s">
        <v>10686</v>
      </c>
      <c r="L33" s="1400" t="s">
        <v>9606</v>
      </c>
      <c r="M33" s="1611">
        <v>0.05331018518518518</v>
      </c>
      <c r="N33" s="1607" t="str">
        <f t="shared" si="1"/>
        <v>0:54</v>
      </c>
      <c r="O33" s="1400" t="s">
        <v>10687</v>
      </c>
    </row>
    <row r="34" ht="15.75" customHeight="1">
      <c r="A34" s="1540" t="s">
        <v>985</v>
      </c>
      <c r="B34" s="1596" t="s">
        <v>8332</v>
      </c>
      <c r="C34" s="1612">
        <v>0.05378472222222222</v>
      </c>
      <c r="D34" s="1471" t="s">
        <v>10688</v>
      </c>
      <c r="E34" s="1401" t="s">
        <v>10689</v>
      </c>
      <c r="F34" s="1400" t="s">
        <v>10690</v>
      </c>
      <c r="G34" s="1400" t="s">
        <v>10691</v>
      </c>
      <c r="H34" s="1400" t="s">
        <v>10692</v>
      </c>
      <c r="I34" s="1400" t="s">
        <v>7888</v>
      </c>
      <c r="J34" s="1400" t="s">
        <v>10693</v>
      </c>
      <c r="K34" s="1400" t="s">
        <v>10694</v>
      </c>
      <c r="L34" s="1400" t="s">
        <v>9357</v>
      </c>
      <c r="M34" s="1611">
        <v>0.054560185185185184</v>
      </c>
      <c r="N34" s="1607" t="str">
        <f t="shared" si="1"/>
        <v>1:07</v>
      </c>
      <c r="O34" s="1400"/>
    </row>
    <row r="35" ht="15.75" customHeight="1">
      <c r="A35" s="1540" t="s">
        <v>4797</v>
      </c>
      <c r="B35" s="1515" t="s">
        <v>8332</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2246</v>
      </c>
      <c r="B36" s="1493" t="s">
        <v>8304</v>
      </c>
      <c r="C36" s="1605">
        <v>0.0499537037037037</v>
      </c>
      <c r="D36" s="1471" t="s">
        <v>10703</v>
      </c>
      <c r="E36" s="1401" t="s">
        <v>10704</v>
      </c>
      <c r="F36" s="1400" t="s">
        <v>10705</v>
      </c>
      <c r="G36" s="1400" t="s">
        <v>10706</v>
      </c>
      <c r="H36" s="1400" t="s">
        <v>10707</v>
      </c>
      <c r="I36" s="1400" t="s">
        <v>10708</v>
      </c>
      <c r="J36" s="1400" t="s">
        <v>10709</v>
      </c>
      <c r="K36" s="1400" t="s">
        <v>10710</v>
      </c>
      <c r="L36" s="1400" t="s">
        <v>2988</v>
      </c>
      <c r="M36" s="1611">
        <v>0.05228009259259259</v>
      </c>
      <c r="N36" s="1607" t="str">
        <f t="shared" si="1"/>
        <v>3:21</v>
      </c>
      <c r="O36" s="1400" t="s">
        <v>10711</v>
      </c>
    </row>
    <row r="37" ht="15.75" customHeight="1">
      <c r="A37" s="1499" t="s">
        <v>2215</v>
      </c>
      <c r="B37" s="1515" t="s">
        <v>8332</v>
      </c>
      <c r="C37" s="1638" t="s">
        <v>10712</v>
      </c>
      <c r="D37" s="1504" t="s">
        <v>10713</v>
      </c>
      <c r="E37" s="1401" t="s">
        <v>9079</v>
      </c>
      <c r="F37" s="1400" t="s">
        <v>10714</v>
      </c>
      <c r="G37" s="1400" t="s">
        <v>10715</v>
      </c>
      <c r="H37" s="1400" t="s">
        <v>10716</v>
      </c>
      <c r="I37" s="1400" t="s">
        <v>10717</v>
      </c>
      <c r="J37" s="1400" t="s">
        <v>10718</v>
      </c>
      <c r="K37" s="1400"/>
      <c r="L37" s="1400" t="s">
        <v>9138</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8266</v>
      </c>
      <c r="C1" s="1664" t="s">
        <v>10442</v>
      </c>
      <c r="D1" s="1665" t="s">
        <v>7253</v>
      </c>
      <c r="E1" s="1666" t="s">
        <v>7520</v>
      </c>
      <c r="F1" s="1667" t="s">
        <v>38</v>
      </c>
      <c r="G1" s="1668" t="s">
        <v>36</v>
      </c>
      <c r="H1" s="1664" t="s">
        <v>10443</v>
      </c>
      <c r="I1" s="1669" t="s">
        <v>39</v>
      </c>
      <c r="J1" s="1670" t="s">
        <v>7466</v>
      </c>
      <c r="K1" s="1309" t="s">
        <v>8300</v>
      </c>
      <c r="L1" s="1309" t="s">
        <v>8302</v>
      </c>
    </row>
    <row r="2" ht="15.75" customHeight="1">
      <c r="A2" s="1322" t="s">
        <v>8303</v>
      </c>
      <c r="B2" s="1585" t="s">
        <v>8304</v>
      </c>
      <c r="C2" s="1325" t="s">
        <v>10444</v>
      </c>
      <c r="D2" s="1328" t="s">
        <v>10720</v>
      </c>
      <c r="E2" s="1671" t="s">
        <v>10721</v>
      </c>
      <c r="F2" s="1672" t="s">
        <v>10722</v>
      </c>
      <c r="G2" s="1673" t="s">
        <v>10723</v>
      </c>
      <c r="H2" s="1674" t="s">
        <v>10724</v>
      </c>
      <c r="I2" s="1675" t="s">
        <v>10725</v>
      </c>
      <c r="J2" s="1676" t="s">
        <v>10726</v>
      </c>
      <c r="K2" s="1677" t="s">
        <v>8330</v>
      </c>
      <c r="L2" s="1678"/>
    </row>
    <row r="3" ht="15.75" customHeight="1">
      <c r="A3" s="1347" t="s">
        <v>8331</v>
      </c>
      <c r="B3" s="1596" t="s">
        <v>8332</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8359</v>
      </c>
      <c r="B4" s="1600" t="s">
        <v>8360</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8304</v>
      </c>
      <c r="C5" s="1403" t="s">
        <v>10741</v>
      </c>
      <c r="D5" s="1403" t="s">
        <v>10742</v>
      </c>
      <c r="E5" s="1609" t="s">
        <v>10721</v>
      </c>
      <c r="F5" s="1609" t="s">
        <v>10722</v>
      </c>
      <c r="G5" s="1609" t="s">
        <v>10723</v>
      </c>
      <c r="H5" s="1609" t="s">
        <v>10724</v>
      </c>
      <c r="I5" s="1609" t="s">
        <v>10725</v>
      </c>
      <c r="J5" s="1609" t="s">
        <v>10726</v>
      </c>
      <c r="K5" s="1679" t="s">
        <v>8330</v>
      </c>
      <c r="L5" s="1400" t="s">
        <v>10743</v>
      </c>
    </row>
    <row r="6" ht="15.75" customHeight="1">
      <c r="A6" s="1499" t="s">
        <v>6195</v>
      </c>
      <c r="B6" s="1493" t="s">
        <v>8304</v>
      </c>
      <c r="C6" s="1549" t="s">
        <v>10488</v>
      </c>
      <c r="D6" s="1400" t="s">
        <v>10744</v>
      </c>
      <c r="E6" s="1400" t="s">
        <v>10745</v>
      </c>
      <c r="F6" s="1400" t="s">
        <v>10746</v>
      </c>
      <c r="G6" s="1400" t="s">
        <v>10747</v>
      </c>
      <c r="H6" s="1400" t="s">
        <v>10748</v>
      </c>
      <c r="I6" s="1400" t="s">
        <v>10749</v>
      </c>
      <c r="J6" s="1400" t="s">
        <v>10750</v>
      </c>
      <c r="K6" s="1400" t="s">
        <v>8517</v>
      </c>
      <c r="L6" s="1400"/>
    </row>
    <row r="7" ht="15.75" customHeight="1">
      <c r="A7" s="1572" t="s">
        <v>1944</v>
      </c>
      <c r="B7" s="1680" t="s">
        <v>8304</v>
      </c>
      <c r="C7" s="1400" t="s">
        <v>10480</v>
      </c>
      <c r="D7" s="1400" t="s">
        <v>10751</v>
      </c>
      <c r="E7" s="1636" t="s">
        <v>10752</v>
      </c>
      <c r="F7" s="1403" t="s">
        <v>10753</v>
      </c>
      <c r="G7" s="1681" t="s">
        <v>10754</v>
      </c>
      <c r="H7" s="1681" t="s">
        <v>10755</v>
      </c>
      <c r="I7" s="1400" t="s">
        <v>10756</v>
      </c>
      <c r="J7" s="1682" t="s">
        <v>10757</v>
      </c>
      <c r="K7" s="1682" t="s">
        <v>8473</v>
      </c>
      <c r="L7" s="1400" t="s">
        <v>10758</v>
      </c>
    </row>
    <row r="8" ht="15.75" customHeight="1">
      <c r="A8" s="1604" t="s">
        <v>433</v>
      </c>
      <c r="B8" s="1379" t="s">
        <v>8304</v>
      </c>
      <c r="C8" s="1403" t="s">
        <v>10467</v>
      </c>
      <c r="D8" s="1400" t="s">
        <v>10720</v>
      </c>
      <c r="E8" s="1400" t="s">
        <v>10759</v>
      </c>
      <c r="F8" s="1400" t="s">
        <v>10760</v>
      </c>
      <c r="G8" s="1400" t="s">
        <v>10761</v>
      </c>
      <c r="H8" s="1400" t="s">
        <v>10762</v>
      </c>
      <c r="I8" s="1400" t="s">
        <v>10763</v>
      </c>
      <c r="J8" s="1400" t="s">
        <v>10764</v>
      </c>
      <c r="K8" s="1400" t="s">
        <v>8432</v>
      </c>
      <c r="L8" s="1400"/>
    </row>
    <row r="9" ht="15.75" customHeight="1">
      <c r="A9" s="1572" t="s">
        <v>6300</v>
      </c>
      <c r="B9" s="1379" t="s">
        <v>8304</v>
      </c>
      <c r="C9" s="1400" t="s">
        <v>10765</v>
      </c>
      <c r="D9" s="1400" t="s">
        <v>10766</v>
      </c>
      <c r="E9" s="1400" t="s">
        <v>10767</v>
      </c>
      <c r="F9" s="1403" t="s">
        <v>10768</v>
      </c>
      <c r="G9" s="1403" t="s">
        <v>10769</v>
      </c>
      <c r="H9" s="1683" t="s">
        <v>10770</v>
      </c>
      <c r="I9" s="1403" t="s">
        <v>10771</v>
      </c>
      <c r="J9" s="1403" t="s">
        <v>10772</v>
      </c>
      <c r="K9" s="1400" t="s">
        <v>8453</v>
      </c>
      <c r="L9" s="1400"/>
    </row>
    <row r="10" ht="15.75" customHeight="1">
      <c r="A10" s="1499" t="s">
        <v>910</v>
      </c>
      <c r="B10" s="1515" t="s">
        <v>8304</v>
      </c>
      <c r="C10" s="1684" t="s">
        <v>10502</v>
      </c>
      <c r="D10" s="1400" t="s">
        <v>10773</v>
      </c>
      <c r="E10" s="1400" t="s">
        <v>10774</v>
      </c>
      <c r="F10" s="1400" t="s">
        <v>10775</v>
      </c>
      <c r="G10" s="1400" t="s">
        <v>10776</v>
      </c>
      <c r="H10" s="1400" t="s">
        <v>10777</v>
      </c>
      <c r="I10" s="1400" t="s">
        <v>10778</v>
      </c>
      <c r="J10" s="1400" t="s">
        <v>10779</v>
      </c>
      <c r="K10" s="1400" t="s">
        <v>8540</v>
      </c>
      <c r="L10" s="1400" t="s">
        <v>10780</v>
      </c>
    </row>
    <row r="11" ht="15.75" customHeight="1">
      <c r="A11" s="1560" t="s">
        <v>2007</v>
      </c>
      <c r="B11" s="1379" t="s">
        <v>8304</v>
      </c>
      <c r="C11" s="1443" t="s">
        <v>10444</v>
      </c>
      <c r="D11" s="1400" t="s">
        <v>10781</v>
      </c>
      <c r="E11" s="1400" t="s">
        <v>10782</v>
      </c>
      <c r="F11" s="1400" t="s">
        <v>10783</v>
      </c>
      <c r="G11" s="1400" t="s">
        <v>10784</v>
      </c>
      <c r="H11" s="1400" t="s">
        <v>10785</v>
      </c>
      <c r="I11" s="1400" t="s">
        <v>10786</v>
      </c>
      <c r="J11" s="1400" t="s">
        <v>10787</v>
      </c>
      <c r="K11" s="1400" t="s">
        <v>8646</v>
      </c>
      <c r="L11" s="1400"/>
    </row>
    <row r="12" ht="15.75" customHeight="1">
      <c r="A12" s="1604" t="s">
        <v>328</v>
      </c>
      <c r="B12" s="1379" t="s">
        <v>8304</v>
      </c>
      <c r="C12" s="1400" t="s">
        <v>10788</v>
      </c>
      <c r="D12" s="1400" t="s">
        <v>10789</v>
      </c>
      <c r="E12" s="1400" t="s">
        <v>10790</v>
      </c>
      <c r="F12" s="1400" t="s">
        <v>10791</v>
      </c>
      <c r="G12" s="1400" t="s">
        <v>10792</v>
      </c>
      <c r="H12" s="1400" t="s">
        <v>10793</v>
      </c>
      <c r="I12" s="1400" t="s">
        <v>10794</v>
      </c>
      <c r="J12" s="1400" t="s">
        <v>10795</v>
      </c>
      <c r="K12" s="1400" t="s">
        <v>8496</v>
      </c>
      <c r="L12" s="1400"/>
    </row>
    <row r="13" ht="15.75" customHeight="1">
      <c r="A13" s="1540" t="s">
        <v>1643</v>
      </c>
      <c r="B13" s="1493" t="s">
        <v>8304</v>
      </c>
      <c r="C13" s="1685" t="s">
        <v>10526</v>
      </c>
      <c r="D13" s="1617" t="s">
        <v>10796</v>
      </c>
      <c r="E13" s="1617" t="s">
        <v>10797</v>
      </c>
      <c r="F13" s="1400" t="s">
        <v>10798</v>
      </c>
      <c r="G13" s="1636" t="s">
        <v>10799</v>
      </c>
      <c r="H13" s="1636" t="s">
        <v>10800</v>
      </c>
      <c r="I13" s="1636" t="s">
        <v>10801</v>
      </c>
      <c r="J13" s="1636" t="s">
        <v>10802</v>
      </c>
      <c r="K13" s="1636" t="s">
        <v>8782</v>
      </c>
      <c r="L13" s="1400" t="s">
        <v>10803</v>
      </c>
    </row>
    <row r="14" ht="16.5" customHeight="1">
      <c r="A14" s="1618" t="s">
        <v>2631</v>
      </c>
      <c r="B14" s="1379" t="s">
        <v>8304</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8304</v>
      </c>
      <c r="C15" s="1684" t="s">
        <v>10813</v>
      </c>
      <c r="D15" s="1400" t="s">
        <v>10814</v>
      </c>
      <c r="E15" s="1400" t="s">
        <v>10815</v>
      </c>
      <c r="F15" s="1400" t="s">
        <v>10816</v>
      </c>
      <c r="G15" s="1400" t="s">
        <v>10817</v>
      </c>
      <c r="H15" s="1400" t="s">
        <v>10818</v>
      </c>
      <c r="I15" s="1400" t="s">
        <v>10819</v>
      </c>
      <c r="J15" s="1400" t="s">
        <v>10820</v>
      </c>
      <c r="K15" s="1400" t="s">
        <v>8963</v>
      </c>
      <c r="L15" s="1400"/>
    </row>
    <row r="16" ht="15.75" customHeight="1">
      <c r="A16" s="1540" t="s">
        <v>6572</v>
      </c>
      <c r="B16" s="1379" t="s">
        <v>8304</v>
      </c>
      <c r="C16" s="1400" t="s">
        <v>10558</v>
      </c>
      <c r="D16" s="1400" t="s">
        <v>10821</v>
      </c>
      <c r="E16" s="1400" t="s">
        <v>10822</v>
      </c>
      <c r="F16" s="1400" t="s">
        <v>10823</v>
      </c>
      <c r="G16" s="1400" t="s">
        <v>10824</v>
      </c>
      <c r="H16" s="1400" t="s">
        <v>10825</v>
      </c>
      <c r="I16" s="1400" t="s">
        <v>10826</v>
      </c>
      <c r="J16" s="1400" t="s">
        <v>10827</v>
      </c>
      <c r="K16" s="1400" t="s">
        <v>8845</v>
      </c>
      <c r="L16" s="1400" t="s">
        <v>10828</v>
      </c>
    </row>
    <row r="17" ht="15.75" customHeight="1">
      <c r="A17" s="1604" t="s">
        <v>1411</v>
      </c>
      <c r="B17" s="1379" t="s">
        <v>8304</v>
      </c>
      <c r="C17" s="1400" t="s">
        <v>10829</v>
      </c>
      <c r="D17" s="1400" t="s">
        <v>10830</v>
      </c>
      <c r="E17" s="1400" t="s">
        <v>10831</v>
      </c>
      <c r="F17" s="1400" t="s">
        <v>10832</v>
      </c>
      <c r="G17" s="1400" t="s">
        <v>10833</v>
      </c>
      <c r="H17" s="1400" t="s">
        <v>10834</v>
      </c>
      <c r="I17" s="1400" t="s">
        <v>10835</v>
      </c>
      <c r="J17" s="1400" t="s">
        <v>10836</v>
      </c>
      <c r="K17" s="1400" t="s">
        <v>8821</v>
      </c>
      <c r="L17" s="1400"/>
    </row>
    <row r="18" ht="15.75" customHeight="1">
      <c r="A18" s="1540" t="s">
        <v>2246</v>
      </c>
      <c r="B18" s="1515" t="s">
        <v>8304</v>
      </c>
      <c r="C18" s="1684" t="s">
        <v>10703</v>
      </c>
      <c r="D18" s="1400" t="s">
        <v>10837</v>
      </c>
      <c r="E18" s="1400" t="s">
        <v>10838</v>
      </c>
      <c r="F18" s="1400" t="s">
        <v>10839</v>
      </c>
      <c r="G18" s="1400" t="s">
        <v>10840</v>
      </c>
      <c r="H18" s="1400" t="s">
        <v>10841</v>
      </c>
      <c r="I18" s="1400" t="s">
        <v>10842</v>
      </c>
      <c r="J18" s="1400" t="s">
        <v>10843</v>
      </c>
      <c r="K18" s="1400" t="s">
        <v>8693</v>
      </c>
      <c r="L18" s="1400" t="s">
        <v>10844</v>
      </c>
    </row>
    <row r="19" ht="15.75" customHeight="1">
      <c r="A19" s="1604" t="s">
        <v>825</v>
      </c>
      <c r="B19" s="1379" t="s">
        <v>8304</v>
      </c>
      <c r="C19" s="1400" t="s">
        <v>10845</v>
      </c>
      <c r="D19" s="1400" t="s">
        <v>10846</v>
      </c>
      <c r="E19" s="1400" t="s">
        <v>10847</v>
      </c>
      <c r="F19" s="1400" t="s">
        <v>10848</v>
      </c>
      <c r="G19" s="1400" t="s">
        <v>10849</v>
      </c>
      <c r="H19" s="1400" t="s">
        <v>10850</v>
      </c>
      <c r="I19" s="1400" t="s">
        <v>10851</v>
      </c>
      <c r="J19" s="1400" t="s">
        <v>10852</v>
      </c>
      <c r="K19" s="1400" t="s">
        <v>9139</v>
      </c>
      <c r="L19" s="1400"/>
    </row>
    <row r="20" ht="15.75" customHeight="1">
      <c r="A20" s="1540" t="s">
        <v>1722</v>
      </c>
      <c r="B20" s="1493" t="s">
        <v>8304</v>
      </c>
      <c r="C20" s="1400" t="s">
        <v>10853</v>
      </c>
      <c r="D20" s="1400" t="s">
        <v>10854</v>
      </c>
      <c r="E20" s="1636" t="s">
        <v>10855</v>
      </c>
      <c r="F20" s="1400" t="s">
        <v>10856</v>
      </c>
      <c r="G20" s="1400" t="s">
        <v>10857</v>
      </c>
      <c r="H20" s="1400" t="s">
        <v>10858</v>
      </c>
      <c r="I20" s="1400" t="s">
        <v>10859</v>
      </c>
      <c r="J20" s="1400" t="s">
        <v>10860</v>
      </c>
      <c r="K20" s="1400" t="s">
        <v>8870</v>
      </c>
      <c r="L20" s="1400"/>
    </row>
    <row r="21" ht="15.75" customHeight="1">
      <c r="A21" s="1572" t="s">
        <v>8695</v>
      </c>
      <c r="B21" s="1379" t="s">
        <v>8304</v>
      </c>
      <c r="C21" s="1400" t="s">
        <v>10568</v>
      </c>
      <c r="D21" s="1400" t="s">
        <v>10861</v>
      </c>
      <c r="E21" s="1400" t="s">
        <v>10862</v>
      </c>
      <c r="F21" s="1400" t="s">
        <v>10863</v>
      </c>
      <c r="G21" s="1400" t="s">
        <v>10864</v>
      </c>
      <c r="H21" s="1400" t="s">
        <v>10865</v>
      </c>
      <c r="I21" s="1400" t="s">
        <v>10866</v>
      </c>
      <c r="J21" s="1400" t="s">
        <v>10867</v>
      </c>
      <c r="K21" s="1400" t="s">
        <v>8711</v>
      </c>
      <c r="L21" s="1400"/>
    </row>
    <row r="22" ht="15.75" customHeight="1">
      <c r="A22" s="1540" t="s">
        <v>735</v>
      </c>
      <c r="B22" s="1493" t="s">
        <v>8332</v>
      </c>
      <c r="C22" s="1400" t="s">
        <v>10868</v>
      </c>
      <c r="D22" s="1621" t="s">
        <v>10727</v>
      </c>
      <c r="E22" s="1621" t="s">
        <v>10728</v>
      </c>
      <c r="F22" s="1621" t="s">
        <v>10729</v>
      </c>
      <c r="G22" s="1621" t="s">
        <v>10730</v>
      </c>
      <c r="H22" s="1621" t="s">
        <v>10731</v>
      </c>
      <c r="I22" s="1621" t="s">
        <v>10732</v>
      </c>
      <c r="J22" s="1621" t="s">
        <v>10733</v>
      </c>
      <c r="K22" s="1621" t="s">
        <v>8669</v>
      </c>
      <c r="L22" s="1400" t="s">
        <v>10869</v>
      </c>
    </row>
    <row r="23" ht="15.75" customHeight="1">
      <c r="A23" s="1499" t="s">
        <v>1343</v>
      </c>
      <c r="B23" s="1493" t="s">
        <v>8360</v>
      </c>
      <c r="C23" s="1508" t="s">
        <v>10618</v>
      </c>
      <c r="D23" s="1508" t="s">
        <v>10734</v>
      </c>
      <c r="E23" s="1508" t="s">
        <v>10735</v>
      </c>
      <c r="F23" s="1508" t="s">
        <v>10736</v>
      </c>
      <c r="G23" s="1508" t="s">
        <v>10737</v>
      </c>
      <c r="H23" s="1508" t="s">
        <v>10738</v>
      </c>
      <c r="I23" s="1508" t="s">
        <v>10739</v>
      </c>
      <c r="J23" s="1508" t="s">
        <v>10740</v>
      </c>
      <c r="K23" s="1508" t="s">
        <v>8669</v>
      </c>
      <c r="L23" s="1400"/>
    </row>
    <row r="24" ht="16.5" customHeight="1">
      <c r="A24" s="1499" t="s">
        <v>10870</v>
      </c>
      <c r="B24" s="1493" t="s">
        <v>8304</v>
      </c>
      <c r="C24" s="1629" t="s">
        <v>10593</v>
      </c>
      <c r="D24" s="1400" t="s">
        <v>10871</v>
      </c>
      <c r="E24" s="1400" t="s">
        <v>10872</v>
      </c>
      <c r="F24" s="1400" t="s">
        <v>10873</v>
      </c>
      <c r="G24" s="1400" t="s">
        <v>10864</v>
      </c>
      <c r="H24" s="1400" t="s">
        <v>10874</v>
      </c>
      <c r="I24" s="1400" t="s">
        <v>10875</v>
      </c>
      <c r="J24" s="1400" t="s">
        <v>10876</v>
      </c>
      <c r="K24" s="1400" t="s">
        <v>9332</v>
      </c>
      <c r="L24" s="1400"/>
    </row>
    <row r="25" ht="15.75" customHeight="1">
      <c r="A25" s="1499" t="s">
        <v>2857</v>
      </c>
      <c r="B25" s="1493" t="s">
        <v>8304</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2965</v>
      </c>
      <c r="B26" s="1614" t="s">
        <v>8332</v>
      </c>
      <c r="C26" s="1684" t="s">
        <v>10887</v>
      </c>
      <c r="D26" s="1400"/>
      <c r="E26" s="1400" t="s">
        <v>10888</v>
      </c>
      <c r="F26" s="1400" t="s">
        <v>10889</v>
      </c>
      <c r="G26" s="1400"/>
      <c r="H26" s="1400"/>
      <c r="I26" s="1400"/>
      <c r="J26" s="1400"/>
      <c r="K26" s="1400" t="s">
        <v>9421</v>
      </c>
      <c r="L26" s="1400"/>
    </row>
    <row r="27" ht="15.75" customHeight="1">
      <c r="A27" s="1540" t="s">
        <v>2526</v>
      </c>
      <c r="B27" s="1507" t="s">
        <v>8332</v>
      </c>
      <c r="C27" s="1621" t="s">
        <v>10626</v>
      </c>
      <c r="D27" s="1400" t="s">
        <v>10890</v>
      </c>
      <c r="E27" s="1400" t="s">
        <v>10891</v>
      </c>
      <c r="F27" s="1400" t="s">
        <v>10892</v>
      </c>
      <c r="G27" s="1400" t="s">
        <v>10893</v>
      </c>
      <c r="H27" s="1400" t="s">
        <v>10894</v>
      </c>
      <c r="I27" s="1400" t="s">
        <v>10895</v>
      </c>
      <c r="J27" s="1400" t="s">
        <v>10896</v>
      </c>
      <c r="K27" s="1400" t="s">
        <v>9309</v>
      </c>
      <c r="L27" s="1400"/>
    </row>
    <row r="28">
      <c r="A28" s="1624" t="s">
        <v>2215</v>
      </c>
      <c r="B28" s="1515" t="s">
        <v>8332</v>
      </c>
      <c r="C28" s="1400" t="s">
        <v>10713</v>
      </c>
      <c r="D28" s="1400" t="s">
        <v>10897</v>
      </c>
      <c r="E28" s="1400" t="s">
        <v>10898</v>
      </c>
      <c r="F28" s="1400" t="s">
        <v>10899</v>
      </c>
      <c r="G28" s="1400" t="s">
        <v>10900</v>
      </c>
      <c r="H28" s="1400" t="s">
        <v>10901</v>
      </c>
      <c r="I28" s="1400" t="s">
        <v>10902</v>
      </c>
      <c r="J28" s="1400" t="s">
        <v>10903</v>
      </c>
      <c r="K28" s="1400" t="s">
        <v>9004</v>
      </c>
      <c r="L28" s="1400" t="s">
        <v>10904</v>
      </c>
    </row>
    <row r="29" ht="15.75" customHeight="1">
      <c r="A29" s="1499" t="s">
        <v>5346</v>
      </c>
      <c r="B29" s="1493" t="s">
        <v>8304</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4797</v>
      </c>
      <c r="B30" s="1493" t="s">
        <v>8332</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8304</v>
      </c>
      <c r="C31" s="1684" t="s">
        <v>10602</v>
      </c>
      <c r="D31" s="1400" t="s">
        <v>10923</v>
      </c>
      <c r="E31" s="1400" t="s">
        <v>10924</v>
      </c>
      <c r="F31" s="1400" t="s">
        <v>10925</v>
      </c>
      <c r="G31" s="1400" t="s">
        <v>10926</v>
      </c>
      <c r="H31" s="1400" t="s">
        <v>10927</v>
      </c>
      <c r="I31" s="1400" t="s">
        <v>10928</v>
      </c>
      <c r="J31" s="1400" t="s">
        <v>10929</v>
      </c>
      <c r="K31" s="1400" t="s">
        <v>9235</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4154</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4154</v>
      </c>
      <c r="D13" s="1705" t="s">
        <v>10954</v>
      </c>
      <c r="E13" s="1704" t="s">
        <v>10938</v>
      </c>
      <c r="F13" s="1706">
        <v>44250.0</v>
      </c>
    </row>
    <row r="14" ht="15.75" customHeight="1">
      <c r="A14" s="1702" t="s">
        <v>10955</v>
      </c>
      <c r="B14" s="1707" t="s">
        <v>10940</v>
      </c>
      <c r="C14" s="1704" t="s">
        <v>4133</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5160</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5346</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6343</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10072</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2246</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4154</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6035</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2445</v>
      </c>
      <c r="D90" s="1718" t="s">
        <v>11001</v>
      </c>
      <c r="E90" s="1704" t="s">
        <v>10938</v>
      </c>
      <c r="F90" s="1719">
        <v>43925.0</v>
      </c>
    </row>
    <row r="91">
      <c r="A91" s="1714"/>
      <c r="B91" s="1708" t="s">
        <v>10943</v>
      </c>
      <c r="C91" s="1704" t="s">
        <v>4639</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5960</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5160</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5991</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2137</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5160</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5296</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2445</v>
      </c>
      <c r="D133" s="1732" t="s">
        <v>11019</v>
      </c>
      <c r="E133" s="1704" t="s">
        <v>10938</v>
      </c>
      <c r="F133" s="1706">
        <v>45152.0</v>
      </c>
    </row>
    <row r="134">
      <c r="A134" s="1726"/>
      <c r="B134" s="1707" t="s">
        <v>10940</v>
      </c>
      <c r="C134" s="1704" t="s">
        <v>4133</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