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<sst xmlns="http://schemas.openxmlformats.org/spreadsheetml/2006/main" count="27547" uniqueCount="11399">
  <si>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</si>
  <si>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</si>
  <si>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</si>
  <si>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</si>
  <si>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</si>
  <si>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</si>
  <si>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</si>
  <si>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</si>
  <si>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</si>
  <si>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</si>
  <si>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</si>
  <si>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</si>
  <si>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</si>
  <si>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</si>
  <si>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</si>
  <si>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</si>
  <si>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</si>
  <si>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</si>
  <si>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</si>
  <si>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</si>
  <si>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</si>
  <si>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</si>
  <si>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</si>
  <si>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</si>
  <si>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</si>
  <si>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</si>
  <si>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</si>
  <si>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</si>
  <si>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</si>
  <si>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</si>
  <si>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</si>
  <si>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</si>
  <si>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</si>
  <si>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</si>
  <si>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</si>
  <si>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</si>
  <si>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</si>
  <si>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</si>
  <si>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</si>
  <si>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</si>
  <si>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</si>
  <si>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</si>
  <si>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</si>
  <si>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</si>
  <si>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</si>
  <si>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</si>
  <si>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</si>
  <si>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</si>
  <si>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</si>
  <si>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</si>
  <si>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</si>
  <si>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</si>
  <si>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</si>
  <si>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</si>
  <si>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</si>
  <si>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</si>
  <si>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</si>
  <si>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</si>
  <si>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</si>
  <si>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</si>
  <si>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</si>
  <si>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</si>
  <si>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</si>
  <si>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</si>
  <si>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</si>
  <si>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</si>
  <si>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</si>
  <si>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</si>
  <si>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</si>
  <si>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</si>
  <si>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</si>
  <si>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</si>
  <si>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</si>
  <si>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</si>
  <si>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</si>
  <si>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</si>
  <si>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</si>
  <si>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</si>
  <si>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</si>
  <si>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</si>
  <si>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</si>
  <si>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</si>
  <si>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</si>
  <si>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</si>
  <si>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</si>
  <si>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</si>
  <si>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</si>
  <si>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</si>
  <si>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</si>
  <si>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</si>
  <si>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</si>
  <si>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</si>
  <si>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</si>
  <si>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</si>
  <si>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</si>
  <si>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</si>
  <si>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</si>
  <si>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</si>
  <si>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</si>
  <si>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</si>
  <si>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</si>
  <si>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</si>
  <si>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</si>
  <si>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</si>
  <si>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</si>
  <si>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</si>
  <si>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</si>
  <si>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</si>
  <si>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</si>
  <si>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</si>
  <si>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</si>
  <si>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</si>
  <si>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</si>
  <si>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</si>
  <si>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</si>
  <si>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</si>
  <si>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</si>
  <si>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</si>
  <si>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</si>
  <si>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</si>
  <si>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</si>
  <si>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</si>
  <si>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</si>
  <si>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</si>
  <si>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</si>
  <si>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</si>
  <si>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</si>
  <si>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</si>
  <si>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</si>
  <si>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</si>
  <si>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</si>
  <si>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</si>
  <si>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</si>
  <si>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</si>
  <si>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</si>
  <si>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</si>
  <si>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</si>
  <si>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</si>
  <si>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</si>
  <si>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</si>
  <si>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</si>
  <si>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</si>
  <si>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</si>
  <si>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</si>
  <si>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</si>
  <si>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</si>
  <si>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</si>
  <si>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</si>
  <si>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</si>
  <si>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</si>
  <si>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</si>
  <si>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</si>
  <si>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</si>
  <si>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</si>
  <si>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</si>
  <si>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</si>
  <si>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</si>
  <si>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</si>
  <si>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</si>
  <si>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</si>
  <si>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</si>
  <si>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</si>
  <si>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</si>
  <si>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</si>
  <si>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</si>
  <si>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</si>
  <si>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</si>
  <si>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</si>
  <si>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</si>
  <si>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</si>
  <si>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</si>
  <si>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</si>
  <si>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</si>
  <si>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</si>
  <si>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</si>
  <si>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</si>
  <si>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</si>
  <si>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</si>
  <si>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</si>
  <si>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</si>
  <si>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</si>
  <si>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</si>
  <si>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</si>
  <si>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</si>
  <si>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</si>
  <si>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</si>
  <si>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</si>
  <si>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</si>
  <si>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</si>
  <si>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</si>
  <si>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</si>
  <si>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</si>
  <si>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</si>
  <si>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</si>
  <si>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</si>
  <si>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</si>
  <si>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</si>
  <si>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</si>
  <si>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</si>
  <si>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</si>
  <si>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</si>
  <si>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</si>
  <si>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</si>
  <si>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</si>
  <si>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</si>
  <si>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</si>
  <si>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</si>
  <si>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</si>
  <si>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</si>
  <si>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</si>
  <si>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</si>
  <si>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</si>
  <si>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</si>
  <si>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</si>
  <si>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</si>
  <si>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</si>
  <si>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</si>
  <si>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</si>
  <si>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</si>
  <si>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</si>
  <si>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</si>
  <si>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</si>
  <si>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</si>
  <si>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</si>
  <si>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</si>
  <si>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</si>
  <si>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</si>
  <si>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</si>
  <si>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</si>
  <si>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</si>
  <si>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</si>
  <si>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</si>
  <si>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</si>
  <si>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</si>
  <si>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</si>
  <si>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</si>
  <si>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</si>
  <si>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</si>
  <si>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</si>
  <si>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</si>
  <si>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</si>
  <si>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</si>
  <si>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</si>
  <si>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</si>
  <si>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</si>
  <si>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</si>
  <si>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</si>
  <si>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</si>
  <si>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</si>
  <si>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</si>
  <si>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</si>
  <si>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</si>
  <si>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</si>
  <si>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</si>
  <si>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</si>
  <si>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</si>
  <si>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</si>
  <si>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</si>
  <si>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</si>
  <si>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</si>
  <si>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</si>
  <si>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</si>
  <si>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</si>
  <si>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</si>
  <si>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</si>
  <si>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</si>
  <si>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</si>
  <si>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</si>
  <si>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</si>
  <si>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</si>
  <si>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</si>
  <si>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</si>
  <si>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</si>
  <si>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</si>
  <si>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</si>
  <si>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</si>
  <si>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</si>
  <si>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</si>
  <si>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</si>
  <si>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</si>
  <si>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</si>
  <si>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</si>
  <si>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</si>
  <si>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</si>
  <si>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</si>
  <si>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</si>
  <si>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</si>
  <si>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</si>
  <si>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</si>
  <si>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</si>
  <si>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</si>
  <si>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</si>
  <si>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</si>
  <si>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</si>
  <si>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</si>
  <si>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</si>
  <si>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</si>
  <si>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</si>
  <si>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</si>
  <si>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</si>
  <si>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</si>
  <si>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</si>
  <si>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</si>
  <si>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</si>
  <si>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</si>
  <si>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</si>
  <si>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</si>
  <si>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</si>
  <si>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</si>
  <si>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</si>
  <si>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</si>
  <si>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</si>
  <si>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</si>
  <si>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</si>
  <si>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</si>
  <si>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</si>
  <si>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</si>
  <si>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</si>
  <si>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</si>
  <si>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</si>
  <si>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</si>
  <si>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</si>
  <si>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</si>
  <si>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</si>
  <si>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</si>
  <si>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</si>
  <si>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</si>
  <si>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</si>
  <si>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</si>
  <si>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</si>
  <si>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</si>
  <si>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</si>
  <si>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</si>
  <si>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</si>
  <si>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</si>
  <si>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</si>
  <si>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</si>
  <si>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</si>
  <si>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</si>
  <si>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</si>
  <si>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</si>
  <si>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</si>
  <si>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</si>
  <si>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</si>
  <si>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</si>
  <si>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</si>
  <si>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</si>
  <si>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</si>
  <si>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</si>
  <si>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</si>
  <si>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</si>
  <si>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</si>
  <si>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</si>
  <si>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</si>
  <si>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</si>
  <si>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</si>
  <si>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</si>
  <si>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</si>
  <si>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</si>
  <si>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</si>
  <si>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</si>
  <si>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</si>
  <si>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</si>
  <si>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</si>
  <si>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</si>
  <si>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</si>
  <si>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</si>
  <si>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</si>
  <si>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</si>
  <si>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</si>
  <si>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</si>
  <si>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</si>
  <si>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</si>
  <si>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</si>
  <si>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</si>
  <si>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</si>
  <si>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</si>
  <si>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</si>
  <si>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</si>
  <si>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</si>
  <si>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</si>
  <si>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</si>
  <si>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</si>
  <si>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</si>
  <si>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</si>
  <si>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</si>
  <si>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</si>
  <si>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</si>
  <si>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</si>
  <si>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</si>
  <si>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</si>
  <si>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</si>
  <si>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</si>
  <si>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</si>
  <si>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</si>
  <si>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</si>
  <si>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</si>
  <si>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</si>
  <si>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</si>
  <si>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</si>
  <si>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</si>
  <si>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</si>
  <si>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</si>
  <si>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</si>
  <si>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</si>
  <si>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</si>
  <si>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</si>
  <si>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</si>
  <si>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</si>
  <si>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</si>
  <si>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</si>
  <si>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</si>
  <si>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</si>
  <si>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</si>
  <si>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</si>
  <si>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</si>
  <si>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</si>
  <si>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</si>
  <si>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</si>
  <si>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</si>
  <si>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</si>
  <si>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</si>
  <si>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</si>
  <si>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</si>
  <si>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</si>
  <si>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</si>
  <si>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</si>
  <si>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</si>
  <si>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</si>
  <si>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</si>
  <si>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</si>
  <si>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</si>
  <si>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</si>
  <si>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</si>
  <si>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</si>
  <si>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</si>
  <si>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</si>
  <si>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</si>
  <si>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</si>
  <si>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</si>
  <si>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</si>
  <si>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</si>
  <si>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</si>
  <si>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</si>
  <si>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</si>
  <si>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</si>
  <si>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</si>
  <si>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</si>
  <si>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</si>
  <si>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</si>
  <si>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</si>
  <si>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</si>
  <si>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</si>
  <si>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</si>
  <si>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</si>
  <si>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</si>
  <si>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</si>
  <si>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</si>
  <si>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</si>
  <si>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</si>
  <si>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</si>
  <si>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</si>
  <si>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</si>
  <si>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</si>
  <si>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</si>
  <si>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</si>
  <si>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</si>
  <si>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</si>
  <si>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</si>
  <si>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</si>
  <si>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</si>
  <si>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</si>
  <si>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</si>
  <si>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</si>
  <si>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</si>
  <si>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</si>
  <si>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</si>
  <si>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</si>
  <si>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</si>
  <si>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</si>
  <si>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</si>
  <si>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</si>
  <si>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</si>
  <si>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</si>
  <si>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</si>
  <si>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</si>
  <si>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</si>
  <si>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</si>
  <si>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</si>
  <si>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</si>
  <si>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</si>
  <si>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</si>
  <si>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</si>
  <si>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</si>
  <si>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</si>
  <si>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</si>
  <si>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</si>
  <si>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</si>
  <si>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</si>
  <si>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</si>
  <si>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</si>
  <si>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</si>
  <si>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</si>
  <si>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</si>
  <si>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</si>
  <si>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</si>
  <si>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</si>
  <si>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</si>
  <si>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</si>
  <si>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</si>
  <si>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</si>
  <si>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</si>
  <si>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</si>
  <si>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</si>
  <si>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</si>
  <si>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</si>
  <si>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</si>
  <si>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</si>
  <si>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</si>
  <si>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</si>
  <si>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</si>
  <si>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</si>
  <si>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</si>
  <si>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</si>
  <si>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</si>
  <si>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</si>
  <si>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</si>
  <si>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</si>
  <si>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</si>
  <si>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</si>
  <si>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</si>
  <si>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</si>
  <si>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</si>
  <si>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</si>
  <si>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</si>
  <si>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</si>
  <si>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</si>
  <si>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</si>
  <si>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</si>
  <si>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</si>
  <si>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</si>
  <si>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</si>
  <si>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</si>
  <si>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</si>
  <si>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</si>
  <si>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</si>
  <si>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</si>
  <si>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</si>
  <si>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</si>
  <si>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</si>
  <si>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</si>
  <si>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</si>
  <si>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</si>
  <si>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</si>
  <si>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</si>
  <si>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</si>
  <si>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</si>
  <si>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</si>
  <si>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</si>
  <si>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</si>
  <si>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</si>
  <si>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</si>
  <si>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</si>
  <si>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</si>
  <si>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</si>
  <si>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</si>
  <si>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</si>
  <si>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</si>
  <si>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</si>
  <si>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</si>
  <si>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</si>
  <si>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</si>
  <si>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</si>
  <si>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</si>
  <si>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</si>
  <si>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</si>
  <si>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</si>
  <si>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</si>
  <si>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</si>
  <si>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</si>
  <si>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</si>
  <si>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</si>
  <si>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</si>
  <si>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</si>
  <si>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</si>
  <si>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</si>
  <si>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</si>
  <si>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</si>
  <si>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</si>
  <si>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</si>
  <si>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</si>
  <si>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</si>
  <si>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</si>
  <si>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</si>
  <si>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</si>
  <si>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</si>
  <si>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</si>
  <si>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</si>
  <si>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</si>
  <si>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</si>
  <si>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</si>
  <si>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</si>
  <si>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</si>
  <si>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</si>
  <si>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</si>
  <si>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</si>
  <si>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</si>
  <si>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</si>
  <si>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</si>
  <si>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</si>
  <si>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</si>
  <si>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</si>
  <si>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</si>
  <si>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</si>
  <si>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</si>
  <si>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</si>
  <si>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</si>
  <si>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</si>
  <si>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</si>
  <si>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</si>
  <si>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</si>
  <si>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</si>
  <si>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</si>
  <si>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</si>
  <si>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</si>
  <si>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</si>
  <si>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</si>
  <si>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</si>
  <si>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</si>
  <si>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</si>
  <si>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</si>
  <si>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</si>
  <si>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</si>
  <si>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</si>
  <si>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</si>
  <si>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</si>
  <si>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</si>
  <si>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</si>
  <si>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</si>
  <si>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</si>
  <si>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</si>
  <si>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</si>
  <si>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</si>
  <si>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</si>
  <si>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</si>
  <si>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</si>
  <si>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</si>
  <si>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</si>
  <si>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</si>
  <si>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</si>
  <si>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</si>
  <si>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</si>
  <si>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</si>
  <si>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</si>
  <si>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</si>
  <si>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</si>
  <si>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</si>
  <si>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</si>
  <si>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</si>
  <si>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</si>
  <si>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</si>
  <si>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</si>
  <si>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</si>
  <si>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</si>
  <si>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</si>
  <si>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</si>
  <si>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</si>
  <si>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</si>
  <si>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</si>
  <si>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</si>
  <si>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</si>
  <si>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</si>
  <si>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</si>
  <si>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</si>
  <si>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</si>
  <si>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</si>
  <si>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</si>
  <si>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</si>
  <si>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</si>
  <si>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</si>
  <si>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</si>
  <si>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</si>
  <si>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</si>
  <si>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</si>
  <si>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</si>
  <si>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</si>
  <si>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</si>
  <si>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</si>
  <si>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</si>
  <si>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</si>
  <si>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</si>
  <si>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</si>
  <si>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</si>
  <si>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</si>
  <si>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</si>
  <si>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</si>
  <si>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</si>
  <si>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</si>
  <si>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</si>
  <si>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</si>
  <si>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</si>
  <si>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</si>
  <si>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</si>
  <si>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</si>
  <si>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</si>
  <si>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</si>
  <si>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</si>
  <si>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</si>
  <si>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</si>
  <si>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</si>
  <si>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</si>
  <si>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</si>
  <si>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</si>
  <si>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</si>
  <si>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</si>
  <si>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</si>
  <si>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</si>
  <si>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</si>
  <si>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</si>
  <si>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</si>
  <si>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</si>
  <si>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</si>
  <si>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</si>
  <si>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</si>
  <si>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</si>
  <si>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</si>
  <si>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</si>
  <si>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</si>
  <si>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</si>
  <si>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</si>
  <si>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</si>
  <si>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</si>
  <si>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</si>
  <si>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</si>
  <si>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</si>
  <si>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</si>
  <si>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</si>
  <si>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</si>
  <si>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</si>
  <si>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</si>
  <si>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</si>
  <si>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</si>
  <si>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</si>
  <si>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</si>
  <si>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</si>
  <si>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</si>
  <si>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</si>
  <si>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</si>
  <si>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</si>
  <si>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</si>
  <si>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</si>
  <si>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</si>
  <si>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</si>
  <si>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</si>
  <si>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</si>
  <si>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</si>
  <si>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</si>
  <si>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</si>
  <si>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</si>
  <si>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</si>
  <si>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</si>
  <si>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</si>
  <si>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</si>
  <si>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</si>
  <si>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</si>
  <si>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</si>
  <si>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</si>
  <si>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</si>
  <si>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</si>
  <si>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</si>
  <si>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</si>
  <si>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</si>
  <si>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</si>
  <si>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</si>
  <si>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</si>
  <si>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</si>
  <si>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</si>
  <si>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</si>
  <si>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</si>
  <si>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</si>
  <si>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</si>
  <si>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</si>
  <si>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</si>
  <si>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</si>
  <si>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</si>
  <si>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</si>
  <si>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</si>
  <si>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</si>
  <si>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</si>
  <si>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</si>
  <si>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</si>
  <si>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</si>
  <si>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</si>
  <si>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</si>
  <si>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</si>
  <si>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</si>
  <si>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</si>
  <si>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</si>
  <si>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</si>
  <si>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</si>
  <si>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</si>
  <si>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</si>
  <si>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</si>
  <si>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</si>
  <si>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</si>
  <si>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</si>
  <si>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</si>
  <si>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</si>
  <si>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</si>
  <si>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</si>
  <si>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</si>
  <si>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</si>
  <si>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</si>
  <si>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</si>
  <si>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</si>
  <si>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</si>
  <si>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</si>
  <si>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</si>
  <si>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</si>
  <si>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</si>
  <si>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</si>
  <si>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</si>
  <si>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</si>
  <si>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</si>
  <si>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</si>
  <si>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</si>
  <si>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</si>
  <si>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</si>
  <si>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</si>
  <si>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</si>
  <si>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</si>
  <si>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</si>
  <si>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</si>
  <si>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</si>
  <si>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</si>
  <si>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</si>
  <si>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</si>
  <si>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</si>
  <si>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</si>
  <si>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</si>
  <si>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</si>
  <si>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</si>
  <si>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</si>
  <si>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</si>
  <si>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</si>
  <si>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</si>
  <si>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</si>
  <si>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</si>
  <si>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</si>
  <si>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</si>
  <si>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</si>
  <si>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</si>
  <si>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</si>
  <si>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</si>
  <si>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</si>
  <si>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</si>
  <si>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</si>
  <si>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</si>
  <si>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</si>
  <si>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</si>
  <si>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</si>
  <si>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</si>
  <si>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</si>
  <si>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</si>
  <si>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</si>
  <si>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</si>
  <si>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</si>
  <si>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</si>
  <si>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</si>
  <si>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</si>
  <si>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</si>
  <si>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</si>
  <si>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</si>
  <si>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</si>
  <si>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</si>
  <si>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</si>
  <si>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</si>
  <si>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</si>
  <si>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</si>
  <si>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</si>
  <si>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</si>
  <si>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</si>
  <si>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</si>
  <si>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</si>
  <si>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</si>
  <si>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</si>
  <si>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</si>
  <si>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</si>
  <si>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</si>
  <si>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</si>
  <si>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</si>
  <si>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</si>
  <si>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</si>
  <si>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</si>
  <si>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</si>
  <si>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</si>
  <si>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</si>
  <si>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</si>
  <si>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</si>
  <si>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</si>
  <si>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</si>
  <si>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</si>
  <si>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</si>
  <si>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</si>
  <si>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</si>
  <si>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</si>
  <si>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</si>
  <si>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</si>
  <si>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</si>
  <si>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</si>
  <si>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</si>
  <si>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</si>
  <si>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</si>
  <si>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</si>
  <si>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</si>
  <si>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</si>
  <si>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</si>
  <si>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</si>
  <si>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</si>
  <si>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</si>
  <si>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</si>
  <si>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</si>
  <si>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</si>
  <si>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</si>
  <si>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</si>
  <si>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</si>
  <si>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</si>
  <si>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</si>
  <si>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</si>
  <si>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</si>
  <si>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</si>
  <si>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</si>
  <si>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</si>
  <si>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</si>
  <si>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</si>
  <si>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</si>
  <si>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</si>
  <si>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</si>
  <si>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</si>
  <si>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</si>
  <si>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</si>
  <si>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</si>
  <si>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</si>
  <si>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</si>
  <si>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</si>
  <si>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</si>
  <si>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</si>
  <si>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</si>
  <si>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</si>
  <si>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</si>
  <si>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</si>
  <si>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</si>
  <si>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</si>
  <si>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</si>
  <si>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</si>
  <si>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</si>
  <si>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</si>
  <si>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</si>
  <si>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</si>
  <si>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</si>
  <si>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</si>
  <si>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</si>
  <si>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</si>
  <si>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</si>
  <si>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</si>
  <si>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</si>
  <si>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</si>
  <si>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</si>
  <si>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</si>
  <si>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</si>
  <si>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</si>
  <si>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</si>
  <si>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</si>
  <si>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</si>
  <si>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</si>
  <si>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</si>
  <si>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</si>
  <si>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</si>
  <si>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</si>
  <si>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</si>
  <si>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</si>
  <si>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</si>
  <si>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</si>
  <si>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</si>
  <si>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</si>
  <si>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</si>
  <si>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</si>
  <si>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</si>
  <si>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</si>
  <si>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</si>
  <si>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</si>
  <si>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</si>
  <si>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</si>
  <si>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</si>
  <si>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</si>
  <si>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</si>
  <si>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</si>
  <si>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</si>
  <si>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</si>
  <si>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</si>
  <si>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</si>
  <si>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</si>
  <si>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</si>
  <si>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</si>
  <si>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</si>
  <si>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</si>
  <si>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</si>
  <si>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</si>
  <si>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</si>
  <si>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</si>
  <si>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</si>
  <si>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</si>
  <si>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</si>
  <si>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</si>
  <si>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</si>
  <si>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</si>
  <si>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</si>
  <si>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</si>
  <si>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</si>
  <si>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</si>
  <si>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</si>
  <si>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</si>
  <si>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</si>
  <si>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</si>
  <si>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</si>
  <si>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</si>
  <si>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</si>
  <si>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</si>
  <si>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</si>
  <si>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</si>
  <si>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</si>
  <si>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</si>
  <si>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</si>
  <si>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</si>
  <si>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</si>
  <si>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</si>
  <si>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</si>
  <si>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</si>
  <si>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</si>
  <si>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</si>
  <si>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</si>
  <si>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</si>
  <si>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</si>
  <si>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</si>
  <si>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</si>
  <si>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</si>
  <si>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</si>
  <si>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</si>
  <si>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</si>
  <si>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</si>
  <si>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</si>
  <si>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</si>
  <si>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</si>
  <si>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</si>
  <si>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</si>
  <si>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</si>
  <si>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</si>
  <si>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</si>
  <si>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</si>
  <si>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</si>
  <si>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</si>
  <si>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</si>
  <si>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</si>
  <si>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</si>
  <si>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</si>
  <si>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</si>
  <si>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</si>
  <si>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</si>
  <si>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</si>
  <si>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</si>
  <si>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</si>
  <si>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</si>
  <si>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</si>
  <si>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</si>
  <si>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</si>
  <si>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</si>
  <si>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</si>
  <si>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</si>
  <si>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</si>
  <si>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</si>
  <si>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</si>
  <si>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</si>
  <si>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</si>
  <si>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</si>
  <si>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</si>
  <si>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</si>
  <si>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</si>
  <si>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</si>
  <si>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</si>
  <si>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</si>
  <si>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</si>
  <si>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</si>
  <si>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</si>
  <si>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</si>
  <si>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</si>
  <si>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</si>
  <si>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</si>
  <si>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</si>
  <si>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</si>
  <si>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</si>
  <si>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</si>
  <si>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</si>
  <si>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</si>
  <si>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</si>
  <si>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</si>
  <si>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</si>
  <si>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</si>
  <si>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</si>
  <si>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</si>
  <si>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</si>
  <si>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</si>
  <si>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</si>
  <si>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</si>
  <si>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</si>
  <si>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</si>
  <si>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</si>
  <si>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</si>
  <si>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</si>
  <si>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</si>
  <si>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</si>
  <si>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</si>
  <si>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</si>
  <si>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</si>
  <si>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</si>
  <si>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</si>
  <si>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</si>
  <si>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</si>
  <si>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</si>
  <si>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</si>
  <si>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</si>
  <si>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</si>
  <si>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</si>
  <si>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</si>
  <si>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</si>
  <si>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</si>
  <si>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</si>
  <si>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</si>
  <si>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</si>
  <si>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</si>
  <si>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</si>
  <si>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</si>
  <si>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</si>
  <si>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</si>
  <si>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</si>
  <si>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</si>
  <si>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</si>
  <si>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</si>
  <si>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</si>
  <si>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</si>
  <si>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</si>
  <si>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</si>
  <si>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</si>
  <si>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</si>
  <si>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</si>
  <si>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</si>
  <si>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</si>
  <si>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</si>
  <si>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</si>
  <si>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</si>
  <si>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</si>
  <si>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</si>
  <si>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</si>
  <si>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</si>
  <si>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</si>
  <si>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</si>
  <si>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</si>
  <si>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</si>
  <si>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</si>
  <si>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</si>
  <si>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</si>
  <si>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</si>
  <si>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</si>
  <si>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</si>
  <si>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</si>
  <si>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</si>
  <si>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</si>
  <si>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</si>
  <si>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</si>
  <si>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</si>
  <si>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</si>
  <si>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</si>
  <si>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</si>
  <si>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</si>
  <si>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</si>
  <si>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</si>
  <si>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</si>
  <si>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</si>
  <si>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</si>
  <si>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</si>
  <si>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</si>
  <si>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</si>
  <si>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</si>
  <si>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</si>
  <si>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</si>
  <si>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</si>
  <si>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</si>
  <si>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</si>
  <si>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</si>
  <si>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</si>
  <si>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</si>
  <si>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</si>
  <si>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</si>
  <si>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</si>
  <si>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</si>
  <si>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</si>
  <si>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</si>
  <si>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</si>
  <si>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</si>
  <si>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</si>
  <si>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</si>
  <si>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</si>
  <si>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</si>
  <si>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</si>
  <si>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</si>
  <si>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</si>
  <si>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</si>
  <si>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</si>
  <si>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</si>
  <si>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</si>
  <si>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</si>
  <si>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</si>
  <si>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</si>
  <si>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</si>
  <si>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</si>
  <si>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</si>
  <si>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</si>
  <si>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</si>
  <si>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</si>
  <si>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</si>
  <si>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</si>
  <si>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</si>
  <si>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</si>
  <si>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</si>
  <si>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</si>
  <si>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</si>
  <si>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</si>
  <si>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</si>
  <si>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</si>
  <si>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</si>
  <si>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</si>
  <si>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</si>
  <si>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</si>
  <si>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</si>
  <si>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</si>
  <si>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</si>
  <si>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</si>
  <si>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</si>
  <si>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</si>
  <si>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</si>
  <si>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</si>
  <si>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</si>
  <si>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</si>
  <si>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</si>
  <si>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</si>
  <si>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</si>
  <si>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</si>
  <si>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</si>
  <si>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</si>
  <si>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</si>
  <si>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</si>
  <si>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</si>
  <si>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</si>
  <si>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</si>
  <si>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</si>
  <si>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</si>
  <si>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</si>
  <si>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</si>
  <si>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</si>
  <si>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</si>
  <si>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</si>
  <si>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</si>
  <si>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</si>
  <si>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</si>
  <si>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</si>
  <si>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</si>
  <si>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</si>
  <si>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</si>
  <si>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</si>
  <si>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</si>
  <si>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</si>
  <si>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</si>
  <si>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</si>
  <si>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</si>
  <si>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</si>
  <si>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</si>
  <si>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</si>
  <si>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</si>
  <si>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</si>
  <si>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</si>
  <si>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</si>
  <si>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</si>
  <si>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</si>
  <si>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</si>
  <si>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</si>
  <si>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</si>
  <si>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</si>
  <si>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</si>
  <si>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</si>
  <si>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</si>
  <si>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</si>
  <si>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</si>
  <si>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</si>
  <si>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</si>
  <si>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</si>
  <si>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</si>
  <si>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</si>
  <si>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</si>
  <si>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</si>
  <si>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</si>
  <si>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</si>
  <si>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</si>
  <si>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</si>
  <si>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</si>
  <si>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</si>
  <si>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</si>
  <si>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</si>
  <si>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</si>
  <si>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</si>
  <si>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</si>
  <si>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</si>
  <si>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</si>
  <si>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</si>
  <si>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</si>
  <si>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</si>
  <si>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</si>
  <si>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</si>
  <si>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</si>
  <si>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</si>
  <si>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</si>
  <si>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</si>
  <si>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</si>
  <si>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</si>
  <si>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</si>
  <si>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</si>
  <si>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</si>
  <si>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</si>
  <si>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</si>
  <si>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</si>
  <si>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</si>
  <si>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</si>
  <si>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</si>
  <si>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</si>
  <si>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</si>
  <si>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</si>
  <si>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</si>
  <si>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</si>
  <si>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</si>
  <si>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</si>
  <si>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</si>
  <si>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</si>
  <si>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</si>
  <si>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</si>
  <si>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</si>
  <si>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</si>
  <si>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</si>
  <si>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</si>
  <si>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</si>
  <si>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</si>
  <si>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</si>
  <si>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</si>
  <si>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</si>
  <si>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</si>
  <si>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</si>
  <si>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</si>
  <si>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</si>
  <si>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</si>
  <si>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</si>
  <si>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</si>
  <si>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</si>
  <si>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</si>
  <si>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</si>
  <si>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</si>
  <si>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</si>
  <si>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</si>
  <si>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</si>
  <si>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</si>
  <si>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</si>
  <si>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</si>
  <si>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</si>
  <si>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</si>
  <si>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</si>
  <si>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</si>
  <si>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</si>
  <si>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</si>
  <si>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</si>
  <si>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</si>
  <si>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</si>
  <si>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</si>
  <si>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</si>
  <si>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</si>
  <si>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</si>
  <si>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</si>
  <si>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</si>
  <si>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</si>
  <si>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</si>
  <si>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</si>
  <si>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</si>
  <si>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</si>
  <si>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</si>
  <si>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</si>
  <si>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</si>
  <si>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</si>
  <si>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</si>
  <si>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</si>
  <si>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</si>
  <si>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</si>
  <si>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</si>
  <si>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</si>
  <si>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</si>
  <si>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</si>
  <si>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</si>
  <si>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</si>
  <si>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</si>
  <si>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</si>
  <si>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</si>
  <si>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</si>
  <si>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</si>
  <si>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</si>
  <si>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</si>
  <si>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</si>
  <si>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</si>
  <si>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</si>
  <si>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</si>
  <si>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</si>
  <si>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</si>
  <si>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</si>
  <si>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</si>
  <si>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</si>
  <si>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</si>
  <si>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</si>
  <si>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</si>
  <si>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</si>
  <si>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</si>
  <si>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</si>
  <si>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</si>
  <si>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</si>
  <si>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</si>
  <si>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</si>
  <si>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</si>
  <si>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</si>
  <si>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</si>
  <si>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</si>
  <si>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</si>
  <si>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</si>
  <si>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</si>
  <si>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</si>
  <si>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</si>
  <si>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</si>
  <si>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</si>
  <si>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</si>
  <si>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</si>
  <si>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</si>
  <si>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</si>
  <si>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</si>
  <si>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</si>
  <si>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</si>
  <si>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</si>
  <si>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</si>
  <si>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</si>
  <si>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</si>
  <si>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</si>
  <si>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</si>
  <si>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</si>
  <si>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</si>
  <si>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</si>
  <si>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</si>
  <si>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</si>
  <si>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</si>
  <si>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</si>
  <si>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</si>
  <si>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</si>
  <si>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</si>
  <si>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</si>
  <si>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</si>
  <si>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</si>
  <si>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</si>
  <si>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</si>
  <si>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</si>
  <si>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</si>
  <si>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</si>
  <si>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</si>
  <si>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</si>
  <si>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</si>
  <si>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</si>
  <si>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</si>
  <si>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</si>
  <si>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</si>
  <si>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</si>
  <si>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</si>
  <si>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</si>
  <si>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</si>
  <si>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</si>
  <si>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</si>
  <si>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</si>
  <si>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</si>
  <si>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</si>
  <si>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</si>
  <si>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</si>
  <si>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</si>
  <si>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</si>
  <si>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</si>
  <si>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</si>
  <si>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</si>
  <si>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</si>
  <si>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</si>
  <si>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</si>
  <si>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</si>
  <si>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</si>
  <si>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</si>
  <si>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</si>
  <si>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</si>
  <si>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</si>
  <si>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</si>
  <si>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</si>
  <si>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</si>
  <si>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</si>
  <si>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</si>
  <si>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</si>
  <si>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</si>
  <si>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</si>
  <si>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</si>
  <si>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</si>
  <si>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</si>
  <si>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</si>
  <si>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</si>
  <si>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</si>
  <si>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</si>
  <si>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</si>
  <si>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</si>
  <si>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</si>
  <si>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</si>
  <si>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</si>
  <si>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</si>
  <si>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</si>
  <si>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</si>
  <si>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</si>
  <si>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</si>
  <si>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</si>
  <si>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</si>
  <si>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</si>
  <si>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</si>
  <si>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</si>
  <si>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</si>
  <si>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</si>
  <si>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</si>
  <si>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</si>
  <si>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</si>
  <si>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</si>
  <si>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</si>
  <si>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</si>
  <si>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</si>
  <si>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</si>
  <si>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</si>
  <si>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</si>
  <si>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</si>
  <si>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</si>
  <si>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</si>
  <si>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</si>
  <si>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</si>
  <si>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</si>
  <si>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</si>
  <si>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</si>
  <si>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</si>
  <si>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</si>
  <si>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</si>
  <si>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</si>
  <si>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</si>
  <si>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</si>
  <si>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</si>
  <si>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</si>
  <si>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</si>
  <si>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</si>
  <si>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</si>
  <si>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</si>
  <si>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</si>
  <si>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</si>
  <si>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</si>
  <si>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</si>
  <si>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</si>
  <si>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</si>
  <si>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</si>
  <si>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</si>
  <si>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</si>
  <si>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</si>
  <si>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</si>
  <si>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</si>
  <si>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</si>
  <si>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</si>
  <si>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</si>
  <si>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</si>
  <si>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</si>
  <si>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</si>
  <si>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</si>
  <si>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</si>
  <si>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</si>
  <si>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</si>
  <si>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</si>
  <si>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</si>
  <si>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</si>
  <si>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</si>
  <si>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</si>
  <si>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</si>
  <si>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</si>
  <si>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</si>
  <si>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</si>
  <si>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</si>
  <si>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</si>
  <si>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</si>
  <si>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</si>
  <si>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</si>
  <si>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</si>
  <si>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</si>
  <si>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</si>
  <si>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</si>
  <si>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</si>
  <si>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</si>
  <si>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</si>
  <si>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</si>
  <si>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</si>
  <si>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</si>
  <si>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</si>
  <si>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</si>
  <si>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</si>
  <si>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</si>
  <si>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</si>
  <si>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</si>
  <si>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</si>
  <si>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</si>
  <si>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</si>
  <si>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</si>
  <si>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</si>
  <si>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</si>
  <si>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</si>
  <si>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</si>
  <si>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</si>
  <si>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</si>
  <si>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</si>
  <si>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</si>
  <si>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</si>
  <si>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</si>
  <si>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</si>
  <si>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</si>
  <si>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</si>
  <si>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</si>
  <si>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</si>
  <si>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</si>
  <si>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</si>
  <si>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</si>
  <si>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</si>
  <si>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</si>
  <si>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</si>
  <si>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</si>
  <si>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</si>
  <si>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</si>
  <si>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</si>
  <si>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</si>
  <si>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</si>
  <si>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</si>
  <si>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</si>
  <si>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</si>
  <si>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</si>
  <si>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</si>
  <si>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</si>
  <si>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</si>
  <si>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</si>
  <si>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</si>
  <si>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</si>
  <si>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</si>
  <si>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</si>
  <si>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</si>
  <si>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</si>
  <si>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</si>
  <si>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</si>
  <si>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</si>
  <si>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</si>
  <si>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</si>
  <si>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</si>
  <si>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</si>
  <si>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</si>
  <si>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</si>
  <si>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</si>
  <si>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</si>
  <si>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</si>
  <si>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</si>
  <si>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</si>
  <si>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</si>
  <si>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</si>
  <si>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</si>
  <si>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</si>
  <si>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</si>
  <si>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</si>
  <si>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</si>
  <si>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</si>
  <si>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</si>
  <si>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</si>
  <si>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</si>
  <si>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</si>
  <si>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</si>
  <si>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</si>
  <si>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</si>
  <si>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</si>
  <si>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</si>
  <si>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</si>
  <si>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</si>
  <si>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</si>
  <si>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</si>
  <si>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</si>
  <si>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</si>
  <si>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</si>
  <si>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</si>
  <si>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</si>
  <si>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</si>
  <si>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</si>
  <si>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</si>
  <si>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</si>
  <si>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</si>
  <si>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</si>
  <si>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</si>
  <si>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</si>
  <si>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</si>
  <si>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</si>
  <si>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</si>
  <si>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</si>
  <si>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</si>
  <si>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</si>
  <si>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</si>
  <si>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</si>
  <si>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</si>
  <si>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</si>
  <si>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</si>
  <si>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</si>
  <si>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</si>
  <si>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</si>
  <si>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</si>
  <si>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</si>
  <si>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</si>
  <si>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</si>
  <si>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</si>
  <si>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</si>
  <si>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</si>
  <si>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</si>
  <si>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</si>
  <si>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</si>
  <si>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</si>
  <si>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</si>
  <si>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</si>
  <si>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</si>
  <si>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</si>
  <si>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</si>
  <si>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</si>
  <si>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</si>
  <si>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</si>
  <si>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</si>
  <si>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</si>
  <si>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</si>
  <si>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</si>
  <si>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</si>
  <si>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</si>
  <si>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</si>
  <si>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</si>
  <si>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</si>
  <si>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</si>
  <si>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</si>
  <si>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</si>
  <si>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</si>
  <si>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</si>
  <si>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</si>
  <si>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</si>
  <si>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</si>
  <si>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</si>
  <si>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</si>
  <si>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</si>
  <si>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</si>
  <si>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</si>
  <si>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</si>
  <si>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</si>
  <si>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</si>
  <si>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</si>
  <si>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</si>
  <si>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</si>
  <si>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</si>
  <si>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</si>
  <si>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</si>
  <si>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</si>
  <si>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</si>
  <si>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</si>
  <si>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</si>
  <si>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</si>
  <si>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</si>
  <si>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</si>
  <si>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</si>
  <si>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</si>
  <si>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</si>
  <si>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</si>
  <si>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</si>
  <si>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</si>
  <si>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</si>
  <si>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</si>
  <si>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</si>
  <si>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</si>
  <si>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</si>
  <si>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</si>
  <si>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</si>
  <si>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</si>
  <si>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</si>
  <si>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</si>
  <si>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</si>
  <si>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</si>
  <si>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</si>
  <si>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</si>
  <si>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</si>
  <si>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</si>
  <si>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</si>
  <si>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</si>
  <si>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</si>
  <si>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</si>
  <si>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</si>
  <si>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</si>
  <si>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</si>
  <si>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</si>
  <si>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</si>
  <si>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</si>
  <si>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</si>
  <si>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</si>
  <si>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</si>
  <si>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</si>
  <si>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</si>
  <si>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</si>
  <si>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</si>
  <si>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</si>
  <si>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</si>
  <si>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</si>
  <si>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</si>
  <si>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</si>
  <si>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</si>
  <si>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</si>
  <si>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</si>
  <si>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</si>
  <si>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</si>
  <si>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</si>
  <si>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</si>
  <si>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</si>
  <si>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</si>
  <si>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</si>
  <si>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</si>
  <si>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</si>
  <si>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</si>
  <si>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</si>
  <si>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</si>
  <si>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</si>
  <si>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</si>
  <si>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</si>
  <si>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</si>
  <si>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</si>
  <si>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</si>
  <si>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</si>
  <si>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</si>
  <si>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</si>
  <si>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</si>
  <si>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</si>
  <si>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</si>
  <si>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</si>
  <si>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</si>
  <si>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</si>
  <si>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</si>
  <si>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</si>
  <si>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</si>
  <si>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</si>
  <si>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</si>
  <si>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</si>
  <si>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</si>
  <si>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</si>
  <si>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</si>
  <si>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</si>
  <si>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</si>
  <si>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</si>
  <si>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</si>
  <si>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</si>
  <si>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</si>
  <si>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</si>
  <si>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</si>
  <si>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</si>
  <si>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</si>
  <si>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</si>
  <si>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</si>
  <si>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</si>
  <si>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</si>
  <si>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</si>
  <si>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</si>
  <si>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</si>
  <si>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</si>
  <si>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</si>
  <si>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</si>
  <si>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</si>
  <si>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</si>
  <si>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</si>
  <si>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</si>
  <si>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</si>
  <si>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</si>
  <si>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</si>
  <si>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</si>
  <si>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</si>
  <si>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</si>
  <si>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</si>
  <si>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</si>
  <si>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</si>
  <si>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</si>
  <si>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</si>
  <si>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</si>
  <si>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</si>
  <si>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</si>
  <si>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</si>
  <si>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</si>
  <si>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</si>
  <si>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</si>
  <si>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</si>
  <si>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</si>
  <si>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</si>
  <si>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</si>
  <si>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</si>
  <si>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</si>
  <si>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</si>
  <si>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</si>
  <si>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</si>
  <si>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</si>
  <si>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</si>
  <si>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</si>
  <si>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</si>
  <si>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</si>
  <si>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</si>
  <si>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</si>
  <si>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</si>
  <si>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</si>
  <si>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</si>
  <si>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</si>
  <si>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</si>
  <si>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</si>
  <si>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</si>
  <si>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</si>
  <si>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</si>
  <si>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</si>
  <si>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</si>
  <si>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</si>
  <si>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</si>
  <si>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</si>
  <si>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</si>
  <si>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</si>
  <si>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</si>
  <si>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</si>
  <si>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</si>
  <si>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</si>
  <si>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</si>
  <si>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</si>
  <si>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</si>
  <si>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</si>
  <si>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</si>
  <si>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</si>
  <si>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</si>
  <si>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</si>
  <si>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</si>
  <si>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</si>
  <si>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</si>
  <si>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</si>
  <si>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</si>
  <si>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</si>
  <si>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</si>
  <si>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</si>
  <si>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</si>
  <si>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</si>
  <si>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</si>
  <si>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</si>
  <si>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</si>
  <si>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</si>
  <si>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</si>
  <si>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</si>
  <si>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</si>
  <si>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</si>
  <si>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</si>
  <si>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</si>
  <si>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</si>
  <si>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</si>
  <si>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</si>
  <si>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</si>
  <si>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</si>
  <si>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</si>
  <si>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</si>
  <si>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</si>
  <si>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</si>
  <si>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</si>
  <si>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</si>
  <si>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</si>
  <si>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</si>
  <si>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</si>
  <si>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</si>
  <si>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</si>
  <si>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</si>
  <si>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</si>
  <si>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</si>
  <si>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</si>
  <si>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</si>
  <si>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</si>
  <si>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</si>
  <si>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</si>
  <si>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</si>
  <si>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</si>
  <si>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</si>
  <si>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</si>
  <si>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</si>
  <si>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</si>
  <si>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</si>
  <si>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</si>
  <si>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</si>
  <si>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</si>
  <si>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</si>
  <si>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</si>
  <si>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</si>
  <si>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</si>
  <si>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</si>
  <si>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</si>
  <si>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</si>
  <si>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</si>
  <si>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</si>
  <si>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</si>
  <si>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</si>
  <si>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</si>
  <si>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</si>
  <si>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</si>
  <si>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</si>
  <si>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</si>
  <si>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</si>
  <si>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</si>
  <si>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</si>
  <si>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</si>
  <si>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</si>
  <si>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</si>
  <si>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</si>
  <si>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</si>
  <si>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</si>
  <si>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</si>
  <si>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</si>
  <si>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</si>
  <si>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</si>
  <si>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</si>
  <si>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</si>
  <si>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</si>
  <si>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</si>
  <si>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</si>
  <si>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</si>
  <si>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</si>
  <si>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</si>
  <si>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</si>
  <si>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</si>
  <si>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</si>
  <si>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</si>
  <si>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</si>
  <si>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</si>
  <si>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</si>
  <si>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</si>
  <si>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</si>
  <si>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</si>
  <si>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</si>
  <si>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</si>
  <si>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</si>
  <si>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</si>
  <si>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</si>
  <si>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</si>
  <si>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</si>
  <si>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</si>
  <si>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</si>
  <si>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</si>
  <si>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</si>
  <si>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</si>
  <si>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</si>
  <si>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</si>
  <si>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</si>
  <si>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</si>
  <si>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</si>
  <si>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</si>
  <si>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</si>
  <si>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</si>
  <si>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</si>
  <si>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</si>
  <si>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</si>
  <si>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</si>
  <si>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</si>
  <si>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</si>
  <si>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</si>
  <si>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</si>
  <si>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</si>
  <si>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</si>
  <si>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</si>
  <si>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</si>
  <si>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</si>
  <si>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</si>
  <si>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</si>
  <si>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</si>
  <si>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</si>
  <si>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</si>
  <si>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</si>
  <si>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</si>
  <si>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</si>
  <si>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</si>
  <si>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</si>
  <si>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</si>
  <si>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</si>
  <si>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</si>
  <si>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</si>
  <si>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</si>
  <si>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</si>
  <si>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</si>
  <si>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</si>
  <si>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</si>
  <si>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</si>
  <si>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</si>
  <si>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</si>
  <si>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</si>
  <si>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</si>
  <si>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</si>
  <si>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</si>
  <si>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</si>
  <si>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</si>
  <si>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</si>
  <si>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</si>
  <si>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</si>
  <si>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</si>
  <si>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</si>
  <si>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</si>
  <si>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</si>
  <si>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</si>
  <si>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</si>
  <si>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</si>
  <si>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</si>
  <si>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</si>
  <si>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</si>
  <si>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</si>
  <si>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</si>
  <si>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</si>
  <si>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</si>
  <si>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</si>
  <si>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</si>
  <si>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</si>
  <si>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</si>
  <si>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</si>
  <si>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</si>
  <si>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</si>
  <si>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</si>
  <si>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</si>
  <si>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</si>
  <si>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</si>
  <si>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</si>
  <si>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</si>
  <si>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</si>
  <si>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</si>
  <si>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</si>
  <si>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</si>
  <si>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</si>
  <si>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</si>
  <si>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</si>
  <si>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</si>
  <si>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</si>
  <si>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</si>
  <si>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</si>
  <si>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</si>
  <si>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</si>
  <si>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</si>
  <si>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</si>
  <si>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</si>
  <si>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</si>
  <si>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</si>
  <si>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</si>
  <si>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</si>
  <si>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</si>
  <si>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</si>
  <si>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</si>
  <si>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</si>
  <si>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</si>
  <si>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</si>
  <si>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</si>
  <si>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</si>
  <si>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</si>
  <si>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</si>
  <si>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</si>
  <si>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</si>
  <si>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</si>
  <si>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</si>
  <si>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</si>
  <si>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</si>
  <si>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</si>
  <si>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</si>
  <si>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</si>
  <si>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</si>
  <si>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</si>
  <si>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</si>
  <si>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</si>
  <si>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</si>
  <si>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</si>
  <si>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</si>
  <si>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</si>
  <si>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</si>
  <si>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</si>
  <si>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</si>
  <si>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</si>
  <si>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</si>
  <si>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</si>
  <si>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</si>
  <si>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</si>
  <si>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</si>
  <si>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</si>
  <si>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</si>
  <si>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</si>
  <si>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</si>
  <si>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</si>
  <si>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</si>
  <si>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</si>
  <si>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</si>
  <si>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</si>
  <si>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</si>
  <si>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</si>
  <si>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</si>
  <si>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</si>
  <si>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</si>
  <si>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</si>
  <si>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</si>
  <si>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</si>
  <si>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</si>
  <si>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</si>
  <si>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</si>
  <si>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</si>
  <si>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</si>
  <si>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</si>
  <si>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</si>
  <si>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</si>
  <si>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</si>
  <si>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</si>
  <si>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</si>
  <si>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</si>
  <si>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</si>
  <si>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</si>
  <si>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</si>
  <si>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</si>
  <si>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</si>
  <si>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</si>
  <si>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</si>
  <si>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</si>
  <si>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</si>
  <si>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</si>
  <si>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</si>
  <si>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</si>
  <si>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</si>
  <si>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</si>
  <si>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</si>
  <si>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</si>
  <si>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</si>
  <si>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</si>
  <si>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</si>
  <si>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</si>
  <si>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</si>
  <si>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</si>
  <si>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</si>
  <si>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</si>
  <si>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</si>
  <si>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</si>
  <si>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</si>
  <si>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</si>
  <si>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</si>
  <si>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</si>
  <si>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</si>
  <si>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</si>
  <si>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</si>
  <si>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</si>
  <si>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</si>
  <si>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</si>
  <si>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</si>
  <si>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</si>
  <si>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</si>
  <si>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</si>
  <si>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</si>
  <si>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</si>
  <si>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</si>
  <si>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</si>
  <si>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</si>
  <si>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</si>
  <si>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</si>
  <si>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</si>
  <si>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</si>
  <si>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</si>
  <si>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</si>
  <si>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</si>
  <si>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</si>
  <si>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</si>
  <si>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</si>
  <si>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</si>
  <si>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</si>
  <si>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</si>
  <si>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</si>
  <si>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</si>
  <si>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</si>
  <si>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</si>
  <si>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</si>
  <si>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</si>
  <si>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</si>
  <si>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</si>
  <si>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</si>
  <si>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</si>
  <si>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</si>
  <si>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</si>
  <si>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</si>
  <si>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</si>
  <si>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</si>
  <si>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</si>
  <si>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</si>
  <si>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</si>
  <si>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</si>
  <si>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</si>
  <si>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</si>
  <si>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</si>
  <si>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</si>
  <si>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</si>
  <si>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</si>
  <si>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</si>
  <si>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</si>
  <si>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</si>
  <si>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</si>
  <si>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</si>
  <si>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</si>
  <si>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</si>
  <si>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</si>
  <si>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</si>
  <si>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</si>
  <si>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</si>
  <si>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</si>
  <si>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</si>
  <si>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</si>
  <si>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</si>
  <si>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</si>
  <si>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</si>
  <si>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</si>
  <si>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</si>
  <si>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</si>
  <si>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</si>
  <si>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</si>
  <si>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</si>
  <si>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</si>
  <si>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</si>
  <si>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</si>
  <si>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</si>
  <si>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</si>
  <si>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</si>
  <si>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</si>
  <si>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</si>
  <si>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</si>
  <si>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</si>
  <si>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</si>
  <si>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</si>
  <si>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</si>
  <si>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</si>
  <si>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</si>
  <si>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</si>
  <si>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</si>
  <si>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</si>
  <si>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</si>
  <si>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</si>
  <si>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</si>
  <si>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</si>
  <si>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</si>
  <si>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</si>
  <si>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</si>
  <si>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</si>
  <si>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</si>
  <si>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</si>
  <si>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</si>
  <si>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</si>
  <si>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</si>
  <si>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</si>
  <si>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</si>
  <si>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</si>
  <si>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</si>
  <si>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</si>
  <si>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</si>
  <si>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</si>
  <si>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</si>
  <si>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</si>
  <si>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</si>
  <si>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</si>
  <si>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</si>
  <si>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</si>
  <si>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</si>
  <si>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</si>
  <si>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</si>
  <si>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</si>
  <si>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</si>
  <si>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</si>
  <si>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</si>
  <si>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</si>
  <si>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</si>
  <si>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</si>
  <si>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</si>
  <si>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</si>
  <si>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</si>
  <si>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</si>
  <si>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</si>
  <si>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</si>
  <si>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</si>
  <si>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</si>
  <si>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</si>
  <si>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</si>
  <si>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</si>
  <si>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</si>
  <si>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</si>
  <si>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</si>
  <si>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</si>
  <si>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</si>
  <si>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</si>
  <si>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</si>
  <si>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</si>
  <si>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</si>
  <si>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</si>
  <si>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</si>
  <si>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</si>
  <si>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</si>
  <si>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</si>
  <si>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</si>
  <si>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</si>
  <si>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</si>
  <si>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</si>
  <si>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</si>
  <si>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</si>
  <si>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</si>
  <si>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</si>
  <si>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</si>
  <si>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</si>
  <si>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</si>
  <si>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</si>
  <si>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</si>
  <si>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</si>
  <si>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</si>
  <si>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</si>
  <si>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</si>
  <si>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</si>
  <si>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</si>
  <si>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</si>
  <si>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</si>
  <si>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</si>
  <si>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</si>
  <si>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</si>
  <si>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</si>
  <si>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</si>
  <si>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</si>
  <si>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</si>
  <si>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</si>
  <si>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</si>
  <si>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</si>
  <si>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</si>
  <si>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</si>
  <si>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</si>
  <si>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</si>
  <si>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</si>
  <si>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</si>
  <si>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</si>
  <si>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</si>
  <si>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</si>
  <si>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</si>
  <si>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</si>
  <si>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</si>
  <si>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</si>
  <si>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</si>
  <si>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</si>
  <si>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</si>
  <si>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</si>
  <si>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</si>
  <si>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</si>
  <si>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</si>
  <si>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</si>
  <si>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</si>
  <si>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</si>
  <si>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</si>
  <si>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</si>
  <si>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</si>
  <si>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</si>
  <si>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</si>
  <si>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</si>
  <si>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</si>
  <si>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</si>
  <si>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</si>
  <si>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</si>
  <si>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</si>
  <si>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</si>
  <si>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</si>
  <si>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</si>
  <si>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</si>
  <si>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</si>
  <si>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</si>
  <si>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</si>
  <si>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</si>
  <si>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</si>
  <si>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</si>
  <si>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</si>
  <si>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</si>
  <si>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</si>
  <si>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</si>
  <si>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</si>
  <si>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</si>
  <si>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</si>
  <si>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</si>
  <si>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</si>
  <si>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</si>
  <si>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</si>
  <si>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</si>
  <si>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</si>
  <si>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</si>
  <si>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</si>
  <si>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</si>
  <si>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</si>
  <si>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</si>
  <si>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</si>
  <si>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</si>
  <si>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</si>
  <si>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</si>
  <si>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</si>
  <si>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</si>
  <si>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</si>
  <si>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</si>
  <si>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</si>
  <si>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</si>
  <si>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</si>
  <si>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</si>
  <si>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</si>
  <si>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</si>
  <si>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</si>
  <si>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</si>
  <si>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</si>
  <si>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</si>
  <si>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</si>
  <si>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</si>
  <si>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</si>
  <si>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</si>
  <si>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</si>
  <si>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</si>
  <si>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</si>
  <si>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</si>
  <si>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</si>
  <si>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</si>
  <si>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</si>
  <si>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</si>
  <si>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</si>
  <si>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</si>
  <si>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</si>
  <si>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</si>
  <si>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</si>
  <si>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</si>
  <si>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</si>
  <si>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</si>
  <si>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</si>
  <si>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</si>
  <si>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</si>
  <si>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</si>
  <si>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</si>
  <si>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</si>
  <si>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</si>
  <si>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</si>
  <si>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</si>
  <si>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</si>
  <si>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</si>
  <si>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</si>
  <si>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</si>
  <si>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</si>
  <si>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</si>
  <si>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</si>
  <si>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</si>
  <si>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</si>
  <si>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</si>
  <si>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</si>
  <si>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</si>
  <si>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</si>
  <si>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</si>
  <si>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</si>
  <si>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</si>
  <si>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</si>
  <si>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</si>
  <si>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</si>
  <si>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</si>
  <si>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</si>
  <si>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</si>
  <si>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</si>
  <si>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</si>
  <si>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</si>
  <si>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</si>
  <si>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</si>
  <si>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</si>
  <si>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</si>
  <si>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</si>
  <si>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</si>
  <si>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</si>
  <si>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</si>
  <si>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</si>
  <si>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</si>
  <si>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</si>
  <si>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</si>
  <si>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</si>
  <si>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</si>
  <si>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</si>
  <si>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</si>
  <si>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</si>
  <si>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</si>
  <si>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</si>
  <si>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</si>
  <si>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</si>
  <si>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</si>
  <si>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</si>
  <si>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</si>
  <si>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</si>
  <si>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</si>
  <si>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</si>
  <si>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</si>
  <si>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</si>
  <si>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</si>
  <si>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</si>
  <si>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</si>
  <si>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</si>
  <si>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</si>
  <si>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</si>
  <si>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</si>
  <si>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</si>
  <si>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</si>
  <si>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</si>
  <si>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</si>
  <si>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</si>
  <si>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</si>
  <si>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</si>
  <si>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</si>
  <si>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</si>
  <si>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</si>
  <si>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</si>
  <si>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</si>
  <si>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</si>
  <si>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</si>
  <si>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</si>
  <si>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</si>
  <si>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</si>
  <si>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</si>
  <si>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</si>
  <si>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</si>
  <si>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</si>
  <si>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</si>
  <si>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</si>
  <si>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</si>
  <si>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</si>
  <si>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</si>
  <si>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</si>
  <si>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</si>
  <si>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</si>
  <si>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</si>
  <si>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</si>
  <si>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</si>
  <si>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</si>
  <si>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</si>
  <si>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</si>
  <si>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</si>
  <si>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</si>
  <si>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</si>
  <si>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</si>
  <si>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</si>
  <si>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</si>
  <si>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</si>
  <si>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</si>
  <si>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</si>
  <si>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</si>
  <si>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</si>
  <si>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</si>
  <si>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</si>
  <si>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</si>
  <si>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</si>
  <si>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</si>
  <si>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</si>
  <si>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</si>
  <si>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</si>
  <si>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</si>
  <si>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</si>
  <si>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</si>
  <si>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</si>
  <si>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</si>
  <si>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</si>
  <si>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</si>
  <si>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</si>
  <si>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</si>
  <si>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</si>
  <si>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</si>
  <si>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</si>
  <si>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</si>
  <si>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</si>
  <si>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</si>
  <si>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</si>
  <si>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</si>
  <si>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</si>
  <si>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</si>
  <si>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</si>
  <si>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</si>
  <si>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</si>
  <si>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</si>
  <si>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</si>
  <si>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</si>
  <si>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</si>
  <si>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</si>
  <si>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</si>
  <si>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</si>
  <si>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</si>
  <si>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</si>
  <si>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</si>
  <si>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</si>
  <si>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</si>
  <si>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</si>
  <si>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</si>
  <si>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</si>
  <si>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</si>
  <si>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</si>
  <si>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</si>
  <si>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</si>
  <si>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</si>
  <si>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</si>
  <si>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</si>
  <si>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</si>
  <si>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</si>
  <si>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</si>
  <si>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</si>
  <si>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</si>
  <si>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</si>
  <si>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</si>
  <si>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</si>
  <si>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</si>
  <si>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</si>
  <si>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</si>
  <si>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</si>
  <si>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</si>
  <si>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</si>
  <si>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</si>
  <si>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</si>
  <si>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</si>
  <si>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</si>
  <si>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</si>
  <si>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</si>
  <si>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</si>
  <si>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</si>
  <si>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</si>
  <si>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</si>
  <si>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</si>
  <si>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</si>
  <si>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</si>
  <si>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</si>
  <si>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</si>
  <si>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</si>
  <si>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</si>
  <si>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</si>
  <si>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</si>
  <si>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</si>
  <si>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</si>
  <si>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</si>
  <si>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</si>
  <si>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</si>
  <si>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</si>
  <si>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</si>
  <si>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</si>
  <si>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</si>
  <si>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</si>
  <si>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</si>
  <si>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</si>
  <si>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</si>
  <si>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</si>
  <si>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</si>
  <si>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</si>
  <si>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</si>
  <si>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</si>
  <si>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</si>
  <si>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</si>
  <si>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</si>
  <si>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</si>
  <si>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</si>
  <si>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</si>
  <si>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</si>
  <si>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</si>
  <si>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</si>
  <si>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</si>
  <si>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</si>
  <si>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</si>
  <si>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</si>
  <si>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</si>
  <si>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</si>
  <si>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</si>
  <si>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</si>
  <si>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</si>
  <si>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</si>
  <si>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</si>
  <si>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</si>
  <si>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</si>
  <si>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</si>
  <si>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</si>
  <si>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</si>
  <si>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</si>
  <si>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</si>
  <si>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</si>
  <si>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</si>
  <si>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</si>
  <si>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</si>
  <si>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</si>
  <si>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</si>
  <si>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</si>
  <si>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</si>
  <si>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</si>
  <si>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</si>
  <si>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</si>
  <si>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</si>
  <si>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</si>
  <si>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</si>
  <si>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</si>
  <si>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</si>
  <si>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</si>
  <si>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</si>
  <si>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</si>
  <si>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</si>
  <si>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</si>
  <si>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</si>
  <si>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</si>
  <si>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</si>
  <si>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</si>
  <si>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</si>
  <si>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</si>
  <si>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</si>
  <si>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</si>
  <si>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</si>
  <si>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</si>
  <si>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</si>
  <si>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</si>
  <si>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</si>
  <si>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</si>
  <si>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</si>
  <si>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</si>
  <si>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</si>
  <si>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</si>
  <si>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</si>
  <si>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</si>
  <si>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</si>
  <si>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</si>
  <si>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</si>
  <si>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</si>
  <si>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</si>
  <si>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</si>
  <si>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</si>
  <si>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</si>
  <si>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</si>
  <si>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</si>
  <si>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</si>
  <si>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</si>
  <si>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</si>
  <si>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</si>
  <si>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</si>
  <si>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</si>
  <si>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</si>
  <si>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</si>
  <si>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</si>
  <si>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</si>
  <si>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</si>
  <si>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</si>
  <si>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</si>
  <si>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</si>
  <si>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</si>
  <si>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</si>
  <si>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</si>
  <si>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</si>
  <si>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</si>
  <si>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</si>
  <si>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</si>
  <si>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</si>
  <si>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</si>
  <si>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</si>
  <si>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</si>
  <si>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</si>
  <si>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</si>
  <si>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</si>
  <si>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</si>
  <si>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</si>
  <si>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</si>
  <si>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</si>
  <si>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</si>
  <si>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</si>
  <si>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</si>
  <si>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</si>
  <si>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</si>
  <si>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</si>
  <si>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</si>
  <si>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</si>
  <si>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</si>
  <si>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</si>
  <si>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</si>
  <si>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</si>
  <si>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</si>
  <si>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</si>
  <si>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</si>
  <si>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</si>
  <si>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</si>
  <si>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</si>
  <si>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</si>
  <si>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</si>
  <si>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</si>
  <si>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</si>
  <si>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</si>
  <si>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</si>
  <si>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</si>
  <si>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</si>
  <si>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</si>
  <si>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</si>
  <si>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</si>
  <si>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</si>
  <si>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</si>
  <si>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</si>
  <si>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</si>
  <si>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</si>
  <si>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</si>
  <si>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</si>
  <si>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</si>
  <si>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</si>
  <si>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</si>
  <si>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</si>
  <si>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</si>
  <si>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</si>
  <si>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</si>
  <si>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</si>
  <si>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</si>
  <si>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</si>
  <si>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</si>
  <si>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</si>
  <si>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</si>
  <si>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</si>
  <si>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</si>
  <si>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</si>
  <si>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</si>
  <si>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</si>
  <si>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</si>
  <si>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</si>
  <si>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</si>
  <si>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</si>
  <si>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</si>
  <si>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</si>
  <si>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</si>
  <si>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</si>
  <si>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</si>
  <si>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</si>
  <si>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</si>
  <si>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</si>
  <si>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</si>
  <si>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</si>
  <si>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</si>
  <si>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</si>
  <si>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</si>
  <si>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</si>
  <si>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</si>
  <si>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</si>
  <si>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</si>
  <si>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</si>
  <si>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</si>
  <si>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</si>
  <si>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</si>
  <si>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</si>
  <si>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</si>
  <si>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</si>
  <si>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</si>
  <si>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</si>
  <si>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</si>
  <si>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</si>
  <si>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</si>
  <si>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</si>
  <si>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</si>
  <si>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</si>
  <si>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</si>
  <si>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</si>
  <si>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</si>
  <si>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</si>
  <si>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</si>
  <si>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</si>
  <si>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</si>
  <si>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</si>
  <si>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</si>
  <si>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</si>
  <si>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</si>
  <si>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</si>
  <si>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</si>
  <si>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</si>
  <si>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</si>
  <si>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</si>
  <si>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</si>
  <si>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</si>
  <si>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</si>
  <si>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</si>
  <si>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</si>
  <si>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</si>
  <si>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</si>
  <si>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</si>
  <si>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</si>
  <si>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</si>
  <si>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</si>
  <si>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</si>
  <si>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</si>
  <si>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</si>
  <si>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</si>
  <si>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</si>
  <si>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</si>
  <si>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</si>
  <si>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</si>
  <si>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</si>
  <si>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</si>
  <si>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</si>
  <si>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</si>
  <si>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</si>
  <si>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</si>
  <si>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</si>
  <si>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</si>
  <si>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</si>
  <si>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</si>
  <si>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</si>
  <si>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</si>
  <si>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</si>
  <si>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</si>
  <si>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</si>
  <si>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</si>
  <si>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</si>
  <si>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</si>
  <si>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</si>
  <si>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</si>
  <si>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</si>
  <si>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</si>
  <si>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</si>
  <si>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</si>
  <si>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</si>
  <si>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</si>
  <si>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</si>
  <si>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</si>
  <si>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</si>
  <si>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</si>
  <si>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</si>
  <si>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</si>
  <si>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</si>
  <si>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</si>
  <si>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</si>
  <si>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</si>
  <si>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</si>
  <si>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</si>
  <si>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</si>
  <si>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</si>
  <si>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</si>
  <si>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</si>
  <si>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</si>
  <si>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</si>
  <si>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</si>
  <si>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</si>
  <si>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</si>
  <si>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</si>
  <si>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</si>
  <si>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</si>
  <si>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</si>
  <si>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</si>
  <si>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</si>
  <si>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</si>
  <si>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</si>
  <si>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</si>
  <si>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</si>
  <si>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</si>
  <si>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</si>
  <si>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</si>
  <si>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</si>
  <si>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</si>
  <si>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</si>
  <si>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</si>
  <si>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</si>
  <si>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</si>
  <si>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</si>
  <si>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</si>
  <si>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</si>
  <si>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</si>
  <si>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</si>
  <si>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</si>
  <si>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</si>
  <si>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</si>
  <si>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</si>
  <si>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</si>
  <si>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</si>
  <si>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</si>
  <si>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</si>
  <si>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</si>
  <si>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</si>
  <si>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</si>
  <si>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</si>
  <si>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</si>
  <si>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</si>
  <si>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</si>
  <si>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</si>
  <si>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</si>
  <si>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</si>
  <si>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</si>
  <si>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</si>
  <si>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</si>
  <si>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</si>
  <si>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</si>
  <si>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</si>
  <si>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</si>
  <si>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</si>
  <si>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</si>
  <si>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</si>
  <si>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</si>
  <si>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</si>
  <si>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</si>
  <si>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</si>
  <si>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</si>
  <si>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</si>
  <si>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</si>
  <si>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</si>
  <si>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</si>
  <si>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</si>
  <si>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</si>
  <si>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</si>
  <si>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</si>
  <si>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</si>
  <si>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</si>
  <si>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</si>
  <si>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</si>
  <si>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</si>
  <si>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</si>
  <si>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</si>
  <si>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</si>
  <si>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</si>
  <si>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</si>
  <si>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</si>
  <si>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</si>
  <si>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</si>
  <si>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</si>
  <si>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</si>
  <si>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</si>
  <si>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</si>
  <si>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</si>
  <si>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</si>
  <si>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</si>
  <si>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</si>
  <si>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</si>
  <si>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</si>
  <si>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</si>
  <si>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</si>
  <si>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</si>
  <si>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</si>
  <si>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</si>
  <si>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</si>
  <si>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</si>
  <si>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</si>
  <si>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</si>
  <si>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</si>
  <si>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</si>
  <si>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</si>
  <si>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</si>
  <si>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</si>
  <si>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</si>
  <si>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</si>
  <si>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</si>
  <si>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</si>
  <si>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</si>
  <si>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</si>
  <si>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</si>
  <si>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</si>
  <si>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</si>
  <si>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</si>
  <si>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</si>
  <si>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</si>
  <si>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</si>
  <si>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</si>
  <si>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</si>
  <si>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</si>
  <si>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</si>
  <si>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</si>
  <si>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</si>
  <si>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</si>
  <si>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</si>
  <si>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</si>
  <si>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</si>
  <si>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</si>
  <si>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</si>
  <si>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</si>
  <si>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</si>
  <si>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</si>
  <si>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</si>
  <si>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</si>
  <si>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</si>
  <si>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</si>
  <si>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</si>
  <si>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</si>
  <si>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</si>
  <si>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</si>
  <si>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</si>
  <si>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</si>
  <si>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</si>
  <si>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</si>
  <si>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</si>
  <si>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</si>
  <si>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</si>
  <si>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</si>
  <si>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</si>
  <si>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</si>
  <si>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</si>
  <si>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</si>
  <si>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</si>
  <si>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</si>
  <si>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</si>
  <si>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</si>
  <si>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</si>
  <si>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</si>
  <si>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</si>
  <si>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</si>
  <si>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</si>
  <si>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</si>
  <si>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</si>
  <si>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</si>
  <si>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</si>
  <si>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</si>
  <si>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</si>
  <si>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</si>
  <si>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</si>
  <si>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</si>
  <si>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</si>
  <si>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</si>
  <si>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</si>
  <si>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</si>
  <si>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</si>
  <si>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</si>
  <si>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</si>
  <si>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</si>
  <si>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</si>
  <si>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</si>
  <si>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</si>
  <si>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</si>
  <si>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</si>
  <si>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</si>
  <si>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</si>
  <si>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</si>
  <si>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</si>
  <si>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</si>
  <si>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</si>
  <si>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</si>
  <si>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</si>
  <si>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</si>
  <si>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</si>
  <si>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</si>
  <si>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</si>
  <si>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</si>
  <si>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</si>
  <si>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</si>
  <si>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</si>
  <si>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</si>
  <si>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</si>
  <si>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</si>
  <si>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</si>
  <si>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</si>
  <si>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</si>
  <si>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</si>
  <si>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</si>
  <si>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</si>
  <si>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</si>
  <si>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</si>
  <si>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</si>
  <si>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</si>
  <si>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</si>
  <si>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</si>
  <si>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</si>
  <si>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</si>
  <si>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</si>
  <si>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</si>
  <si>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</si>
  <si>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</si>
  <si>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</si>
  <si>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</si>
  <si>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</si>
  <si>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</si>
  <si>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</si>
  <si>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</si>
  <si>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</si>
  <si>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</si>
  <si>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</si>
  <si>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</si>
  <si>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</si>
  <si>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</si>
  <si>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</si>
  <si>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</si>
  <si>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</si>
  <si>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</si>
  <si>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</si>
  <si>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</si>
  <si>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</si>
  <si>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</si>
  <si>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</si>
  <si>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</si>
  <si>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</si>
  <si>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</si>
  <si>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</si>
  <si>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</si>
  <si>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</si>
  <si>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</si>
  <si>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</si>
  <si>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</si>
  <si>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</si>
  <si>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</si>
  <si>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</si>
  <si>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</si>
  <si>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</si>
  <si>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</si>
  <si>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</si>
  <si>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</si>
  <si>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</si>
  <si>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</si>
  <si>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</si>
  <si>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</si>
  <si>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</si>
  <si>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</si>
  <si>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</si>
  <si>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</si>
  <si>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</si>
  <si>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</si>
  <si>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</si>
  <si>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</si>
  <si>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</si>
  <si>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</si>
  <si>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</si>
  <si>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</si>
  <si>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</si>
  <si>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</si>
  <si>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</si>
  <si>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</si>
  <si>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</si>
  <si>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</si>
  <si>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</si>
  <si>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</si>
  <si>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</si>
  <si>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</si>
  <si>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</si>
  <si>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</si>
  <si>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</si>
  <si>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</si>
  <si>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</si>
  <si>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</si>
  <si>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</si>
  <si>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</si>
  <si>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</si>
  <si>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</si>
  <si>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</si>
  <si>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</si>
  <si>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</si>
  <si>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</si>
  <si>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</si>
  <si>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</si>
  <si>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</si>
  <si>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</si>
  <si>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</si>
  <si>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</si>
  <si>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</si>
  <si>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</si>
  <si>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</si>
  <si>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</si>
  <si>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</si>
  <si>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</si>
  <si>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</si>
  <si>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</si>
  <si>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</si>
  <si>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</si>
  <si>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</si>
  <si>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</si>
  <si>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</si>
  <si>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</si>
  <si>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</si>
  <si>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</si>
  <si>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</si>
  <si>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</si>
  <si>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</si>
  <si>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</si>
  <si>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</si>
  <si>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</si>
  <si>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</si>
  <si>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</si>
  <si>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</si>
  <si>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</si>
  <si>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</si>
  <si>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</si>
  <si>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</si>
  <si>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</si>
  <si>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</si>
  <si>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</si>
  <si>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</si>
  <si>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</si>
  <si>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</si>
  <si>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</si>
  <si>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</si>
  <si>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</si>
  <si>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</si>
  <si>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</si>
  <si>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</si>
  <si>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</si>
  <si>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</si>
  <si>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</si>
  <si>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</si>
  <si>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</si>
  <si>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</si>
  <si>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</si>
  <si>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</si>
  <si>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</si>
  <si>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</si>
  <si>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</si>
  <si>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</si>
  <si>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</si>
  <si>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</si>
  <si>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</si>
  <si>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</si>
  <si>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</si>
  <si>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</si>
  <si>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</si>
  <si>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</si>
  <si>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</si>
  <si>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</si>
  <si>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</si>
  <si>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</si>
  <si>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</si>
  <si>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</si>
  <si>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</si>
  <si>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</si>
  <si>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</si>
  <si>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</si>
  <si>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</si>
  <si>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</si>
  <si>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</si>
  <si>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</si>
  <si>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</si>
  <si>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</si>
  <si>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</si>
  <si>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</si>
  <si>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</si>
  <si>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</si>
  <si>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</si>
  <si>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</si>
  <si>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</si>
  <si>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</si>
  <si>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</si>
  <si>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</si>
  <si>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</si>
  <si>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</si>
  <si>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</si>
  <si>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</si>
  <si>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</si>
  <si>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</si>
  <si>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</si>
  <si>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</si>
  <si>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</si>
  <si>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</si>
  <si>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</si>
  <si>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</si>
  <si>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</si>
  <si>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</si>
  <si>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</si>
  <si>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</si>
  <si>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</si>
  <si>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</si>
  <si>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</si>
  <si>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</si>
  <si>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</si>
  <si>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</si>
  <si>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</si>
  <si>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</si>
  <si>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</si>
  <si>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</si>
  <si>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</si>
  <si>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</si>
  <si>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</si>
  <si>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</si>
  <si>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</si>
  <si>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</si>
  <si>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</si>
  <si>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</si>
  <si>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</si>
  <si>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</si>
  <si>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</si>
  <si>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</si>
  <si>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</si>
  <si>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</si>
  <si>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</si>
  <si>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</si>
  <si>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</si>
  <si>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</si>
  <si>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</si>
  <si>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</si>
  <si>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</si>
  <si>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</si>
  <si>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</si>
  <si>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</si>
  <si>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</si>
  <si>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</si>
  <si>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</si>
  <si>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</si>
  <si>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</si>
  <si>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</si>
  <si>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</si>
  <si>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</si>
  <si>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</si>
  <si>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</si>
  <si>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</si>
  <si>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</si>
  <si>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</si>
  <si>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</si>
  <si>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</si>
  <si>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</si>
  <si>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</si>
  <si>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</si>
  <si>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</si>
  <si>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</si>
  <si>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</si>
  <si>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</si>
  <si>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</si>
  <si>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</si>
  <si>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</si>
  <si>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</si>
  <si>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</si>
  <si>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</si>
  <si>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</si>
  <si>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</si>
  <si>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</si>
  <si>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</si>
  <si>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</si>
  <si>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</si>
  <si>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</si>
  <si>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</si>
  <si>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</si>
  <si>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</si>
  <si>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</si>
  <si>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</si>
  <si>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</si>
  <si>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</si>
  <si>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</si>
  <si>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</si>
  <si>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</si>
  <si>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</si>
  <si>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</si>
  <si>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</si>
  <si>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</si>
  <si>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</si>
  <si>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</si>
  <si>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</si>
  <si>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</si>
  <si>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</si>
  <si>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</si>
  <si>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</si>
  <si>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</si>
  <si>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</si>
  <si>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</si>
  <si>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</si>
  <si>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</si>
  <si>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</si>
  <si>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</si>
  <si>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</si>
  <si>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</si>
  <si>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</si>
  <si>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</si>
  <si>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</si>
  <si>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</si>
  <si>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</si>
  <si>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</si>
  <si>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</si>
  <si>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</si>
  <si>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</si>
  <si>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</si>
  <si>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</si>
  <si>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</si>
  <si>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</si>
  <si>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</si>
  <si>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</si>
  <si>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</si>
  <si>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</si>
  <si>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</si>
  <si>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</si>
  <si>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</si>
  <si>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</si>
  <si>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</si>
  <si>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</si>
  <si>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</si>
  <si>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</si>
  <si>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</si>
  <si>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</si>
  <si>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</si>
  <si>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</si>
  <si>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</si>
  <si>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</si>
  <si>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</si>
  <si>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</si>
  <si>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</si>
  <si>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</si>
  <si>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</si>
  <si>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</si>
  <si>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</si>
  <si>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</si>
  <si>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</si>
  <si>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</si>
  <si>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</si>
  <si>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</si>
  <si>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</si>
  <si>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</si>
  <si>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</si>
  <si>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</si>
  <si>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</si>
  <si>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</si>
  <si>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</si>
  <si>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</si>
  <si>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</si>
  <si>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</si>
  <si>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</si>
  <si>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</si>
  <si>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</si>
  <si>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</si>
  <si>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</si>
  <si>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</si>
  <si>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</si>
  <si>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</si>
  <si>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</si>
  <si>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</si>
  <si>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</si>
  <si>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</si>
  <si>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</si>
  <si>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</si>
  <si>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</si>
  <si>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</si>
  <si>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</si>
  <si>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</si>
  <si>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</si>
  <si>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</si>
  <si>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</si>
  <si>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</si>
  <si>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</si>
  <si>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</si>
  <si>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</si>
  <si>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</si>
  <si>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</si>
  <si>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</si>
  <si>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</si>
  <si>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</si>
  <si>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</si>
  <si>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</si>
  <si>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</si>
  <si>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</si>
  <si>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</si>
  <si>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</si>
  <si>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</si>
  <si>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</si>
  <si>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</si>
  <si>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</si>
  <si>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</si>
  <si>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</si>
  <si>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</si>
  <si>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</si>
  <si>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</si>
  <si>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</si>
  <si>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</si>
  <si>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</si>
  <si>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</si>
  <si>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</si>
  <si>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</si>
  <si>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</si>
  <si>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</si>
  <si>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</si>
  <si>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</si>
  <si>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</si>
  <si>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</si>
  <si>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</si>
  <si>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</si>
  <si>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</si>
  <si>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</si>
  <si>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</si>
  <si>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</si>
  <si>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</si>
  <si>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</si>
  <si>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</si>
  <si>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</si>
  <si>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</si>
  <si>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</si>
  <si>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</si>
  <si>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</si>
  <si>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</si>
  <si>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</si>
  <si>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</si>
  <si>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</si>
  <si>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</si>
  <si>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</si>
  <si>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</si>
  <si>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</si>
  <si>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</si>
  <si>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</si>
  <si>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</si>
  <si>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</si>
  <si>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</si>
  <si>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</si>
  <si>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</si>
  <si>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</si>
  <si>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</si>
  <si>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</si>
  <si>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</si>
  <si>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</si>
  <si>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</si>
  <si>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</si>
  <si>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</si>
  <si>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</si>
  <si>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</si>
  <si>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</si>
  <si>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</si>
  <si>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</si>
  <si>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</si>
  <si>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</si>
  <si>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</si>
  <si>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</si>
  <si>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</si>
  <si>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</si>
  <si>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</si>
  <si>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</si>
  <si>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</si>
  <si>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</si>
  <si>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</si>
  <si>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</si>
  <si>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</si>
  <si>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</si>
  <si>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</si>
  <si>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</si>
  <si>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</si>
  <si>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</si>
  <si>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</si>
  <si>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</si>
  <si>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</si>
  <si>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</si>
  <si>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</si>
  <si>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</si>
  <si>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</si>
  <si>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</si>
  <si>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</si>
  <si>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</si>
  <si>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</si>
  <si>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</si>
  <si>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</si>
  <si>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</si>
  <si>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</si>
  <si>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</si>
  <si>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</si>
  <si>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</si>
  <si>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</si>
  <si>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</si>
  <si>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</si>
  <si>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</si>
  <si>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</si>
  <si>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</si>
  <si>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</si>
  <si>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</si>
  <si>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</si>
  <si>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</si>
  <si>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</si>
  <si>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</si>
  <si>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</si>
  <si>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</si>
  <si>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</si>
  <si>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</si>
  <si>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</si>
  <si>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</si>
  <si>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</si>
  <si>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</si>
  <si>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</si>
  <si>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</si>
  <si>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</si>
  <si>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</si>
  <si>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</si>
  <si>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</si>
  <si>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</si>
  <si>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</si>
  <si>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</si>
  <si>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</si>
  <si>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</si>
  <si>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</si>
  <si>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</si>
  <si>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</si>
  <si>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</si>
  <si>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</si>
  <si>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</si>
  <si>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</si>
  <si>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</si>
  <si>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</si>
  <si>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</si>
  <si>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</si>
  <si>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</si>
  <si>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</si>
  <si>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</si>
  <si>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</si>
  <si>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</si>
  <si>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</si>
  <si>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</si>
  <si>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</si>
  <si>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</si>
  <si>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</si>
  <si>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</si>
  <si>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</si>
  <si>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</si>
  <si>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</si>
  <si>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</si>
  <si>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</si>
  <si>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</si>
  <si>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</si>
  <si>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</si>
  <si>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</si>
  <si>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</si>
  <si>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</si>
  <si>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</si>
  <si>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</si>
  <si>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</si>
  <si>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</si>
  <si>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</si>
  <si>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</si>
  <si>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</si>
  <si>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</si>
  <si>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</si>
  <si>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</si>
  <si>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</si>
  <si>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</si>
  <si>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</si>
  <si>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</si>
  <si>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</si>
  <si>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</si>
  <si>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</si>
  <si>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</si>
  <si>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</si>
  <si>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</si>
  <si>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</si>
  <si>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</si>
  <si>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</si>
  <si>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</si>
  <si>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</si>
  <si>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</si>
  <si>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</si>
  <si>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</si>
  <si>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</si>
  <si>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</si>
  <si>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</si>
  <si>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</si>
  <si>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</si>
  <si>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</si>
  <si>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</si>
  <si>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</si>
  <si>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</si>
  <si>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</si>
  <si>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</si>
  <si>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</si>
  <si>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</si>
  <si>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</si>
  <si>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</si>
  <si>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</si>
  <si>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</si>
  <si>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</si>
  <si>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</si>
  <si>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</si>
  <si>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</si>
  <si>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</si>
  <si>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</si>
  <si>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</si>
  <si>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</si>
  <si>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</si>
  <si>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</si>
  <si>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</si>
  <si>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</si>
  <si>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</si>
  <si>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</si>
  <si>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</si>
  <si>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</si>
  <si>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</si>
  <si>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</si>
  <si>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</si>
  <si>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</si>
  <si>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</si>
  <si>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</si>
  <si>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</si>
  <si>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</si>
  <si>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</si>
  <si>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</si>
  <si>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</si>
  <si>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</si>
  <si>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</si>
  <si>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</si>
  <si>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</si>
  <si>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</si>
  <si>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</si>
  <si>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</si>
  <si>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</si>
  <si>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</si>
  <si>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</si>
  <si>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</si>
  <si>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</si>
  <si>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</si>
  <si>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</si>
  <si>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</si>
  <si>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</si>
  <si>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</si>
  <si>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</si>
  <si>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</si>
  <si>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</si>
  <si>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</si>
  <si>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</si>
  <si>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</si>
  <si>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</si>
  <si>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</si>
  <si>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</si>
  <si>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</si>
  <si>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</si>
  <si>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</si>
  <si>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</si>
  <si>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</si>
  <si>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</si>
  <si>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</si>
  <si>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</si>
  <si>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</si>
  <si>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</si>
  <si>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</si>
  <si>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</si>
  <si>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</si>
  <si>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</si>
  <si>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</si>
  <si>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</si>
  <si>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</si>
  <si>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</si>
  <si>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</si>
  <si>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</si>
  <si>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</si>
  <si>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</si>
  <si>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</si>
  <si>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</si>
  <si>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</si>
  <si>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</si>
  <si>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</si>
  <si>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</si>
  <si>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</si>
  <si>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</si>
  <si>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</si>
  <si>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</si>
  <si>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</si>
  <si>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</si>
  <si>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</si>
  <si>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</si>
  <si>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</si>
  <si>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</si>
  <si>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</si>
  <si>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</si>
  <si>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</si>
  <si>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</si>
  <si>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</si>
  <si>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</si>
  <si>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</si>
  <si>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</si>
  <si>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</si>
  <si>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</si>
  <si>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</si>
  <si>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</si>
  <si>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</si>
  <si>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</si>
  <si>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</si>
  <si>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</si>
  <si>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</si>
  <si>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</si>
  <si>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</si>
  <si>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</si>
  <si>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</si>
  <si>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</si>
  <si>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</si>
  <si>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</si>
  <si>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</si>
  <si>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</si>
  <si>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</si>
  <si>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</si>
  <si>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</si>
  <si>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</si>
  <si>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</si>
  <si>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</si>
  <si>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</si>
  <si>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</si>
  <si>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</si>
  <si>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</si>
  <si>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</si>
  <si>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</si>
  <si>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</si>
  <si>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</si>
  <si>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</si>
  <si>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</si>
  <si>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</si>
  <si>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</si>
  <si>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</si>
  <si>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</si>
  <si>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</si>
  <si>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</si>
  <si>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</si>
  <si>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</si>
  <si>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</si>
  <si>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</si>
  <si>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</si>
  <si>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</si>
  <si>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</si>
  <si>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</si>
  <si>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</si>
  <si>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</si>
  <si>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</si>
  <si>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</si>
  <si>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</si>
  <si>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</si>
  <si>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</si>
  <si>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</si>
  <si>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</si>
  <si>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</si>
  <si>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</si>
  <si>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</si>
  <si>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</si>
  <si>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</si>
  <si>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</si>
  <si>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</si>
  <si>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</si>
  <si>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</si>
  <si>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</si>
  <si>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</si>
  <si>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</si>
  <si>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</si>
  <si>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</si>
  <si>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</si>
  <si>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</si>
  <si>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</si>
  <si>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</si>
  <si>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</si>
  <si>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</si>
  <si>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</si>
  <si>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</si>
  <si>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</si>
  <si>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</si>
  <si>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</si>
  <si>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</si>
  <si>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</si>
  <si>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</si>
  <si>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</si>
  <si>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</si>
  <si>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</si>
  <si>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</si>
  <si>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</si>
  <si>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</si>
  <si>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</si>
  <si>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</si>
  <si>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</si>
  <si>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</si>
  <si>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</si>
  <si>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</si>
  <si>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</si>
  <si>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</si>
  <si>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</si>
  <si>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</si>
  <si>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</si>
  <si>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</si>
  <si>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</si>
  <si>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</si>
  <si>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</si>
  <si>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</si>
  <si>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</si>
  <si>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</si>
  <si>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</si>
  <si>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</si>
  <si>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</si>
  <si>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</si>
  <si>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</si>
  <si>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</si>
  <si>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</si>
  <si>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</si>
  <si>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</si>
  <si>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</si>
  <si>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</si>
  <si>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</si>
  <si>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</si>
  <si>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</si>
  <si>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</si>
  <si>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</si>
  <si>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</si>
  <si>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</si>
  <si>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</si>
  <si>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</si>
  <si>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</si>
  <si>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</si>
  <si>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</si>
  <si>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</si>
  <si>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</si>
  <si>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</si>
  <si>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</si>
  <si>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</si>
  <si>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</si>
  <si>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</si>
  <si>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</si>
  <si>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</si>
  <si>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</si>
  <si>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</si>
  <si>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</si>
  <si>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</si>
  <si>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</si>
  <si>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</si>
  <si>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</si>
  <si>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</si>
  <si>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</si>
  <si>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</si>
  <si>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</si>
  <si>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</si>
  <si>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</si>
  <si>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</si>
  <si>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</si>
  <si>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</si>
  <si>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</si>
  <si>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</si>
  <si>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</si>
  <si>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</si>
  <si>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</si>
  <si>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</si>
  <si>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</si>
  <si>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</si>
  <si>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</si>
  <si>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</si>
  <si>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</si>
  <si>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</si>
  <si>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</si>
  <si>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</si>
  <si>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</si>
  <si>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</si>
  <si>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</si>
  <si>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</si>
  <si>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</si>
  <si>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</si>
  <si>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</si>
  <si>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</si>
  <si>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</si>
  <si>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</si>
  <si>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</si>
  <si>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</si>
  <si>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</si>
  <si>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</si>
  <si>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</si>
  <si>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</si>
  <si>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</si>
  <si>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</si>
  <si>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</si>
  <si>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</si>
  <si>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</si>
  <si>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</si>
  <si>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</si>
  <si>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</si>
  <si>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</si>
  <si>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</si>
  <si>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</si>
  <si>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</si>
  <si>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</si>
  <si>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</si>
  <si>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</si>
  <si>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</si>
  <si>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</si>
  <si>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</si>
  <si>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</si>
  <si>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</si>
  <si>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</si>
  <si>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</si>
  <si>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</si>
  <si>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</si>
  <si>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</si>
  <si>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</si>
  <si>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</si>
  <si>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</si>
  <si>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</si>
  <si>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</si>
  <si>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</si>
  <si>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</si>
  <si>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</si>
  <si>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</si>
  <si>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</si>
  <si>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</si>
  <si>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</si>
  <si>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</si>
  <si>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</si>
  <si>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</si>
  <si>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</si>
  <si>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</si>
  <si>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</si>
  <si>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</si>
  <si>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</si>
  <si>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</si>
  <si>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</si>
  <si>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</si>
  <si>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</si>
  <si>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</si>
  <si>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</si>
  <si>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</si>
  <si>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</si>
  <si>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</si>
  <si>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</si>
  <si>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</si>
  <si>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</si>
  <si>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</si>
  <si>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</si>
  <si>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</si>
  <si>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</si>
  <si>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</si>
  <si>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</si>
  <si>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</si>
  <si>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</si>
  <si>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</si>
  <si>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</si>
  <si>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</si>
  <si>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</si>
  <si>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</si>
  <si>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</si>
  <si>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</si>
  <si>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</si>
  <si>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</si>
  <si>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</si>
  <si>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</si>
  <si>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</si>
  <si>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</si>
  <si>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</si>
  <si>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</si>
  <si>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</si>
  <si>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</si>
  <si>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</si>
  <si>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</si>
  <si>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</si>
  <si>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</si>
  <si>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</si>
  <si>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</si>
  <si>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</si>
  <si>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</si>
  <si>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</si>
  <si>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</si>
  <si>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</si>
  <si>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</si>
  <si>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</si>
  <si>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</si>
  <si>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</si>
  <si>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</si>
  <si>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</si>
  <si>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</si>
  <si>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</si>
  <si>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</si>
  <si>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</si>
  <si>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</si>
  <si>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</si>
  <si>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</si>
  <si>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</si>
  <si>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</si>
  <si>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</si>
  <si>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</si>
  <si>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</si>
  <si>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</si>
  <si>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</si>
  <si>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</si>
  <si>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</si>
  <si>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</si>
  <si>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</si>
  <si>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</si>
  <si>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</si>
  <si>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</si>
  <si>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</si>
  <si>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</si>
  <si>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</si>
  <si>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</si>
  <si>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</si>
  <si>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</si>
  <si>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</si>
  <si>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</si>
  <si>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</si>
  <si>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</si>
  <si>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</si>
  <si>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</si>
  <si>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</si>
  <si>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</si>
  <si>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</si>
  <si>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</si>
  <si>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</si>
  <si>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</si>
  <si>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</si>
  <si>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</si>
  <si>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</si>
  <si>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</si>
  <si>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</si>
  <si>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</si>
  <si>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</si>
  <si>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</si>
  <si>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</si>
  <si>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</si>
  <si>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</si>
  <si>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</si>
  <si>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</si>
  <si>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</si>
  <si>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</si>
  <si>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</si>
  <si>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</si>
  <si>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</si>
  <si>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</si>
  <si>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</si>
  <si>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</si>
  <si>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</si>
  <si>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</si>
  <si>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</si>
  <si>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</si>
  <si>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</si>
  <si>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</si>
  <si>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</si>
  <si>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</si>
  <si>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</si>
  <si>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</si>
  <si>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</si>
  <si>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</si>
  <si>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</si>
  <si>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</si>
  <si>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</si>
  <si>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</si>
  <si>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</si>
  <si>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</si>
  <si>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</si>
  <si>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</si>
  <si>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</si>
  <si>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</si>
  <si>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</si>
  <si>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</si>
  <si>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</si>
  <si>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</si>
  <si>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</si>
  <si>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</si>
  <si>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</si>
  <si>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</si>
  <si>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</si>
  <si>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</si>
  <si>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</si>
  <si>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</si>
  <si>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</si>
  <si>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</si>
  <si>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</si>
  <si>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</si>
  <si>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</si>
  <si>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</si>
  <si>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</si>
  <si>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</si>
  <si>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</si>
  <si>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</si>
  <si>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</si>
  <si>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</si>
  <si>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</si>
  <si>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</si>
  <si>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</si>
  <si>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</si>
  <si>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</si>
  <si>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</si>
  <si>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</si>
  <si>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</si>
  <si>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</si>
  <si>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</si>
  <si>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</si>
  <si>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</si>
  <si>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</si>
  <si>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</si>
  <si>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</si>
  <si>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</si>
  <si>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</si>
  <si>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</si>
  <si>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</si>
  <si>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</si>
  <si>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</si>
  <si>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</si>
  <si>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</si>
  <si>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</si>
  <si>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</si>
  <si>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</si>
  <si>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</si>
  <si>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</si>
  <si>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</si>
  <si>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</si>
  <si>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</si>
  <si>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</si>
  <si>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</si>
  <si>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</si>
  <si>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</si>
  <si>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</si>
  <si>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</si>
  <si>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</si>
  <si>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</si>
  <si>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</si>
  <si>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</si>
  <si>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</si>
  <si>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</si>
  <si>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</si>
  <si>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</si>
  <si>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</si>
  <si>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</si>
  <si>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</si>
  <si>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</si>
  <si>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</si>
  <si>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</si>
  <si>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</si>
  <si>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</si>
  <si>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</si>
  <si>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</si>
  <si>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</si>
  <si>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</si>
  <si>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</si>
  <si>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</si>
  <si>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</si>
  <si>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</si>
  <si>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</si>
  <si>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</si>
  <si>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</si>
  <si>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</si>
  <si>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</si>
  <si>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</si>
  <si>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</si>
  <si>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</si>
  <si>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</si>
  <si>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</si>
  <si>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</si>
  <si>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</si>
  <si>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</si>
  <si>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</si>
  <si>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</si>
  <si>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</si>
  <si>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</si>
  <si>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</si>
  <si>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</si>
  <si>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</si>
  <si>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</si>
  <si>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</si>
  <si>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</si>
  <si>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</si>
  <si>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</si>
  <si>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</si>
  <si>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</si>
  <si>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</si>
  <si>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</si>
  <si>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</si>
  <si>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</si>
  <si>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</si>
  <si>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</si>
  <si>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</si>
  <si>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</si>
  <si>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</si>
  <si>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</si>
  <si>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</si>
  <si>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</si>
  <si>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</si>
  <si>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</si>
  <si>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</si>
  <si>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</si>
  <si>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</si>
  <si>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</si>
  <si>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</si>
  <si>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</si>
  <si>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</si>
  <si>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</si>
  <si>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</si>
  <si>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</si>
  <si>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</si>
  <si>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</si>
  <si>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</si>
  <si>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</si>
  <si>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</si>
  <si>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</si>
  <si>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</si>
  <si>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</si>
  <si>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</si>
  <si>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</si>
  <si>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</si>
  <si>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</si>
  <si>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</si>
  <si>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</si>
  <si>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</si>
  <si>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</si>
  <si>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</si>
  <si>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</si>
  <si>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</si>
  <si>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</si>
  <si>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</si>
  <si>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</si>
  <si>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</si>
  <si>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</si>
  <si>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</si>
  <si>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</si>
  <si>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</si>
  <si>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</si>
  <si>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</si>
  <si>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</si>
  <si>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</si>
  <si>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</si>
  <si>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</si>
  <si>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</si>
  <si>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</si>
  <si>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</si>
  <si>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</si>
  <si>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</si>
  <si>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</si>
  <si>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</si>
  <si>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</si>
  <si>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</si>
  <si>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</si>
  <si>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</si>
  <si>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</si>
  <si>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</si>
  <si>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</si>
  <si>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</si>
  <si>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</si>
  <si>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</si>
  <si>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</si>
  <si>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</si>
  <si>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</si>
  <si>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</si>
  <si>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</si>
  <si>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</si>
  <si>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</si>
  <si>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</si>
  <si>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</si>
  <si>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</si>
  <si>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</si>
  <si>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</si>
  <si>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</si>
  <si>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</si>
  <si>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</si>
  <si>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</si>
  <si>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</si>
  <si>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</si>
  <si>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</si>
  <si>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</si>
  <si>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</si>
  <si>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</si>
  <si>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</si>
  <si>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</si>
  <si>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</si>
  <si>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</si>
  <si>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</si>
  <si>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</si>
  <si>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</si>
  <si>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</si>
  <si>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</si>
  <si>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</si>
  <si>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</si>
  <si>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</si>
  <si>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</si>
  <si>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</si>
  <si>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</si>
  <si>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</si>
  <si>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</si>
  <si>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</si>
  <si>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</si>
  <si>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</si>
  <si>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</si>
  <si>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</si>
  <si>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</si>
  <si>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</si>
  <si>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</si>
  <si>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</si>
  <si>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</si>
  <si>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</si>
  <si>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</si>
  <si>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</si>
  <si>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</si>
  <si>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</si>
  <si>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</si>
  <si>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</si>
  <si>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</si>
  <si>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</si>
  <si>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</si>
  <si>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</si>
  <si>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</si>
  <si>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</si>
  <si>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</si>
  <si>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</si>
  <si>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</si>
  <si>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</si>
  <si>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</si>
  <si>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</si>
  <si>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</si>
  <si>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</si>
  <si>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</si>
  <si>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</si>
  <si>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</si>
  <si>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</si>
  <si>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</si>
  <si>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</si>
  <si>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</si>
  <si>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</si>
  <si>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</si>
  <si>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</si>
  <si>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</si>
  <si>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</si>
  <si>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</si>
  <si>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</si>
  <si>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</si>
  <si>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</si>
  <si>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</si>
  <si>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</si>
  <si>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</si>
  <si>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</si>
  <si>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</si>
  <si>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</si>
  <si>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</si>
  <si>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</si>
  <si>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</si>
  <si>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</si>
  <si>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</si>
  <si>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</si>
  <si>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</si>
  <si>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</si>
  <si>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</si>
  <si>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</si>
  <si>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</si>
  <si>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</si>
  <si>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</si>
  <si>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</si>
  <si>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</si>
  <si>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</si>
  <si>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</si>
  <si>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</si>
  <si>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</si>
  <si>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</si>
  <si>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</si>
  <si>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</si>
  <si>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</si>
  <si>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</si>
  <si>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</si>
  <si>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</si>
  <si>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</si>
  <si>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</si>
  <si>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</si>
  <si>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</si>
  <si>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</si>
  <si>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</si>
  <si>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</si>
  <si>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</si>
  <si>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</si>
  <si>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</si>
  <si>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</si>
  <si>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</si>
  <si>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</si>
  <si>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</si>
  <si>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</si>
  <si>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</si>
  <si>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</si>
  <si>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</si>
  <si>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</si>
  <si>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</si>
  <si>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</si>
  <si>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</si>
  <si>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</si>
  <si>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</si>
  <si>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</si>
  <si>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</si>
  <si>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</si>
  <si>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</si>
  <si>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</si>
  <si>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</si>
  <si>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</si>
  <si>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</si>
  <si>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</si>
  <si>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</si>
  <si>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</si>
  <si>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</si>
  <si>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</si>
  <si>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</si>
  <si>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</si>
  <si>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</si>
  <si>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</si>
  <si>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</si>
  <si>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</si>
  <si>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</si>
  <si>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</si>
  <si>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</si>
  <si>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</si>
  <si>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</si>
  <si>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</si>
  <si>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</si>
  <si>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</si>
  <si>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</si>
  <si>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</si>
  <si>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</si>
  <si>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</si>
  <si>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</si>
  <si>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</si>
  <si>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</si>
  <si>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</si>
  <si>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</si>
  <si>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</si>
  <si>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</si>
  <si>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</si>
  <si>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</si>
  <si>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</si>
  <si>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</si>
  <si>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</si>
  <si>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</si>
  <si>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</si>
  <si>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</si>
  <si>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</si>
  <si>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</si>
  <si>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</si>
  <si>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</si>
  <si>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</si>
  <si>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</si>
  <si>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</si>
  <si>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</si>
  <si>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</si>
  <si>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</si>
  <si>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</si>
  <si>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</si>
  <si>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</si>
  <si>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</si>
  <si>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</si>
  <si>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</si>
  <si>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</si>
  <si>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</si>
  <si>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</si>
  <si>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</si>
  <si>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</si>
  <si>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</si>
  <si>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</si>
  <si>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</si>
  <si>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</si>
  <si>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</si>
  <si>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</si>
  <si>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</si>
  <si>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</si>
  <si>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</si>
  <si>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</si>
  <si>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</si>
  <si>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</si>
  <si>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</si>
  <si>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</si>
  <si>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</si>
  <si>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</si>
  <si>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</si>
  <si>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</si>
  <si>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</si>
  <si>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</si>
  <si>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</si>
  <si>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</si>
  <si>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</si>
  <si>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</si>
  <si>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</si>
  <si>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</si>
  <si>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</si>
  <si>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</si>
  <si>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</si>
  <si>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</si>
  <si>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</si>
  <si>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</si>
  <si>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</si>
  <si>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</si>
  <si>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</si>
  <si>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</si>
  <si>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</si>
  <si>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</si>
  <si>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</si>
  <si>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</si>
  <si>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</si>
  <si>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</si>
  <si>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</si>
  <si>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</si>
  <si>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</si>
  <si>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</si>
  <si>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</si>
  <si>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</si>
  <si>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</si>
  <si>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</si>
  <si>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</si>
  <si>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</si>
  <si>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</si>
  <si>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</si>
  <si>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</si>
  <si>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</si>
  <si>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</si>
  <si>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</si>
  <si>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</si>
  <si>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</si>
  <si>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</si>
  <si>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</si>
  <si>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</si>
  <si>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</si>
  <si>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</si>
  <si>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</si>
  <si>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</si>
  <si>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</si>
  <si>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</si>
  <si>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</si>
  <si>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</si>
  <si>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</si>
  <si>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</si>
  <si>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</si>
  <si>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</si>
  <si>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</si>
  <si>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</si>
  <si>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</si>
  <si>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</si>
  <si>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</si>
  <si>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</si>
  <si>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</si>
  <si>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</si>
  <si>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</si>
  <si>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</si>
  <si>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</si>
  <si>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</si>
  <si>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</si>
  <si>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</si>
  <si>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</si>
  <si>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</si>
  <si>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</si>
  <si>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</si>
  <si>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</si>
  <si>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</si>
  <si>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</si>
  <si>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</si>
  <si>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</si>
  <si>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</si>
  <si>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</si>
  <si>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</si>
  <si>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</si>
  <si>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</si>
  <si>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</si>
  <si>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</si>
  <si>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</si>
  <si>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</si>
  <si>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</si>
  <si>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</si>
  <si>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</si>
  <si>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</si>
  <si>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</si>
  <si>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</si>
  <si>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</si>
  <si>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</si>
  <si>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</si>
  <si>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</si>
  <si>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</si>
  <si>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</si>
  <si>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</si>
  <si>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</si>
  <si>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</si>
  <si>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</si>
  <si>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</si>
  <si>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</si>
  <si>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</si>
  <si>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</si>
  <si>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</si>
  <si>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</si>
  <si>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</si>
  <si>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</si>
  <si>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</si>
  <si>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</si>
  <si>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</si>
  <si>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</si>
  <si>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</si>
  <si>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</si>
  <si>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</si>
  <si>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</si>
  <si>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</si>
  <si>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</si>
  <si>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</si>
  <si>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</si>
  <si>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</si>
  <si>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</si>
  <si>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</si>
  <si>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</si>
  <si>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</si>
  <si>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</si>
  <si>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</si>
  <si>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</si>
  <si>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</si>
  <si>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</si>
  <si>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</si>
  <si>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</si>
  <si>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</si>
  <si>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</si>
  <si>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</si>
  <si>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</si>
  <si>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</si>
  <si>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</si>
  <si>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</si>
  <si>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</si>
  <si>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</si>
  <si>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</si>
  <si>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</si>
  <si>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</si>
  <si>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</si>
  <si>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</si>
  <si>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</si>
  <si>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</si>
  <si>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</si>
  <si>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</si>
  <si>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</si>
  <si>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</si>
  <si>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</si>
  <si>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</si>
  <si>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</si>
  <si>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</si>
  <si>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</si>
  <si>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</si>
  <si>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</si>
  <si>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</si>
  <si>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</si>
  <si>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</si>
  <si>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</si>
  <si>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</si>
  <si>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</si>
  <si>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</si>
  <si>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</si>
  <si>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</si>
  <si>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</si>
  <si>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</si>
  <si>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</si>
  <si>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</si>
  <si>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</si>
  <si>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</si>
  <si>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</si>
  <si>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</si>
  <si>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</si>
  <si>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</si>
  <si>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</si>
  <si>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</si>
  <si>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</si>
  <si>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</si>
  <si>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</si>
  <si>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</si>
  <si>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</si>
  <si>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</si>
  <si>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</si>
  <si>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</si>
  <si>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</si>
  <si>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</si>
  <si>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</si>
  <si>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</si>
  <si>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</si>
  <si>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</si>
  <si>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</si>
  <si>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</si>
  <si>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</si>
  <si>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</si>
  <si>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</si>
  <si>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</si>
  <si>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</si>
  <si>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</si>
  <si>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</si>
  <si>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</si>
  <si>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</si>
  <si>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</si>
  <si>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</si>
  <si>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</si>
  <si>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</si>
  <si>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</si>
  <si>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</si>
  <si>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</si>
  <si>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</si>
  <si>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</si>
  <si>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</si>
  <si>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</si>
  <si>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</si>
  <si>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</si>
  <si>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</si>
  <si>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</si>
  <si>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</si>
  <si>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</si>
  <si>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</si>
  <si>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</si>
  <si>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</si>
  <si>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</si>
  <si>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</si>
  <si>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</si>
  <si>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</si>
  <si>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</si>
  <si>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</si>
  <si>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</si>
  <si>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</si>
  <si>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</si>
  <si>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</si>
  <si>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</si>
  <si>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</si>
  <si>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</si>
  <si>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</si>
  <si>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</si>
  <si>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</si>
  <si>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</si>
  <si>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</si>
  <si>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</si>
  <si>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</si>
  <si>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</si>
  <si>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</si>
  <si>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</si>
  <si>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</si>
  <si>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</si>
  <si>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</si>
  <si>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</si>
  <si>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</si>
  <si>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</si>
  <si>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</si>
  <si>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</si>
  <si>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</si>
  <si>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</si>
  <si>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</si>
  <si>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</si>
  <si>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</si>
  <si>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</si>
  <si>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</si>
  <si>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</si>
  <si>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</si>
  <si>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</si>
  <si>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</si>
  <si>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</si>
  <si>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</si>
  <si>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</si>
  <si>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</si>
  <si>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</si>
  <si>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</si>
  <si>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</si>
  <si>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</si>
  <si>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</si>
  <si>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</si>
  <si>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</si>
  <si>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</si>
  <si>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</si>
  <si>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</si>
  <si>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</si>
  <si>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</si>
  <si>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</si>
  <si>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</si>
  <si>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</si>
  <si>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</si>
  <si>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</si>
  <si>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</si>
  <si>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</si>
  <si>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</si>
  <si>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</si>
  <si>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</si>
  <si>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</si>
  <si>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</si>
  <si>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</si>
  <si>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</si>
  <si>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</si>
  <si>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</si>
  <si>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</si>
  <si>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</si>
  <si>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</si>
  <si>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</si>
  <si>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</si>
  <si>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</si>
  <si>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</si>
  <si>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</si>
  <si>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</si>
  <si>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</si>
  <si>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</si>
  <si>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</si>
  <si>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</si>
  <si>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</si>
  <si>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</si>
  <si>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</si>
  <si>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</si>
  <si>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</si>
  <si>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</si>
  <si>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</si>
  <si>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</si>
  <si>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</si>
  <si>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</si>
  <si>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</si>
  <si>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</si>
  <si>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</si>
  <si>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</si>
  <si>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</si>
  <si>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</si>
  <si>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</si>
  <si>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</si>
  <si>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</si>
  <si>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</si>
  <si>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</si>
  <si>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</si>
  <si>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</si>
  <si>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</si>
  <si>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</si>
  <si>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</si>
  <si>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</si>
  <si>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</si>
  <si>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2382</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</si>
  <si>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</si>
  <si>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</si>
  <si>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</si>
  <si>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</si>
  <si>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</si>
  <si>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</si>
  <si>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</si>
  <si>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</si>
  <si>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</si>
  <si>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</si>
  <si>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</si>
  <si>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</si>
  <si>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</si>
  <si>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</si>
  <si>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</si>
  <si>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</si>
  <si>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</si>
  <si>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</si>
  <si>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</si>
  <si>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</si>
  <si>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</si>
  <si>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</si>
  <si>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</si>
  <si>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</si>
  <si>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</si>
  <si>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</si>
  <si>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</si>
  <si>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</si>
  <si>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</si>
  <si>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</si>
  <si>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</si>
  <si>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</si>
  <si>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</si>
  <si>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</si>
  <si>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</si>
  <si>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</si>
  <si>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</si>
  <si>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</si>
  <si>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</si>
  <si>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</si>
  <si>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</si>
  <si>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</si>
  <si>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</si>
  <si>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</si>
  <si>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</si>
  <si>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</si>
  <si>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</si>
  <si>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</si>
  <si>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</si>
  <si>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</si>
  <si>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</si>
  <si>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</si>
  <si>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</si>
  <si>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</si>
  <si>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</si>
  <si>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</si>
  <si>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</si>
  <si>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</si>
  <si>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</si>
  <si>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</si>
  <si>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</si>
  <si>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</si>
  <si>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</si>
  <si>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</si>
  <si>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</si>
  <si>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</si>
  <si>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</si>
  <si>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</si>
  <si>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</si>
  <si>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</si>
  <si>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</si>
  <si>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</si>
  <si>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</si>
  <si>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</si>
  <si>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</si>
  <si>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</si>
  <si>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</si>
  <si>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</si>
  <si>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</si>
  <si>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</si>
  <si>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</si>
  <si>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</si>
  <si>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</si>
  <si>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</si>
  <si>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</si>
  <si>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</si>
  <si>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</si>
  <si>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</si>
  <si>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</si>
  <si>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</si>
  <si>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</si>
  <si>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</si>
  <si>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</si>
  <si>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</si>
  <si>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</si>
  <si>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</si>
  <si>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</si>
  <si>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</si>
  <si>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</si>
  <si>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</si>
  <si>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</si>
  <si>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</si>
  <si>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</si>
  <si>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</si>
  <si>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</si>
  <si>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</si>
  <si>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</si>
  <si>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</si>
  <si>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</si>
  <si>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</si>
  <si>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</si>
  <si>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</si>
  <si>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</si>
  <si>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</si>
  <si>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</si>
  <si>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</si>
  <si>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</si>
  <si>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</si>
  <si>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</si>
  <si>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</si>
  <si>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</si>
  <si>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</si>
  <si>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</si>
  <si>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</si>
  <si>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</si>
  <si>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</si>
  <si>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</si>
  <si>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</si>
  <si>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</si>
  <si>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</si>
  <si>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</si>
  <si>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</si>
  <si>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</si>
  <si>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</si>
  <si>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</si>
  <si>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</si>
  <si>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</si>
  <si>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</si>
  <si>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</si>
  <si>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</si>
  <si>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</si>
  <si>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</si>
  <si>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</si>
  <si>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</si>
  <si>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</si>
  <si>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</si>
  <si>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</si>
  <si>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</si>
  <si>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</si>
  <si>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</si>
  <si>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</si>
  <si>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</si>
  <si>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</si>
  <si>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</si>
  <si>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</si>
  <si>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</si>
  <si>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</si>
  <si>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</si>
  <si>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</si>
  <si>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</si>
  <si>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</si>
  <si>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</si>
  <si>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</si>
  <si>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</si>
  <si>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</si>
  <si>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</si>
  <si>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</si>
  <si>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</si>
  <si>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</si>
  <si>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</si>
  <si>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</si>
  <si>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</si>
  <si>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</si>
  <si>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</si>
  <si>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</si>
  <si>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</si>
  <si>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</si>
  <si>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</si>
  <si>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</si>
  <si>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</si>
  <si>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</si>
  <si>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</si>
  <si>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</si>
  <si>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</si>
  <si>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</si>
  <si>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</si>
  <si>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</si>
  <si>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</si>
  <si>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</si>
  <si>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</si>
  <si>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</si>
  <si>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</si>
  <si>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</si>
  <si>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</si>
  <si>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</si>
  <si>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</si>
  <si>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</si>
  <si>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</si>
  <si>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</si>
  <si>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</si>
  <si>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</si>
  <si>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</si>
  <si>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</si>
  <si>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</si>
  <si>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</si>
  <si>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</si>
  <si>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</si>
  <si>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</si>
  <si>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</si>
  <si>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</si>
  <si>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</si>
  <si>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</si>
  <si>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</si>
  <si>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</si>
  <si>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</si>
  <si>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</si>
  <si>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</si>
  <si>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</si>
  <si>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</si>
  <si>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</si>
  <si>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</si>
  <si>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</si>
  <si>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</si>
  <si>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</si>
  <si>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</si>
  <si>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</si>
  <si>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</si>
  <si>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</si>
  <si>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</si>
  <si>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</si>
  <si>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</si>
  <si>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</si>
  <si>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</si>
  <si>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</si>
  <si>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</si>
  <si>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</si>
  <si>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</si>
  <si>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</si>
  <si>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</si>
  <si>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</si>
  <si>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</si>
  <si>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</si>
  <si>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</si>
  <si>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</si>
  <si>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</si>
  <si>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</si>
  <si>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</si>
  <si>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</si>
  <si>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</si>
  <si>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</si>
  <si>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</si>
  <si>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</si>
  <si>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</si>
  <si>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</si>
  <si>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</si>
  <si>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</si>
  <si>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</si>
  <si>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</si>
  <si>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</si>
  <si>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</si>
  <si>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</si>
  <si>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</si>
  <si>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</si>
  <si>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</si>
  <si>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</si>
  <si>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</si>
  <si>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</si>
  <si>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</si>
  <si>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</si>
  <si>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</si>
  <si>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</si>
  <si>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</si>
  <si>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</si>
  <si>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</si>
  <si>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</si>
  <si>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</si>
  <si>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</si>
  <si>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</si>
  <si>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</si>
  <si>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</si>
  <si>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</si>
  <si>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</si>
  <si>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</si>
  <si>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</si>
  <si>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</si>
  <si>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</si>
  <si>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</si>
  <si>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</si>
  <si>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</si>
  <si>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</si>
  <si>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</si>
  <si>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</si>
  <si>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</si>
  <si>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</si>
  <si>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</si>
  <si>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</si>
  <si>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</si>
  <si>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</si>
  <si>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</si>
  <si>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</si>
  <si>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</si>
  <si>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</si>
  <si>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</si>
  <si>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</si>
  <si>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</si>
  <si>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</si>
  <si>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</si>
  <si>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</si>
  <si>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</si>
  <si>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</si>
  <si>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</si>
  <si>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</si>
  <si>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</si>
  <si>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</si>
  <si>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</si>
  <si>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</si>
  <si>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</si>
  <si>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</si>
  <si>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</si>
  <si>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</si>
  <si>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</si>
  <si>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</si>
  <si>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</si>
  <si>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</si>
  <si>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</si>
  <si>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</si>
  <si>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</si>
  <si>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</si>
  <si>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</si>
  <si>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</si>
  <si>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</si>
  <si>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</si>
  <si>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</si>
  <si>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</si>
  <si>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</si>
  <si>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</si>
  <si>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</si>
  <si>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</si>
  <si>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</si>
  <si>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</si>
  <si>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</si>
  <si>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</si>
  <si>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</si>
  <si>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</si>
  <si>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</si>
  <si>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</si>
  <si>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</si>
  <si>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</si>
  <si>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</si>
  <si>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</si>
  <si>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</si>
  <si>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</si>
  <si>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</si>
  <si>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</si>
  <si>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</si>
  <si>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</si>
  <si>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</si>
  <si>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</si>
  <si>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</si>
  <si>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</si>
  <si>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</si>
  <si>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</si>
  <si>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</si>
  <si>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</si>
  <si>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</si>
  <si>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</si>
  <si>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</si>
  <si>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</si>
  <si>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</si>
  <si>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</si>
  <si>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</si>
  <si>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</si>
  <si>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</si>
  <si>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</si>
  <si>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</si>
  <si>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</si>
  <si>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</si>
  <si>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</si>
  <si>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</si>
  <si>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</si>
  <si>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</si>
  <si>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</si>
  <si>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</si>
  <si>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</si>
  <si>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</si>
  <si>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</si>
  <si>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</si>
  <si>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</si>
  <si>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</si>
  <si>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</si>
  <si>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</si>
  <si>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</si>
  <si>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</si>
  <si>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</si>
  <si>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</si>
  <si>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</si>
  <si>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</si>
  <si>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</si>
  <si>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</si>
  <si>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</si>
  <si>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</si>
  <si>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</si>
  <si>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</si>
  <si>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</si>
  <si>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</si>
  <si>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</si>
  <si>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</si>
  <si>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</si>
  <si>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</si>
  <si>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</si>
  <si>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</si>
  <si>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</si>
  <si>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</si>
  <si>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</si>
  <si>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</si>
  <si>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</si>
  <si>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</si>
  <si>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</si>
  <si>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</si>
  <si>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</si>
  <si>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</si>
  <si>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</si>
  <si>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</si>
  <si>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</si>
  <si>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</si>
  <si>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</si>
  <si>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</si>
  <si>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</si>
  <si>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</si>
  <si>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</si>
  <si>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</si>
  <si>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</si>
  <si>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</si>
  <si>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</si>
  <si>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</si>
  <si>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</si>
  <si>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</si>
  <si>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</si>
  <si>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</si>
  <si>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</si>
  <si>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</si>
  <si>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</si>
  <si>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</si>
  <si>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</si>
  <si>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</si>
  <si>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</si>
  <si>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</si>
  <si>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</si>
  <si>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</si>
  <si>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</si>
  <si>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</si>
  <si>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</si>
  <si>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</si>
  <si>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</si>
  <si>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</si>
  <si>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</si>
  <si>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</si>
  <si>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</si>
  <si>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</si>
  <si>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</si>
  <si>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</si>
  <si>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</si>
  <si>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</si>
  <si>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</si>
  <si>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</si>
  <si>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</si>
  <si>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</si>
  <si>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</si>
  <si>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</si>
  <si>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</si>
  <si>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</si>
  <si>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</si>
  <si>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</si>
  <si>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</si>
  <si>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</si>
  <si>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</si>
  <si>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</si>
  <si>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</si>
  <si>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</si>
  <si>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</si>
  <si>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</si>
  <si>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</si>
  <si>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</si>
  <si>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</si>
  <si>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</si>
  <si>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</si>
  <si>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</si>
  <si>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</si>
  <si>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</si>
  <si>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</si>
  <si>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</si>
  <si>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</si>
  <si>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</si>
  <si>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</si>
  <si>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</si>
  <si>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</si>
  <si>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</si>
  <si>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</si>
  <si>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</si>
  <si>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</si>
  <si>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</si>
  <si>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</si>
  <si>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</si>
  <si>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</si>
  <si>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</si>
  <si>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</si>
  <si>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</si>
  <si>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</si>
  <si>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</si>
  <si>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</si>
  <si>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</si>
  <si>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</si>
  <si>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</si>
  <si>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</si>
  <si>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</si>
  <si>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</si>
  <si>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</si>
  <si>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</si>
  <si>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</si>
  <si>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</si>
  <si>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</si>
  <si>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</si>
  <si>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</si>
  <si>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</si>
  <si>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</si>
  <si>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</si>
  <si>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</si>
  <si>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1332</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</si>
  <si>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</si>
  <si>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</si>
  <si>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</si>
  <si>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</si>
  <si>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</si>
  <si>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</si>
  <si>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</si>
  <si>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</si>
  <si>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</si>
  <si>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</si>
  <si>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</si>
  <si>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</si>
  <si>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</si>
  <si>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</si>
  <si>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</si>
  <si>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</si>
  <si>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</si>
  <si>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</si>
  <si>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</si>
  <si>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</si>
  <si>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</si>
  <si>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</si>
  <si>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</si>
  <si>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</si>
  <si>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</si>
  <si>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</si>
  <si>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</si>
  <si>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</si>
  <si>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</si>
  <si>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</si>
  <si>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</si>
  <si>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</si>
  <si>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</si>
  <si>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</si>
  <si>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</si>
  <si>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</si>
  <si>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</si>
  <si>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</si>
  <si>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</si>
  <si>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</si>
  <si>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</si>
  <si>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</si>
  <si>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</si>
  <si>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</si>
  <si>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</si>
  <si>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</si>
  <si>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</si>
  <si>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</si>
  <si>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</si>
  <si>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</si>
  <si>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</si>
  <si>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</si>
  <si>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</si>
  <si>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</si>
  <si>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</si>
  <si>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</si>
  <si>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</si>
  <si>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</si>
  <si>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</si>
  <si>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</si>
  <si>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</si>
  <si>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</si>
  <si>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</si>
  <si>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</si>
  <si>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</si>
  <si>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</si>
  <si>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</si>
  <si>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</si>
  <si>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</si>
  <si>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</si>
  <si>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</si>
  <si>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</si>
  <si>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</si>
  <si>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</si>
  <si>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</si>
  <si>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</si>
  <si>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</si>
  <si>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</si>
  <si>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</si>
  <si>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</si>
  <si>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</si>
  <si>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</si>
  <si>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</si>
  <si>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</si>
  <si>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</si>
  <si>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</si>
  <si>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</si>
  <si>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</si>
  <si>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</si>
  <si>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</si>
  <si>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</si>
  <si>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</si>
  <si>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</si>
  <si>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</si>
  <si>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</si>
  <si>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</si>
  <si>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</si>
  <si>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</si>
  <si>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</si>
  <si>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</si>
  <si>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</si>
  <si>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</si>
  <si>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</si>
  <si>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</si>
  <si>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</si>
  <si>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</si>
  <si>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</si>
  <si>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</si>
  <si>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</si>
  <si>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</si>
  <si>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</si>
  <si>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</si>
  <si>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</si>
  <si>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</si>
  <si>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</si>
  <si>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</si>
  <si>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</si>
  <si>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</si>
  <si>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</si>
  <si>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</si>
  <si>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</si>
  <si>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</si>
  <si>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</si>
  <si>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</si>
  <si>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</si>
  <si>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</si>
  <si>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</si>
  <si>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</si>
  <si>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</si>
  <si>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</si>
  <si>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</si>
  <si>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</si>
  <si>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</si>
  <si>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</si>
  <si>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</si>
  <si>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</si>
  <si>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</si>
  <si>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</si>
  <si>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</si>
  <si>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</si>
  <si>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</si>
  <si>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</si>
  <si>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</si>
  <si>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</si>
  <si>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</si>
  <si>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</si>
  <si>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</si>
  <si>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</si>
  <si>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</si>
  <si>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</si>
  <si>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</si>
  <si>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</si>
  <si>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</si>
  <si>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</si>
  <si>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</si>
  <si>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</si>
  <si>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</si>
  <si>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</si>
  <si>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</si>
  <si>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</si>
  <si>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</si>
  <si>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</si>
  <si>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</si>
  <si>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</si>
  <si>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</si>
  <si>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</si>
  <si>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</si>
  <si>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</si>
  <si>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</si>
  <si>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</si>
  <si>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</si>
  <si>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</si>
  <si>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</si>
  <si>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</si>
  <si>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</si>
  <si>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</si>
  <si>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</si>
  <si>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</si>
  <si>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</si>
  <si>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</si>
  <si>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</si>
  <si>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</si>
  <si>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</si>
  <si>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</si>
  <si>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</si>
  <si>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</si>
  <si>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</si>
  <si>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</si>
  <si>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</si>
  <si>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</si>
  <si>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</si>
  <si>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</si>
  <si>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1144</t>
  </si>
  <si>
    <t>1:41.34</t>
  </si>
  <si>
    <t>39.30</t>
  </si>
  <si>
    <t>2:40.68</t>
  </si>
  <si>
    <t>1:34.70</t>
  </si>
  <si>
    <t>1:46.78</t>
  </si>
  <si>
    <t>3:46.08</t>
  </si>
  <si>
    <t>24.62</t>
  </si>
  <si>
    <t>57.46</t>
  </si>
  <si>
    <t>3:38.45</t>
  </si>
  <si>
    <t>1:14.12</t>
  </si>
  <si>
    <t>1:01.22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</si>
  <si>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</si>
  <si>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</si>
  <si>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</si>
  <si>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</si>
  <si>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</si>
  <si>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</si>
  <si>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</si>
  <si>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</si>
  <si>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</si>
  <si>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</si>
  <si>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</si>
  <si>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</si>
  <si>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</si>
  <si>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</si>
  <si>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</si>
  <si>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</si>
  <si>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</si>
  <si>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</si>
  <si>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</si>
  <si>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</si>
  <si>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</si>
  <si>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</si>
  <si>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</si>
  <si>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</si>
  <si>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</si>
  <si>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</si>
  <si>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</si>
  <si>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</si>
  <si>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</si>
  <si>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</si>
  <si>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</si>
  <si>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</si>
  <si>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</si>
  <si>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</si>
  <si>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</si>
  <si>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</si>
  <si>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</si>
  <si>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</si>
  <si>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</si>
  <si>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</si>
  <si>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</si>
  <si>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</si>
  <si>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</si>
  <si>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</si>
  <si>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</si>
  <si>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</si>
  <si>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</si>
  <si>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</si>
  <si>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</si>
  <si>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</si>
  <si>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</si>
  <si>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</si>
  <si>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</si>
  <si>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</si>
  <si>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</si>
  <si>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</si>
  <si>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</si>
  <si>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</si>
  <si>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</si>
  <si>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</si>
  <si>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</si>
  <si>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</si>
  <si>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</si>
  <si>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</si>
  <si>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</si>
  <si>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</si>
  <si>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1:22.18</t>
  </si>
  <si>
    <t>SantaAries</t>
  </si>
  <si>
    <t>1105</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</si>
  <si>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</si>
  <si>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</si>
  <si>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</si>
  <si>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</si>
  <si>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</si>
  <si>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</si>
  <si>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</si>
  <si>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</si>
  <si>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</si>
  <si>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</si>
  <si>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</si>
  <si>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</si>
  <si>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</si>
  <si>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</si>
  <si>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</si>
  <si>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</si>
  <si>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</si>
  <si>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</si>
  <si>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</si>
  <si>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</si>
  <si>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</si>
  <si>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</si>
  <si>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</si>
  <si>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</si>
  <si>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</si>
  <si>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</si>
  <si>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</si>
  <si>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</si>
  <si>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</si>
  <si>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</si>
  <si>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</si>
  <si>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</si>
  <si>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</si>
  <si>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</si>
  <si>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</si>
  <si>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</si>
  <si>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</si>
  <si>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</si>
  <si>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</si>
  <si>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</si>
  <si>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</si>
  <si>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</si>
  <si>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</si>
  <si>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</si>
  <si>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</si>
  <si>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</si>
  <si>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</si>
  <si>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</si>
  <si>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</si>
  <si>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</si>
  <si>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</si>
  <si>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</si>
  <si>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icedbee</t>
  </si>
  <si>
    <t>922</t>
  </si>
  <si>
    <t>40.75</t>
  </si>
  <si>
    <t>16.18</t>
  </si>
  <si>
    <t>28.90</t>
  </si>
  <si>
    <t>26.32</t>
  </si>
  <si>
    <t>1:43.62</t>
  </si>
  <si>
    <t>14.28</t>
  </si>
  <si>
    <t>Cysse</t>
  </si>
  <si>
    <t>923</t>
  </si>
  <si>
    <t>1:29.05</t>
  </si>
  <si>
    <t>39.51</t>
  </si>
  <si>
    <t>16.30</t>
  </si>
  <si>
    <t>53.42</t>
  </si>
  <si>
    <t>14.77</t>
  </si>
  <si>
    <t>46.46</t>
  </si>
  <si>
    <t>1:06.01</t>
  </si>
  <si>
    <t>1:59.06</t>
  </si>
  <si>
    <t>1:14.48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</si>
  <si>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</si>
  <si>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</si>
  <si>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</si>
  <si>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</si>
  <si>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</si>
  <si>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</si>
  <si>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</si>
  <si>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</si>
  <si>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</si>
  <si>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</si>
  <si>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</si>
  <si>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</si>
  <si>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</si>
  <si>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</si>
  <si>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</si>
  <si>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</si>
  <si>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</si>
  <si>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</si>
  <si>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</si>
  <si>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</si>
  <si>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</si>
  <si>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</si>
  <si>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</si>
  <si>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</si>
  <si>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</si>
  <si>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</si>
  <si>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</si>
  <si>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</si>
  <si>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</si>
  <si>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</si>
  <si>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</si>
  <si>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</si>
  <si>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</si>
  <si>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</si>
  <si>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</si>
  <si>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</si>
  <si>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</si>
  <si>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</si>
  <si>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</si>
  <si>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</si>
  <si>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</si>
  <si>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</si>
  <si>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</si>
  <si>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</si>
  <si>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</si>
  <si>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</si>
  <si>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</si>
  <si>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</si>
  <si>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</si>
  <si>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</si>
  <si>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</si>
  <si>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</si>
  <si>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</si>
  <si>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</si>
  <si>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</si>
  <si>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</si>
  <si>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</si>
  <si>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</si>
  <si>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</si>
  <si>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</si>
  <si>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</si>
  <si>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</si>
  <si>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</si>
  <si>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</si>
  <si>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</si>
  <si>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</si>
  <si>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</si>
  <si>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</si>
  <si>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</si>
  <si>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</si>
  <si>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</si>
  <si>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</si>
  <si>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</si>
  <si>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</si>
  <si>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</si>
  <si>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</si>
  <si>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</si>
  <si>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</si>
  <si>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</si>
  <si>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</si>
  <si>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</si>
  <si>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</si>
  <si>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</si>
  <si>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</si>
  <si>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</si>
  <si>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</si>
  <si>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</si>
  <si>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</si>
  <si>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</si>
  <si>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</si>
  <si>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</si>
  <si>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</si>
  <si>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</si>
  <si>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</si>
  <si>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</si>
  <si>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</si>
  <si>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</si>
  <si>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</si>
  <si>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</si>
  <si>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</si>
  <si>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</si>
  <si>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</si>
  <si>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</si>
  <si>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</si>
  <si>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</si>
  <si>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</si>
  <si>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</si>
  <si>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</si>
  <si>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</si>
  <si>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</si>
  <si>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</si>
  <si>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</si>
  <si>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</si>
  <si>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</si>
  <si>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</si>
  <si>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</si>
  <si>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</si>
  <si>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</si>
  <si>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</si>
  <si>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</si>
  <si>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</si>
  <si>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</si>
  <si>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</si>
  <si>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685</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</si>
  <si>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</si>
  <si>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</si>
  <si>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</si>
  <si>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</si>
  <si>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</si>
  <si>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</si>
  <si>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</si>
  <si>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</si>
  <si>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</si>
  <si>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</si>
  <si>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</si>
  <si>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</si>
  <si>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</si>
  <si>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</si>
  <si>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</si>
  <si>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</si>
  <si>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</si>
  <si>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</si>
  <si>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</si>
  <si>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</si>
  <si>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</si>
  <si>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</si>
  <si>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</si>
  <si>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</si>
  <si>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</si>
  <si>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</si>
  <si>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</si>
  <si>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</si>
  <si>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</si>
  <si>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</si>
  <si>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</si>
  <si>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</si>
  <si>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</si>
  <si>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</si>
  <si>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</si>
  <si>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</si>
  <si>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</si>
  <si>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</si>
  <si>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</si>
  <si>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</si>
  <si>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</si>
  <si>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</si>
  <si>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</si>
  <si>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</si>
  <si>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</si>
  <si>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</si>
  <si>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</si>
  <si>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</si>
  <si>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</si>
  <si>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</si>
  <si>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</si>
  <si>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</si>
  <si>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</si>
  <si>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</si>
  <si>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</si>
  <si>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</si>
  <si>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</si>
  <si>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</si>
  <si>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</si>
  <si>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</si>
  <si>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</si>
  <si>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</si>
  <si>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</si>
  <si>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</si>
  <si>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</si>
  <si>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</si>
  <si>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</si>
  <si>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</si>
  <si>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</si>
  <si>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</si>
  <si>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</si>
  <si>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</si>
  <si>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</si>
  <si>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</si>
  <si>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</si>
  <si>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</si>
  <si>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</si>
  <si>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</si>
  <si>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</si>
  <si>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</si>
  <si>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</si>
  <si>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</si>
  <si>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</si>
  <si>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</si>
  <si>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</si>
  <si>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</si>
  <si>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</si>
  <si>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</si>
  <si>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</si>
  <si>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</si>
  <si>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</si>
  <si>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</si>
  <si>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</si>
  <si>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</si>
  <si>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</si>
  <si>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</si>
  <si>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</si>
  <si>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</si>
  <si>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</si>
  <si>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</si>
  <si>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</si>
  <si>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</si>
  <si>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</si>
  <si>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</si>
  <si>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</si>
  <si>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</si>
  <si>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</si>
  <si>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</si>
  <si>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</si>
  <si>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</si>
  <si>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</si>
  <si>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</si>
  <si>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</si>
  <si>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</si>
  <si>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</si>
  <si>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</si>
  <si>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</si>
  <si>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</si>
  <si>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</si>
  <si>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</si>
  <si>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</si>
  <si>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</si>
  <si>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</si>
  <si>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</si>
  <si>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</si>
  <si>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</si>
  <si>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</si>
  <si>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</si>
  <si>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</si>
  <si>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</si>
  <si>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</si>
  <si>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</si>
  <si>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</si>
  <si>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</si>
  <si>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</si>
  <si>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</si>
  <si>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</si>
  <si>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</si>
  <si>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</si>
  <si>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</si>
  <si>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</si>
  <si>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</si>
  <si>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</si>
  <si>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</si>
  <si>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</si>
  <si>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</si>
  <si>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</si>
  <si>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</si>
  <si>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</si>
  <si>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</si>
  <si>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</si>
  <si>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</si>
  <si>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</si>
  <si>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</si>
  <si>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</si>
  <si>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</si>
  <si>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</si>
  <si>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</si>
  <si>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</si>
  <si>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</si>
  <si>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</si>
  <si>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</si>
  <si>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</si>
  <si>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</si>
  <si>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</si>
  <si>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</si>
  <si>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</si>
  <si>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</si>
  <si>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</si>
  <si>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</si>
  <si>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</si>
  <si>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</si>
  <si>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</si>
  <si>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</si>
  <si>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</si>
  <si>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</si>
  <si>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</si>
  <si>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</si>
  <si>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</si>
  <si>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</si>
  <si>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</si>
  <si>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</si>
  <si>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</si>
  <si>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</si>
  <si>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</si>
  <si>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</si>
  <si>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</si>
  <si>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</si>
  <si>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</si>
  <si>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</si>
  <si>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</si>
  <si>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</si>
  <si>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</si>
  <si>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</si>
  <si>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</si>
  <si>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</si>
  <si>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</si>
  <si>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</si>
  <si>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</si>
  <si>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</si>
  <si>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</si>
  <si>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</si>
  <si>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</si>
  <si>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</si>
  <si>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</si>
  <si>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</si>
  <si>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</si>
  <si>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</si>
  <si>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</si>
  <si>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</si>
  <si>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</si>
  <si>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</si>
  <si>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</si>
  <si>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</si>
  <si>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</si>
  <si>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</si>
  <si>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</si>
  <si>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</si>
  <si>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</si>
  <si>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</si>
  <si>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</si>
  <si>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</si>
  <si>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</si>
  <si>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</si>
  <si>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</si>
  <si>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</si>
  <si>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</si>
  <si>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</si>
  <si>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389</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</si>
  <si>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</si>
  <si>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</si>
  <si>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</si>
  <si>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</si>
  <si>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</si>
  <si>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</si>
  <si>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</si>
  <si>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</si>
  <si>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</si>
  <si>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</si>
  <si>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</si>
  <si>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</si>
  <si>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</si>
  <si>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</si>
  <si>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</si>
  <si>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</si>
  <si>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</si>
  <si>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</si>
  <si>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</si>
  <si>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</si>
  <si>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</si>
  <si>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</si>
  <si>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</si>
  <si>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</si>
  <si>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</si>
  <si>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</si>
  <si>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</si>
  <si>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</si>
  <si>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</si>
  <si>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</si>
  <si>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</si>
  <si>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</si>
  <si>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</si>
  <si>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</si>
  <si>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</si>
  <si>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</si>
  <si>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</si>
  <si>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</si>
  <si>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</si>
  <si>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</si>
  <si>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</si>
  <si>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</si>
  <si>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</si>
  <si>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</si>
  <si>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</si>
  <si>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</si>
  <si>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</si>
  <si>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</si>
  <si>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</si>
  <si>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</si>
  <si>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</si>
  <si>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</si>
  <si>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</si>
  <si>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</si>
  <si>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</si>
  <si>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</si>
  <si>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</si>
  <si>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</si>
  <si>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</si>
  <si>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</si>
  <si>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</si>
  <si>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</si>
  <si>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</si>
  <si>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</si>
  <si>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</si>
  <si>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</si>
  <si>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PKT_S</t>
  </si>
  <si>
    <t>507</t>
  </si>
  <si>
    <t>49.57</t>
  </si>
  <si>
    <t>2:27.93</t>
  </si>
  <si>
    <t>46.13</t>
  </si>
  <si>
    <t>20.22</t>
  </si>
  <si>
    <t>1:01.34</t>
  </si>
  <si>
    <t>1:31.11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</si>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</sst>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C6szU0KMQ0"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MWIaeCpCjRg"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hv7cmfuaj-s" TargetMode="External"/><Relationship Id="rId4018" Type="http://schemas.openxmlformats.org/officeDocument/2006/relationships/hyperlink" Target="https://youtu.be/wEm0hI8D0E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Abytid8Ky78" TargetMode="External"/><Relationship Id="rId278" Type="http://schemas.openxmlformats.org/officeDocument/2006/relationships/hyperlink" Target="https://youtu.be/Vmgl-339amU" TargetMode="External"/><Relationship Id="rId4014" Type="http://schemas.openxmlformats.org/officeDocument/2006/relationships/hyperlink" Target="https://youtu.be/UaBGphwfCGY" TargetMode="External"/><Relationship Id="rId277" Type="http://schemas.openxmlformats.org/officeDocument/2006/relationships/hyperlink" Target="https://youtu.be/Fzsesuu4JWs" TargetMode="External"/><Relationship Id="rId4017" Type="http://schemas.openxmlformats.org/officeDocument/2006/relationships/hyperlink" Target="https://youtu.be/L1J8ZYanHK4" TargetMode="External"/><Relationship Id="rId276" Type="http://schemas.openxmlformats.org/officeDocument/2006/relationships/hyperlink" Target="https://youtu.be/vUHRRCpQoEw" TargetMode="External"/><Relationship Id="rId4016" Type="http://schemas.openxmlformats.org/officeDocument/2006/relationships/hyperlink" Target="https://youtu.be/f_jJCS32PQ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846</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438</v>
      </c>
      <c r="G137" s="82" t="s">
        <v>2611</v>
      </c>
      <c r="H137" s="93" t="s">
        <v>5772</v>
      </c>
      <c r="I137" s="264" t="s">
        <v>1598</v>
      </c>
      <c r="J137" s="93" t="s">
        <v>5773</v>
      </c>
      <c r="K137" s="93" t="s">
        <v>5774</v>
      </c>
      <c r="L137" s="93" t="s">
        <v>5775</v>
      </c>
      <c r="M137" s="98"/>
      <c r="N137" s="93" t="s">
        <v>5776</v>
      </c>
      <c r="O137" s="93" t="s">
        <v>4080</v>
      </c>
      <c r="P137" s="93" t="s">
        <v>1081</v>
      </c>
      <c r="Q137" s="98"/>
      <c r="R137" s="93" t="s">
        <v>324</v>
      </c>
      <c r="S137" s="93" t="s">
        <v>2180</v>
      </c>
      <c r="T137" s="98"/>
      <c r="U137" s="93" t="s">
        <v>3248</v>
      </c>
      <c r="V137" s="98"/>
      <c r="W137" s="92"/>
      <c r="X137" s="93" t="s">
        <v>5777</v>
      </c>
      <c r="Y137" s="88" t="s">
        <v>2393</v>
      </c>
      <c r="Z137" s="93" t="s">
        <v>4503</v>
      </c>
      <c r="AA137" s="93" t="s">
        <v>1770</v>
      </c>
      <c r="AB137" s="93" t="s">
        <v>3882</v>
      </c>
      <c r="AC137" s="93" t="s">
        <v>2391</v>
      </c>
      <c r="AD137" s="98"/>
      <c r="AE137" s="93" t="s">
        <v>5778</v>
      </c>
      <c r="AF137" s="93" t="s">
        <v>769</v>
      </c>
      <c r="AG137" s="98"/>
      <c r="AH137" s="98"/>
      <c r="AI137" s="98"/>
      <c r="AJ137" s="98"/>
      <c r="AK137" s="96"/>
      <c r="AL137" s="98"/>
      <c r="AM137" s="93" t="s">
        <v>322</v>
      </c>
      <c r="AN137" s="98"/>
      <c r="AO137" s="98"/>
      <c r="AP137" s="93" t="s">
        <v>5779</v>
      </c>
      <c r="AQ137" s="93"/>
      <c r="AR137" s="98"/>
      <c r="AS137" s="98"/>
      <c r="AT137" s="93" t="s">
        <v>702</v>
      </c>
      <c r="AU137" s="98"/>
      <c r="AV137" s="98"/>
      <c r="AW137" s="98"/>
      <c r="AX137" s="98"/>
      <c r="AY137" s="98"/>
      <c r="AZ137" s="98"/>
      <c r="BA137" s="98"/>
      <c r="BB137" s="93" t="s">
        <v>1894</v>
      </c>
      <c r="BC137" s="93" t="s">
        <v>5780</v>
      </c>
      <c r="BD137" s="93" t="s">
        <v>3596</v>
      </c>
      <c r="BE137" s="93" t="s">
        <v>5642</v>
      </c>
      <c r="BF137" s="98"/>
      <c r="BG137" s="98"/>
      <c r="BH137" s="93" t="s">
        <v>3952</v>
      </c>
      <c r="BI137" s="93" t="s">
        <v>5781</v>
      </c>
      <c r="BJ137" s="93"/>
      <c r="BK137" s="93" t="s">
        <v>2587</v>
      </c>
      <c r="BL137" s="98"/>
      <c r="BM137" s="93" t="s">
        <v>4211</v>
      </c>
      <c r="BN137" s="98"/>
      <c r="BO137" s="98"/>
      <c r="BP137" s="235"/>
      <c r="BQ137" s="93" t="s">
        <v>5782</v>
      </c>
      <c r="BR137" s="93" t="s">
        <v>4217</v>
      </c>
      <c r="BS137" s="93" t="s">
        <v>3395</v>
      </c>
      <c r="BT137" s="93" t="s">
        <v>5783</v>
      </c>
      <c r="BU137" s="93" t="s">
        <v>5784</v>
      </c>
      <c r="BV137" s="93" t="s">
        <v>5154</v>
      </c>
      <c r="BW137" s="98"/>
      <c r="BX137" s="93" t="s">
        <v>2704</v>
      </c>
      <c r="BY137" s="98"/>
      <c r="BZ137" s="93" t="s">
        <v>5785</v>
      </c>
      <c r="CA137" s="98"/>
      <c r="CB137" s="98"/>
      <c r="CC137" s="98"/>
      <c r="CD137" s="98"/>
      <c r="CE137" s="235"/>
      <c r="CF137" s="93" t="s">
        <v>5786</v>
      </c>
      <c r="CG137" s="93" t="s">
        <v>4463</v>
      </c>
      <c r="CH137" s="93" t="s">
        <v>2182</v>
      </c>
      <c r="CI137" s="93" t="s">
        <v>5787</v>
      </c>
      <c r="CJ137" s="93"/>
      <c r="CK137" s="93" t="s">
        <v>5788</v>
      </c>
      <c r="CL137" s="93" t="s">
        <v>5789</v>
      </c>
      <c r="CM137" s="93" t="s">
        <v>1648</v>
      </c>
      <c r="CN137" s="93" t="s">
        <v>4276</v>
      </c>
      <c r="CO137" s="98"/>
      <c r="CP137" s="98"/>
      <c r="CQ137" s="98"/>
      <c r="CR137" s="98"/>
      <c r="CS137" s="98"/>
      <c r="CT137" s="92"/>
      <c r="CU137" s="93" t="s">
        <v>5790</v>
      </c>
      <c r="CV137" s="93" t="s">
        <v>2806</v>
      </c>
      <c r="CW137" s="93" t="s">
        <v>3687</v>
      </c>
      <c r="CX137" s="93" t="s">
        <v>5791</v>
      </c>
      <c r="CY137" s="98"/>
      <c r="CZ137" s="93" t="s">
        <v>5792</v>
      </c>
      <c r="DA137" s="88" t="s">
        <v>5793</v>
      </c>
      <c r="DB137" s="93" t="s">
        <v>4461</v>
      </c>
      <c r="DC137" s="98"/>
      <c r="DD137" s="98"/>
      <c r="DE137" s="98"/>
      <c r="DF137" s="98"/>
      <c r="DG137" s="235"/>
      <c r="DH137" s="93" t="s">
        <v>5794</v>
      </c>
      <c r="DI137" s="98"/>
      <c r="DJ137" s="98"/>
      <c r="DK137" s="98"/>
      <c r="DL137" s="98"/>
      <c r="DM137" s="98"/>
      <c r="DN137" s="98"/>
      <c r="DO137" s="98"/>
      <c r="DP137" s="98"/>
      <c r="DQ137" s="98"/>
      <c r="DR137" s="98"/>
      <c r="DS137" s="98"/>
      <c r="DT137" s="98"/>
      <c r="DU137" s="93" t="s">
        <v>5795</v>
      </c>
      <c r="DV137" s="93" t="s">
        <v>4032</v>
      </c>
      <c r="DW137" s="93" t="s">
        <v>5796</v>
      </c>
      <c r="DX137" s="93" t="s">
        <v>205</v>
      </c>
      <c r="DY137" s="93" t="s">
        <v>5797</v>
      </c>
      <c r="DZ137" s="93" t="s">
        <v>3477</v>
      </c>
      <c r="EA137" s="98"/>
      <c r="EB137" s="98"/>
      <c r="EC137" s="258" t="s">
        <v>5798</v>
      </c>
    </row>
    <row r="138">
      <c r="A138" s="646" t="s">
        <v>5799</v>
      </c>
      <c r="B138" s="104" t="s">
        <v>5800</v>
      </c>
      <c r="C138" s="105" t="s">
        <v>1261</v>
      </c>
      <c r="D138" s="106" t="s">
        <v>1261</v>
      </c>
      <c r="E138" s="107" t="s">
        <v>1261</v>
      </c>
      <c r="F138" s="108" t="s">
        <v>1261</v>
      </c>
      <c r="G138" s="104" t="s">
        <v>1506</v>
      </c>
      <c r="H138" s="647" t="s">
        <v>4554</v>
      </c>
      <c r="I138" s="343" t="s">
        <v>5801</v>
      </c>
      <c r="J138" s="343" t="s">
        <v>5802</v>
      </c>
      <c r="K138" s="343" t="s">
        <v>2848</v>
      </c>
      <c r="L138" s="343" t="s">
        <v>2097</v>
      </c>
      <c r="M138" s="343" t="s">
        <v>5803</v>
      </c>
      <c r="N138" s="343" t="s">
        <v>5804</v>
      </c>
      <c r="O138" s="343" t="s">
        <v>3856</v>
      </c>
      <c r="P138" s="343" t="s">
        <v>2178</v>
      </c>
      <c r="Q138" s="165" t="s">
        <v>5805</v>
      </c>
      <c r="R138" s="242"/>
      <c r="S138" s="165" t="s">
        <v>3742</v>
      </c>
      <c r="T138" s="242"/>
      <c r="U138" s="165" t="s">
        <v>1269</v>
      </c>
      <c r="V138" s="165" t="s">
        <v>5806</v>
      </c>
      <c r="W138" s="92"/>
      <c r="X138" s="298" t="s">
        <v>4980</v>
      </c>
      <c r="Y138" s="298" t="s">
        <v>5807</v>
      </c>
      <c r="Z138" s="298" t="s">
        <v>5110</v>
      </c>
      <c r="AA138" s="356" t="s">
        <v>5808</v>
      </c>
      <c r="AB138" s="298" t="s">
        <v>4475</v>
      </c>
      <c r="AC138" s="298" t="s">
        <v>4951</v>
      </c>
      <c r="AD138" s="244"/>
      <c r="AE138" s="298" t="s">
        <v>4832</v>
      </c>
      <c r="AF138" s="298" t="s">
        <v>5328</v>
      </c>
      <c r="AG138" s="195" t="s">
        <v>1663</v>
      </c>
      <c r="AH138" s="244"/>
      <c r="AI138" s="298" t="s">
        <v>2436</v>
      </c>
      <c r="AJ138" s="195" t="s">
        <v>5809</v>
      </c>
      <c r="AK138" s="96"/>
      <c r="AL138" s="455" t="s">
        <v>1376</v>
      </c>
      <c r="AM138" s="455" t="s">
        <v>1014</v>
      </c>
      <c r="AN138" s="245"/>
      <c r="AO138" s="245"/>
      <c r="AP138" s="166" t="s">
        <v>5810</v>
      </c>
      <c r="AQ138" s="166" t="s">
        <v>5811</v>
      </c>
      <c r="AR138" s="166" t="s">
        <v>1144</v>
      </c>
      <c r="AS138" s="245"/>
      <c r="AT138" s="455" t="s">
        <v>5812</v>
      </c>
      <c r="AU138" s="455" t="s">
        <v>4758</v>
      </c>
      <c r="AV138" s="123"/>
      <c r="AW138" s="245"/>
      <c r="AX138" s="166" t="s">
        <v>955</v>
      </c>
      <c r="AY138" s="166" t="s">
        <v>5813</v>
      </c>
      <c r="AZ138" s="245"/>
      <c r="BA138" s="199" t="s">
        <v>5814</v>
      </c>
      <c r="BB138" s="199" t="s">
        <v>5815</v>
      </c>
      <c r="BC138" s="199" t="s">
        <v>3459</v>
      </c>
      <c r="BD138" s="199" t="s">
        <v>3097</v>
      </c>
      <c r="BE138" s="199" t="s">
        <v>5816</v>
      </c>
      <c r="BF138" s="199" t="s">
        <v>4311</v>
      </c>
      <c r="BG138" s="172" t="s">
        <v>5817</v>
      </c>
      <c r="BH138" s="199" t="s">
        <v>2116</v>
      </c>
      <c r="BI138" s="171"/>
      <c r="BJ138" s="199" t="s">
        <v>5818</v>
      </c>
      <c r="BK138" s="199" t="s">
        <v>2828</v>
      </c>
      <c r="BL138" s="171"/>
      <c r="BM138" s="171"/>
      <c r="BN138" s="535"/>
      <c r="BO138" s="171"/>
      <c r="BP138" s="247"/>
      <c r="BQ138" s="372" t="s">
        <v>5819</v>
      </c>
      <c r="BR138" s="372" t="s">
        <v>5820</v>
      </c>
      <c r="BS138" s="372" t="s">
        <v>350</v>
      </c>
      <c r="BT138" s="372" t="s">
        <v>3900</v>
      </c>
      <c r="BU138" s="372" t="s">
        <v>5330</v>
      </c>
      <c r="BV138" s="372" t="s">
        <v>328</v>
      </c>
      <c r="BW138" s="173" t="s">
        <v>5821</v>
      </c>
      <c r="BX138" s="130"/>
      <c r="BY138" s="372" t="s">
        <v>5822</v>
      </c>
      <c r="BZ138" s="372" t="s">
        <v>5823</v>
      </c>
      <c r="CA138" s="173" t="s">
        <v>5824</v>
      </c>
      <c r="CB138" s="250"/>
      <c r="CC138" s="250"/>
      <c r="CD138" s="173" t="s">
        <v>5825</v>
      </c>
      <c r="CE138" s="251"/>
      <c r="CF138" s="365" t="s">
        <v>3479</v>
      </c>
      <c r="CG138" s="365" t="s">
        <v>5826</v>
      </c>
      <c r="CH138" s="365" t="s">
        <v>3147</v>
      </c>
      <c r="CI138" s="365" t="s">
        <v>5827</v>
      </c>
      <c r="CJ138" s="365"/>
      <c r="CK138" s="365" t="s">
        <v>5828</v>
      </c>
      <c r="CL138" s="365" t="s">
        <v>5829</v>
      </c>
      <c r="CM138" s="365" t="s">
        <v>113</v>
      </c>
      <c r="CN138" s="365" t="s">
        <v>1416</v>
      </c>
      <c r="CO138" s="536"/>
      <c r="CP138" s="253"/>
      <c r="CQ138" s="253"/>
      <c r="CR138" s="253"/>
      <c r="CS138" s="175" t="s">
        <v>5830</v>
      </c>
      <c r="CT138" s="92"/>
      <c r="CU138" s="282" t="s">
        <v>2579</v>
      </c>
      <c r="CV138" s="282" t="s">
        <v>5831</v>
      </c>
      <c r="CW138" s="648" t="s">
        <v>5832</v>
      </c>
      <c r="CX138" s="282" t="s">
        <v>3317</v>
      </c>
      <c r="CY138" s="282" t="s">
        <v>5833</v>
      </c>
      <c r="CZ138" s="282" t="s">
        <v>3988</v>
      </c>
      <c r="DA138" s="282" t="s">
        <v>5834</v>
      </c>
      <c r="DB138" s="282" t="s">
        <v>5835</v>
      </c>
      <c r="DC138" s="202" t="s">
        <v>5836</v>
      </c>
      <c r="DD138" s="254"/>
      <c r="DE138" s="254"/>
      <c r="DF138" s="202" t="s">
        <v>5837</v>
      </c>
      <c r="DG138" s="255"/>
      <c r="DH138" s="285" t="s">
        <v>570</v>
      </c>
      <c r="DI138" s="256"/>
      <c r="DJ138" s="203" t="s">
        <v>3956</v>
      </c>
      <c r="DK138" s="285" t="s">
        <v>5838</v>
      </c>
      <c r="DL138" s="285" t="s">
        <v>3914</v>
      </c>
      <c r="DM138" s="285" t="s">
        <v>3148</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3851</v>
      </c>
      <c r="EC138" s="285" t="s">
        <v>5845</v>
      </c>
    </row>
    <row r="139">
      <c r="A139" s="649" t="s">
        <v>5846</v>
      </c>
      <c r="B139" s="82" t="s">
        <v>5847</v>
      </c>
      <c r="C139" s="83" t="s">
        <v>1261</v>
      </c>
      <c r="D139" s="84" t="s">
        <v>1261</v>
      </c>
      <c r="E139" s="85" t="s">
        <v>1261</v>
      </c>
      <c r="F139" s="86" t="s">
        <v>438</v>
      </c>
      <c r="G139" s="82" t="s">
        <v>4763</v>
      </c>
      <c r="H139" s="93"/>
      <c r="I139" s="93" t="s">
        <v>5848</v>
      </c>
      <c r="J139" s="93" t="s">
        <v>2960</v>
      </c>
      <c r="K139" s="88" t="s">
        <v>2280</v>
      </c>
      <c r="L139" s="93" t="s">
        <v>2474</v>
      </c>
      <c r="M139" s="93" t="s">
        <v>5849</v>
      </c>
      <c r="N139" s="93" t="s">
        <v>5850</v>
      </c>
      <c r="O139" s="93" t="s">
        <v>5102</v>
      </c>
      <c r="P139" s="93" t="s">
        <v>564</v>
      </c>
      <c r="Q139" s="98"/>
      <c r="R139" s="98"/>
      <c r="S139" s="98"/>
      <c r="T139" s="98"/>
      <c r="U139" s="98"/>
      <c r="V139" s="98"/>
      <c r="W139" s="92"/>
      <c r="X139" s="93" t="s">
        <v>4601</v>
      </c>
      <c r="Y139" s="93" t="s">
        <v>5668</v>
      </c>
      <c r="Z139" s="93" t="s">
        <v>2205</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5854</v>
      </c>
      <c r="BE139" s="98"/>
      <c r="BF139" s="93" t="s">
        <v>2747</v>
      </c>
      <c r="BG139" s="98"/>
      <c r="BH139" s="93" t="s">
        <v>905</v>
      </c>
      <c r="BI139" s="98"/>
      <c r="BJ139" s="98"/>
      <c r="BK139" s="98"/>
      <c r="BL139" s="98"/>
      <c r="BM139" s="98"/>
      <c r="BN139" s="98"/>
      <c r="BO139" s="98"/>
      <c r="BP139" s="235"/>
      <c r="BQ139" s="93" t="s">
        <v>5855</v>
      </c>
      <c r="BR139" s="93" t="s">
        <v>5856</v>
      </c>
      <c r="BS139" s="93" t="s">
        <v>497</v>
      </c>
      <c r="BT139" s="264" t="s">
        <v>3081</v>
      </c>
      <c r="BU139" s="93" t="s">
        <v>3944</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2385</v>
      </c>
      <c r="CL139" s="93" t="s">
        <v>5865</v>
      </c>
      <c r="CM139" s="93" t="s">
        <v>2525</v>
      </c>
      <c r="CN139" s="93" t="s">
        <v>3603</v>
      </c>
      <c r="CO139" s="98"/>
      <c r="CP139" s="98"/>
      <c r="CQ139" s="98"/>
      <c r="CR139" s="98"/>
      <c r="CS139" s="98"/>
      <c r="CT139" s="92"/>
      <c r="CU139" s="93" t="s">
        <v>2742</v>
      </c>
      <c r="CV139" s="93" t="s">
        <v>3568</v>
      </c>
      <c r="CW139" s="93" t="s">
        <v>2678</v>
      </c>
      <c r="CX139" s="93" t="s">
        <v>5866</v>
      </c>
      <c r="CY139" s="93" t="s">
        <v>3623</v>
      </c>
      <c r="CZ139" s="93" t="s">
        <v>1817</v>
      </c>
      <c r="DA139" s="93" t="s">
        <v>5867</v>
      </c>
      <c r="DB139" s="93" t="s">
        <v>3774</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3184</v>
      </c>
      <c r="H140" s="165"/>
      <c r="I140" s="165" t="s">
        <v>5871</v>
      </c>
      <c r="J140" s="165"/>
      <c r="K140" s="165"/>
      <c r="L140" s="165" t="s">
        <v>1835</v>
      </c>
      <c r="M140" s="165"/>
      <c r="N140" s="165" t="s">
        <v>5872</v>
      </c>
      <c r="O140" s="165" t="s">
        <v>5873</v>
      </c>
      <c r="P140" s="242"/>
      <c r="Q140" s="242"/>
      <c r="R140" s="242"/>
      <c r="S140" s="242"/>
      <c r="T140" s="242"/>
      <c r="U140" s="242"/>
      <c r="V140" s="242"/>
      <c r="W140" s="92"/>
      <c r="X140" s="274"/>
      <c r="Y140" s="195"/>
      <c r="Z140" s="195" t="s">
        <v>2755</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5811</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457" t="s">
        <v>5879</v>
      </c>
      <c r="B141" s="82" t="s">
        <v>5880</v>
      </c>
      <c r="C141" s="83" t="s">
        <v>1261</v>
      </c>
      <c r="D141" s="84" t="s">
        <v>1261</v>
      </c>
      <c r="E141" s="85" t="s">
        <v>1261</v>
      </c>
      <c r="F141" s="86" t="s">
        <v>1261</v>
      </c>
      <c r="G141" s="82" t="s">
        <v>5881</v>
      </c>
      <c r="H141" s="258" t="s">
        <v>5882</v>
      </c>
      <c r="I141" s="258" t="s">
        <v>5883</v>
      </c>
      <c r="J141" s="258" t="s">
        <v>5884</v>
      </c>
      <c r="K141" s="258" t="s">
        <v>1886</v>
      </c>
      <c r="L141" s="544" t="s">
        <v>3582</v>
      </c>
      <c r="M141" s="258" t="s">
        <v>5885</v>
      </c>
      <c r="N141" s="258" t="s">
        <v>5886</v>
      </c>
      <c r="O141" s="258" t="s">
        <v>1750</v>
      </c>
      <c r="P141" s="258" t="s">
        <v>250</v>
      </c>
      <c r="Q141" s="651"/>
      <c r="R141" s="651"/>
      <c r="S141" s="652">
        <v>37.85</v>
      </c>
      <c r="T141" s="651"/>
      <c r="U141" s="93" t="s">
        <v>1841</v>
      </c>
      <c r="V141" s="652" t="s">
        <v>5887</v>
      </c>
      <c r="W141" s="653"/>
      <c r="X141" s="654"/>
      <c r="Y141" s="654"/>
      <c r="Z141" s="102" t="s">
        <v>3024</v>
      </c>
      <c r="AA141" s="655"/>
      <c r="AB141" s="258" t="s">
        <v>3459</v>
      </c>
      <c r="AC141" s="654"/>
      <c r="AD141" s="651"/>
      <c r="AE141" s="654"/>
      <c r="AF141" s="654"/>
      <c r="AG141" s="651"/>
      <c r="AH141" s="651"/>
      <c r="AI141" s="102" t="s">
        <v>2301</v>
      </c>
      <c r="AJ141" s="651"/>
      <c r="AK141" s="656"/>
      <c r="AL141" s="654"/>
      <c r="AM141" s="102" t="s">
        <v>2502</v>
      </c>
      <c r="AN141" s="651"/>
      <c r="AO141" s="651"/>
      <c r="AP141" s="652"/>
      <c r="AQ141" s="652"/>
      <c r="AR141" s="651"/>
      <c r="AS141" s="651"/>
      <c r="AT141" s="258" t="s">
        <v>5668</v>
      </c>
      <c r="AU141" s="258" t="s">
        <v>5868</v>
      </c>
      <c r="AV141" s="258" t="s">
        <v>483</v>
      </c>
      <c r="AW141" s="651"/>
      <c r="AX141" s="651"/>
      <c r="AY141" s="651"/>
      <c r="AZ141" s="651"/>
      <c r="BA141" s="654"/>
      <c r="BB141" s="654"/>
      <c r="BC141" s="102" t="s">
        <v>1743</v>
      </c>
      <c r="BD141" s="258" t="s">
        <v>372</v>
      </c>
      <c r="BE141" s="654"/>
      <c r="BF141" s="654"/>
      <c r="BG141" s="651"/>
      <c r="BH141" s="258" t="s">
        <v>3055</v>
      </c>
      <c r="BI141" s="651"/>
      <c r="BJ141" s="102" t="s">
        <v>5888</v>
      </c>
      <c r="BK141" s="258" t="s">
        <v>3711</v>
      </c>
      <c r="BL141" s="651"/>
      <c r="BM141" s="652">
        <v>35.32</v>
      </c>
      <c r="BN141" s="654"/>
      <c r="BO141" s="651"/>
      <c r="BP141" s="657"/>
      <c r="BQ141" s="654"/>
      <c r="BR141" s="654"/>
      <c r="BS141" s="258" t="s">
        <v>2648</v>
      </c>
      <c r="BT141" s="258" t="s">
        <v>5889</v>
      </c>
      <c r="BU141" s="654"/>
      <c r="BV141" s="258" t="s">
        <v>3104</v>
      </c>
      <c r="BW141" s="651"/>
      <c r="BX141" s="654"/>
      <c r="BY141" s="654"/>
      <c r="BZ141" s="102" t="s">
        <v>5461</v>
      </c>
      <c r="CA141" s="652" t="s">
        <v>5890</v>
      </c>
      <c r="CB141" s="651"/>
      <c r="CC141" s="652">
        <v>37.19</v>
      </c>
      <c r="CD141" s="652" t="s">
        <v>5891</v>
      </c>
      <c r="CE141" s="657"/>
      <c r="CF141" s="654"/>
      <c r="CG141" s="654"/>
      <c r="CH141" s="654"/>
      <c r="CI141" s="654"/>
      <c r="CJ141" s="654"/>
      <c r="CK141" s="654"/>
      <c r="CL141" s="258" t="s">
        <v>5892</v>
      </c>
      <c r="CM141" s="258" t="s">
        <v>917</v>
      </c>
      <c r="CN141" s="654"/>
      <c r="CO141" s="658"/>
      <c r="CP141" s="651"/>
      <c r="CQ141" s="651"/>
      <c r="CR141" s="652">
        <v>52.7</v>
      </c>
      <c r="CS141" s="651"/>
      <c r="CT141" s="653"/>
      <c r="CU141" s="654"/>
      <c r="CV141" s="258" t="s">
        <v>3296</v>
      </c>
      <c r="CW141" s="102" t="s">
        <v>2919</v>
      </c>
      <c r="CX141" s="654"/>
      <c r="CY141" s="654"/>
      <c r="CZ141" s="258" t="s">
        <v>2366</v>
      </c>
      <c r="DA141" s="659" t="s">
        <v>5893</v>
      </c>
      <c r="DB141" s="654"/>
      <c r="DC141" s="651"/>
      <c r="DD141" s="651"/>
      <c r="DE141" s="651"/>
      <c r="DF141" s="651"/>
      <c r="DG141" s="657"/>
      <c r="DH141" s="654"/>
      <c r="DI141" s="651"/>
      <c r="DJ141" s="651"/>
      <c r="DK141" s="654"/>
      <c r="DL141" s="654"/>
      <c r="DM141" s="258" t="s">
        <v>3814</v>
      </c>
      <c r="DN141" s="651"/>
      <c r="DO141" s="651"/>
      <c r="DP141" s="651"/>
      <c r="DQ141" s="258" t="s">
        <v>5894</v>
      </c>
      <c r="DR141" s="258" t="s">
        <v>4521</v>
      </c>
      <c r="DS141" s="651"/>
      <c r="DT141" s="654"/>
      <c r="DU141" s="651"/>
      <c r="DV141" s="651"/>
      <c r="DW141" s="651"/>
      <c r="DX141" s="651"/>
      <c r="DY141" s="651"/>
      <c r="DZ141" s="654"/>
      <c r="EA141" s="651"/>
      <c r="EB141" s="651"/>
      <c r="EC141" s="659"/>
    </row>
    <row r="142">
      <c r="A142" s="660" t="s">
        <v>5895</v>
      </c>
      <c r="B142" s="661" t="s">
        <v>5880</v>
      </c>
      <c r="C142" s="662" t="s">
        <v>1261</v>
      </c>
      <c r="D142" s="663" t="s">
        <v>1261</v>
      </c>
      <c r="E142" s="664" t="s">
        <v>1261</v>
      </c>
      <c r="F142" s="665" t="s">
        <v>1261</v>
      </c>
      <c r="G142" s="661" t="s">
        <v>2841</v>
      </c>
      <c r="H142" s="343" t="s">
        <v>954</v>
      </c>
      <c r="I142" s="343" t="s">
        <v>5896</v>
      </c>
      <c r="J142" s="343" t="s">
        <v>4100</v>
      </c>
      <c r="K142" s="343" t="s">
        <v>4912</v>
      </c>
      <c r="L142" s="343" t="s">
        <v>238</v>
      </c>
      <c r="M142" s="343" t="s">
        <v>5897</v>
      </c>
      <c r="N142" s="343" t="s">
        <v>5898</v>
      </c>
      <c r="O142" s="343" t="s">
        <v>968</v>
      </c>
      <c r="P142" s="343"/>
      <c r="Q142" s="575"/>
      <c r="R142" s="575"/>
      <c r="S142" s="575"/>
      <c r="T142" s="575"/>
      <c r="U142" s="272" t="s">
        <v>678</v>
      </c>
      <c r="V142" s="575"/>
      <c r="W142" s="589"/>
      <c r="X142" s="298" t="s">
        <v>5899</v>
      </c>
      <c r="Y142" s="298"/>
      <c r="Z142" s="298" t="s">
        <v>5092</v>
      </c>
      <c r="AA142" s="298"/>
      <c r="AB142" s="298"/>
      <c r="AC142" s="298" t="s">
        <v>5657</v>
      </c>
      <c r="AD142" s="576"/>
      <c r="AE142" s="298"/>
      <c r="AF142" s="298"/>
      <c r="AG142" s="576"/>
      <c r="AH142" s="576"/>
      <c r="AI142" s="298"/>
      <c r="AJ142" s="576"/>
      <c r="AK142" s="577"/>
      <c r="AL142" s="455"/>
      <c r="AM142" s="455"/>
      <c r="AN142" s="578"/>
      <c r="AO142" s="578"/>
      <c r="AP142" s="579"/>
      <c r="AQ142" s="579"/>
      <c r="AR142" s="578"/>
      <c r="AS142" s="578"/>
      <c r="AT142" s="455"/>
      <c r="AU142" s="455" t="s">
        <v>5900</v>
      </c>
      <c r="AV142" s="455"/>
      <c r="AW142" s="578"/>
      <c r="AX142" s="578"/>
      <c r="AY142" s="578"/>
      <c r="AZ142" s="578"/>
      <c r="BA142" s="199"/>
      <c r="BB142" s="199" t="s">
        <v>3800</v>
      </c>
      <c r="BC142" s="199"/>
      <c r="BD142" s="199"/>
      <c r="BE142" s="199"/>
      <c r="BF142" s="199"/>
      <c r="BG142" s="580"/>
      <c r="BH142" s="199" t="s">
        <v>3055</v>
      </c>
      <c r="BI142" s="580"/>
      <c r="BJ142" s="199" t="s">
        <v>5901</v>
      </c>
      <c r="BK142" s="199"/>
      <c r="BL142" s="580"/>
      <c r="BM142" s="580"/>
      <c r="BN142" s="199" t="s">
        <v>5902</v>
      </c>
      <c r="BO142" s="580"/>
      <c r="BP142" s="583"/>
      <c r="BQ142" s="372"/>
      <c r="BR142" s="372" t="s">
        <v>5903</v>
      </c>
      <c r="BS142" s="372" t="s">
        <v>301</v>
      </c>
      <c r="BT142" s="372" t="s">
        <v>1501</v>
      </c>
      <c r="BU142" s="372" t="s">
        <v>5477</v>
      </c>
      <c r="BV142" s="372" t="s">
        <v>1727</v>
      </c>
      <c r="BW142" s="584"/>
      <c r="BX142" s="372"/>
      <c r="BY142" s="372"/>
      <c r="BZ142" s="372"/>
      <c r="CA142" s="584"/>
      <c r="CB142" s="584"/>
      <c r="CC142" s="666"/>
      <c r="CD142" s="584"/>
      <c r="CE142" s="585"/>
      <c r="CF142" s="365" t="s">
        <v>5904</v>
      </c>
      <c r="CG142" s="365" t="s">
        <v>1407</v>
      </c>
      <c r="CH142" s="365"/>
      <c r="CI142" s="365"/>
      <c r="CJ142" s="365"/>
      <c r="CK142" s="365"/>
      <c r="CL142" s="365"/>
      <c r="CM142" s="365" t="s">
        <v>5008</v>
      </c>
      <c r="CN142" s="667">
        <v>19.7</v>
      </c>
      <c r="CO142" s="587"/>
      <c r="CP142" s="588"/>
      <c r="CQ142" s="588"/>
      <c r="CR142" s="588"/>
      <c r="CS142" s="588"/>
      <c r="CT142" s="589"/>
      <c r="CU142" s="282" t="s">
        <v>4060</v>
      </c>
      <c r="CV142" s="282" t="s">
        <v>4528</v>
      </c>
      <c r="CW142" s="282" t="s">
        <v>5905</v>
      </c>
      <c r="CX142" s="282" t="s">
        <v>5906</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3214</v>
      </c>
      <c r="EA142" s="592"/>
      <c r="EB142" s="592"/>
      <c r="EC142" s="285"/>
    </row>
    <row r="143">
      <c r="A143" s="645" t="s">
        <v>5907</v>
      </c>
      <c r="B143" s="82" t="s">
        <v>5908</v>
      </c>
      <c r="C143" s="83" t="s">
        <v>1261</v>
      </c>
      <c r="D143" s="84" t="s">
        <v>1261</v>
      </c>
      <c r="E143" s="85" t="s">
        <v>1261</v>
      </c>
      <c r="F143" s="86" t="s">
        <v>1261</v>
      </c>
      <c r="G143" s="82" t="s">
        <v>5695</v>
      </c>
      <c r="H143" s="93" t="s">
        <v>2060</v>
      </c>
      <c r="I143" s="93" t="s">
        <v>3611</v>
      </c>
      <c r="J143" s="93" t="s">
        <v>573</v>
      </c>
      <c r="K143" s="93" t="s">
        <v>2848</v>
      </c>
      <c r="L143" s="93" t="s">
        <v>4046</v>
      </c>
      <c r="M143" s="93" t="s">
        <v>5909</v>
      </c>
      <c r="N143" s="93" t="s">
        <v>5902</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5910</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5911</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5912</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5913</v>
      </c>
      <c r="DB143" s="98"/>
      <c r="DC143" s="98"/>
      <c r="DD143" s="98"/>
      <c r="DE143" s="93" t="s">
        <v>2143</v>
      </c>
      <c r="DF143" s="98"/>
      <c r="DG143" s="235"/>
      <c r="DH143" s="98"/>
      <c r="DI143" s="98"/>
      <c r="DJ143" s="98"/>
      <c r="DK143" s="98"/>
      <c r="DL143" s="93" t="s">
        <v>5914</v>
      </c>
      <c r="DM143" s="98"/>
      <c r="DN143" s="98"/>
      <c r="DO143" s="98"/>
      <c r="DP143" s="98"/>
      <c r="DQ143" s="98"/>
      <c r="DR143" s="98"/>
      <c r="DS143" s="98"/>
      <c r="DT143" s="98"/>
      <c r="DU143" s="98"/>
      <c r="DV143" s="98"/>
      <c r="DW143" s="98"/>
      <c r="DX143" s="98"/>
      <c r="DY143" s="98"/>
      <c r="DZ143" s="93" t="s">
        <v>3881</v>
      </c>
      <c r="EA143" s="98"/>
      <c r="EB143" s="98"/>
      <c r="EC143" s="258"/>
    </row>
    <row r="144">
      <c r="A144" s="465" t="s">
        <v>5915</v>
      </c>
      <c r="B144" s="104" t="s">
        <v>5916</v>
      </c>
      <c r="C144" s="105" t="s">
        <v>1261</v>
      </c>
      <c r="D144" s="106" t="s">
        <v>1261</v>
      </c>
      <c r="E144" s="107" t="s">
        <v>1261</v>
      </c>
      <c r="F144" s="108" t="s">
        <v>438</v>
      </c>
      <c r="G144" s="104" t="s">
        <v>3184</v>
      </c>
      <c r="H144" s="534"/>
      <c r="I144" s="533"/>
      <c r="J144" s="534"/>
      <c r="K144" s="437" t="s">
        <v>5917</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5933</v>
      </c>
      <c r="B146" s="104" t="s">
        <v>5934</v>
      </c>
      <c r="C146" s="105" t="s">
        <v>1261</v>
      </c>
      <c r="D146" s="106" t="s">
        <v>1261</v>
      </c>
      <c r="E146" s="107" t="s">
        <v>1261</v>
      </c>
      <c r="F146" s="108" t="s">
        <v>2697</v>
      </c>
      <c r="G146" s="104" t="s">
        <v>2697</v>
      </c>
      <c r="H146" s="242"/>
      <c r="I146" s="242"/>
      <c r="J146" s="242"/>
      <c r="K146" s="242"/>
      <c r="L146" s="242"/>
      <c r="M146" s="242"/>
      <c r="N146" s="242"/>
      <c r="O146" s="112" t="s">
        <v>5935</v>
      </c>
      <c r="P146" s="112" t="s">
        <v>5936</v>
      </c>
      <c r="Q146" s="242"/>
      <c r="R146" s="242"/>
      <c r="S146" s="242"/>
      <c r="T146" s="242"/>
      <c r="U146" s="242"/>
      <c r="V146" s="242"/>
      <c r="W146" s="92"/>
      <c r="X146" s="244"/>
      <c r="Y146" s="244"/>
      <c r="Z146" s="115" t="s">
        <v>1858</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2719</v>
      </c>
      <c r="AU146" s="245"/>
      <c r="AV146" s="245"/>
      <c r="AW146" s="245"/>
      <c r="AX146" s="245"/>
      <c r="AY146" s="245"/>
      <c r="AZ146" s="245"/>
      <c r="BA146" s="171"/>
      <c r="BB146" s="171"/>
      <c r="BC146" s="125" t="s">
        <v>5937</v>
      </c>
      <c r="BD146" s="171"/>
      <c r="BE146" s="171"/>
      <c r="BF146" s="171"/>
      <c r="BG146" s="171"/>
      <c r="BH146" s="125" t="s">
        <v>3976</v>
      </c>
      <c r="BI146" s="171"/>
      <c r="BJ146" s="171"/>
      <c r="BK146" s="125" t="s">
        <v>2109</v>
      </c>
      <c r="BL146" s="171"/>
      <c r="BM146" s="171"/>
      <c r="BN146" s="171"/>
      <c r="BO146" s="171"/>
      <c r="BP146" s="247"/>
      <c r="BQ146" s="250"/>
      <c r="BR146" s="250"/>
      <c r="BS146" s="250"/>
      <c r="BT146" s="128" t="s">
        <v>1010</v>
      </c>
      <c r="BU146" s="250"/>
      <c r="BV146" s="128" t="s">
        <v>3155</v>
      </c>
      <c r="BW146" s="250"/>
      <c r="BX146" s="250"/>
      <c r="BY146" s="250"/>
      <c r="BZ146" s="128" t="s">
        <v>5938</v>
      </c>
      <c r="CA146" s="250"/>
      <c r="CB146" s="250"/>
      <c r="CC146" s="250"/>
      <c r="CD146" s="250"/>
      <c r="CE146" s="251"/>
      <c r="CF146" s="253"/>
      <c r="CG146" s="253"/>
      <c r="CH146" s="253"/>
      <c r="CI146" s="134" t="s">
        <v>5939</v>
      </c>
      <c r="CJ146" s="261"/>
      <c r="CK146" s="134" t="s">
        <v>5940</v>
      </c>
      <c r="CL146" s="253"/>
      <c r="CM146" s="253"/>
      <c r="CN146" s="134" t="s">
        <v>4149</v>
      </c>
      <c r="CO146" s="253"/>
      <c r="CP146" s="253"/>
      <c r="CQ146" s="253"/>
      <c r="CR146" s="253"/>
      <c r="CS146" s="253"/>
      <c r="CT146" s="92"/>
      <c r="CU146" s="139" t="s">
        <v>3259</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5941</v>
      </c>
      <c r="B147" s="82" t="s">
        <v>5942</v>
      </c>
      <c r="C147" s="83" t="s">
        <v>1261</v>
      </c>
      <c r="D147" s="84" t="s">
        <v>1261</v>
      </c>
      <c r="E147" s="85" t="s">
        <v>1261</v>
      </c>
      <c r="F147" s="86" t="s">
        <v>438</v>
      </c>
      <c r="G147" s="82" t="s">
        <v>219</v>
      </c>
      <c r="H147" s="669"/>
      <c r="I147" s="93" t="s">
        <v>5943</v>
      </c>
      <c r="J147" s="93" t="s">
        <v>5944</v>
      </c>
      <c r="K147" s="93" t="s">
        <v>5762</v>
      </c>
      <c r="L147" s="93" t="s">
        <v>2886</v>
      </c>
      <c r="M147" s="98"/>
      <c r="N147" s="98"/>
      <c r="O147" s="98"/>
      <c r="P147" s="88" t="s">
        <v>5945</v>
      </c>
      <c r="Q147" s="98"/>
      <c r="R147" s="98"/>
      <c r="S147" s="98"/>
      <c r="T147" s="98"/>
      <c r="U147" s="98"/>
      <c r="V147" s="98"/>
      <c r="W147" s="92"/>
      <c r="X147" s="93" t="s">
        <v>5946</v>
      </c>
      <c r="Y147" s="88" t="s">
        <v>363</v>
      </c>
      <c r="Z147" s="264" t="s">
        <v>5947</v>
      </c>
      <c r="AA147" s="93" t="s">
        <v>5948</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5701</v>
      </c>
      <c r="AV147" s="98"/>
      <c r="AW147" s="98"/>
      <c r="AX147" s="98"/>
      <c r="AY147" s="98"/>
      <c r="AZ147" s="98"/>
      <c r="BA147" s="93" t="s">
        <v>5949</v>
      </c>
      <c r="BB147" s="93" t="s">
        <v>1541</v>
      </c>
      <c r="BC147" s="98"/>
      <c r="BD147" s="98"/>
      <c r="BE147" s="98"/>
      <c r="BF147" s="98"/>
      <c r="BG147" s="98"/>
      <c r="BH147" s="98"/>
      <c r="BI147" s="98"/>
      <c r="BJ147" s="98"/>
      <c r="BK147" s="98"/>
      <c r="BL147" s="98"/>
      <c r="BM147" s="98"/>
      <c r="BN147" s="98"/>
      <c r="BO147" s="98"/>
      <c r="BP147" s="235"/>
      <c r="BQ147" s="93" t="s">
        <v>5950</v>
      </c>
      <c r="BR147" s="93" t="s">
        <v>5951</v>
      </c>
      <c r="BS147" s="93" t="s">
        <v>4494</v>
      </c>
      <c r="BT147" s="93" t="s">
        <v>1105</v>
      </c>
      <c r="BU147" s="98"/>
      <c r="BV147" s="93" t="s">
        <v>3179</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5791</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5952</v>
      </c>
      <c r="B148" s="104" t="s">
        <v>5953</v>
      </c>
      <c r="C148" s="105" t="s">
        <v>1261</v>
      </c>
      <c r="D148" s="106" t="s">
        <v>1261</v>
      </c>
      <c r="E148" s="107" t="s">
        <v>1261</v>
      </c>
      <c r="F148" s="108" t="s">
        <v>1261</v>
      </c>
      <c r="G148" s="104" t="s">
        <v>5954</v>
      </c>
      <c r="H148" s="165" t="s">
        <v>3829</v>
      </c>
      <c r="I148" s="165" t="s">
        <v>4013</v>
      </c>
      <c r="J148" s="165" t="s">
        <v>677</v>
      </c>
      <c r="K148" s="165" t="s">
        <v>5947</v>
      </c>
      <c r="L148" s="165" t="s">
        <v>5955</v>
      </c>
      <c r="M148" s="165" t="s">
        <v>5956</v>
      </c>
      <c r="N148" s="165" t="s">
        <v>5957</v>
      </c>
      <c r="O148" s="165" t="s">
        <v>3122</v>
      </c>
      <c r="P148" s="165" t="s">
        <v>4142</v>
      </c>
      <c r="Q148" s="165" t="s">
        <v>5958</v>
      </c>
      <c r="R148" s="242"/>
      <c r="S148" s="165" t="s">
        <v>978</v>
      </c>
      <c r="T148" s="242"/>
      <c r="U148" s="165" t="s">
        <v>5959</v>
      </c>
      <c r="V148" s="165" t="s">
        <v>5960</v>
      </c>
      <c r="W148" s="92"/>
      <c r="X148" s="195" t="s">
        <v>5961</v>
      </c>
      <c r="Y148" s="195" t="s">
        <v>2020</v>
      </c>
      <c r="Z148" s="195" t="s">
        <v>3536</v>
      </c>
      <c r="AA148" s="195" t="s">
        <v>3582</v>
      </c>
      <c r="AB148" s="195" t="s">
        <v>5862</v>
      </c>
      <c r="AC148" s="195" t="s">
        <v>5962</v>
      </c>
      <c r="AD148" s="195"/>
      <c r="AE148" s="195" t="s">
        <v>5963</v>
      </c>
      <c r="AF148" s="195" t="s">
        <v>5964</v>
      </c>
      <c r="AG148" s="195" t="s">
        <v>5965</v>
      </c>
      <c r="AH148" s="244"/>
      <c r="AI148" s="195" t="s">
        <v>4742</v>
      </c>
      <c r="AJ148" s="195" t="s">
        <v>5966</v>
      </c>
      <c r="AK148" s="96"/>
      <c r="AL148" s="166" t="s">
        <v>5967</v>
      </c>
      <c r="AM148" s="166" t="s">
        <v>4993</v>
      </c>
      <c r="AN148" s="166" t="s">
        <v>5968</v>
      </c>
      <c r="AO148" s="166" t="s">
        <v>1990</v>
      </c>
      <c r="AP148" s="166" t="s">
        <v>5969</v>
      </c>
      <c r="AQ148" s="166" t="s">
        <v>5970</v>
      </c>
      <c r="AR148" s="166" t="s">
        <v>5971</v>
      </c>
      <c r="AS148" s="166" t="s">
        <v>5972</v>
      </c>
      <c r="AT148" s="166" t="s">
        <v>601</v>
      </c>
      <c r="AU148" s="166" t="s">
        <v>1590</v>
      </c>
      <c r="AV148" s="166" t="s">
        <v>5973</v>
      </c>
      <c r="AW148" s="245"/>
      <c r="AX148" s="166" t="s">
        <v>5974</v>
      </c>
      <c r="AY148" s="166" t="s">
        <v>5975</v>
      </c>
      <c r="AZ148" s="245"/>
      <c r="BA148" s="172" t="s">
        <v>5976</v>
      </c>
      <c r="BB148" s="172" t="s">
        <v>5977</v>
      </c>
      <c r="BC148" s="172" t="s">
        <v>3168</v>
      </c>
      <c r="BD148" s="172" t="s">
        <v>2781</v>
      </c>
      <c r="BE148" s="172" t="s">
        <v>5978</v>
      </c>
      <c r="BF148" s="172" t="s">
        <v>5979</v>
      </c>
      <c r="BG148" s="172" t="s">
        <v>5980</v>
      </c>
      <c r="BH148" s="172" t="s">
        <v>5981</v>
      </c>
      <c r="BI148" s="171"/>
      <c r="BJ148" s="171"/>
      <c r="BK148" s="172" t="s">
        <v>458</v>
      </c>
      <c r="BL148" s="172" t="s">
        <v>5982</v>
      </c>
      <c r="BM148" s="172" t="s">
        <v>4253</v>
      </c>
      <c r="BN148" s="172" t="s">
        <v>561</v>
      </c>
      <c r="BO148" s="172" t="s">
        <v>5983</v>
      </c>
      <c r="BP148" s="247"/>
      <c r="BQ148" s="173" t="s">
        <v>5984</v>
      </c>
      <c r="BR148" s="173" t="s">
        <v>1162</v>
      </c>
      <c r="BS148" s="173" t="s">
        <v>954</v>
      </c>
      <c r="BT148" s="173" t="s">
        <v>2355</v>
      </c>
      <c r="BU148" s="173" t="s">
        <v>5985</v>
      </c>
      <c r="BV148" s="173" t="s">
        <v>5986</v>
      </c>
      <c r="BW148" s="173" t="s">
        <v>1591</v>
      </c>
      <c r="BX148" s="173" t="s">
        <v>1253</v>
      </c>
      <c r="BY148" s="250"/>
      <c r="BZ148" s="173" t="s">
        <v>5987</v>
      </c>
      <c r="CA148" s="173" t="s">
        <v>5988</v>
      </c>
      <c r="CB148" s="173" t="s">
        <v>454</v>
      </c>
      <c r="CC148" s="173" t="s">
        <v>181</v>
      </c>
      <c r="CD148" s="173" t="s">
        <v>5989</v>
      </c>
      <c r="CE148" s="251"/>
      <c r="CF148" s="175" t="s">
        <v>5990</v>
      </c>
      <c r="CG148" s="175" t="s">
        <v>1452</v>
      </c>
      <c r="CH148" s="175" t="s">
        <v>490</v>
      </c>
      <c r="CI148" s="175" t="s">
        <v>5991</v>
      </c>
      <c r="CJ148" s="175"/>
      <c r="CK148" s="175" t="s">
        <v>5005</v>
      </c>
      <c r="CL148" s="175" t="s">
        <v>5992</v>
      </c>
      <c r="CM148" s="175" t="s">
        <v>3743</v>
      </c>
      <c r="CN148" s="175" t="s">
        <v>2120</v>
      </c>
      <c r="CO148" s="175" t="s">
        <v>5993</v>
      </c>
      <c r="CP148" s="175" t="s">
        <v>5994</v>
      </c>
      <c r="CQ148" s="253"/>
      <c r="CR148" s="175" t="s">
        <v>5995</v>
      </c>
      <c r="CS148" s="175" t="s">
        <v>5996</v>
      </c>
      <c r="CT148" s="92"/>
      <c r="CU148" s="202" t="s">
        <v>2725</v>
      </c>
      <c r="CV148" s="202" t="s">
        <v>5997</v>
      </c>
      <c r="CW148" s="202" t="s">
        <v>2440</v>
      </c>
      <c r="CX148" s="202" t="s">
        <v>5998</v>
      </c>
      <c r="CY148" s="202" t="s">
        <v>1435</v>
      </c>
      <c r="CZ148" s="202" t="s">
        <v>4199</v>
      </c>
      <c r="DA148" s="202" t="s">
        <v>5999</v>
      </c>
      <c r="DB148" s="202" t="s">
        <v>6000</v>
      </c>
      <c r="DC148" s="202" t="s">
        <v>6001</v>
      </c>
      <c r="DD148" s="202" t="s">
        <v>4162</v>
      </c>
      <c r="DE148" s="202" t="s">
        <v>1824</v>
      </c>
      <c r="DF148" s="202" t="s">
        <v>6002</v>
      </c>
      <c r="DG148" s="255"/>
      <c r="DH148" s="203" t="s">
        <v>3977</v>
      </c>
      <c r="DI148" s="256"/>
      <c r="DJ148" s="203" t="s">
        <v>2669</v>
      </c>
      <c r="DK148" s="203" t="s">
        <v>2111</v>
      </c>
      <c r="DL148" s="203" t="s">
        <v>3273</v>
      </c>
      <c r="DM148" s="203" t="s">
        <v>2416</v>
      </c>
      <c r="DN148" s="203" t="s">
        <v>4062</v>
      </c>
      <c r="DO148" s="203" t="s">
        <v>6003</v>
      </c>
      <c r="DP148" s="203" t="s">
        <v>179</v>
      </c>
      <c r="DQ148" s="203" t="s">
        <v>5615</v>
      </c>
      <c r="DR148" s="203" t="s">
        <v>3123</v>
      </c>
      <c r="DS148" s="203" t="s">
        <v>4811</v>
      </c>
      <c r="DT148" s="203" t="s">
        <v>6004</v>
      </c>
      <c r="DU148" s="203" t="s">
        <v>6005</v>
      </c>
      <c r="DV148" s="203" t="s">
        <v>1125</v>
      </c>
      <c r="DW148" s="203" t="s">
        <v>3882</v>
      </c>
      <c r="DX148" s="203" t="s">
        <v>6006</v>
      </c>
      <c r="DY148" s="203" t="s">
        <v>4442</v>
      </c>
      <c r="DZ148" s="203" t="s">
        <v>2543</v>
      </c>
      <c r="EA148" s="203" t="s">
        <v>4988</v>
      </c>
      <c r="EB148" s="203" t="s">
        <v>2320</v>
      </c>
      <c r="EC148" s="671" t="s">
        <v>4421</v>
      </c>
    </row>
    <row r="149">
      <c r="A149" s="672" t="s">
        <v>6007</v>
      </c>
      <c r="B149" s="82" t="s">
        <v>6008</v>
      </c>
      <c r="C149" s="83" t="s">
        <v>1261</v>
      </c>
      <c r="D149" s="84" t="s">
        <v>547</v>
      </c>
      <c r="E149" s="85" t="s">
        <v>1261</v>
      </c>
      <c r="F149" s="86" t="s">
        <v>221</v>
      </c>
      <c r="G149" s="82" t="s">
        <v>4968</v>
      </c>
      <c r="H149" s="98"/>
      <c r="I149" s="93" t="s">
        <v>6009</v>
      </c>
      <c r="J149" s="93" t="s">
        <v>4338</v>
      </c>
      <c r="K149" s="88" t="s">
        <v>662</v>
      </c>
      <c r="L149" s="88" t="s">
        <v>6010</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6011</v>
      </c>
      <c r="CH149" s="98"/>
      <c r="CI149" s="101" t="s">
        <v>3891</v>
      </c>
      <c r="CJ149" s="101"/>
      <c r="CK149" s="101"/>
      <c r="CL149" s="98"/>
      <c r="CM149" s="98"/>
      <c r="CN149" s="93" t="s">
        <v>847</v>
      </c>
      <c r="CO149" s="98"/>
      <c r="CP149" s="98"/>
      <c r="CQ149" s="98"/>
      <c r="CR149" s="98"/>
      <c r="CS149" s="98"/>
      <c r="CT149" s="92"/>
      <c r="CU149" s="93" t="s">
        <v>6012</v>
      </c>
      <c r="CV149" s="98"/>
      <c r="CW149" s="88" t="s">
        <v>6013</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6014</v>
      </c>
      <c r="DS149" s="98"/>
      <c r="DT149" s="98"/>
      <c r="DU149" s="98"/>
      <c r="DV149" s="98"/>
      <c r="DW149" s="98"/>
      <c r="DX149" s="98"/>
      <c r="DY149" s="98"/>
      <c r="DZ149" s="98"/>
      <c r="EA149" s="98"/>
      <c r="EB149" s="98"/>
      <c r="EC149" s="342" t="s">
        <v>6015</v>
      </c>
    </row>
    <row r="150">
      <c r="A150" s="670" t="s">
        <v>6016</v>
      </c>
      <c r="B150" s="104" t="s">
        <v>6017</v>
      </c>
      <c r="C150" s="105" t="s">
        <v>1261</v>
      </c>
      <c r="D150" s="106" t="s">
        <v>1261</v>
      </c>
      <c r="E150" s="107" t="s">
        <v>1261</v>
      </c>
      <c r="F150" s="108" t="s">
        <v>3184</v>
      </c>
      <c r="G150" s="104" t="s">
        <v>5695</v>
      </c>
      <c r="H150" s="224"/>
      <c r="I150" s="110" t="s">
        <v>6018</v>
      </c>
      <c r="J150" s="112" t="s">
        <v>4687</v>
      </c>
      <c r="K150" s="112" t="s">
        <v>6019</v>
      </c>
      <c r="L150" s="112" t="s">
        <v>2097</v>
      </c>
      <c r="M150" s="534"/>
      <c r="N150" s="112" t="s">
        <v>713</v>
      </c>
      <c r="O150" s="437" t="s">
        <v>6020</v>
      </c>
      <c r="P150" s="112" t="s">
        <v>1866</v>
      </c>
      <c r="Q150" s="242"/>
      <c r="R150" s="242"/>
      <c r="S150" s="242"/>
      <c r="T150" s="242"/>
      <c r="U150" s="242"/>
      <c r="V150" s="242"/>
      <c r="W150" s="92"/>
      <c r="X150" s="115" t="s">
        <v>6021</v>
      </c>
      <c r="Y150" s="116" t="s">
        <v>6022</v>
      </c>
      <c r="Z150" s="116" t="s">
        <v>6023</v>
      </c>
      <c r="AA150" s="356" t="s">
        <v>2699</v>
      </c>
      <c r="AB150" s="116"/>
      <c r="AC150" s="116" t="s">
        <v>6024</v>
      </c>
      <c r="AD150" s="244"/>
      <c r="AE150" s="116"/>
      <c r="AF150" s="116"/>
      <c r="AG150" s="244"/>
      <c r="AH150" s="244"/>
      <c r="AI150" s="116"/>
      <c r="AJ150" s="244"/>
      <c r="AK150" s="96"/>
      <c r="AL150" s="123"/>
      <c r="AM150" s="123"/>
      <c r="AN150" s="245"/>
      <c r="AO150" s="245"/>
      <c r="AP150" s="166"/>
      <c r="AQ150" s="166"/>
      <c r="AR150" s="245"/>
      <c r="AS150" s="245"/>
      <c r="AT150" s="120" t="s">
        <v>1195</v>
      </c>
      <c r="AU150" s="120" t="s">
        <v>6025</v>
      </c>
      <c r="AV150" s="123"/>
      <c r="AW150" s="245"/>
      <c r="AX150" s="245"/>
      <c r="AY150" s="245"/>
      <c r="AZ150" s="245"/>
      <c r="BA150" s="125" t="s">
        <v>6026</v>
      </c>
      <c r="BB150" s="300" t="s">
        <v>6027</v>
      </c>
      <c r="BC150" s="535"/>
      <c r="BD150" s="125" t="s">
        <v>1545</v>
      </c>
      <c r="BE150" s="125" t="s">
        <v>4547</v>
      </c>
      <c r="BF150" s="535"/>
      <c r="BG150" s="171"/>
      <c r="BH150" s="125" t="s">
        <v>3044</v>
      </c>
      <c r="BI150" s="300" t="s">
        <v>5804</v>
      </c>
      <c r="BJ150" s="535"/>
      <c r="BK150" s="535"/>
      <c r="BL150" s="171"/>
      <c r="BM150" s="171"/>
      <c r="BN150" s="535"/>
      <c r="BO150" s="171"/>
      <c r="BP150" s="247"/>
      <c r="BQ150" s="130" t="s">
        <v>2504</v>
      </c>
      <c r="BR150" s="130" t="s">
        <v>6028</v>
      </c>
      <c r="BS150" s="130"/>
      <c r="BT150" s="130" t="s">
        <v>3096</v>
      </c>
      <c r="BU150" s="130" t="s">
        <v>6029</v>
      </c>
      <c r="BV150" s="130"/>
      <c r="BW150" s="250"/>
      <c r="BX150" s="130"/>
      <c r="BY150" s="130"/>
      <c r="BZ150" s="130"/>
      <c r="CA150" s="250"/>
      <c r="CB150" s="250"/>
      <c r="CC150" s="250"/>
      <c r="CD150" s="250"/>
      <c r="CE150" s="251"/>
      <c r="CF150" s="135" t="s">
        <v>6030</v>
      </c>
      <c r="CG150" s="135" t="s">
        <v>4082</v>
      </c>
      <c r="CH150" s="135" t="s">
        <v>3440</v>
      </c>
      <c r="CI150" s="135" t="s">
        <v>6031</v>
      </c>
      <c r="CJ150" s="135"/>
      <c r="CK150" s="135"/>
      <c r="CL150" s="135" t="s">
        <v>6032</v>
      </c>
      <c r="CM150" s="134" t="s">
        <v>2845</v>
      </c>
      <c r="CN150" s="135"/>
      <c r="CO150" s="536"/>
      <c r="CP150" s="253"/>
      <c r="CQ150" s="253"/>
      <c r="CR150" s="253"/>
      <c r="CS150" s="253"/>
      <c r="CT150" s="92"/>
      <c r="CU150" s="139" t="s">
        <v>5294</v>
      </c>
      <c r="CV150" s="283"/>
      <c r="CW150" s="373" t="s">
        <v>6033</v>
      </c>
      <c r="CX150" s="283"/>
      <c r="CY150" s="139" t="s">
        <v>6034</v>
      </c>
      <c r="CZ150" s="283"/>
      <c r="DA150" s="139" t="s">
        <v>6035</v>
      </c>
      <c r="DB150" s="283"/>
      <c r="DC150" s="254"/>
      <c r="DD150" s="254"/>
      <c r="DE150" s="254"/>
      <c r="DF150" s="254"/>
      <c r="DG150" s="255"/>
      <c r="DH150" s="204"/>
      <c r="DI150" s="256"/>
      <c r="DJ150" s="256"/>
      <c r="DK150" s="204"/>
      <c r="DL150" s="204"/>
      <c r="DM150" s="204"/>
      <c r="DN150" s="256"/>
      <c r="DO150" s="256"/>
      <c r="DP150" s="256"/>
      <c r="DQ150" s="204" t="s">
        <v>6036</v>
      </c>
      <c r="DR150" s="204"/>
      <c r="DS150" s="256"/>
      <c r="DT150" s="204"/>
      <c r="DU150" s="256"/>
      <c r="DV150" s="256"/>
      <c r="DW150" s="256"/>
      <c r="DX150" s="256"/>
      <c r="DY150" s="256"/>
      <c r="DZ150" s="204"/>
      <c r="EA150" s="256"/>
      <c r="EB150" s="256"/>
      <c r="EC150" s="285"/>
    </row>
    <row r="151">
      <c r="A151" s="673" t="s">
        <v>6037</v>
      </c>
      <c r="B151" s="82" t="s">
        <v>6038</v>
      </c>
      <c r="C151" s="83" t="s">
        <v>1261</v>
      </c>
      <c r="D151" s="84" t="s">
        <v>1261</v>
      </c>
      <c r="E151" s="85" t="s">
        <v>1261</v>
      </c>
      <c r="F151" s="86" t="s">
        <v>440</v>
      </c>
      <c r="G151" s="82" t="s">
        <v>2867</v>
      </c>
      <c r="H151" s="258"/>
      <c r="I151" s="258" t="s">
        <v>2688</v>
      </c>
      <c r="J151" s="97" t="s">
        <v>6039</v>
      </c>
      <c r="K151" s="258" t="s">
        <v>6040</v>
      </c>
      <c r="L151" s="102" t="s">
        <v>4129</v>
      </c>
      <c r="M151" s="102" t="s">
        <v>6041</v>
      </c>
      <c r="N151" s="102" t="s">
        <v>5653</v>
      </c>
      <c r="O151" s="102" t="s">
        <v>6042</v>
      </c>
      <c r="P151" s="102" t="s">
        <v>3092</v>
      </c>
      <c r="Q151" s="98"/>
      <c r="R151" s="98"/>
      <c r="S151" s="98"/>
      <c r="T151" s="98"/>
      <c r="U151" s="98"/>
      <c r="V151" s="98"/>
      <c r="W151" s="92"/>
      <c r="X151" s="102"/>
      <c r="Y151" s="88" t="s">
        <v>2809</v>
      </c>
      <c r="Z151" s="102" t="s">
        <v>5092</v>
      </c>
      <c r="AA151" s="264"/>
      <c r="AB151" s="102" t="s">
        <v>4343</v>
      </c>
      <c r="AC151" s="102"/>
      <c r="AD151" s="98"/>
      <c r="AE151" s="102" t="s">
        <v>6043</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5912</v>
      </c>
      <c r="BW151" s="98"/>
      <c r="BX151" s="102"/>
      <c r="BY151" s="102" t="s">
        <v>6046</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74" t="s">
        <v>5335</v>
      </c>
      <c r="CX151" s="67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547</v>
      </c>
      <c r="G152" s="104" t="s">
        <v>1203</v>
      </c>
      <c r="H152" s="242"/>
      <c r="I152" s="242"/>
      <c r="J152" s="165" t="s">
        <v>6052</v>
      </c>
      <c r="K152" s="165" t="s">
        <v>662</v>
      </c>
      <c r="L152" s="165" t="s">
        <v>6053</v>
      </c>
      <c r="M152" s="242"/>
      <c r="N152" s="165" t="s">
        <v>2561</v>
      </c>
      <c r="O152" s="165" t="s">
        <v>6054</v>
      </c>
      <c r="P152" s="242"/>
      <c r="Q152" s="242"/>
      <c r="R152" s="242"/>
      <c r="S152" s="242"/>
      <c r="T152" s="242"/>
      <c r="U152" s="242"/>
      <c r="V152" s="242"/>
      <c r="W152" s="92"/>
      <c r="X152" s="244"/>
      <c r="Y152" s="244"/>
      <c r="Z152" s="195" t="s">
        <v>6055</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6056</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439</v>
      </c>
      <c r="G153" s="82" t="s">
        <v>5695</v>
      </c>
      <c r="H153" s="93"/>
      <c r="I153" s="88" t="s">
        <v>6059</v>
      </c>
      <c r="J153" s="88" t="s">
        <v>1660</v>
      </c>
      <c r="K153" s="88" t="s">
        <v>1829</v>
      </c>
      <c r="L153" s="88" t="s">
        <v>6060</v>
      </c>
      <c r="M153" s="93" t="s">
        <v>6061</v>
      </c>
      <c r="N153" s="93" t="s">
        <v>3639</v>
      </c>
      <c r="O153" s="93" t="s">
        <v>5707</v>
      </c>
      <c r="P153" s="93" t="s">
        <v>3854</v>
      </c>
      <c r="Q153" s="98"/>
      <c r="R153" s="98"/>
      <c r="S153" s="98"/>
      <c r="T153" s="98"/>
      <c r="U153" s="98"/>
      <c r="V153" s="98"/>
      <c r="W153" s="92"/>
      <c r="X153" s="93" t="s">
        <v>6062</v>
      </c>
      <c r="Y153" s="98"/>
      <c r="Z153" s="93" t="s">
        <v>675</v>
      </c>
      <c r="AA153" s="93" t="s">
        <v>5899</v>
      </c>
      <c r="AB153" s="88" t="s">
        <v>5431</v>
      </c>
      <c r="AC153" s="98"/>
      <c r="AD153" s="98"/>
      <c r="AE153" s="93" t="s">
        <v>6063</v>
      </c>
      <c r="AF153" s="93" t="s">
        <v>305</v>
      </c>
      <c r="AG153" s="98"/>
      <c r="AH153" s="98"/>
      <c r="AI153" s="98"/>
      <c r="AJ153" s="98"/>
      <c r="AK153" s="96"/>
      <c r="AL153" s="93"/>
      <c r="AM153" s="93" t="s">
        <v>5454</v>
      </c>
      <c r="AN153" s="98"/>
      <c r="AO153" s="98"/>
      <c r="AP153" s="98"/>
      <c r="AQ153" s="98"/>
      <c r="AR153" s="98"/>
      <c r="AS153" s="98"/>
      <c r="AT153" s="93" t="s">
        <v>6064</v>
      </c>
      <c r="AU153" s="98"/>
      <c r="AV153" s="93" t="s">
        <v>197</v>
      </c>
      <c r="AW153" s="98"/>
      <c r="AX153" s="98"/>
      <c r="AY153" s="98"/>
      <c r="AZ153" s="98"/>
      <c r="BA153" s="98"/>
      <c r="BB153" s="93" t="s">
        <v>5691</v>
      </c>
      <c r="BC153" s="98"/>
      <c r="BD153" s="93" t="s">
        <v>6065</v>
      </c>
      <c r="BE153" s="93" t="s">
        <v>1461</v>
      </c>
      <c r="BF153" s="93" t="s">
        <v>4716</v>
      </c>
      <c r="BG153" s="98"/>
      <c r="BH153" s="88" t="s">
        <v>6066</v>
      </c>
      <c r="BI153" s="98"/>
      <c r="BJ153" s="98"/>
      <c r="BK153" s="93" t="s">
        <v>1356</v>
      </c>
      <c r="BL153" s="98"/>
      <c r="BM153" s="98"/>
      <c r="BN153" s="98"/>
      <c r="BO153" s="98"/>
      <c r="BP153" s="235"/>
      <c r="BQ153" s="93"/>
      <c r="BR153" s="98"/>
      <c r="BS153" s="98"/>
      <c r="BT153" s="93" t="s">
        <v>6067</v>
      </c>
      <c r="BU153" s="98"/>
      <c r="BV153" s="93" t="s">
        <v>2044</v>
      </c>
      <c r="BW153" s="98"/>
      <c r="BX153" s="93" t="s">
        <v>6068</v>
      </c>
      <c r="BY153" s="98"/>
      <c r="BZ153" s="93" t="s">
        <v>6069</v>
      </c>
      <c r="CA153" s="98"/>
      <c r="CB153" s="98"/>
      <c r="CC153" s="98"/>
      <c r="CD153" s="98"/>
      <c r="CE153" s="235"/>
      <c r="CF153" s="98"/>
      <c r="CG153" s="93" t="s">
        <v>6070</v>
      </c>
      <c r="CH153" s="98"/>
      <c r="CI153" s="101" t="s">
        <v>6071</v>
      </c>
      <c r="CJ153" s="101"/>
      <c r="CK153" s="101" t="s">
        <v>5671</v>
      </c>
      <c r="CL153" s="98"/>
      <c r="CM153" s="98"/>
      <c r="CN153" s="98"/>
      <c r="CO153" s="98"/>
      <c r="CP153" s="98"/>
      <c r="CQ153" s="98"/>
      <c r="CR153" s="98"/>
      <c r="CS153" s="98"/>
      <c r="CT153" s="92"/>
      <c r="CU153" s="98"/>
      <c r="CV153" s="93" t="s">
        <v>5573</v>
      </c>
      <c r="CW153" s="93" t="s">
        <v>6072</v>
      </c>
      <c r="CX153" s="98"/>
      <c r="CY153" s="98"/>
      <c r="CZ153" s="93" t="s">
        <v>5371</v>
      </c>
      <c r="DA153" s="101" t="s">
        <v>5515</v>
      </c>
      <c r="DB153" s="93" t="s">
        <v>6073</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6074</v>
      </c>
      <c r="B154" s="104" t="s">
        <v>6075</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6076</v>
      </c>
      <c r="B155" s="82" t="s">
        <v>6077</v>
      </c>
      <c r="C155" s="83" t="s">
        <v>1261</v>
      </c>
      <c r="D155" s="84" t="s">
        <v>1261</v>
      </c>
      <c r="E155" s="85" t="s">
        <v>1261</v>
      </c>
      <c r="F155" s="86" t="s">
        <v>1261</v>
      </c>
      <c r="G155" s="82" t="s">
        <v>2230</v>
      </c>
      <c r="H155" s="102"/>
      <c r="I155" s="94" t="s">
        <v>5125</v>
      </c>
      <c r="J155" s="102" t="s">
        <v>6078</v>
      </c>
      <c r="K155" s="102" t="s">
        <v>6079</v>
      </c>
      <c r="L155" s="102" t="s">
        <v>2352</v>
      </c>
      <c r="M155" s="102" t="s">
        <v>6080</v>
      </c>
      <c r="N155" s="102" t="s">
        <v>1025</v>
      </c>
      <c r="O155" s="102" t="s">
        <v>482</v>
      </c>
      <c r="P155" s="102" t="s">
        <v>763</v>
      </c>
      <c r="Q155" s="98"/>
      <c r="R155" s="98"/>
      <c r="S155" s="93"/>
      <c r="T155" s="98"/>
      <c r="U155" s="98"/>
      <c r="V155" s="98"/>
      <c r="W155" s="92"/>
      <c r="X155" s="102" t="s">
        <v>5183</v>
      </c>
      <c r="Y155" s="102" t="s">
        <v>2020</v>
      </c>
      <c r="Z155" s="102" t="s">
        <v>6081</v>
      </c>
      <c r="AA155" s="264" t="s">
        <v>6082</v>
      </c>
      <c r="AB155" s="102" t="s">
        <v>6083</v>
      </c>
      <c r="AC155" s="102" t="s">
        <v>3586</v>
      </c>
      <c r="AD155" s="98"/>
      <c r="AE155" s="102" t="s">
        <v>6084</v>
      </c>
      <c r="AF155" s="102" t="s">
        <v>6085</v>
      </c>
      <c r="AG155" s="98"/>
      <c r="AH155" s="98"/>
      <c r="AI155" s="102"/>
      <c r="AJ155" s="98"/>
      <c r="AK155" s="96"/>
      <c r="AL155" s="102"/>
      <c r="AM155" s="102"/>
      <c r="AN155" s="98"/>
      <c r="AO155" s="98"/>
      <c r="AP155" s="93"/>
      <c r="AQ155" s="93"/>
      <c r="AR155" s="98"/>
      <c r="AS155" s="98"/>
      <c r="AT155" s="102" t="s">
        <v>3774</v>
      </c>
      <c r="AU155" s="102" t="s">
        <v>4232</v>
      </c>
      <c r="AV155" s="102"/>
      <c r="AW155" s="98"/>
      <c r="AX155" s="98"/>
      <c r="AY155" s="98"/>
      <c r="AZ155" s="98"/>
      <c r="BA155" s="102" t="s">
        <v>5978</v>
      </c>
      <c r="BB155" s="102" t="s">
        <v>4931</v>
      </c>
      <c r="BC155" s="102" t="s">
        <v>1079</v>
      </c>
      <c r="BD155" s="102" t="s">
        <v>6086</v>
      </c>
      <c r="BE155" s="102" t="s">
        <v>6087</v>
      </c>
      <c r="BF155" s="102"/>
      <c r="BG155" s="98"/>
      <c r="BH155" s="102" t="s">
        <v>6088</v>
      </c>
      <c r="BI155" s="93" t="s">
        <v>6089</v>
      </c>
      <c r="BJ155" s="102"/>
      <c r="BK155" s="102" t="s">
        <v>1886</v>
      </c>
      <c r="BL155" s="98"/>
      <c r="BM155" s="98"/>
      <c r="BN155" s="102"/>
      <c r="BO155" s="98"/>
      <c r="BP155" s="235"/>
      <c r="BQ155" s="654" t="s">
        <v>6090</v>
      </c>
      <c r="BR155" s="102" t="s">
        <v>1358</v>
      </c>
      <c r="BS155" s="102" t="s">
        <v>5507</v>
      </c>
      <c r="BT155" s="102" t="s">
        <v>6091</v>
      </c>
      <c r="BU155" s="102" t="s">
        <v>6092</v>
      </c>
      <c r="BV155" s="102" t="s">
        <v>1525</v>
      </c>
      <c r="BW155" s="93" t="s">
        <v>4188</v>
      </c>
      <c r="BX155" s="102" t="s">
        <v>6093</v>
      </c>
      <c r="BY155" s="102"/>
      <c r="BZ155" s="102" t="s">
        <v>1447</v>
      </c>
      <c r="CA155" s="98"/>
      <c r="CB155" s="98"/>
      <c r="CC155" s="98"/>
      <c r="CD155" s="98"/>
      <c r="CE155" s="235"/>
      <c r="CF155" s="102" t="s">
        <v>6094</v>
      </c>
      <c r="CG155" s="102" t="s">
        <v>2125</v>
      </c>
      <c r="CH155" s="102" t="s">
        <v>4138</v>
      </c>
      <c r="CI155" s="102"/>
      <c r="CJ155" s="102" t="s">
        <v>6095</v>
      </c>
      <c r="CK155" s="102" t="s">
        <v>363</v>
      </c>
      <c r="CL155" s="102" t="s">
        <v>6096</v>
      </c>
      <c r="CM155" s="102" t="s">
        <v>6097</v>
      </c>
      <c r="CN155" s="102" t="s">
        <v>6098</v>
      </c>
      <c r="CO155" s="220"/>
      <c r="CP155" s="98"/>
      <c r="CQ155" s="98"/>
      <c r="CR155" s="98"/>
      <c r="CS155" s="98"/>
      <c r="CT155" s="92"/>
      <c r="CU155" s="102" t="s">
        <v>5102</v>
      </c>
      <c r="CV155" s="102" t="s">
        <v>2847</v>
      </c>
      <c r="CW155" s="102" t="s">
        <v>1710</v>
      </c>
      <c r="CX155" s="102" t="s">
        <v>4208</v>
      </c>
      <c r="CY155" s="102" t="s">
        <v>6099</v>
      </c>
      <c r="CZ155" s="102" t="s">
        <v>5657</v>
      </c>
      <c r="DA155" s="102" t="s">
        <v>2687</v>
      </c>
      <c r="DB155" s="102" t="s">
        <v>6081</v>
      </c>
      <c r="DC155" s="98"/>
      <c r="DD155" s="98"/>
      <c r="DE155" s="98"/>
      <c r="DF155" s="98"/>
      <c r="DG155" s="235"/>
      <c r="DH155" s="102" t="s">
        <v>2820</v>
      </c>
      <c r="DI155" s="98"/>
      <c r="DJ155" s="98"/>
      <c r="DK155" s="102"/>
      <c r="DL155" s="102"/>
      <c r="DM155" s="102"/>
      <c r="DN155" s="98"/>
      <c r="DO155" s="98"/>
      <c r="DP155" s="98"/>
      <c r="DQ155" s="102" t="s">
        <v>6100</v>
      </c>
      <c r="DR155" s="102" t="s">
        <v>4379</v>
      </c>
      <c r="DS155" s="98"/>
      <c r="DT155" s="102"/>
      <c r="DU155" s="98"/>
      <c r="DV155" s="98"/>
      <c r="DW155" s="98"/>
      <c r="DX155" s="98"/>
      <c r="DY155" s="98"/>
      <c r="DZ155" s="102"/>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6098</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6138</v>
      </c>
      <c r="B160" s="104" t="s">
        <v>6139</v>
      </c>
      <c r="C160" s="105" t="s">
        <v>1261</v>
      </c>
      <c r="D160" s="106" t="s">
        <v>1261</v>
      </c>
      <c r="E160" s="107" t="s">
        <v>1261</v>
      </c>
      <c r="F160" s="108" t="s">
        <v>1261</v>
      </c>
      <c r="G160" s="104" t="s">
        <v>4850</v>
      </c>
      <c r="H160" s="678"/>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7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666"/>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5826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681"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5881</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669"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6081</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78"/>
      <c r="I168" s="242"/>
      <c r="J168" s="242"/>
      <c r="K168" s="165" t="s">
        <v>5917</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6224</v>
      </c>
      <c r="B169" s="82" t="s">
        <v>6225</v>
      </c>
      <c r="C169" s="83" t="s">
        <v>1261</v>
      </c>
      <c r="D169" s="84" t="s">
        <v>1261</v>
      </c>
      <c r="E169" s="85" t="s">
        <v>1261</v>
      </c>
      <c r="F169" s="86" t="s">
        <v>547</v>
      </c>
      <c r="G169" s="82" t="s">
        <v>6226</v>
      </c>
      <c r="H169" s="98"/>
      <c r="I169" s="597" t="s">
        <v>6227</v>
      </c>
      <c r="J169" s="93" t="s">
        <v>6126</v>
      </c>
      <c r="K169" s="93" t="s">
        <v>3095</v>
      </c>
      <c r="L169" s="93" t="s">
        <v>6228</v>
      </c>
      <c r="M169" s="98"/>
      <c r="N169" s="98"/>
      <c r="O169" s="98"/>
      <c r="P169" s="93" t="s">
        <v>2932</v>
      </c>
      <c r="Q169" s="98"/>
      <c r="R169" s="98"/>
      <c r="S169" s="98"/>
      <c r="T169" s="98"/>
      <c r="U169" s="98"/>
      <c r="V169" s="98"/>
      <c r="W169" s="92"/>
      <c r="X169" s="597" t="s">
        <v>1906</v>
      </c>
      <c r="Y169" s="98"/>
      <c r="Z169" s="93" t="s">
        <v>3227</v>
      </c>
      <c r="AA169" s="97" t="str">
        <f>HYPERLINK("https://clips.twitch.tv/DeliciousHomelyChoughMingLee","53.66")</f>
        <v>53.66</v>
      </c>
      <c r="AB169" s="93" t="s">
        <v>4876</v>
      </c>
      <c r="AC169" s="93" t="s">
        <v>6142</v>
      </c>
      <c r="AD169" s="98"/>
      <c r="AE169" s="98"/>
      <c r="AF169" s="93" t="s">
        <v>2932</v>
      </c>
      <c r="AG169" s="98"/>
      <c r="AH169" s="98"/>
      <c r="AI169" s="98"/>
      <c r="AJ169" s="98"/>
      <c r="AK169" s="96"/>
      <c r="AL169" s="98"/>
      <c r="AM169" s="98"/>
      <c r="AN169" s="98"/>
      <c r="AO169" s="98"/>
      <c r="AP169" s="98"/>
      <c r="AQ169" s="98"/>
      <c r="AR169" s="98"/>
      <c r="AS169" s="98"/>
      <c r="AT169" s="93" t="s">
        <v>6229</v>
      </c>
      <c r="AU169" s="93" t="s">
        <v>6230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1992</v>
      </c>
      <c r="CV169" s="93" t="s">
        <v>6231</v>
      </c>
      <c r="CW169" s="93" t="s">
        <v>5335</v>
      </c>
      <c r="CX169" s="98"/>
      <c r="CY169" s="93"/>
      <c r="CZ169" s="98"/>
      <c r="DA169" s="93" t="s">
        <v>6232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6233</v>
      </c>
      <c r="B170" s="104" t="s">
        <v>6234</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2519</v>
      </c>
      <c r="CX170" s="254"/>
      <c r="CY170" s="254"/>
      <c r="CZ170" s="254"/>
      <c r="DA170" s="254"/>
      <c r="DB170" s="139" t="s">
        <v>2662</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6236</v>
      </c>
      <c r="B171" s="82" t="s">
        <v>6237</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6238</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6239</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6240</v>
      </c>
      <c r="B172" s="104" t="s">
        <v>6241</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6242</v>
      </c>
      <c r="B173" s="82" t="s">
        <v>6243</v>
      </c>
      <c r="C173" s="83" t="s">
        <v>1261</v>
      </c>
      <c r="D173" s="84" t="s">
        <v>1261</v>
      </c>
      <c r="E173" s="85" t="s">
        <v>1261</v>
      </c>
      <c r="F173" s="86" t="s">
        <v>1261</v>
      </c>
      <c r="G173" s="82" t="s">
        <v>4661</v>
      </c>
      <c r="H173" s="93"/>
      <c r="I173" s="93" t="s">
        <v>6244</v>
      </c>
      <c r="J173" s="93" t="s">
        <v>3008</v>
      </c>
      <c r="K173" s="93" t="s">
        <v>754</v>
      </c>
      <c r="L173" s="93" t="s">
        <v>6245</v>
      </c>
      <c r="M173" s="93" t="s">
        <v>6246</v>
      </c>
      <c r="N173" s="93" t="s">
        <v>6247</v>
      </c>
      <c r="O173" s="93" t="s">
        <v>6248</v>
      </c>
      <c r="P173" s="93" t="s">
        <v>1877</v>
      </c>
      <c r="Q173" s="98"/>
      <c r="R173" s="98"/>
      <c r="S173" s="98"/>
      <c r="T173" s="98"/>
      <c r="U173" s="98"/>
      <c r="V173" s="98"/>
      <c r="W173" s="92"/>
      <c r="X173" s="93" t="s">
        <v>6249</v>
      </c>
      <c r="Y173" s="93"/>
      <c r="Z173" s="93" t="s">
        <v>6161</v>
      </c>
      <c r="AA173" s="98"/>
      <c r="AB173" s="93" t="s">
        <v>6250</v>
      </c>
      <c r="AC173" s="93" t="s">
        <v>3456</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6251</v>
      </c>
      <c r="BB173" s="93" t="s">
        <v>790</v>
      </c>
      <c r="BC173" s="93" t="s">
        <v>916</v>
      </c>
      <c r="BD173" s="93" t="s">
        <v>3570</v>
      </c>
      <c r="BE173" s="93" t="s">
        <v>6252</v>
      </c>
      <c r="BF173" s="98"/>
      <c r="BG173" s="98"/>
      <c r="BH173" s="93" t="s">
        <v>3196</v>
      </c>
      <c r="BI173" s="98"/>
      <c r="BJ173" s="98"/>
      <c r="BK173" s="93" t="s">
        <v>530</v>
      </c>
      <c r="BL173" s="98"/>
      <c r="BM173" s="98"/>
      <c r="BN173" s="98"/>
      <c r="BO173" s="98"/>
      <c r="BP173" s="235"/>
      <c r="BQ173" s="93" t="s">
        <v>6253</v>
      </c>
      <c r="BR173" s="93" t="s">
        <v>6254</v>
      </c>
      <c r="BS173" s="93" t="s">
        <v>954</v>
      </c>
      <c r="BT173" s="93" t="s">
        <v>536</v>
      </c>
      <c r="BU173" s="93" t="s">
        <v>6255</v>
      </c>
      <c r="BV173" s="93" t="s">
        <v>1290</v>
      </c>
      <c r="BW173" s="98"/>
      <c r="BX173" s="98"/>
      <c r="BY173" s="98"/>
      <c r="BZ173" s="93" t="s">
        <v>894</v>
      </c>
      <c r="CA173" s="98"/>
      <c r="CB173" s="98"/>
      <c r="CC173" s="98"/>
      <c r="CD173" s="98"/>
      <c r="CE173" s="235"/>
      <c r="CF173" s="93" t="s">
        <v>4744</v>
      </c>
      <c r="CG173" s="93" t="s">
        <v>2068</v>
      </c>
      <c r="CH173" s="98"/>
      <c r="CI173" s="98"/>
      <c r="CJ173" s="98"/>
      <c r="CK173" s="98"/>
      <c r="CL173" s="98"/>
      <c r="CM173" s="93" t="s">
        <v>4626</v>
      </c>
      <c r="CN173" s="93" t="s">
        <v>1502</v>
      </c>
      <c r="CO173" s="98"/>
      <c r="CP173" s="98"/>
      <c r="CQ173" s="98"/>
      <c r="CR173" s="98"/>
      <c r="CS173" s="98"/>
      <c r="CT173" s="92"/>
      <c r="CU173" s="93" t="s">
        <v>5151</v>
      </c>
      <c r="CV173" s="98"/>
      <c r="CW173" s="93" t="s">
        <v>6256</v>
      </c>
      <c r="CX173" s="93" t="s">
        <v>3097</v>
      </c>
      <c r="CY173" s="93" t="s">
        <v>6257</v>
      </c>
      <c r="CZ173" s="93" t="s">
        <v>6097</v>
      </c>
      <c r="DA173" s="93" t="s">
        <v>6258</v>
      </c>
      <c r="DB173" s="93" t="s">
        <v>6259</v>
      </c>
      <c r="DC173" s="98"/>
      <c r="DD173" s="98"/>
      <c r="DE173" s="98"/>
      <c r="DF173" s="98"/>
      <c r="DG173" s="235"/>
      <c r="DH173" s="98"/>
      <c r="DI173" s="98"/>
      <c r="DJ173" s="98"/>
      <c r="DK173" s="98"/>
      <c r="DL173" s="98"/>
      <c r="DM173" s="98"/>
      <c r="DN173" s="98"/>
      <c r="DO173" s="98"/>
      <c r="DP173" s="98"/>
      <c r="DQ173" s="98"/>
      <c r="DR173" s="93" t="s">
        <v>2703</v>
      </c>
      <c r="DS173" s="98"/>
      <c r="DT173" s="98"/>
      <c r="DU173" s="98"/>
      <c r="DV173" s="98"/>
      <c r="DW173" s="98"/>
      <c r="DX173" s="98"/>
      <c r="DY173" s="98"/>
      <c r="DZ173" s="98"/>
      <c r="EA173" s="98"/>
      <c r="EB173" s="98"/>
      <c r="EC173" s="258"/>
    </row>
    <row r="174">
      <c r="A174" s="164" t="s">
        <v>6260</v>
      </c>
      <c r="B174" s="104" t="s">
        <v>6261</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6262</v>
      </c>
      <c r="B175" s="82" t="s">
        <v>6263</v>
      </c>
      <c r="C175" s="83" t="s">
        <v>547</v>
      </c>
      <c r="D175" s="84" t="s">
        <v>1261</v>
      </c>
      <c r="E175" s="85" t="s">
        <v>1261</v>
      </c>
      <c r="F175" s="86" t="s">
        <v>547</v>
      </c>
      <c r="G175" s="82" t="s">
        <v>3986</v>
      </c>
      <c r="H175" s="689" t="s">
        <v>2994</v>
      </c>
      <c r="I175" s="689" t="s">
        <v>6264</v>
      </c>
      <c r="J175" s="689" t="s">
        <v>6265</v>
      </c>
      <c r="K175" s="689" t="s">
        <v>754</v>
      </c>
      <c r="L175" s="689" t="s">
        <v>911</v>
      </c>
      <c r="M175" s="690"/>
      <c r="N175" s="689" t="s">
        <v>6266</v>
      </c>
      <c r="O175" s="689" t="s">
        <v>6267</v>
      </c>
      <c r="P175" s="689" t="s">
        <v>5359</v>
      </c>
      <c r="Q175" s="690"/>
      <c r="R175" s="690"/>
      <c r="S175" s="690"/>
      <c r="T175" s="690"/>
      <c r="U175" s="690"/>
      <c r="V175" s="690"/>
      <c r="W175" s="691"/>
      <c r="X175" s="689" t="s">
        <v>6268</v>
      </c>
      <c r="Y175" s="692" t="s">
        <v>380</v>
      </c>
      <c r="Z175" s="692" t="s">
        <v>869</v>
      </c>
      <c r="AA175" s="692" t="s">
        <v>3897</v>
      </c>
      <c r="AB175" s="689" t="s">
        <v>6269</v>
      </c>
      <c r="AC175" s="692" t="s">
        <v>6270</v>
      </c>
      <c r="AD175" s="690"/>
      <c r="AE175" s="690"/>
      <c r="AF175" s="692" t="s">
        <v>370</v>
      </c>
      <c r="AG175" s="690"/>
      <c r="AH175" s="690"/>
      <c r="AI175" s="690"/>
      <c r="AJ175" s="690"/>
      <c r="AK175" s="693"/>
      <c r="AL175" s="690"/>
      <c r="AM175" s="690"/>
      <c r="AN175" s="690"/>
      <c r="AO175" s="690"/>
      <c r="AP175" s="690"/>
      <c r="AQ175" s="690"/>
      <c r="AR175" s="690"/>
      <c r="AS175" s="690"/>
      <c r="AT175" s="690"/>
      <c r="AU175" s="689" t="s">
        <v>2038</v>
      </c>
      <c r="AV175" s="690"/>
      <c r="AW175" s="690"/>
      <c r="AX175" s="690"/>
      <c r="AY175" s="690"/>
      <c r="AZ175" s="690"/>
      <c r="BA175" s="690"/>
      <c r="BB175" s="690"/>
      <c r="BC175" s="690"/>
      <c r="BD175" s="690"/>
      <c r="BE175" s="690"/>
      <c r="BF175" s="690"/>
      <c r="BG175" s="690"/>
      <c r="BH175" s="689" t="s">
        <v>4174</v>
      </c>
      <c r="BI175" s="690"/>
      <c r="BJ175" s="690"/>
      <c r="BK175" s="690"/>
      <c r="BL175" s="690"/>
      <c r="BM175" s="690"/>
      <c r="BN175" s="690"/>
      <c r="BO175" s="690"/>
      <c r="BP175" s="694"/>
      <c r="BQ175" s="690"/>
      <c r="BR175" s="690"/>
      <c r="BS175" s="689" t="s">
        <v>3423</v>
      </c>
      <c r="BT175" s="692" t="s">
        <v>2898</v>
      </c>
      <c r="BU175" s="690"/>
      <c r="BV175" s="690"/>
      <c r="BW175" s="690"/>
      <c r="BX175" s="690"/>
      <c r="BY175" s="690"/>
      <c r="BZ175" s="690"/>
      <c r="CA175" s="690"/>
      <c r="CB175" s="690"/>
      <c r="CC175" s="690"/>
      <c r="CD175" s="690"/>
      <c r="CE175" s="694"/>
      <c r="CF175" s="690"/>
      <c r="CG175" s="689" t="s">
        <v>6271</v>
      </c>
      <c r="CH175" s="690"/>
      <c r="CI175" s="690"/>
      <c r="CJ175" s="690"/>
      <c r="CK175" s="690"/>
      <c r="CL175" s="690"/>
      <c r="CM175" s="690"/>
      <c r="CN175" s="690"/>
      <c r="CO175" s="690"/>
      <c r="CP175" s="690"/>
      <c r="CQ175" s="690"/>
      <c r="CR175" s="690"/>
      <c r="CS175" s="690"/>
      <c r="CT175" s="695"/>
      <c r="CU175" s="689" t="s">
        <v>5210</v>
      </c>
      <c r="CV175" s="689" t="s">
        <v>2469</v>
      </c>
      <c r="CW175" s="689" t="s">
        <v>5148</v>
      </c>
      <c r="CX175" s="690"/>
      <c r="CY175" s="690"/>
      <c r="CZ175" s="690"/>
      <c r="DA175" s="689" t="s">
        <v>6272</v>
      </c>
      <c r="DB175" s="692" t="s">
        <v>5835</v>
      </c>
      <c r="DC175" s="690"/>
      <c r="DD175" s="690"/>
      <c r="DE175" s="690"/>
      <c r="DF175" s="690"/>
      <c r="DG175" s="694"/>
      <c r="DH175" s="690"/>
      <c r="DI175" s="690"/>
      <c r="DJ175" s="690"/>
      <c r="DK175" s="690"/>
      <c r="DL175" s="696" t="s">
        <v>3568</v>
      </c>
      <c r="DM175" s="690"/>
      <c r="DN175" s="690"/>
      <c r="DO175" s="690"/>
      <c r="DP175" s="690"/>
      <c r="DQ175" s="690"/>
      <c r="DR175" s="690"/>
      <c r="DS175" s="690"/>
      <c r="DT175" s="690"/>
      <c r="DU175" s="690"/>
      <c r="DV175" s="690"/>
      <c r="DW175" s="690"/>
      <c r="DX175" s="690"/>
      <c r="DY175" s="690"/>
      <c r="DZ175" s="690"/>
      <c r="EA175" s="690"/>
      <c r="EB175" s="690"/>
      <c r="EC175" s="690"/>
    </row>
    <row r="176">
      <c r="A176" s="697" t="s">
        <v>6273</v>
      </c>
      <c r="B176" s="104" t="s">
        <v>6274</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3415</v>
      </c>
      <c r="BF176" s="171"/>
      <c r="BG176" s="171"/>
      <c r="BH176" s="171"/>
      <c r="BI176" s="171"/>
      <c r="BJ176" s="171"/>
      <c r="BK176" s="171"/>
      <c r="BL176" s="171"/>
      <c r="BM176" s="171"/>
      <c r="BN176" s="171"/>
      <c r="BO176" s="171"/>
      <c r="BP176" s="247"/>
      <c r="BQ176" s="250"/>
      <c r="BR176" s="250"/>
      <c r="BS176" s="128" t="s">
        <v>3459</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6275</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6276</v>
      </c>
      <c r="B177" s="82" t="s">
        <v>6274</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6277</v>
      </c>
      <c r="Y177" s="102"/>
      <c r="Z177" s="88" t="s">
        <v>4846</v>
      </c>
      <c r="AA177" s="264"/>
      <c r="AB177" s="102"/>
      <c r="AC177" s="102"/>
      <c r="AD177" s="98"/>
      <c r="AE177" s="102"/>
      <c r="AF177" s="88" t="s">
        <v>6278</v>
      </c>
      <c r="AG177" s="98"/>
      <c r="AH177" s="98"/>
      <c r="AI177" s="102"/>
      <c r="AJ177" s="98"/>
      <c r="AK177" s="96"/>
      <c r="AL177" s="102"/>
      <c r="AM177" s="102"/>
      <c r="AN177" s="98"/>
      <c r="AO177" s="98"/>
      <c r="AP177" s="93"/>
      <c r="AQ177" s="93"/>
      <c r="AR177" s="98"/>
      <c r="AS177" s="98"/>
      <c r="AT177" s="88" t="s">
        <v>1519</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6279</v>
      </c>
      <c r="B178" s="104" t="s">
        <v>6280</v>
      </c>
      <c r="C178" s="105" t="s">
        <v>1261</v>
      </c>
      <c r="D178" s="106" t="s">
        <v>1261</v>
      </c>
      <c r="E178" s="107" t="s">
        <v>1261</v>
      </c>
      <c r="F178" s="108" t="s">
        <v>1261</v>
      </c>
      <c r="G178" s="104" t="s">
        <v>3184</v>
      </c>
      <c r="H178" s="242"/>
      <c r="I178" s="242"/>
      <c r="J178" s="271" t="s">
        <v>6039</v>
      </c>
      <c r="K178" s="242"/>
      <c r="L178" s="165" t="s">
        <v>6281</v>
      </c>
      <c r="M178" s="242"/>
      <c r="N178" s="165" t="s">
        <v>5111</v>
      </c>
      <c r="O178" s="242"/>
      <c r="P178" s="242"/>
      <c r="Q178" s="242"/>
      <c r="R178" s="242"/>
      <c r="S178" s="242"/>
      <c r="T178" s="242"/>
      <c r="U178" s="242"/>
      <c r="V178" s="242"/>
      <c r="W178" s="92"/>
      <c r="X178" s="244"/>
      <c r="Y178" s="244"/>
      <c r="Z178" s="244"/>
      <c r="AA178" s="195" t="s">
        <v>1985</v>
      </c>
      <c r="AB178" s="195" t="s">
        <v>1412</v>
      </c>
      <c r="AC178" s="244"/>
      <c r="AD178" s="244"/>
      <c r="AE178" s="244"/>
      <c r="AF178" s="244"/>
      <c r="AG178" s="244"/>
      <c r="AH178" s="244"/>
      <c r="AI178" s="195" t="s">
        <v>1608</v>
      </c>
      <c r="AJ178" s="244"/>
      <c r="AK178" s="96"/>
      <c r="AL178" s="245"/>
      <c r="AM178" s="166" t="s">
        <v>6282</v>
      </c>
      <c r="AN178" s="245"/>
      <c r="AO178" s="245"/>
      <c r="AP178" s="245"/>
      <c r="AQ178" s="245"/>
      <c r="AR178" s="245"/>
      <c r="AS178" s="245"/>
      <c r="AT178" s="245"/>
      <c r="AU178" s="245"/>
      <c r="AV178" s="245"/>
      <c r="AW178" s="245"/>
      <c r="AX178" s="166" t="s">
        <v>1954</v>
      </c>
      <c r="AY178" s="166"/>
      <c r="AZ178" s="245"/>
      <c r="BA178" s="171"/>
      <c r="BB178" s="171"/>
      <c r="BC178" s="171"/>
      <c r="BD178" s="171"/>
      <c r="BE178" s="171"/>
      <c r="BF178" s="171"/>
      <c r="BG178" s="171"/>
      <c r="BH178" s="172" t="s">
        <v>289</v>
      </c>
      <c r="BI178" s="171"/>
      <c r="BJ178" s="172" t="s">
        <v>6283</v>
      </c>
      <c r="BK178" s="171"/>
      <c r="BL178" s="171"/>
      <c r="BM178" s="171"/>
      <c r="BN178" s="171"/>
      <c r="BO178" s="171"/>
      <c r="BP178" s="247"/>
      <c r="BQ178" s="250"/>
      <c r="BR178" s="250"/>
      <c r="BS178" s="173" t="s">
        <v>1209</v>
      </c>
      <c r="BT178" s="250"/>
      <c r="BU178" s="250"/>
      <c r="BV178" s="173" t="s">
        <v>2226</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6284</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6066</v>
      </c>
      <c r="EA178" s="256"/>
      <c r="EB178" s="256"/>
      <c r="EC178" s="502"/>
    </row>
    <row r="179">
      <c r="A179" s="81" t="s">
        <v>6285</v>
      </c>
      <c r="B179" s="82" t="s">
        <v>6286</v>
      </c>
      <c r="C179" s="83" t="s">
        <v>1261</v>
      </c>
      <c r="D179" s="84" t="s">
        <v>1261</v>
      </c>
      <c r="E179" s="85" t="s">
        <v>1261</v>
      </c>
      <c r="F179" s="86" t="s">
        <v>1261</v>
      </c>
      <c r="G179" s="82" t="s">
        <v>1730</v>
      </c>
      <c r="H179" s="98"/>
      <c r="I179" s="93" t="s">
        <v>6287</v>
      </c>
      <c r="J179" s="93" t="s">
        <v>5082</v>
      </c>
      <c r="K179" s="93" t="s">
        <v>2386</v>
      </c>
      <c r="L179" s="93" t="s">
        <v>4035</v>
      </c>
      <c r="M179" s="93" t="s">
        <v>6288</v>
      </c>
      <c r="N179" s="98"/>
      <c r="O179" s="93" t="s">
        <v>1862</v>
      </c>
      <c r="P179" s="93" t="s">
        <v>6289</v>
      </c>
      <c r="Q179" s="98"/>
      <c r="R179" s="98"/>
      <c r="S179" s="98"/>
      <c r="T179" s="98"/>
      <c r="U179" s="98"/>
      <c r="V179" s="98"/>
      <c r="W179" s="92"/>
      <c r="X179" s="93" t="s">
        <v>4429</v>
      </c>
      <c r="Y179" s="93" t="s">
        <v>6290</v>
      </c>
      <c r="Z179" s="93" t="s">
        <v>4461</v>
      </c>
      <c r="AA179" s="93" t="s">
        <v>6291</v>
      </c>
      <c r="AB179" s="93" t="s">
        <v>6292</v>
      </c>
      <c r="AC179" s="93" t="s">
        <v>4744</v>
      </c>
      <c r="AD179" s="98"/>
      <c r="AE179" s="93" t="s">
        <v>6293</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774</v>
      </c>
      <c r="BC179" s="93" t="s">
        <v>4174</v>
      </c>
      <c r="BD179" s="93" t="s">
        <v>6294</v>
      </c>
      <c r="BE179" s="93" t="s">
        <v>6295</v>
      </c>
      <c r="BF179" s="98"/>
      <c r="BG179" s="98"/>
      <c r="BH179" s="93" t="s">
        <v>6296</v>
      </c>
      <c r="BI179" s="93" t="s">
        <v>6297</v>
      </c>
      <c r="BJ179" s="93"/>
      <c r="BK179" s="93" t="s">
        <v>538</v>
      </c>
      <c r="BL179" s="98"/>
      <c r="BM179" s="98"/>
      <c r="BN179" s="98"/>
      <c r="BO179" s="98"/>
      <c r="BP179" s="235"/>
      <c r="BQ179" s="93"/>
      <c r="BR179" s="98"/>
      <c r="BS179" s="93" t="s">
        <v>6298</v>
      </c>
      <c r="BT179" s="93" t="s">
        <v>6299</v>
      </c>
      <c r="BU179" s="98"/>
      <c r="BV179" s="93" t="s">
        <v>410</v>
      </c>
      <c r="BW179" s="93" t="s">
        <v>5858</v>
      </c>
      <c r="BX179" s="93" t="s">
        <v>2808</v>
      </c>
      <c r="BY179" s="98"/>
      <c r="BZ179" s="93" t="s">
        <v>2017</v>
      </c>
      <c r="CA179" s="98"/>
      <c r="CB179" s="98"/>
      <c r="CC179" s="98"/>
      <c r="CD179" s="98"/>
      <c r="CE179" s="235"/>
      <c r="CF179" s="93" t="s">
        <v>4922</v>
      </c>
      <c r="CG179" s="93" t="s">
        <v>2520</v>
      </c>
      <c r="CH179" s="93" t="s">
        <v>2585</v>
      </c>
      <c r="CI179" s="93" t="s">
        <v>6300</v>
      </c>
      <c r="CJ179" s="93"/>
      <c r="CK179" s="93" t="s">
        <v>2970</v>
      </c>
      <c r="CL179" s="98"/>
      <c r="CM179" s="93" t="s">
        <v>2965</v>
      </c>
      <c r="CN179" s="93" t="s">
        <v>3316</v>
      </c>
      <c r="CO179" s="98"/>
      <c r="CP179" s="98"/>
      <c r="CQ179" s="98"/>
      <c r="CR179" s="98"/>
      <c r="CS179" s="98"/>
      <c r="CT179" s="92"/>
      <c r="CU179" s="93" t="s">
        <v>5777</v>
      </c>
      <c r="CV179" s="93" t="s">
        <v>6301</v>
      </c>
      <c r="CW179" s="93" t="s">
        <v>102</v>
      </c>
      <c r="CX179" s="98"/>
      <c r="CY179" s="98"/>
      <c r="CZ179" s="98"/>
      <c r="DA179" s="93" t="s">
        <v>6302</v>
      </c>
      <c r="DB179" s="93" t="s">
        <v>2242</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6303</v>
      </c>
      <c r="B180" s="104" t="s">
        <v>6304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6305</v>
      </c>
      <c r="B181" s="82" t="s">
        <v>6306</v>
      </c>
      <c r="C181" s="83" t="s">
        <v>1261</v>
      </c>
      <c r="D181" s="84" t="s">
        <v>1261</v>
      </c>
      <c r="E181" s="85" t="s">
        <v>1261</v>
      </c>
      <c r="F181" s="86" t="s">
        <v>987</v>
      </c>
      <c r="G181" s="82" t="s">
        <v>4968</v>
      </c>
      <c r="H181" s="93" t="s">
        <v>2593</v>
      </c>
      <c r="I181" s="98"/>
      <c r="J181" s="93" t="s">
        <v>6307</v>
      </c>
      <c r="K181" s="88" t="s">
        <v>4962</v>
      </c>
      <c r="L181" s="160" t="s">
        <v>3487</v>
      </c>
      <c r="M181" s="98"/>
      <c r="N181" s="98"/>
      <c r="O181" s="98"/>
      <c r="P181" s="93" t="s">
        <v>6308</v>
      </c>
      <c r="Q181" s="98"/>
      <c r="R181" s="98"/>
      <c r="S181" s="98"/>
      <c r="T181" s="98"/>
      <c r="U181" s="98"/>
      <c r="V181" s="98"/>
      <c r="W181" s="92"/>
      <c r="X181" s="88" t="s">
        <v>6309</v>
      </c>
      <c r="Y181" s="93" t="s">
        <v>1772</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1722</v>
      </c>
      <c r="AU181" s="93" t="s">
        <v>6310</v>
      </c>
      <c r="AV181" s="98"/>
      <c r="AW181" s="98"/>
      <c r="AX181" s="98"/>
      <c r="AY181" s="98"/>
      <c r="AZ181" s="98"/>
      <c r="BA181" s="98"/>
      <c r="BB181" s="93" t="s">
        <v>855</v>
      </c>
      <c r="BC181" s="93" t="s">
        <v>534</v>
      </c>
      <c r="BD181" s="93" t="s">
        <v>6311</v>
      </c>
      <c r="BE181" s="98"/>
      <c r="BF181" s="93" t="s">
        <v>4681</v>
      </c>
      <c r="BG181" s="93" t="s">
        <v>6312</v>
      </c>
      <c r="BH181" s="93" t="s">
        <v>6313</v>
      </c>
      <c r="BI181" s="98"/>
      <c r="BJ181" s="98"/>
      <c r="BK181" s="98"/>
      <c r="BL181" s="98"/>
      <c r="BM181" s="98"/>
      <c r="BN181" s="98"/>
      <c r="BO181" s="98"/>
      <c r="BP181" s="235"/>
      <c r="BQ181" s="98"/>
      <c r="BR181" s="98"/>
      <c r="BS181" s="98"/>
      <c r="BT181" s="93" t="s">
        <v>3491</v>
      </c>
      <c r="BU181" s="98"/>
      <c r="BV181" s="88" t="s">
        <v>4965</v>
      </c>
      <c r="BW181" s="98"/>
      <c r="BX181" s="98"/>
      <c r="BY181" s="98"/>
      <c r="BZ181" s="88" t="s">
        <v>4814</v>
      </c>
      <c r="CA181" s="98"/>
      <c r="CB181" s="98"/>
      <c r="CC181" s="98"/>
      <c r="CD181" s="98"/>
      <c r="CE181" s="235"/>
      <c r="CF181" s="88" t="s">
        <v>6314</v>
      </c>
      <c r="CG181" s="93" t="s">
        <v>6315</v>
      </c>
      <c r="CH181" s="98"/>
      <c r="CI181" s="98"/>
      <c r="CJ181" s="98"/>
      <c r="CK181" s="98"/>
      <c r="CL181" s="98"/>
      <c r="CM181" s="88" t="s">
        <v>5097</v>
      </c>
      <c r="CN181" s="88" t="s">
        <v>6316</v>
      </c>
      <c r="CO181" s="98"/>
      <c r="CP181" s="98"/>
      <c r="CQ181" s="98"/>
      <c r="CR181" s="98"/>
      <c r="CS181" s="98"/>
      <c r="CT181" s="92"/>
      <c r="CU181" s="102" t="s">
        <v>6317</v>
      </c>
      <c r="CV181" s="93" t="s">
        <v>239</v>
      </c>
      <c r="CW181" s="98"/>
      <c r="CX181" s="98"/>
      <c r="CY181" s="98"/>
      <c r="CZ181" s="98"/>
      <c r="DA181" s="88" t="s">
        <v>6318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4850</v>
      </c>
      <c r="H182" s="165" t="s">
        <v>6321</v>
      </c>
      <c r="I182" s="165" t="s">
        <v>6322</v>
      </c>
      <c r="J182" s="165" t="s">
        <v>618</v>
      </c>
      <c r="K182" s="165" t="s">
        <v>2848</v>
      </c>
      <c r="L182" s="165" t="s">
        <v>2878</v>
      </c>
      <c r="M182" s="165" t="s">
        <v>6323</v>
      </c>
      <c r="N182" s="165" t="s">
        <v>6324</v>
      </c>
      <c r="O182" s="165" t="s">
        <v>850</v>
      </c>
      <c r="P182" s="165" t="s">
        <v>496</v>
      </c>
      <c r="Q182" s="165"/>
      <c r="R182" s="165"/>
      <c r="S182" s="165"/>
      <c r="T182" s="165"/>
      <c r="U182" s="165"/>
      <c r="V182" s="165"/>
      <c r="W182" s="92"/>
      <c r="X182" s="195" t="s">
        <v>6325</v>
      </c>
      <c r="Y182" s="195" t="s">
        <v>5181</v>
      </c>
      <c r="Z182" s="195" t="s">
        <v>6326</v>
      </c>
      <c r="AA182" s="195" t="s">
        <v>2622</v>
      </c>
      <c r="AB182" s="195" t="s">
        <v>5884</v>
      </c>
      <c r="AC182" s="195" t="s">
        <v>6327</v>
      </c>
      <c r="AD182" s="195" t="s">
        <v>4059</v>
      </c>
      <c r="AE182" s="195" t="s">
        <v>6328</v>
      </c>
      <c r="AF182" s="195" t="s">
        <v>370</v>
      </c>
      <c r="AG182" s="195"/>
      <c r="AH182" s="195"/>
      <c r="AI182" s="195"/>
      <c r="AJ182" s="195"/>
      <c r="AK182" s="96"/>
      <c r="AL182" s="166"/>
      <c r="AM182" s="166"/>
      <c r="AN182" s="166"/>
      <c r="AO182" s="166"/>
      <c r="AP182" s="166"/>
      <c r="AQ182" s="166"/>
      <c r="AR182" s="166"/>
      <c r="AS182" s="166"/>
      <c r="AT182" s="166" t="s">
        <v>6329</v>
      </c>
      <c r="AU182" s="166" t="s">
        <v>1377</v>
      </c>
      <c r="AV182" s="166"/>
      <c r="AW182" s="166"/>
      <c r="AX182" s="166"/>
      <c r="AY182" s="166"/>
      <c r="AZ182" s="166"/>
      <c r="BA182" s="172" t="s">
        <v>6330</v>
      </c>
      <c r="BB182" s="172" t="s">
        <v>4231</v>
      </c>
      <c r="BC182" s="172" t="s">
        <v>3702</v>
      </c>
      <c r="BD182" s="172" t="s">
        <v>6331</v>
      </c>
      <c r="BE182" s="172" t="s">
        <v>6332</v>
      </c>
      <c r="BF182" s="172" t="s">
        <v>6333</v>
      </c>
      <c r="BG182" s="172" t="s">
        <v>5137</v>
      </c>
      <c r="BH182" s="172" t="s">
        <v>6334</v>
      </c>
      <c r="BI182" s="171"/>
      <c r="BJ182" s="171"/>
      <c r="BK182" s="171"/>
      <c r="BL182" s="172"/>
      <c r="BM182" s="172"/>
      <c r="BN182" s="172"/>
      <c r="BO182" s="172"/>
      <c r="BP182" s="291"/>
      <c r="BQ182" s="173"/>
      <c r="BR182" s="250"/>
      <c r="BS182" s="482" t="s">
        <v>6335</v>
      </c>
      <c r="BT182" s="173" t="s">
        <v>6336</v>
      </c>
      <c r="BU182" s="482"/>
      <c r="BV182" s="173" t="s">
        <v>6337</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2994</v>
      </c>
      <c r="CV182" s="202" t="s">
        <v>1574</v>
      </c>
      <c r="CW182" s="202" t="s">
        <v>6105</v>
      </c>
      <c r="CX182" s="254"/>
      <c r="CY182" s="202" t="s">
        <v>6338</v>
      </c>
      <c r="CZ182" s="254"/>
      <c r="DA182" s="254"/>
      <c r="DB182" s="254"/>
      <c r="DC182" s="254"/>
      <c r="DD182" s="254"/>
      <c r="DE182" s="254"/>
      <c r="DF182" s="254"/>
      <c r="DG182" s="255"/>
      <c r="DH182" s="203" t="s">
        <v>3212</v>
      </c>
      <c r="DI182" s="256"/>
      <c r="DJ182" s="256"/>
      <c r="DK182" s="256"/>
      <c r="DL182" s="256"/>
      <c r="DM182" s="256"/>
      <c r="DN182" s="256"/>
      <c r="DO182" s="256"/>
      <c r="DP182" s="256"/>
      <c r="DQ182" s="203" t="s">
        <v>6339</v>
      </c>
      <c r="DR182" s="203"/>
      <c r="DS182" s="340"/>
      <c r="DT182" s="256"/>
      <c r="DU182" s="256"/>
      <c r="DV182" s="256"/>
      <c r="DW182" s="256"/>
      <c r="DX182" s="256"/>
      <c r="DY182" s="256"/>
      <c r="DZ182" s="256"/>
      <c r="EA182" s="256"/>
      <c r="EB182" s="256"/>
      <c r="EC182" s="285"/>
    </row>
    <row r="183">
      <c r="A183" s="81" t="s">
        <v>6340</v>
      </c>
      <c r="B183" s="82" t="s">
        <v>6320</v>
      </c>
      <c r="C183" s="83" t="s">
        <v>1261</v>
      </c>
      <c r="D183" s="84" t="s">
        <v>1261</v>
      </c>
      <c r="E183" s="85" t="s">
        <v>1261</v>
      </c>
      <c r="F183" s="86" t="s">
        <v>1261</v>
      </c>
      <c r="G183" s="82" t="s">
        <v>5881</v>
      </c>
      <c r="H183" s="98"/>
      <c r="I183" s="93" t="s">
        <v>6341</v>
      </c>
      <c r="J183" s="93" t="s">
        <v>301</v>
      </c>
      <c r="K183" s="93" t="s">
        <v>123</v>
      </c>
      <c r="L183" s="93" t="s">
        <v>3957</v>
      </c>
      <c r="M183" s="93" t="s">
        <v>6342</v>
      </c>
      <c r="N183" s="98"/>
      <c r="O183" s="93" t="s">
        <v>4091</v>
      </c>
      <c r="P183" s="93" t="s">
        <v>1624</v>
      </c>
      <c r="Q183" s="98"/>
      <c r="R183" s="98"/>
      <c r="S183" s="98"/>
      <c r="T183" s="98"/>
      <c r="U183" s="98"/>
      <c r="V183" s="98"/>
      <c r="W183" s="92"/>
      <c r="X183" s="93" t="s">
        <v>6343</v>
      </c>
      <c r="Y183" s="93" t="s">
        <v>6344</v>
      </c>
      <c r="Z183" s="93" t="s">
        <v>390</v>
      </c>
      <c r="AA183" s="98"/>
      <c r="AB183" s="93" t="s">
        <v>6345</v>
      </c>
      <c r="AC183" s="98"/>
      <c r="AD183" s="98"/>
      <c r="AE183" s="98"/>
      <c r="AF183" s="93" t="s">
        <v>2789</v>
      </c>
      <c r="AG183" s="98"/>
      <c r="AH183" s="98"/>
      <c r="AI183" s="98"/>
      <c r="AJ183" s="98"/>
      <c r="AK183" s="96"/>
      <c r="AL183" s="98"/>
      <c r="AM183" s="98"/>
      <c r="AN183" s="98"/>
      <c r="AO183" s="98"/>
      <c r="AP183" s="98"/>
      <c r="AQ183" s="98"/>
      <c r="AR183" s="98"/>
      <c r="AS183" s="98"/>
      <c r="AT183" s="93" t="s">
        <v>4276</v>
      </c>
      <c r="AU183" s="93" t="s">
        <v>2869</v>
      </c>
      <c r="AV183" s="98"/>
      <c r="AW183" s="98"/>
      <c r="AX183" s="98"/>
      <c r="AY183" s="98"/>
      <c r="AZ183" s="98"/>
      <c r="BA183" s="93" t="s">
        <v>3761</v>
      </c>
      <c r="BB183" s="93" t="s">
        <v>5012</v>
      </c>
      <c r="BC183" s="98"/>
      <c r="BD183" s="93" t="s">
        <v>5576</v>
      </c>
      <c r="BE183" s="98"/>
      <c r="BF183" s="98"/>
      <c r="BG183" s="98"/>
      <c r="BH183" s="93" t="s">
        <v>772</v>
      </c>
      <c r="BI183" s="98"/>
      <c r="BJ183" s="93" t="s">
        <v>6346</v>
      </c>
      <c r="BK183" s="93" t="s">
        <v>992</v>
      </c>
      <c r="BL183" s="98"/>
      <c r="BM183" s="98"/>
      <c r="BN183" s="98"/>
      <c r="BO183" s="98"/>
      <c r="BP183" s="235"/>
      <c r="BQ183" s="98"/>
      <c r="BR183" s="98"/>
      <c r="BS183" s="98"/>
      <c r="BT183" s="93" t="s">
        <v>976</v>
      </c>
      <c r="BU183" s="98"/>
      <c r="BV183" s="98"/>
      <c r="BW183" s="98"/>
      <c r="BX183" s="93" t="s">
        <v>6347</v>
      </c>
      <c r="BY183" s="93" t="s">
        <v>6348</v>
      </c>
      <c r="BZ183" s="93" t="s">
        <v>3795</v>
      </c>
      <c r="CA183" s="98"/>
      <c r="CB183" s="98"/>
      <c r="CC183" s="98"/>
      <c r="CD183" s="98"/>
      <c r="CE183" s="235"/>
      <c r="CF183" s="93" t="s">
        <v>6349</v>
      </c>
      <c r="CG183" s="93" t="s">
        <v>3438</v>
      </c>
      <c r="CH183" s="93" t="s">
        <v>755</v>
      </c>
      <c r="CI183" s="93" t="s">
        <v>6350</v>
      </c>
      <c r="CJ183" s="93"/>
      <c r="CK183" s="93"/>
      <c r="CL183" s="98"/>
      <c r="CM183" s="93" t="s">
        <v>3752</v>
      </c>
      <c r="CN183" s="93" t="s">
        <v>6229</v>
      </c>
      <c r="CO183" s="98"/>
      <c r="CP183" s="98"/>
      <c r="CQ183" s="98"/>
      <c r="CR183" s="98"/>
      <c r="CS183" s="98"/>
      <c r="CT183" s="92"/>
      <c r="CU183" s="93" t="s">
        <v>5084</v>
      </c>
      <c r="CV183" s="93" t="s">
        <v>1866</v>
      </c>
      <c r="CW183" s="93" t="s">
        <v>3064</v>
      </c>
      <c r="CX183" s="93" t="s">
        <v>6351</v>
      </c>
      <c r="CY183" s="93" t="s">
        <v>6352</v>
      </c>
      <c r="CZ183" s="98"/>
      <c r="DA183" s="93" t="s">
        <v>6353</v>
      </c>
      <c r="DB183" s="93" t="s">
        <v>6354</v>
      </c>
      <c r="DC183" s="98"/>
      <c r="DD183" s="98"/>
      <c r="DE183" s="98"/>
      <c r="DF183" s="98"/>
      <c r="DG183" s="235"/>
      <c r="DH183" s="98"/>
      <c r="DI183" s="98"/>
      <c r="DJ183" s="98"/>
      <c r="DK183" s="98"/>
      <c r="DL183" s="98"/>
      <c r="DM183" s="98"/>
      <c r="DN183" s="98"/>
      <c r="DO183" s="98"/>
      <c r="DP183" s="98"/>
      <c r="DQ183" s="93" t="s">
        <v>6355</v>
      </c>
      <c r="DR183" s="93"/>
      <c r="DS183" s="98"/>
      <c r="DT183" s="98"/>
      <c r="DU183" s="98"/>
      <c r="DV183" s="98"/>
      <c r="DW183" s="98"/>
      <c r="DX183" s="98"/>
      <c r="DY183" s="98"/>
      <c r="DZ183" s="98"/>
      <c r="EA183" s="98"/>
      <c r="EB183" s="98"/>
      <c r="EC183" s="258"/>
    </row>
    <row r="184">
      <c r="A184" s="164" t="s">
        <v>6356</v>
      </c>
      <c r="B184" s="104" t="s">
        <v>6357</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5690</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6358</v>
      </c>
      <c r="BX184" s="250"/>
      <c r="BY184" s="250"/>
      <c r="BZ184" s="250"/>
      <c r="CA184" s="250"/>
      <c r="CB184" s="250"/>
      <c r="CC184" s="250"/>
      <c r="CD184" s="250"/>
      <c r="CE184" s="251"/>
      <c r="CF184" s="253"/>
      <c r="CG184" s="253"/>
      <c r="CH184" s="253"/>
      <c r="CI184" s="252" t="s">
        <v>4572</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6359</v>
      </c>
      <c r="B185" s="82" t="s">
        <v>6360</v>
      </c>
      <c r="C185" s="83" t="s">
        <v>1261</v>
      </c>
      <c r="D185" s="84" t="s">
        <v>1261</v>
      </c>
      <c r="E185" s="85" t="s">
        <v>1261</v>
      </c>
      <c r="F185" s="86" t="s">
        <v>1261</v>
      </c>
      <c r="G185" s="82" t="s">
        <v>220</v>
      </c>
      <c r="H185" s="93" t="s">
        <v>6361</v>
      </c>
      <c r="I185" s="93" t="s">
        <v>6362</v>
      </c>
      <c r="J185" s="93" t="s">
        <v>2026</v>
      </c>
      <c r="K185" s="93" t="s">
        <v>6019</v>
      </c>
      <c r="L185" s="93" t="s">
        <v>6363</v>
      </c>
      <c r="M185" s="98"/>
      <c r="N185" s="98"/>
      <c r="O185" s="98"/>
      <c r="P185" s="93" t="s">
        <v>6364</v>
      </c>
      <c r="Q185" s="98"/>
      <c r="R185" s="98"/>
      <c r="S185" s="98"/>
      <c r="T185" s="98"/>
      <c r="U185" s="98"/>
      <c r="V185" s="98"/>
      <c r="W185" s="92"/>
      <c r="X185" s="98"/>
      <c r="Y185" s="98"/>
      <c r="Z185" s="93" t="s">
        <v>4323</v>
      </c>
      <c r="AA185" s="98"/>
      <c r="AB185" s="98"/>
      <c r="AC185" s="98"/>
      <c r="AD185" s="98"/>
      <c r="AE185" s="98"/>
      <c r="AF185" s="93" t="s">
        <v>6365</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2939</v>
      </c>
      <c r="CH185" s="98"/>
      <c r="CI185" s="98"/>
      <c r="CJ185" s="98"/>
      <c r="CK185" s="98" t="s">
        <v>2970</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6366</v>
      </c>
      <c r="B186" s="104" t="s">
        <v>6367</v>
      </c>
      <c r="C186" s="105" t="s">
        <v>1261</v>
      </c>
      <c r="D186" s="106" t="s">
        <v>1261</v>
      </c>
      <c r="E186" s="107" t="s">
        <v>1261</v>
      </c>
      <c r="F186" s="108" t="s">
        <v>1261</v>
      </c>
      <c r="G186" s="104" t="s">
        <v>334</v>
      </c>
      <c r="H186" s="242"/>
      <c r="I186" s="242"/>
      <c r="J186" s="242"/>
      <c r="K186" s="165" t="s">
        <v>6040</v>
      </c>
      <c r="L186" s="242"/>
      <c r="M186" s="242"/>
      <c r="N186" s="242"/>
      <c r="O186" s="165" t="s">
        <v>5341</v>
      </c>
      <c r="P186" s="242"/>
      <c r="Q186" s="242"/>
      <c r="R186" s="242"/>
      <c r="S186" s="242"/>
      <c r="T186" s="242"/>
      <c r="U186" s="242"/>
      <c r="V186" s="242"/>
      <c r="W186" s="92"/>
      <c r="X186" s="195" t="s">
        <v>1289</v>
      </c>
      <c r="Y186" s="244"/>
      <c r="Z186" s="195" t="s">
        <v>4928</v>
      </c>
      <c r="AA186" s="244"/>
      <c r="AB186" s="195" t="s">
        <v>4790</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6368</v>
      </c>
      <c r="B187" s="82" t="s">
        <v>6369</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6370</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2163</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6371</v>
      </c>
      <c r="B188" s="104" t="s">
        <v>6372</v>
      </c>
      <c r="C188" s="105" t="s">
        <v>1261</v>
      </c>
      <c r="D188" s="106" t="s">
        <v>1261</v>
      </c>
      <c r="E188" s="107" t="s">
        <v>1261</v>
      </c>
      <c r="F188" s="108" t="s">
        <v>221</v>
      </c>
      <c r="G188" s="104" t="s">
        <v>221</v>
      </c>
      <c r="H188" s="534"/>
      <c r="I188" s="110" t="s">
        <v>5943</v>
      </c>
      <c r="J188" s="112" t="s">
        <v>2960</v>
      </c>
      <c r="K188" s="112" t="s">
        <v>2280</v>
      </c>
      <c r="L188" s="112" t="s">
        <v>6373</v>
      </c>
      <c r="M188" s="112" t="s">
        <v>6374</v>
      </c>
      <c r="N188" s="112" t="s">
        <v>4355</v>
      </c>
      <c r="O188" s="112" t="s">
        <v>6375</v>
      </c>
      <c r="P188" s="112" t="s">
        <v>4396</v>
      </c>
      <c r="Q188" s="242"/>
      <c r="R188" s="242"/>
      <c r="S188" s="242"/>
      <c r="T188" s="242"/>
      <c r="U188" s="242"/>
      <c r="V188" s="242"/>
      <c r="W188" s="92"/>
      <c r="X188" s="115" t="s">
        <v>4652</v>
      </c>
      <c r="Y188" s="115" t="s">
        <v>6376</v>
      </c>
      <c r="Z188" s="115" t="s">
        <v>769</v>
      </c>
      <c r="AA188" s="115" t="s">
        <v>1922</v>
      </c>
      <c r="AB188" s="115" t="s">
        <v>2919</v>
      </c>
      <c r="AC188" s="115" t="s">
        <v>6377</v>
      </c>
      <c r="AD188" s="195"/>
      <c r="AE188" s="115" t="s">
        <v>6378</v>
      </c>
      <c r="AF188" s="115" t="s">
        <v>5208</v>
      </c>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6159</v>
      </c>
      <c r="H193" s="98"/>
      <c r="I193" s="93" t="s">
        <v>6395</v>
      </c>
      <c r="J193" s="93" t="s">
        <v>4220</v>
      </c>
      <c r="K193" s="93" t="s">
        <v>4364</v>
      </c>
      <c r="L193" s="93" t="s">
        <v>6396</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6397</v>
      </c>
      <c r="BC193" s="160" t="s">
        <v>5256</v>
      </c>
      <c r="BD193" s="98"/>
      <c r="BE193" s="98"/>
      <c r="BF193" s="98"/>
      <c r="BG193" s="98"/>
      <c r="BH193" s="98"/>
      <c r="BI193" s="98"/>
      <c r="BJ193" s="93" t="s">
        <v>2449</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4657</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6405</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4581</v>
      </c>
      <c r="H197" s="93" t="s">
        <v>6417</v>
      </c>
      <c r="I197" s="93" t="s">
        <v>2477</v>
      </c>
      <c r="J197" s="93" t="s">
        <v>1211</v>
      </c>
      <c r="K197" s="93" t="s">
        <v>6418</v>
      </c>
      <c r="L197" s="93" t="s">
        <v>6419</v>
      </c>
      <c r="M197" s="93" t="s">
        <v>6420</v>
      </c>
      <c r="N197" s="93" t="s">
        <v>6421</v>
      </c>
      <c r="O197" s="93" t="s">
        <v>6422</v>
      </c>
      <c r="P197" s="93" t="s">
        <v>4128</v>
      </c>
      <c r="Q197" s="98"/>
      <c r="R197" s="98"/>
      <c r="S197" s="98"/>
      <c r="T197" s="98"/>
      <c r="U197" s="98"/>
      <c r="V197" s="98"/>
      <c r="W197" s="92"/>
      <c r="X197" s="93" t="s">
        <v>6423</v>
      </c>
      <c r="Y197" s="93" t="s">
        <v>6424</v>
      </c>
      <c r="Z197" s="93" t="s">
        <v>6425</v>
      </c>
      <c r="AA197" s="98" t="s">
        <v>6426</v>
      </c>
      <c r="AB197" s="93" t="s">
        <v>5884</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4441</v>
      </c>
      <c r="AV197" s="93" t="s">
        <v>6429</v>
      </c>
      <c r="AW197" s="98"/>
      <c r="AX197" s="98"/>
      <c r="AY197" s="98"/>
      <c r="AZ197" s="98"/>
      <c r="BA197" s="93"/>
      <c r="BB197" s="98" t="s">
        <v>2139</v>
      </c>
      <c r="BC197" s="93" t="s">
        <v>1796</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2250</v>
      </c>
      <c r="BS197" s="98" t="s">
        <v>6437</v>
      </c>
      <c r="BT197" s="93" t="s">
        <v>6065</v>
      </c>
      <c r="BU197" s="98" t="s">
        <v>6438</v>
      </c>
      <c r="BV197" s="98" t="s">
        <v>6439</v>
      </c>
      <c r="BW197" s="93" t="s">
        <v>6440</v>
      </c>
      <c r="BX197" s="93" t="s">
        <v>6441</v>
      </c>
      <c r="BY197" s="98"/>
      <c r="BZ197" s="93" t="s">
        <v>4746</v>
      </c>
      <c r="CA197" s="98"/>
      <c r="CB197" s="98"/>
      <c r="CC197" s="98"/>
      <c r="CD197" s="98"/>
      <c r="CE197" s="235"/>
      <c r="CF197" s="93" t="s">
        <v>5563</v>
      </c>
      <c r="CG197" s="93" t="s">
        <v>1568</v>
      </c>
      <c r="CH197" s="93" t="s">
        <v>2476</v>
      </c>
      <c r="CI197" s="93" t="s">
        <v>3535</v>
      </c>
      <c r="CJ197" s="93"/>
      <c r="CK197" s="93" t="s">
        <v>371</v>
      </c>
      <c r="CL197" s="93" t="s">
        <v>6442</v>
      </c>
      <c r="CM197" s="93" t="s">
        <v>6443</v>
      </c>
      <c r="CN197" s="93" t="s">
        <v>3886</v>
      </c>
      <c r="CO197" s="98"/>
      <c r="CP197" s="98"/>
      <c r="CQ197" s="98"/>
      <c r="CR197" s="98"/>
      <c r="CS197" s="98"/>
      <c r="CT197" s="92"/>
      <c r="CU197" s="98" t="s">
        <v>6444</v>
      </c>
      <c r="CV197" s="98" t="s">
        <v>2263</v>
      </c>
      <c r="CW197" s="98" t="s">
        <v>1104</v>
      </c>
      <c r="CX197" s="98" t="s">
        <v>6445</v>
      </c>
      <c r="CY197" s="98" t="s">
        <v>6446</v>
      </c>
      <c r="CZ197" s="98" t="s">
        <v>4501</v>
      </c>
      <c r="DA197" s="98" t="s">
        <v>6447</v>
      </c>
      <c r="DB197" s="93" t="s">
        <v>3327</v>
      </c>
      <c r="DC197" s="98"/>
      <c r="DD197" s="98"/>
      <c r="DE197" s="98"/>
      <c r="DF197" s="98"/>
      <c r="DG197" s="235"/>
      <c r="DH197" s="98"/>
      <c r="DI197" s="98"/>
      <c r="DJ197" s="98"/>
      <c r="DK197" s="98"/>
      <c r="DL197" s="98" t="s">
        <v>5472</v>
      </c>
      <c r="DM197" s="93"/>
      <c r="DN197" s="93" t="s">
        <v>6448</v>
      </c>
      <c r="DO197" s="93" t="s">
        <v>3878</v>
      </c>
      <c r="DP197" s="93" t="s">
        <v>2999</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1973</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3648</v>
      </c>
      <c r="H199" s="98"/>
      <c r="I199" s="93" t="s">
        <v>6459</v>
      </c>
      <c r="J199" s="93" t="s">
        <v>1299</v>
      </c>
      <c r="K199" s="93" t="s">
        <v>1059</v>
      </c>
      <c r="L199" s="93" t="s">
        <v>6460</v>
      </c>
      <c r="M199" s="93" t="s">
        <v>6461</v>
      </c>
      <c r="N199" s="93" t="s">
        <v>6462</v>
      </c>
      <c r="O199" s="93" t="s">
        <v>6463</v>
      </c>
      <c r="P199" s="93" t="s">
        <v>4596</v>
      </c>
      <c r="Q199" s="98"/>
      <c r="R199" s="98"/>
      <c r="S199" s="98"/>
      <c r="T199" s="98"/>
      <c r="U199" s="98"/>
      <c r="V199" s="98"/>
      <c r="W199" s="92"/>
      <c r="X199" s="93" t="s">
        <v>336</v>
      </c>
      <c r="Y199" s="93" t="s">
        <v>2174</v>
      </c>
      <c r="Z199" s="93" t="s">
        <v>3269</v>
      </c>
      <c r="AA199" s="93" t="s">
        <v>6464</v>
      </c>
      <c r="AB199" s="93" t="s">
        <v>6465</v>
      </c>
      <c r="AC199" s="93" t="s">
        <v>3231</v>
      </c>
      <c r="AD199" s="98"/>
      <c r="AE199" s="93" t="s">
        <v>6466</v>
      </c>
      <c r="AF199" s="93" t="s">
        <v>1359</v>
      </c>
      <c r="AG199" s="98"/>
      <c r="AH199" s="98"/>
      <c r="AI199" s="98"/>
      <c r="AJ199" s="98"/>
      <c r="AK199" s="96"/>
      <c r="AL199" s="93" t="s">
        <v>5090</v>
      </c>
      <c r="AM199" s="93" t="s">
        <v>1374</v>
      </c>
      <c r="AN199" s="93" t="s">
        <v>6467</v>
      </c>
      <c r="AO199" s="93" t="s">
        <v>6468</v>
      </c>
      <c r="AP199" s="93" t="s">
        <v>6469</v>
      </c>
      <c r="AQ199" s="93"/>
      <c r="AR199" s="93" t="s">
        <v>4714</v>
      </c>
      <c r="AS199" s="93" t="s">
        <v>6470</v>
      </c>
      <c r="AT199" s="93" t="s">
        <v>3786</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6178</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2868</v>
      </c>
      <c r="CI199" s="93" t="s">
        <v>6485</v>
      </c>
      <c r="CJ199" s="93"/>
      <c r="CK199" s="93" t="s">
        <v>4219</v>
      </c>
      <c r="CL199" s="93" t="s">
        <v>6486</v>
      </c>
      <c r="CM199" s="93" t="s">
        <v>970</v>
      </c>
      <c r="CN199" s="93" t="s">
        <v>1434</v>
      </c>
      <c r="CO199" s="98"/>
      <c r="CP199" s="98"/>
      <c r="CQ199" s="98"/>
      <c r="CR199" s="98"/>
      <c r="CS199" s="98"/>
      <c r="CT199" s="92"/>
      <c r="CU199" s="93" t="s">
        <v>6487</v>
      </c>
      <c r="CV199" s="93" t="s">
        <v>2032</v>
      </c>
      <c r="CW199" s="93" t="s">
        <v>1742</v>
      </c>
      <c r="CX199" s="93" t="s">
        <v>6488</v>
      </c>
      <c r="CY199" s="93" t="s">
        <v>6489</v>
      </c>
      <c r="CZ199" s="93" t="s">
        <v>6490</v>
      </c>
      <c r="DA199" s="93" t="s">
        <v>1516</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3986</v>
      </c>
      <c r="H200" s="165" t="s">
        <v>6495</v>
      </c>
      <c r="I200" s="165" t="s">
        <v>6496</v>
      </c>
      <c r="J200" s="165" t="s">
        <v>6497</v>
      </c>
      <c r="K200" s="165" t="s">
        <v>1624</v>
      </c>
      <c r="L200" s="165" t="s">
        <v>4004</v>
      </c>
      <c r="M200" s="165" t="s">
        <v>6498</v>
      </c>
      <c r="N200" s="165" t="s">
        <v>6499</v>
      </c>
      <c r="O200" s="165" t="s">
        <v>4415</v>
      </c>
      <c r="P200" s="165" t="s">
        <v>4656</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5899</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5947</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6511</v>
      </c>
      <c r="B204" s="104" t="s">
        <v>1352</v>
      </c>
      <c r="C204" s="105" t="s">
        <v>1261</v>
      </c>
      <c r="D204" s="106" t="s">
        <v>1261</v>
      </c>
      <c r="E204" s="107" t="s">
        <v>1261</v>
      </c>
      <c r="F204" s="108" t="s">
        <v>1261</v>
      </c>
      <c r="G204" s="104" t="s">
        <v>2697</v>
      </c>
      <c r="H204" s="165"/>
      <c r="I204" s="165" t="s">
        <v>6512</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6513</v>
      </c>
      <c r="BE204" s="171"/>
      <c r="BF204" s="171"/>
      <c r="BG204" s="171"/>
      <c r="BH204" s="172" t="s">
        <v>4426</v>
      </c>
      <c r="BI204" s="171"/>
      <c r="BJ204" s="171"/>
      <c r="BK204" s="171"/>
      <c r="BL204" s="171"/>
      <c r="BM204" s="171"/>
      <c r="BN204" s="171"/>
      <c r="BO204" s="171"/>
      <c r="BP204" s="247"/>
      <c r="BQ204" s="250"/>
      <c r="BR204" s="173" t="s">
        <v>4886</v>
      </c>
      <c r="BS204" s="173" t="s">
        <v>6514</v>
      </c>
      <c r="BT204" s="173" t="s">
        <v>5408</v>
      </c>
      <c r="BU204" s="250"/>
      <c r="BV204" s="250"/>
      <c r="BW204" s="250"/>
      <c r="BX204" s="250"/>
      <c r="BY204" s="250"/>
      <c r="BZ204" s="250"/>
      <c r="CA204" s="250"/>
      <c r="CB204" s="250"/>
      <c r="CC204" s="250"/>
      <c r="CD204" s="250"/>
      <c r="CE204" s="251"/>
      <c r="CF204" s="175" t="s">
        <v>6515</v>
      </c>
      <c r="CG204" s="175" t="s">
        <v>1731</v>
      </c>
      <c r="CH204" s="253"/>
      <c r="CI204" s="253"/>
      <c r="CJ204" s="253"/>
      <c r="CK204" s="253"/>
      <c r="CL204" s="253"/>
      <c r="CM204" s="253"/>
      <c r="CN204" s="253"/>
      <c r="CO204" s="253"/>
      <c r="CP204" s="253"/>
      <c r="CQ204" s="253"/>
      <c r="CR204" s="253"/>
      <c r="CS204" s="253"/>
      <c r="CT204" s="92"/>
      <c r="CU204" s="254"/>
      <c r="CV204" s="254"/>
      <c r="CW204" s="202" t="s">
        <v>6516</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6517</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6004</v>
      </c>
      <c r="BI206" s="171"/>
      <c r="BJ206" s="535"/>
      <c r="BK206" s="199" t="s">
        <v>2783</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2231</v>
      </c>
      <c r="C210" s="105" t="s">
        <v>1261</v>
      </c>
      <c r="D210" s="106" t="s">
        <v>1261</v>
      </c>
      <c r="E210" s="107" t="s">
        <v>1261</v>
      </c>
      <c r="F210" s="108" t="s">
        <v>220</v>
      </c>
      <c r="G210" s="104" t="s">
        <v>220</v>
      </c>
      <c r="H210" s="709" t="s">
        <v>6530</v>
      </c>
      <c r="I210" s="165"/>
      <c r="J210" s="242"/>
      <c r="K210" s="496" t="s">
        <v>4268</v>
      </c>
      <c r="L210" s="165"/>
      <c r="M210" s="242"/>
      <c r="N210" s="242"/>
      <c r="O210" s="165"/>
      <c r="P210" s="242"/>
      <c r="Q210" s="242"/>
      <c r="R210" s="242"/>
      <c r="S210" s="242"/>
      <c r="T210" s="242"/>
      <c r="U210" s="242"/>
      <c r="V210" s="242"/>
      <c r="W210" s="92"/>
      <c r="X210" s="244"/>
      <c r="Y210" s="710" t="s">
        <v>6290</v>
      </c>
      <c r="Z210" s="244"/>
      <c r="AA210" s="244"/>
      <c r="AB210" s="244"/>
      <c r="AC210" s="244"/>
      <c r="AD210" s="244"/>
      <c r="AE210" s="244"/>
      <c r="AF210" s="244"/>
      <c r="AG210" s="244"/>
      <c r="AH210" s="244"/>
      <c r="AI210" s="244"/>
      <c r="AJ210" s="244"/>
      <c r="AK210" s="96"/>
      <c r="AL210" s="245"/>
      <c r="AM210" s="711" t="s">
        <v>3143</v>
      </c>
      <c r="AN210" s="245"/>
      <c r="AO210" s="711" t="s">
        <v>6531</v>
      </c>
      <c r="AP210" s="245"/>
      <c r="AQ210" s="245"/>
      <c r="AR210" s="245"/>
      <c r="AS210" s="245"/>
      <c r="AT210" s="245"/>
      <c r="AU210" s="245"/>
      <c r="AV210" s="245"/>
      <c r="AW210" s="245"/>
      <c r="AX210" s="711" t="s">
        <v>522</v>
      </c>
      <c r="AY210" s="245"/>
      <c r="AZ210" s="245"/>
      <c r="BA210" s="704" t="s">
        <v>6532</v>
      </c>
      <c r="BB210" s="171"/>
      <c r="BC210" s="704" t="s">
        <v>4727</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5627</v>
      </c>
      <c r="DP210" s="712" t="s">
        <v>6534</v>
      </c>
      <c r="DQ210" s="256"/>
      <c r="DR210" s="256"/>
      <c r="DS210" s="256"/>
      <c r="DT210" s="256"/>
      <c r="DU210" s="256"/>
      <c r="DV210" s="256"/>
      <c r="DW210" s="256"/>
      <c r="DX210" s="256"/>
      <c r="DY210" s="256"/>
      <c r="DZ210" s="256"/>
      <c r="EA210" s="256"/>
      <c r="EB210" s="256"/>
      <c r="EC210" s="713" t="s">
        <v>1844</v>
      </c>
    </row>
    <row r="211">
      <c r="A211" s="147" t="s">
        <v>6535</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3967</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5794</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4850</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4108</v>
      </c>
      <c r="CH215" s="93" t="s">
        <v>1687</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6226</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3184</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X188"/>
    <hyperlink r:id="rId4015" ref="Y188"/>
    <hyperlink r:id="rId4016" ref="Z188"/>
    <hyperlink r:id="rId4017" ref="AA188"/>
    <hyperlink r:id="rId4018" ref="AB188"/>
    <hyperlink r:id="rId4019" ref="AC188"/>
    <hyperlink r:id="rId4020" ref="AE188"/>
    <hyperlink r:id="rId4021" ref="AF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1558</v>
      </c>
      <c r="E1" s="729" t="s">
        <v>6558</v>
      </c>
      <c r="F1" s="730" t="s">
        <v>2764</v>
      </c>
      <c r="G1" s="728" t="s">
        <v>6559</v>
      </c>
      <c r="H1" s="728" t="s">
        <v>1060</v>
      </c>
      <c r="I1" s="729" t="s">
        <v>6560</v>
      </c>
      <c r="J1" s="728" t="s">
        <v>6561</v>
      </c>
      <c r="K1" s="728" t="s">
        <v>6562</v>
      </c>
      <c r="L1" s="729" t="s">
        <v>6563</v>
      </c>
      <c r="M1" s="728" t="s">
        <v>740</v>
      </c>
      <c r="N1" s="728" t="s">
        <v>6564</v>
      </c>
      <c r="O1" s="728" t="s">
        <v>985</v>
      </c>
      <c r="P1" s="731" t="s">
        <v>6565</v>
      </c>
      <c r="Q1" s="728" t="s">
        <v>1812</v>
      </c>
      <c r="R1" s="728" t="s">
        <v>6566</v>
      </c>
      <c r="S1" s="728" t="s">
        <v>6567</v>
      </c>
      <c r="T1" s="729" t="s">
        <v>6568</v>
      </c>
      <c r="U1" s="728" t="s">
        <v>2922</v>
      </c>
      <c r="V1" s="728" t="s">
        <v>6569</v>
      </c>
      <c r="W1" s="728" t="s">
        <v>6570</v>
      </c>
      <c r="X1" s="728" t="s">
        <v>3984</v>
      </c>
      <c r="Y1" s="728" t="s">
        <v>6571</v>
      </c>
      <c r="Z1" s="728" t="s">
        <v>6572</v>
      </c>
      <c r="AA1" s="728" t="s">
        <v>4064</v>
      </c>
      <c r="AB1" s="728" t="s">
        <v>6573</v>
      </c>
      <c r="AC1" s="728" t="s">
        <v>6574</v>
      </c>
      <c r="AD1" s="728" t="s">
        <v>6575</v>
      </c>
      <c r="AE1" s="728" t="s">
        <v>1201</v>
      </c>
      <c r="AF1" s="728" t="s">
        <v>217</v>
      </c>
      <c r="AG1" s="728" t="s">
        <v>1728</v>
      </c>
      <c r="AH1" s="728" t="s">
        <v>2085</v>
      </c>
      <c r="AI1" s="728" t="s">
        <v>6576</v>
      </c>
      <c r="AJ1" s="728" t="s">
        <v>6577</v>
      </c>
      <c r="AK1" s="728" t="s">
        <v>6578</v>
      </c>
      <c r="AL1" s="728" t="s">
        <v>1959</v>
      </c>
      <c r="AM1" s="728" t="s">
        <v>6579</v>
      </c>
      <c r="AN1" s="728" t="s">
        <v>6580</v>
      </c>
      <c r="AO1" s="728" t="s">
        <v>5941</v>
      </c>
      <c r="AP1" s="728" t="s">
        <v>6581</v>
      </c>
      <c r="AQ1" s="728" t="s">
        <v>6582</v>
      </c>
      <c r="AR1" s="728" t="s">
        <v>6583</v>
      </c>
      <c r="AS1" s="728" t="s">
        <v>3216</v>
      </c>
      <c r="AT1" s="728" t="s">
        <v>6584</v>
      </c>
      <c r="AU1" s="728" t="s">
        <v>3801</v>
      </c>
      <c r="AV1" s="728" t="s">
        <v>5735</v>
      </c>
      <c r="AW1" s="728" t="s">
        <v>6585</v>
      </c>
      <c r="AX1" s="728" t="s">
        <v>5396</v>
      </c>
      <c r="AY1" s="732" t="s">
        <v>4659</v>
      </c>
      <c r="AZ1" s="728" t="s">
        <v>646</v>
      </c>
      <c r="BA1" s="728" t="s">
        <v>6586</v>
      </c>
      <c r="BB1" s="729" t="s">
        <v>6587</v>
      </c>
      <c r="BC1" s="728" t="s">
        <v>6588</v>
      </c>
      <c r="BD1" s="728" t="s">
        <v>6589</v>
      </c>
      <c r="BE1" s="728" t="s">
        <v>1639</v>
      </c>
      <c r="BF1" s="732" t="s">
        <v>6554</v>
      </c>
      <c r="BG1" s="728" t="s">
        <v>827</v>
      </c>
      <c r="BH1" s="732" t="s">
        <v>6510</v>
      </c>
      <c r="BI1" s="732" t="s">
        <v>6590</v>
      </c>
      <c r="BJ1" s="732" t="s">
        <v>2021</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5906</v>
      </c>
      <c r="I4" s="750" t="str">
        <f>HYPERLINK("https://youtu.be/BAG8a3WI9KM","52.27")</f>
        <v>52.27</v>
      </c>
      <c r="J4" s="750" t="s">
        <v>2579</v>
      </c>
      <c r="K4" s="751" t="s">
        <v>1998</v>
      </c>
      <c r="L4" s="750" t="s">
        <v>443</v>
      </c>
      <c r="M4" s="751" t="s">
        <v>744</v>
      </c>
      <c r="N4" s="750" t="str">
        <f>HYPERLINK("https://youtu.be/qv_H1NgDIQ8","53.73")</f>
        <v>53.73</v>
      </c>
      <c r="O4" s="750" t="s">
        <v>2917</v>
      </c>
      <c r="P4" s="752" t="s">
        <v>1306</v>
      </c>
      <c r="Q4" s="750" t="str">
        <f>HYPERLINK("https://clips.twitch.tv/ZealousSeductiveOkapiCharlieBitMe","51.96")</f>
        <v>51.96</v>
      </c>
      <c r="R4" s="751"/>
      <c r="S4" s="750" t="s">
        <v>1721</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2543</v>
      </c>
      <c r="T5" s="754"/>
      <c r="U5" s="754"/>
      <c r="V5" s="754"/>
      <c r="W5" s="754"/>
      <c r="X5" s="754"/>
      <c r="Y5" s="754"/>
      <c r="Z5" s="754"/>
      <c r="AA5" s="754" t="s">
        <v>6603</v>
      </c>
      <c r="AB5" s="754"/>
      <c r="AC5" s="754"/>
      <c r="AD5" s="754" t="s">
        <v>6604</v>
      </c>
      <c r="AE5" s="754"/>
      <c r="AF5" s="754"/>
      <c r="AG5" s="754"/>
      <c r="AH5" s="754"/>
      <c r="AI5" s="754"/>
      <c r="AJ5" s="750" t="s">
        <v>4403</v>
      </c>
      <c r="AK5" s="754"/>
      <c r="AL5" s="754"/>
      <c r="AM5" s="754"/>
      <c r="AN5" s="754"/>
      <c r="AO5" s="754" t="s">
        <v>5943</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1563</v>
      </c>
      <c r="E7" s="750" t="s">
        <v>336</v>
      </c>
      <c r="F7" s="766" t="s">
        <v>1595</v>
      </c>
      <c r="G7" s="749" t="s">
        <v>1263</v>
      </c>
      <c r="H7" s="750" t="s">
        <v>2773</v>
      </c>
      <c r="I7" s="750" t="str">
        <f>HYPERLINK("https://youtu.be/ZP_d48CVxG0","1:19.30")</f>
        <v>1:19.30</v>
      </c>
      <c r="J7" s="751"/>
      <c r="K7" s="751"/>
      <c r="L7" s="751" t="s">
        <v>101</v>
      </c>
      <c r="M7" s="751" t="s">
        <v>745</v>
      </c>
      <c r="N7" s="751" t="s">
        <v>4582</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2850</v>
      </c>
      <c r="E8" s="754" t="s">
        <v>6610</v>
      </c>
      <c r="F8" s="769" t="s">
        <v>1157</v>
      </c>
      <c r="G8" s="762"/>
      <c r="H8" s="754"/>
      <c r="I8" s="754" t="s">
        <v>1376</v>
      </c>
      <c r="J8" s="754"/>
      <c r="K8" s="754"/>
      <c r="L8" s="754" t="s">
        <v>1142</v>
      </c>
      <c r="M8" s="754" t="s">
        <v>1142</v>
      </c>
      <c r="N8" s="754" t="s">
        <v>6611</v>
      </c>
      <c r="O8" s="754"/>
      <c r="P8" s="752"/>
      <c r="Q8" s="754" t="s">
        <v>5680</v>
      </c>
      <c r="R8" s="754" t="s">
        <v>3785</v>
      </c>
      <c r="S8" s="754" t="s">
        <v>6612</v>
      </c>
      <c r="T8" s="754" t="s">
        <v>6613</v>
      </c>
      <c r="U8" s="754"/>
      <c r="V8" s="754"/>
      <c r="W8" s="754" t="s">
        <v>5680</v>
      </c>
      <c r="X8" s="754"/>
      <c r="Y8" s="754" t="s">
        <v>3550</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2326</v>
      </c>
      <c r="D9" s="770"/>
      <c r="E9" s="770"/>
      <c r="F9" s="748"/>
      <c r="G9" s="749" t="s">
        <v>1412</v>
      </c>
      <c r="H9" s="770"/>
      <c r="I9" s="770"/>
      <c r="J9" s="770"/>
      <c r="K9" s="770"/>
      <c r="L9" s="770"/>
      <c r="M9" s="770"/>
      <c r="N9" s="770"/>
      <c r="O9" s="770" t="s">
        <v>635</v>
      </c>
      <c r="P9" s="770"/>
      <c r="Q9" s="770"/>
      <c r="R9" s="770" t="s">
        <v>2326</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2535</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2535</v>
      </c>
      <c r="BK10" s="756"/>
      <c r="BL10" s="756"/>
      <c r="BM10" s="756"/>
      <c r="BN10" s="756"/>
      <c r="BO10" s="756"/>
    </row>
    <row r="11" ht="15.75" customHeight="1">
      <c r="A11" s="763"/>
      <c r="B11" s="764" t="s">
        <v>6618</v>
      </c>
      <c r="C11" s="745" t="s">
        <v>6619</v>
      </c>
      <c r="D11" s="751"/>
      <c r="E11" s="750" t="s">
        <v>1245</v>
      </c>
      <c r="F11" s="774" t="s">
        <v>264</v>
      </c>
      <c r="G11" s="749" t="s">
        <v>2240</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1710</v>
      </c>
      <c r="E12" s="754" t="s">
        <v>2797</v>
      </c>
      <c r="F12" s="776" t="s">
        <v>6623</v>
      </c>
      <c r="G12" s="749" t="s">
        <v>6624</v>
      </c>
      <c r="H12" s="754"/>
      <c r="I12" s="754" t="s">
        <v>6625</v>
      </c>
      <c r="J12" s="754"/>
      <c r="K12" s="754" t="s">
        <v>4082</v>
      </c>
      <c r="L12" s="754"/>
      <c r="M12" s="754" t="s">
        <v>4479</v>
      </c>
      <c r="N12" s="754" t="s">
        <v>4770</v>
      </c>
      <c r="O12" s="754"/>
      <c r="P12" s="752" t="s">
        <v>3395</v>
      </c>
      <c r="Q12" s="754" t="s">
        <v>4479</v>
      </c>
      <c r="R12" s="754"/>
      <c r="S12" s="754" t="s">
        <v>4359</v>
      </c>
      <c r="T12" s="754"/>
      <c r="U12" s="754" t="s">
        <v>653</v>
      </c>
      <c r="V12" s="754" t="s">
        <v>2722</v>
      </c>
      <c r="W12" s="754"/>
      <c r="X12" s="754"/>
      <c r="Y12" s="754"/>
      <c r="Z12" s="754"/>
      <c r="AA12" s="754" t="s">
        <v>6626</v>
      </c>
      <c r="AB12" s="754"/>
      <c r="AC12" s="754"/>
      <c r="AD12" s="754"/>
      <c r="AE12" s="754"/>
      <c r="AF12" s="754"/>
      <c r="AG12" s="754"/>
      <c r="AH12" s="754"/>
      <c r="AI12" s="754"/>
      <c r="AJ12" s="751"/>
      <c r="AK12" s="754"/>
      <c r="AL12" s="754"/>
      <c r="AM12" s="754" t="s">
        <v>1967</v>
      </c>
      <c r="AN12" s="754"/>
      <c r="AO12" s="754" t="s">
        <v>6126</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4245</v>
      </c>
      <c r="D13" s="765" t="s">
        <v>1564</v>
      </c>
      <c r="E13" s="750" t="s">
        <v>337</v>
      </c>
      <c r="F13" s="766" t="s">
        <v>2767</v>
      </c>
      <c r="G13" s="749" t="s">
        <v>1264</v>
      </c>
      <c r="H13" s="750" t="s">
        <v>4245</v>
      </c>
      <c r="I13" s="751" t="s">
        <v>6628</v>
      </c>
      <c r="J13" s="750" t="s">
        <v>725</v>
      </c>
      <c r="K13" s="751"/>
      <c r="L13" s="751" t="s">
        <v>2347</v>
      </c>
      <c r="M13" s="750" t="s">
        <v>2108</v>
      </c>
      <c r="N13" s="751" t="s">
        <v>6629</v>
      </c>
      <c r="O13" s="750" t="s">
        <v>6630</v>
      </c>
      <c r="P13" s="752" t="s">
        <v>2797</v>
      </c>
      <c r="Q13" s="751" t="s">
        <v>3872</v>
      </c>
      <c r="R13" s="751"/>
      <c r="S13" s="750" t="s">
        <v>6631</v>
      </c>
      <c r="T13" s="751" t="s">
        <v>1508</v>
      </c>
      <c r="U13" s="751"/>
      <c r="V13" s="751"/>
      <c r="W13" s="751"/>
      <c r="X13" s="751"/>
      <c r="Y13" s="751"/>
      <c r="Z13" s="751"/>
      <c r="AA13" s="751"/>
      <c r="AB13" s="751"/>
      <c r="AC13" s="751"/>
      <c r="AD13" s="750" t="s">
        <v>1072</v>
      </c>
      <c r="AE13" s="751"/>
      <c r="AF13" s="751"/>
      <c r="AG13" s="751"/>
      <c r="AH13" s="751"/>
      <c r="AI13" s="751"/>
      <c r="AJ13" s="750" t="s">
        <v>3941</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5917</v>
      </c>
      <c r="D14" s="754" t="s">
        <v>117</v>
      </c>
      <c r="E14" s="754" t="s">
        <v>5917</v>
      </c>
      <c r="F14" s="776" t="s">
        <v>6040</v>
      </c>
      <c r="G14" s="749" t="str">
        <f>HYPERLINK("https://www.twitch.tv/videos/569558488","14.31")</f>
        <v>14.31</v>
      </c>
      <c r="H14" s="754" t="s">
        <v>4425</v>
      </c>
      <c r="I14" s="754" t="str">
        <f>HYPERLINK("https://youtu.be/F4XtupQ5d4o","14.33")</f>
        <v>14.33</v>
      </c>
      <c r="J14" s="754" t="s">
        <v>4425</v>
      </c>
      <c r="K14" s="754" t="s">
        <v>2848</v>
      </c>
      <c r="L14" s="754"/>
      <c r="M14" s="754" t="str">
        <f>HYPERLINK("https://www.youtube.com/watch?v=h3GaauXfeR4","14.16")</f>
        <v>14.16</v>
      </c>
      <c r="N14" s="754" t="str">
        <f>HYPERLINK("https://youtu.be/rZW3Nzg9CsM","14.20")</f>
        <v>14.20</v>
      </c>
      <c r="O14" s="754"/>
      <c r="P14" s="752" t="s">
        <v>4380</v>
      </c>
      <c r="Q14" s="754" t="s">
        <v>2280</v>
      </c>
      <c r="R14" s="754" t="s">
        <v>3804</v>
      </c>
      <c r="S14" s="754"/>
      <c r="T14" s="754"/>
      <c r="U14" s="754"/>
      <c r="V14" s="754" t="s">
        <v>5526</v>
      </c>
      <c r="W14" s="754"/>
      <c r="X14" s="754" t="s">
        <v>4499</v>
      </c>
      <c r="Y14" s="754"/>
      <c r="Z14" s="754"/>
      <c r="AA14" s="754" t="s">
        <v>6040</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1565</v>
      </c>
      <c r="E15" s="754" t="s">
        <v>445</v>
      </c>
      <c r="F15" s="769" t="s">
        <v>1565</v>
      </c>
      <c r="G15" s="749" t="s">
        <v>1265</v>
      </c>
      <c r="H15" s="751" t="s">
        <v>992</v>
      </c>
      <c r="I15" s="754" t="str">
        <f>HYPERLINK("https://clips.twitch.tv/BusyTriangularAlmondRuleFive","13.97")</f>
        <v>13.97</v>
      </c>
      <c r="J15" s="754" t="s">
        <v>1265</v>
      </c>
      <c r="K15" s="754" t="s">
        <v>1886</v>
      </c>
      <c r="L15" s="754" t="s">
        <v>445</v>
      </c>
      <c r="M15" s="754" t="str">
        <f>HYPERLINK("https://youtu.be/v-0tSrJ8Kf0","13.80")</f>
        <v>13.80</v>
      </c>
      <c r="N15" s="754" t="str">
        <f>HYPERLINK("https://youtu.be/Kv9otnDdZKc","13.93")</f>
        <v>13.93</v>
      </c>
      <c r="O15" s="754" t="s">
        <v>992</v>
      </c>
      <c r="P15" s="752" t="s">
        <v>2379</v>
      </c>
      <c r="Q15" s="754" t="s">
        <v>1886</v>
      </c>
      <c r="R15" s="754"/>
      <c r="S15" s="750" t="s">
        <v>2545</v>
      </c>
      <c r="T15" s="754"/>
      <c r="U15" s="754"/>
      <c r="V15" s="754" t="s">
        <v>2587</v>
      </c>
      <c r="W15" s="754"/>
      <c r="X15" s="754"/>
      <c r="Y15" s="754"/>
      <c r="Z15" s="754"/>
      <c r="AA15" s="754" t="s">
        <v>1424</v>
      </c>
      <c r="AB15" s="754"/>
      <c r="AC15" s="754"/>
      <c r="AD15" s="754" t="s">
        <v>103</v>
      </c>
      <c r="AE15" s="754"/>
      <c r="AF15" s="754"/>
      <c r="AG15" s="754" t="s">
        <v>103</v>
      </c>
      <c r="AH15" s="754" t="s">
        <v>992</v>
      </c>
      <c r="AI15" s="754"/>
      <c r="AJ15" s="750" t="s">
        <v>1886</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2147</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2221</v>
      </c>
      <c r="H17" s="751" t="s">
        <v>6639</v>
      </c>
      <c r="I17" s="751"/>
      <c r="J17" s="750" t="s">
        <v>6640</v>
      </c>
      <c r="K17" s="751"/>
      <c r="L17" s="751" t="s">
        <v>6640</v>
      </c>
      <c r="M17" s="751"/>
      <c r="N17" s="751"/>
      <c r="O17" s="750" t="s">
        <v>1923</v>
      </c>
      <c r="P17" s="752" t="s">
        <v>6641</v>
      </c>
      <c r="Q17" s="751" t="s">
        <v>6642</v>
      </c>
      <c r="R17" s="751"/>
      <c r="S17" s="751"/>
      <c r="T17" s="751" t="s">
        <v>6634</v>
      </c>
      <c r="U17" s="751"/>
      <c r="V17" s="751"/>
      <c r="W17" s="751" t="s">
        <v>6640</v>
      </c>
      <c r="X17" s="751"/>
      <c r="Y17" s="750" t="s">
        <v>1923</v>
      </c>
      <c r="Z17" s="751"/>
      <c r="AA17" s="751"/>
      <c r="AB17" s="751"/>
      <c r="AC17" s="751"/>
      <c r="AD17" s="751"/>
      <c r="AE17" s="751"/>
      <c r="AF17" s="750" t="s">
        <v>6637</v>
      </c>
      <c r="AG17" s="751" t="s">
        <v>3886</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1789</v>
      </c>
      <c r="D18" s="754" t="s">
        <v>4643</v>
      </c>
      <c r="E18" s="754" t="s">
        <v>1176</v>
      </c>
      <c r="F18" s="755"/>
      <c r="G18" s="749" t="s">
        <v>4426</v>
      </c>
      <c r="H18" s="754"/>
      <c r="I18" s="754" t="s">
        <v>4196</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4075</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2832</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3977</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1566</v>
      </c>
      <c r="E20" s="754" t="s">
        <v>6652</v>
      </c>
      <c r="F20" s="776" t="s">
        <v>1854</v>
      </c>
      <c r="G20" s="749" t="s">
        <v>1266</v>
      </c>
      <c r="H20" s="754" t="s">
        <v>4365</v>
      </c>
      <c r="I20" s="754" t="str">
        <f>HYPERLINK("https://clips.twitch.tv/EnergeticBeautifulMallardRalpherZ","42.96")</f>
        <v>42.96</v>
      </c>
      <c r="J20" s="754" t="s">
        <v>139</v>
      </c>
      <c r="K20" s="750" t="s">
        <v>2798</v>
      </c>
      <c r="L20" s="754" t="s">
        <v>627</v>
      </c>
      <c r="M20" s="754" t="s">
        <v>591</v>
      </c>
      <c r="N20" s="754" t="s">
        <v>1826</v>
      </c>
      <c r="O20" s="754" t="s">
        <v>657</v>
      </c>
      <c r="P20" s="752" t="s">
        <v>3285</v>
      </c>
      <c r="Q20" s="754" t="s">
        <v>1566</v>
      </c>
      <c r="R20" s="754"/>
      <c r="S20" s="754" t="s">
        <v>2546</v>
      </c>
      <c r="T20" s="754"/>
      <c r="U20" s="750" t="s">
        <v>2926</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4148</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3886</v>
      </c>
      <c r="F24" s="774" t="s">
        <v>4227</v>
      </c>
      <c r="G24" s="762"/>
      <c r="H24" s="754" t="s">
        <v>6662</v>
      </c>
      <c r="I24" s="754"/>
      <c r="J24" s="754"/>
      <c r="K24" s="754"/>
      <c r="L24" s="754" t="s">
        <v>785</v>
      </c>
      <c r="M24" s="754"/>
      <c r="N24" s="754"/>
      <c r="O24" s="754"/>
      <c r="P24" s="752"/>
      <c r="Q24" s="754" t="s">
        <v>2780</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3479</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2800</v>
      </c>
      <c r="D27" s="750" t="s">
        <v>1568</v>
      </c>
      <c r="E27" s="754" t="s">
        <v>6671</v>
      </c>
      <c r="F27" s="790" t="s">
        <v>2768</v>
      </c>
      <c r="G27" s="762"/>
      <c r="H27" s="754"/>
      <c r="I27" s="754"/>
      <c r="J27" s="754"/>
      <c r="K27" s="754"/>
      <c r="L27" s="754"/>
      <c r="M27" s="754"/>
      <c r="N27" s="754"/>
      <c r="O27" s="754"/>
      <c r="P27" s="752"/>
      <c r="Q27" s="754"/>
      <c r="R27" s="754"/>
      <c r="S27" s="754"/>
      <c r="T27" s="754"/>
      <c r="U27" s="754" t="s">
        <v>4544</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2548</v>
      </c>
      <c r="T28" s="754" t="s">
        <v>3302</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2888</v>
      </c>
      <c r="D30" s="754"/>
      <c r="E30" s="754" t="s">
        <v>2888</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4236</v>
      </c>
      <c r="D31" s="754"/>
      <c r="E31" s="754" t="s">
        <v>1901</v>
      </c>
      <c r="F31" s="790" t="s">
        <v>6683</v>
      </c>
      <c r="G31" s="762"/>
      <c r="H31" s="754"/>
      <c r="I31" s="754" t="s">
        <v>4895</v>
      </c>
      <c r="J31" s="754" t="s">
        <v>772</v>
      </c>
      <c r="K31" s="754" t="s">
        <v>3480</v>
      </c>
      <c r="L31" s="754"/>
      <c r="M31" s="754" t="s">
        <v>1450</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1977</v>
      </c>
      <c r="D32" s="754"/>
      <c r="E32" s="754" t="s">
        <v>1428</v>
      </c>
      <c r="F32" s="755"/>
      <c r="G32" s="749" t="s">
        <v>111</v>
      </c>
      <c r="H32" s="754"/>
      <c r="I32" s="754" t="s">
        <v>1901</v>
      </c>
      <c r="J32" s="754" t="s">
        <v>1977</v>
      </c>
      <c r="K32" s="754" t="s">
        <v>881</v>
      </c>
      <c r="L32" s="754"/>
      <c r="M32" s="754" t="s">
        <v>2706</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2392</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3875</v>
      </c>
      <c r="D33" s="754"/>
      <c r="E33" s="754" t="s">
        <v>3875</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2706</v>
      </c>
      <c r="D34" s="754"/>
      <c r="E34" s="754" t="s">
        <v>3160</v>
      </c>
      <c r="F34" s="755"/>
      <c r="G34" s="762"/>
      <c r="H34" s="754"/>
      <c r="I34" s="754"/>
      <c r="J34" s="754"/>
      <c r="K34" s="754" t="s">
        <v>4236</v>
      </c>
      <c r="L34" s="754"/>
      <c r="M34" s="754" t="s">
        <v>2706</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3643</v>
      </c>
      <c r="D35" s="754"/>
      <c r="E35" s="754" t="s">
        <v>3480</v>
      </c>
      <c r="F35" s="748"/>
      <c r="G35" s="762"/>
      <c r="H35" s="754"/>
      <c r="I35" s="754"/>
      <c r="J35" s="754" t="s">
        <v>3643</v>
      </c>
      <c r="K35" s="754" t="s">
        <v>3875</v>
      </c>
      <c r="L35" s="754"/>
      <c r="M35" s="754" t="s">
        <v>5277</v>
      </c>
      <c r="N35" s="754"/>
      <c r="O35" s="754"/>
      <c r="P35" s="752"/>
      <c r="Q35" s="754" t="s">
        <v>6690</v>
      </c>
      <c r="R35" s="750" t="s">
        <v>3643</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2960</v>
      </c>
      <c r="D36" s="754"/>
      <c r="E36" s="754" t="s">
        <v>3779</v>
      </c>
      <c r="F36" s="755"/>
      <c r="G36" s="762"/>
      <c r="H36" s="754"/>
      <c r="I36" s="754"/>
      <c r="J36" s="754" t="s">
        <v>2960</v>
      </c>
      <c r="K36" s="754" t="s">
        <v>6692</v>
      </c>
      <c r="L36" s="754" t="s">
        <v>2273</v>
      </c>
      <c r="M36" s="754" t="s">
        <v>2706</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2317</v>
      </c>
      <c r="D37" s="754" t="s">
        <v>1569</v>
      </c>
      <c r="E37" s="754" t="s">
        <v>3643</v>
      </c>
      <c r="F37" s="790" t="s">
        <v>2870</v>
      </c>
      <c r="G37" s="762"/>
      <c r="H37" s="754"/>
      <c r="I37" s="754" t="s">
        <v>6694</v>
      </c>
      <c r="J37" s="754" t="s">
        <v>2317</v>
      </c>
      <c r="K37" s="754" t="s">
        <v>2273</v>
      </c>
      <c r="L37" s="754"/>
      <c r="M37" s="754" t="s">
        <v>6692</v>
      </c>
      <c r="N37" s="754"/>
      <c r="O37" s="754"/>
      <c r="P37" s="752"/>
      <c r="Q37" s="754" t="s">
        <v>1750</v>
      </c>
      <c r="R37" s="754"/>
      <c r="S37" s="754"/>
      <c r="T37" s="754"/>
      <c r="U37" s="750" t="s">
        <v>3643</v>
      </c>
      <c r="V37" s="754" t="s">
        <v>5797</v>
      </c>
      <c r="W37" s="754"/>
      <c r="X37" s="754"/>
      <c r="Y37" s="754"/>
      <c r="Z37" s="754"/>
      <c r="AA37" s="754" t="s">
        <v>1660</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3939</v>
      </c>
      <c r="F38" s="769" t="s">
        <v>2706</v>
      </c>
      <c r="G38" s="749" t="s">
        <v>3756</v>
      </c>
      <c r="H38" s="754" t="s">
        <v>762</v>
      </c>
      <c r="I38" s="754" t="s">
        <v>1967</v>
      </c>
      <c r="J38" s="754" t="s">
        <v>1138</v>
      </c>
      <c r="K38" s="754" t="s">
        <v>4866</v>
      </c>
      <c r="L38" s="754"/>
      <c r="M38" s="754"/>
      <c r="N38" s="754"/>
      <c r="O38" s="754" t="s">
        <v>1967</v>
      </c>
      <c r="P38" s="752" t="s">
        <v>2487</v>
      </c>
      <c r="Q38" s="754" t="str">
        <f>HYPERLINK("https://clips.twitch.tv/AggressiveBigTeaNononoCat","40.26")</f>
        <v>40.26</v>
      </c>
      <c r="R38" s="754"/>
      <c r="S38" s="754"/>
      <c r="T38" s="754" t="s">
        <v>3939</v>
      </c>
      <c r="U38" s="754" t="s">
        <v>478</v>
      </c>
      <c r="V38" s="754"/>
      <c r="W38" s="754"/>
      <c r="X38" s="754"/>
      <c r="Y38" s="754"/>
      <c r="Z38" s="754"/>
      <c r="AA38" s="754"/>
      <c r="AB38" s="754"/>
      <c r="AC38" s="754"/>
      <c r="AD38" s="754"/>
      <c r="AE38" s="754"/>
      <c r="AF38" s="754"/>
      <c r="AG38" s="754"/>
      <c r="AH38" s="754"/>
      <c r="AI38" s="754"/>
      <c r="AJ38" s="751"/>
      <c r="AK38" s="754" t="s">
        <v>1736</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4352</v>
      </c>
      <c r="D39" s="754" t="s">
        <v>6697</v>
      </c>
      <c r="E39" s="754" t="s">
        <v>4352</v>
      </c>
      <c r="F39" s="790" t="s">
        <v>2519</v>
      </c>
      <c r="G39" s="749" t="s">
        <v>3114</v>
      </c>
      <c r="H39" s="754"/>
      <c r="I39" s="754"/>
      <c r="J39" s="754"/>
      <c r="K39" s="754" t="s">
        <v>354</v>
      </c>
      <c r="L39" s="754"/>
      <c r="M39" s="754"/>
      <c r="N39" s="754"/>
      <c r="O39" s="754"/>
      <c r="P39" s="752"/>
      <c r="Q39" s="754" t="s">
        <v>3168</v>
      </c>
      <c r="R39" s="754"/>
      <c r="S39" s="754"/>
      <c r="T39" s="754"/>
      <c r="U39" s="754"/>
      <c r="V39" s="754"/>
      <c r="W39" s="754"/>
      <c r="X39" s="754" t="s">
        <v>6698</v>
      </c>
      <c r="Y39" s="754" t="s">
        <v>1808</v>
      </c>
      <c r="Z39" s="754"/>
      <c r="AA39" s="754" t="s">
        <v>3670</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2536</v>
      </c>
      <c r="D40" s="754" t="s">
        <v>2962</v>
      </c>
      <c r="E40" s="754" t="s">
        <v>3563</v>
      </c>
      <c r="F40" s="769" t="s">
        <v>4546</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2536</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2847</v>
      </c>
      <c r="I41" s="754" t="str">
        <f>HYPERLINK("https://youtu.be/WdBDZlWcLa8","16.95")</f>
        <v>16.95</v>
      </c>
      <c r="J41" s="754"/>
      <c r="K41" s="754"/>
      <c r="L41" s="754"/>
      <c r="M41" s="754"/>
      <c r="N41" s="754" t="str">
        <f>HYPERLINK("https://youtu.be/FwtG-kRM0SE","17.64")</f>
        <v>17.64</v>
      </c>
      <c r="O41" s="754"/>
      <c r="P41" s="752" t="s">
        <v>4868</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1570</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2769</v>
      </c>
      <c r="V42" s="751" t="s">
        <v>3460</v>
      </c>
      <c r="W42" s="751"/>
      <c r="X42" s="751"/>
      <c r="Y42" s="751"/>
      <c r="Z42" s="751"/>
      <c r="AA42" s="751"/>
      <c r="AB42" s="751"/>
      <c r="AC42" s="751"/>
      <c r="AD42" s="751"/>
      <c r="AE42" s="751"/>
      <c r="AF42" s="751"/>
      <c r="AG42" s="751"/>
      <c r="AH42" s="751"/>
      <c r="AI42" s="751"/>
      <c r="AJ42" s="794" t="s">
        <v>3092</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2755</v>
      </c>
      <c r="BI42" s="756"/>
      <c r="BJ42" s="756"/>
      <c r="BK42" s="756"/>
      <c r="BL42" s="756"/>
      <c r="BM42" s="756"/>
      <c r="BN42" s="756"/>
      <c r="BO42" s="756"/>
    </row>
    <row r="43" ht="15.75" customHeight="1">
      <c r="A43" s="743" t="s">
        <v>6705</v>
      </c>
      <c r="B43" s="744" t="s">
        <v>6706</v>
      </c>
      <c r="C43" s="745" t="s">
        <v>4927</v>
      </c>
      <c r="D43" s="765" t="s">
        <v>1571</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2403</v>
      </c>
      <c r="D44" s="798" t="s">
        <v>1359</v>
      </c>
      <c r="E44" s="754" t="s">
        <v>2403</v>
      </c>
      <c r="F44" s="748"/>
      <c r="G44" s="762"/>
      <c r="H44" s="754"/>
      <c r="I44" s="754" t="str">
        <f>HYPERLINK("https://youtu.be/t-1yqXLdZMA","38.05")</f>
        <v>38.05</v>
      </c>
      <c r="J44" s="754" t="s">
        <v>6709</v>
      </c>
      <c r="K44" s="754" t="s">
        <v>2275</v>
      </c>
      <c r="L44" s="754" t="s">
        <v>837</v>
      </c>
      <c r="M44" s="754" t="s">
        <v>3127</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3274</v>
      </c>
      <c r="D46" s="765" t="s">
        <v>649</v>
      </c>
      <c r="E46" s="754" t="s">
        <v>2811</v>
      </c>
      <c r="F46" s="748"/>
      <c r="G46" s="762"/>
      <c r="H46" s="754"/>
      <c r="I46" s="754" t="s">
        <v>1731</v>
      </c>
      <c r="J46" s="754"/>
      <c r="K46" s="754" t="s">
        <v>2249</v>
      </c>
      <c r="L46" s="754" t="s">
        <v>276</v>
      </c>
      <c r="M46" s="754" t="s">
        <v>784</v>
      </c>
      <c r="N46" s="754" t="str">
        <f>HYPERLINK("https://youtu.be/Z3lDpXDeu-A","48.50")</f>
        <v>48.50</v>
      </c>
      <c r="O46" s="754"/>
      <c r="P46" s="752"/>
      <c r="Q46" s="754"/>
      <c r="R46" s="754"/>
      <c r="S46" s="754" t="s">
        <v>3274</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2596</v>
      </c>
      <c r="D47" s="752"/>
      <c r="E47" s="752"/>
      <c r="F47" s="755"/>
      <c r="G47" s="762"/>
      <c r="H47" s="752"/>
      <c r="I47" s="750" t="s">
        <v>2596</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3250</v>
      </c>
      <c r="D48" s="752"/>
      <c r="E48" s="752"/>
      <c r="F48" s="748"/>
      <c r="G48" s="762"/>
      <c r="H48" s="752"/>
      <c r="I48" s="750" t="s">
        <v>3250</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6142</v>
      </c>
      <c r="E49" s="752"/>
      <c r="F49" s="755"/>
      <c r="G49" s="762"/>
      <c r="H49" s="752"/>
      <c r="I49" s="750" t="s">
        <v>5339</v>
      </c>
      <c r="J49" s="802"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1848</v>
      </c>
      <c r="D54" s="754"/>
      <c r="E54" s="754" t="s">
        <v>1484</v>
      </c>
      <c r="F54" s="748"/>
      <c r="G54" s="749" t="s">
        <v>1952</v>
      </c>
      <c r="H54" s="754"/>
      <c r="I54" s="754" t="s">
        <v>6228</v>
      </c>
      <c r="J54" s="754" t="s">
        <v>1848</v>
      </c>
      <c r="K54" s="754" t="s">
        <v>4624</v>
      </c>
      <c r="L54" s="754" t="s">
        <v>913</v>
      </c>
      <c r="M54" s="754" t="s">
        <v>753</v>
      </c>
      <c r="N54" s="754" t="s">
        <v>2983</v>
      </c>
      <c r="O54" s="754"/>
      <c r="P54" s="752" t="s">
        <v>3415</v>
      </c>
      <c r="Q54" s="754" t="s">
        <v>1139</v>
      </c>
      <c r="R54" s="754" t="s">
        <v>6723</v>
      </c>
      <c r="S54" s="754"/>
      <c r="T54" s="754"/>
      <c r="U54" s="754" t="s">
        <v>3452</v>
      </c>
      <c r="V54" s="754" t="s">
        <v>2656</v>
      </c>
      <c r="W54" s="754"/>
      <c r="X54" s="754"/>
      <c r="Y54" s="754"/>
      <c r="Z54" s="754"/>
      <c r="AA54" s="754"/>
      <c r="AB54" s="754"/>
      <c r="AC54" s="754"/>
      <c r="AD54" s="754"/>
      <c r="AE54" s="754"/>
      <c r="AF54" s="754"/>
      <c r="AG54" s="754"/>
      <c r="AH54" s="754"/>
      <c r="AI54" s="754"/>
      <c r="AJ54" s="813"/>
      <c r="AK54" s="754" t="s">
        <v>1613</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3220</v>
      </c>
      <c r="D55" s="754"/>
      <c r="E55" s="754" t="s">
        <v>3220</v>
      </c>
      <c r="F55" s="817"/>
      <c r="G55" s="762"/>
      <c r="H55" s="754"/>
      <c r="I55" s="754"/>
      <c r="J55" s="754"/>
      <c r="K55" s="754"/>
      <c r="L55" s="754"/>
      <c r="M55" s="754"/>
      <c r="N55" s="754"/>
      <c r="O55" s="754" t="s">
        <v>403</v>
      </c>
      <c r="P55" s="752" t="s">
        <v>1306</v>
      </c>
      <c r="Q55" s="754" t="s">
        <v>802</v>
      </c>
      <c r="R55" s="754"/>
      <c r="S55" s="754"/>
      <c r="T55" s="754" t="s">
        <v>5775</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4587</v>
      </c>
      <c r="E56" s="820"/>
      <c r="F56" s="748"/>
      <c r="G56" s="762"/>
      <c r="H56" s="820"/>
      <c r="I56" s="820"/>
      <c r="J56" s="820"/>
      <c r="K56" s="820"/>
      <c r="L56" s="820"/>
      <c r="M56" s="820"/>
      <c r="N56" s="821" t="s">
        <v>6726</v>
      </c>
      <c r="O56" s="820"/>
      <c r="P56" s="752"/>
      <c r="Q56" s="820"/>
      <c r="R56" s="820"/>
      <c r="S56" s="820"/>
      <c r="T56" s="820"/>
      <c r="U56" s="820" t="s">
        <v>1934</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5726</v>
      </c>
      <c r="G57" s="749" t="s">
        <v>1274</v>
      </c>
      <c r="H57" s="749" t="s">
        <v>366</v>
      </c>
      <c r="I57" s="794"/>
      <c r="J57" s="794"/>
      <c r="K57" s="794"/>
      <c r="L57" s="794"/>
      <c r="M57" s="794"/>
      <c r="N57" s="794"/>
      <c r="O57" s="794" t="s">
        <v>5726</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3768</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2148</v>
      </c>
      <c r="R60" s="794"/>
      <c r="S60" s="794"/>
      <c r="T60" s="794"/>
      <c r="U60" s="794"/>
      <c r="V60" s="794"/>
      <c r="W60" s="794"/>
      <c r="X60" s="794"/>
      <c r="Y60" s="794" t="s">
        <v>4142</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1370</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3914</v>
      </c>
      <c r="P62" s="752" t="s">
        <v>6731</v>
      </c>
      <c r="Q62" s="794" t="s">
        <v>6649</v>
      </c>
      <c r="R62" s="794" t="s">
        <v>769</v>
      </c>
      <c r="S62" s="794"/>
      <c r="T62" s="794"/>
      <c r="U62" s="794"/>
      <c r="V62" s="794"/>
      <c r="W62" s="794"/>
      <c r="X62" s="794"/>
      <c r="Y62" s="794"/>
      <c r="Z62" s="794" t="s">
        <v>3914</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4123</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3673</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2618</v>
      </c>
      <c r="D65" s="796" t="s">
        <v>6735</v>
      </c>
      <c r="E65" s="796"/>
      <c r="F65" s="828" t="s">
        <v>2618</v>
      </c>
      <c r="G65" s="762"/>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3640</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2944</v>
      </c>
      <c r="D68" s="752" t="s">
        <v>6649</v>
      </c>
      <c r="E68" s="752"/>
      <c r="F68" s="776" t="s">
        <v>2944</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4205</v>
      </c>
      <c r="E69" s="752"/>
      <c r="F69" s="748"/>
      <c r="G69" s="762"/>
      <c r="H69" s="752"/>
      <c r="I69" s="752"/>
      <c r="J69" s="802" t="s">
        <v>6289</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2954</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2328</v>
      </c>
      <c r="D70" s="754" t="s">
        <v>2353</v>
      </c>
      <c r="E70" s="754" t="s">
        <v>3513</v>
      </c>
      <c r="F70" s="828" t="s">
        <v>6743</v>
      </c>
      <c r="G70" s="762"/>
      <c r="H70" s="754" t="s">
        <v>574</v>
      </c>
      <c r="I70" s="754"/>
      <c r="J70" s="754" t="s">
        <v>6743</v>
      </c>
      <c r="K70" s="754"/>
      <c r="L70" s="754"/>
      <c r="M70" s="754" t="s">
        <v>3513</v>
      </c>
      <c r="N70" s="754"/>
      <c r="O70" s="754"/>
      <c r="P70" s="752"/>
      <c r="Q70" s="754"/>
      <c r="R70" s="754"/>
      <c r="S70" s="754"/>
      <c r="T70" s="754" t="s">
        <v>2809</v>
      </c>
      <c r="U70" s="754"/>
      <c r="V70" s="754"/>
      <c r="W70" s="754" t="s">
        <v>3364</v>
      </c>
      <c r="X70" s="754" t="s">
        <v>5046</v>
      </c>
      <c r="Y70" s="754"/>
      <c r="Z70" s="754" t="s">
        <v>4811</v>
      </c>
      <c r="AA70" s="754"/>
      <c r="AB70" s="754"/>
      <c r="AC70" s="754"/>
      <c r="AD70" s="754"/>
      <c r="AE70" s="754" t="s">
        <v>3768</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3996</v>
      </c>
      <c r="O71" s="837"/>
      <c r="P71" s="770"/>
      <c r="Q71" s="837" t="str">
        <f>HYPERLINK("https://clips.twitch.tv/ThankfulSpoopyHerdWOOP","16.58")</f>
        <v>16.58</v>
      </c>
      <c r="R71" s="837"/>
      <c r="S71" s="837"/>
      <c r="T71" s="837"/>
      <c r="U71" s="837"/>
      <c r="V71" s="837" t="s">
        <v>6746</v>
      </c>
      <c r="W71" s="837"/>
      <c r="X71" s="837" t="s">
        <v>3536</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4072</v>
      </c>
      <c r="D72" s="754" t="s">
        <v>530</v>
      </c>
      <c r="E72" s="754"/>
      <c r="F72" s="776" t="s">
        <v>343</v>
      </c>
      <c r="G72" s="749" t="s">
        <v>2178</v>
      </c>
      <c r="H72" s="754" t="s">
        <v>3845</v>
      </c>
      <c r="I72" s="754" t="s">
        <v>405</v>
      </c>
      <c r="J72" s="754" t="s">
        <v>3192</v>
      </c>
      <c r="K72" s="754"/>
      <c r="L72" s="754"/>
      <c r="M72" s="754"/>
      <c r="N72" s="754" t="str">
        <f>HYPERLINK("https://youtu.be/1clufi5ICPo","15.10")</f>
        <v>15.10</v>
      </c>
      <c r="O72" s="754"/>
      <c r="P72" s="752"/>
      <c r="Q72" s="754" t="s">
        <v>2716</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2033</v>
      </c>
      <c r="G73" s="749" t="s">
        <v>1276</v>
      </c>
      <c r="H73" s="796" t="s">
        <v>1213</v>
      </c>
      <c r="I73" s="796" t="s">
        <v>1433</v>
      </c>
      <c r="J73" s="796" t="s">
        <v>4364</v>
      </c>
      <c r="K73" s="796" t="s">
        <v>3094</v>
      </c>
      <c r="L73" s="796" t="s">
        <v>6749</v>
      </c>
      <c r="M73" s="796" t="s">
        <v>5774</v>
      </c>
      <c r="N73" s="796" t="s">
        <v>358</v>
      </c>
      <c r="O73" s="796" t="s">
        <v>6079</v>
      </c>
      <c r="P73" s="797"/>
      <c r="Q73" s="796" t="s">
        <v>1893</v>
      </c>
      <c r="R73" s="796"/>
      <c r="S73" s="796" t="s">
        <v>1615</v>
      </c>
      <c r="T73" s="796"/>
      <c r="U73" s="796"/>
      <c r="V73" s="796"/>
      <c r="W73" s="796"/>
      <c r="X73" s="796"/>
      <c r="Y73" s="796"/>
      <c r="Z73" s="796"/>
      <c r="AA73" s="796" t="s">
        <v>4072</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2163</v>
      </c>
      <c r="D74" s="754"/>
      <c r="E74" s="754" t="s">
        <v>2163</v>
      </c>
      <c r="F74" s="817"/>
      <c r="G74" s="749" t="s">
        <v>6516</v>
      </c>
      <c r="H74" s="754"/>
      <c r="I74" s="754" t="s">
        <v>6753</v>
      </c>
      <c r="J74" s="754"/>
      <c r="K74" s="754" t="s">
        <v>6150</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1483</v>
      </c>
      <c r="E75" s="754" t="s">
        <v>353</v>
      </c>
      <c r="F75" s="766" t="s">
        <v>1483</v>
      </c>
      <c r="G75" s="749" t="s">
        <v>1277</v>
      </c>
      <c r="H75" s="754" t="s">
        <v>1544</v>
      </c>
      <c r="I75" s="754" t="s">
        <v>1434</v>
      </c>
      <c r="J75" s="754" t="s">
        <v>4963</v>
      </c>
      <c r="K75" s="754" t="s">
        <v>6756</v>
      </c>
      <c r="L75" s="754" t="s">
        <v>915</v>
      </c>
      <c r="M75" s="754" t="s">
        <v>755</v>
      </c>
      <c r="N75" s="754" t="s">
        <v>1363</v>
      </c>
      <c r="O75" s="754" t="s">
        <v>2325</v>
      </c>
      <c r="P75" s="752" t="s">
        <v>3879</v>
      </c>
      <c r="Q75" s="754" t="s">
        <v>6757</v>
      </c>
      <c r="R75" s="754"/>
      <c r="S75" s="754" t="s">
        <v>4619</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3997</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3997</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6121</v>
      </c>
      <c r="D78" s="754" t="s">
        <v>1575</v>
      </c>
      <c r="E78" s="754" t="s">
        <v>756</v>
      </c>
      <c r="F78" s="766" t="s">
        <v>2770</v>
      </c>
      <c r="G78" s="749" t="s">
        <v>1278</v>
      </c>
      <c r="H78" s="754" t="s">
        <v>6121</v>
      </c>
      <c r="I78" s="754" t="str">
        <f>HYPERLINK("https://www.youtube.com/watch?v=Imyo7x5mfG4&amp;feature=youtu.be","30.15")</f>
        <v>30.15</v>
      </c>
      <c r="J78" s="754" t="s">
        <v>1654</v>
      </c>
      <c r="K78" s="754" t="s">
        <v>1898</v>
      </c>
      <c r="L78" s="754" t="s">
        <v>119</v>
      </c>
      <c r="M78" s="754" t="s">
        <v>756</v>
      </c>
      <c r="N78" s="754" t="s">
        <v>119</v>
      </c>
      <c r="O78" s="754" t="s">
        <v>1002</v>
      </c>
      <c r="P78" s="752" t="s">
        <v>3327</v>
      </c>
      <c r="Q78" s="754" t="s">
        <v>4995</v>
      </c>
      <c r="R78" s="754"/>
      <c r="S78" s="754"/>
      <c r="T78" s="754"/>
      <c r="U78" s="750" t="s">
        <v>1614</v>
      </c>
      <c r="V78" s="754" t="s">
        <v>974</v>
      </c>
      <c r="W78" s="754"/>
      <c r="X78" s="754"/>
      <c r="Y78" s="754"/>
      <c r="Z78" s="754"/>
      <c r="AA78" s="754"/>
      <c r="AB78" s="754"/>
      <c r="AC78" s="754"/>
      <c r="AD78" s="754"/>
      <c r="AE78" s="754"/>
      <c r="AF78" s="754"/>
      <c r="AG78" s="754"/>
      <c r="AH78" s="754"/>
      <c r="AI78" s="754"/>
      <c r="AJ78" s="813"/>
      <c r="AK78" s="754" t="s">
        <v>1617</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3989</v>
      </c>
      <c r="D79" s="754"/>
      <c r="E79" s="754" t="s">
        <v>3989</v>
      </c>
      <c r="F79" s="817"/>
      <c r="G79" s="749" t="s">
        <v>2473</v>
      </c>
      <c r="H79" s="754"/>
      <c r="I79" s="754"/>
      <c r="J79" s="754"/>
      <c r="K79" s="754"/>
      <c r="L79" s="754"/>
      <c r="M79" s="754"/>
      <c r="N79" s="754"/>
      <c r="O79" s="754"/>
      <c r="P79" s="752"/>
      <c r="Q79" s="754"/>
      <c r="R79" s="754"/>
      <c r="S79" s="754"/>
      <c r="T79" s="754"/>
      <c r="U79" s="754"/>
      <c r="V79" s="754"/>
      <c r="W79" s="754"/>
      <c r="X79" s="754" t="s">
        <v>3641</v>
      </c>
      <c r="Y79" s="754"/>
      <c r="Z79" s="754"/>
      <c r="AA79" s="754"/>
      <c r="AB79" s="754"/>
      <c r="AC79" s="754" t="s">
        <v>1893</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2728</v>
      </c>
      <c r="D80" s="754" t="s">
        <v>2532</v>
      </c>
      <c r="E80" s="754" t="s">
        <v>2401</v>
      </c>
      <c r="F80" s="790" t="s">
        <v>4085</v>
      </c>
      <c r="G80" s="749" t="s">
        <v>6764</v>
      </c>
      <c r="H80" s="754"/>
      <c r="I80" s="754"/>
      <c r="J80" s="754"/>
      <c r="K80" s="754"/>
      <c r="L80" s="754"/>
      <c r="M80" s="754" t="s">
        <v>6765</v>
      </c>
      <c r="N80" s="754"/>
      <c r="O80" s="754"/>
      <c r="P80" s="752" t="s">
        <v>6766</v>
      </c>
      <c r="Q80" s="754"/>
      <c r="R80" s="754"/>
      <c r="S80" s="754" t="s">
        <v>3979</v>
      </c>
      <c r="T80" s="754"/>
      <c r="U80" s="754"/>
      <c r="V80" s="754"/>
      <c r="W80" s="754" t="s">
        <v>6766</v>
      </c>
      <c r="X80" s="754" t="s">
        <v>2079</v>
      </c>
      <c r="Y80" s="754" t="s">
        <v>2728</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3006</v>
      </c>
      <c r="D81" s="794"/>
      <c r="E81" s="794"/>
      <c r="F81" s="817"/>
      <c r="G81" s="762"/>
      <c r="H81" s="837" t="s">
        <v>3006</v>
      </c>
      <c r="I81" s="794"/>
      <c r="J81" s="794"/>
      <c r="K81" s="794"/>
      <c r="L81" s="794"/>
      <c r="M81" s="794"/>
      <c r="N81" s="794"/>
      <c r="O81" s="794" t="s">
        <v>3006</v>
      </c>
      <c r="P81" s="752" t="s">
        <v>4940</v>
      </c>
      <c r="Q81" s="794"/>
      <c r="R81" s="794"/>
      <c r="S81" s="794"/>
      <c r="T81" s="794"/>
      <c r="U81" s="794"/>
      <c r="V81" s="794"/>
      <c r="W81" s="794"/>
      <c r="X81" s="794"/>
      <c r="Y81" s="794"/>
      <c r="Z81" s="794" t="s">
        <v>1988</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2220</v>
      </c>
      <c r="D82" s="754"/>
      <c r="E82" s="754" t="s">
        <v>2220</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2619</v>
      </c>
      <c r="D83" s="754" t="s">
        <v>3549</v>
      </c>
      <c r="E83" s="754" t="s">
        <v>2619</v>
      </c>
      <c r="F83" s="748"/>
      <c r="G83" s="762"/>
      <c r="H83" s="754"/>
      <c r="I83" s="754"/>
      <c r="J83" s="754"/>
      <c r="K83" s="754" t="s">
        <v>6771</v>
      </c>
      <c r="L83" s="754" t="s">
        <v>5155</v>
      </c>
      <c r="M83" s="754"/>
      <c r="N83" s="754" t="str">
        <f>HYPERLINK("https://youtu.be/HUwmtKe7cOY","56.54")</f>
        <v>56.54</v>
      </c>
      <c r="O83" s="754"/>
      <c r="P83" s="752" t="s">
        <v>3755</v>
      </c>
      <c r="Q83" s="754"/>
      <c r="R83" s="754"/>
      <c r="S83" s="754"/>
      <c r="T83" s="754"/>
      <c r="U83" s="754" t="s">
        <v>6772</v>
      </c>
      <c r="V83" s="754" t="s">
        <v>2281</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1576</v>
      </c>
      <c r="E84" s="754" t="s">
        <v>5477</v>
      </c>
      <c r="F84" s="766" t="s">
        <v>757</v>
      </c>
      <c r="G84" s="749" t="s">
        <v>120</v>
      </c>
      <c r="H84" s="754" t="s">
        <v>954</v>
      </c>
      <c r="I84" s="754" t="s">
        <v>2878</v>
      </c>
      <c r="J84" s="754" t="s">
        <v>4410</v>
      </c>
      <c r="K84" s="754"/>
      <c r="L84" s="754"/>
      <c r="M84" s="754"/>
      <c r="N84" s="754" t="str">
        <f>HYPERLINK("https://youtu.be/vycxuqUj3Q4","56.44")</f>
        <v>56.44</v>
      </c>
      <c r="O84" s="754" t="s">
        <v>3149</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3448</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3448</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1577</v>
      </c>
      <c r="D86" s="754" t="s">
        <v>1577</v>
      </c>
      <c r="E86" s="820"/>
      <c r="F86" s="766" t="s">
        <v>2771</v>
      </c>
      <c r="G86" s="762"/>
      <c r="H86" s="820"/>
      <c r="I86" s="820"/>
      <c r="J86" s="820"/>
      <c r="K86" s="820"/>
      <c r="L86" s="820"/>
      <c r="M86" s="820"/>
      <c r="N86" s="820"/>
      <c r="O86" s="820"/>
      <c r="P86" s="752"/>
      <c r="Q86" s="820"/>
      <c r="R86" s="820" t="s">
        <v>969</v>
      </c>
      <c r="S86" s="820"/>
      <c r="T86" s="820"/>
      <c r="U86" s="820"/>
      <c r="V86" s="820"/>
      <c r="W86" s="820" t="s">
        <v>2715</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2389</v>
      </c>
      <c r="F87" s="843" t="s">
        <v>759</v>
      </c>
      <c r="G87" s="843" t="s">
        <v>666</v>
      </c>
      <c r="H87" s="842" t="s">
        <v>759</v>
      </c>
      <c r="I87" s="843" t="s">
        <v>2439</v>
      </c>
      <c r="J87" s="843" t="s">
        <v>1280</v>
      </c>
      <c r="K87" s="842" t="s">
        <v>3098</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4697</v>
      </c>
      <c r="L90" s="754"/>
      <c r="M90" s="754" t="s">
        <v>3273</v>
      </c>
      <c r="N90" s="754" t="str">
        <f>HYPERLINK("https://youtu.be/HjDDp_Mj_yI","16.74")</f>
        <v>16.74</v>
      </c>
      <c r="O90" s="754"/>
      <c r="P90" s="752" t="s">
        <v>6365</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1697</v>
      </c>
      <c r="D91" s="754"/>
      <c r="E91" s="754" t="s">
        <v>1697</v>
      </c>
      <c r="F91" s="748"/>
      <c r="G91" s="762"/>
      <c r="H91" s="754" t="s">
        <v>1697</v>
      </c>
      <c r="I91" s="754"/>
      <c r="J91" s="754"/>
      <c r="K91" s="754"/>
      <c r="L91" s="754"/>
      <c r="M91" s="754" t="s">
        <v>1697</v>
      </c>
      <c r="N91" s="754"/>
      <c r="O91" s="754"/>
      <c r="P91" s="752"/>
      <c r="Q91" s="754" t="s">
        <v>2755</v>
      </c>
      <c r="R91" s="754" t="s">
        <v>1697</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3945</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1578</v>
      </c>
      <c r="E93" s="750" t="s">
        <v>358</v>
      </c>
      <c r="F93" s="748"/>
      <c r="G93" s="749" t="s">
        <v>1281</v>
      </c>
      <c r="H93" s="750" t="s">
        <v>1078</v>
      </c>
      <c r="I93" s="751"/>
      <c r="J93" s="750" t="s">
        <v>6798</v>
      </c>
      <c r="K93" s="751"/>
      <c r="L93" s="751" t="s">
        <v>123</v>
      </c>
      <c r="M93" s="750" t="s">
        <v>6003</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2473</v>
      </c>
      <c r="D94" s="754" t="s">
        <v>2473</v>
      </c>
      <c r="E94" s="754"/>
      <c r="F94" s="834" t="s">
        <v>2473</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1579</v>
      </c>
      <c r="E95" s="754" t="s">
        <v>1674</v>
      </c>
      <c r="F95" s="748"/>
      <c r="G95" s="749" t="s">
        <v>4979</v>
      </c>
      <c r="H95" s="754"/>
      <c r="I95" s="754" t="str">
        <f>HYPERLINK("https://youtu.be/VjOXmvP4h2s","46.37")</f>
        <v>46.37</v>
      </c>
      <c r="J95" s="754" t="s">
        <v>359</v>
      </c>
      <c r="K95" s="754"/>
      <c r="L95" s="754"/>
      <c r="M95" s="754"/>
      <c r="N95" s="754" t="s">
        <v>3415</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1709</v>
      </c>
      <c r="E96" s="754" t="s">
        <v>360</v>
      </c>
      <c r="F96" s="748"/>
      <c r="G96" s="762"/>
      <c r="H96" s="754"/>
      <c r="I96" s="754"/>
      <c r="J96" s="754"/>
      <c r="K96" s="754"/>
      <c r="L96" s="754" t="s">
        <v>4239</v>
      </c>
      <c r="M96" s="754" t="str">
        <f>HYPERLINK("https://www.youtube.com/watch?v=8BrDAvD-IV4","1:01.54")</f>
        <v>1:01.54</v>
      </c>
      <c r="N96" s="754" t="s">
        <v>1659</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1581</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4192</v>
      </c>
      <c r="D100" s="765" t="s">
        <v>1582</v>
      </c>
      <c r="E100" s="855" t="s">
        <v>2440</v>
      </c>
      <c r="F100" s="748"/>
      <c r="G100" s="749" t="s">
        <v>5973</v>
      </c>
      <c r="H100" s="855"/>
      <c r="I100" s="855" t="str">
        <f>HYPERLINK("https://youtu.be/ycBfir2aflI","41.70")</f>
        <v>41.70</v>
      </c>
      <c r="J100" s="855" t="s">
        <v>6628</v>
      </c>
      <c r="K100" s="855"/>
      <c r="L100" s="855" t="s">
        <v>921</v>
      </c>
      <c r="M100" s="855"/>
      <c r="N100" s="855" t="str">
        <f>HYPERLINK("https://youtu.be/OxlK2SgEm_U","42.73")</f>
        <v>42.73</v>
      </c>
      <c r="O100" s="855"/>
      <c r="P100" s="856" t="s">
        <v>2046</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1624</v>
      </c>
      <c r="D101" s="765" t="s">
        <v>1583</v>
      </c>
      <c r="E101" s="861"/>
      <c r="F101" s="862"/>
      <c r="G101" s="749" t="s">
        <v>6729</v>
      </c>
      <c r="H101" s="861"/>
      <c r="I101" s="855" t="s">
        <v>3332</v>
      </c>
      <c r="J101" s="855" t="s">
        <v>4142</v>
      </c>
      <c r="K101" s="861" t="s">
        <v>1238</v>
      </c>
      <c r="L101" s="861" t="s">
        <v>922</v>
      </c>
      <c r="M101" s="855" t="s">
        <v>763</v>
      </c>
      <c r="N101" s="861" t="s">
        <v>3621</v>
      </c>
      <c r="O101" s="855" t="s">
        <v>1624</v>
      </c>
      <c r="P101" s="863" t="s">
        <v>2744</v>
      </c>
      <c r="Q101" s="861"/>
      <c r="R101" s="861" t="s">
        <v>5688</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3389</v>
      </c>
      <c r="D102" s="865" t="s">
        <v>4503</v>
      </c>
      <c r="E102" s="861"/>
      <c r="F102" s="748"/>
      <c r="G102" s="749" t="s">
        <v>6023</v>
      </c>
      <c r="H102" s="861"/>
      <c r="I102" s="861"/>
      <c r="J102" s="855" t="s">
        <v>3389</v>
      </c>
      <c r="K102" s="861"/>
      <c r="L102" s="861" t="s">
        <v>3513</v>
      </c>
      <c r="M102" s="861"/>
      <c r="N102" s="861"/>
      <c r="O102" s="861"/>
      <c r="P102" s="863"/>
      <c r="Q102" s="861"/>
      <c r="R102" s="861"/>
      <c r="S102" s="861"/>
      <c r="T102" s="861" t="s">
        <v>1978</v>
      </c>
      <c r="U102" s="861"/>
      <c r="V102" s="861"/>
      <c r="W102" s="861"/>
      <c r="X102" s="861"/>
      <c r="Y102" s="861"/>
      <c r="Z102" s="861"/>
      <c r="AA102" s="861"/>
      <c r="AB102" s="861"/>
      <c r="AC102" s="861"/>
      <c r="AD102" s="861"/>
      <c r="AE102" s="861"/>
      <c r="AF102" s="861"/>
      <c r="AG102" s="861"/>
      <c r="AH102" s="861"/>
      <c r="AI102" s="861"/>
      <c r="AJ102" s="857"/>
      <c r="AK102" s="861"/>
      <c r="AL102" s="861" t="s">
        <v>2744</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1520</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1520</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1584</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3541</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3618</v>
      </c>
      <c r="E106" s="861"/>
      <c r="F106" s="862"/>
      <c r="G106" s="749" t="s">
        <v>132</v>
      </c>
      <c r="H106" s="861"/>
      <c r="I106" s="861" t="s">
        <v>6819</v>
      </c>
      <c r="J106" s="855" t="s">
        <v>6820</v>
      </c>
      <c r="K106" s="861" t="s">
        <v>3542</v>
      </c>
      <c r="L106" s="861" t="s">
        <v>924</v>
      </c>
      <c r="M106" s="861"/>
      <c r="N106" s="861" t="s">
        <v>2506</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1707</v>
      </c>
      <c r="D108" s="861"/>
      <c r="E108" s="861"/>
      <c r="F108" s="862"/>
      <c r="G108" s="749" t="s">
        <v>4242</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3234</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1587</v>
      </c>
      <c r="E111" s="861"/>
      <c r="F111" s="748"/>
      <c r="G111" s="749" t="s">
        <v>1289</v>
      </c>
      <c r="H111" s="861"/>
      <c r="I111" s="861" t="s">
        <v>6825</v>
      </c>
      <c r="J111" s="855" t="s">
        <v>1262</v>
      </c>
      <c r="K111" s="861" t="s">
        <v>3544</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1556</v>
      </c>
      <c r="F112" s="872" t="s">
        <v>5430</v>
      </c>
      <c r="G112" s="762"/>
      <c r="I112" s="855" t="str">
        <f>HYPERLINK("https://youtu.be/NIfI1hsvvFQ","19.73")</f>
        <v>19.73</v>
      </c>
      <c r="J112" s="855" t="s">
        <v>1059</v>
      </c>
      <c r="K112" s="855" t="s">
        <v>2562</v>
      </c>
      <c r="L112" s="855"/>
      <c r="M112" s="861" t="s">
        <v>1667</v>
      </c>
      <c r="N112" s="855" t="str">
        <f>HYPERLINK("https://youtu.be/vlD8b3WQME8","20.08")</f>
        <v>20.08</v>
      </c>
      <c r="O112" s="855"/>
      <c r="P112" s="856" t="s">
        <v>3142</v>
      </c>
      <c r="Q112" s="855"/>
      <c r="R112" s="855" t="s">
        <v>6023</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6023</v>
      </c>
      <c r="F113" s="873"/>
      <c r="G113" s="762"/>
      <c r="H113" s="855" t="s">
        <v>6023</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2043</v>
      </c>
      <c r="G114" s="749" t="s">
        <v>1757</v>
      </c>
      <c r="H114" s="855" t="s">
        <v>474</v>
      </c>
      <c r="I114" s="855"/>
      <c r="J114" s="855" t="s">
        <v>2043</v>
      </c>
      <c r="K114" s="855" t="s">
        <v>2043</v>
      </c>
      <c r="L114" s="855" t="s">
        <v>675</v>
      </c>
      <c r="M114" s="855" t="s">
        <v>769</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2207</v>
      </c>
      <c r="D115" s="861"/>
      <c r="E115" s="861"/>
      <c r="F115" s="862"/>
      <c r="G115" s="749" t="s">
        <v>4229</v>
      </c>
      <c r="H115" s="861"/>
      <c r="I115" s="861"/>
      <c r="J115" s="861"/>
      <c r="K115" s="855" t="s">
        <v>3947</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1555</v>
      </c>
      <c r="AK115" s="861"/>
      <c r="AL115" s="861"/>
      <c r="AM115" s="861"/>
      <c r="AN115" s="861"/>
      <c r="AO115" s="861" t="s">
        <v>6334</v>
      </c>
      <c r="AP115" s="857"/>
      <c r="AQ115" s="857"/>
      <c r="AR115" s="861"/>
      <c r="AS115" s="861"/>
      <c r="AT115" s="861"/>
      <c r="AU115" s="861"/>
      <c r="AV115" s="861"/>
      <c r="AW115" s="861"/>
      <c r="AX115" s="861"/>
      <c r="AY115" s="858"/>
      <c r="AZ115" s="861"/>
      <c r="BA115" s="861"/>
      <c r="BB115" s="861"/>
      <c r="BC115" s="861"/>
      <c r="BD115" s="861"/>
      <c r="BE115" s="861"/>
      <c r="BF115" s="876" t="s">
        <v>3729</v>
      </c>
      <c r="BG115" s="861"/>
      <c r="BH115" s="858"/>
      <c r="BI115" s="858"/>
      <c r="BJ115" s="858"/>
      <c r="BK115" s="858"/>
      <c r="BL115" s="858"/>
      <c r="BM115" s="858"/>
      <c r="BN115" s="858"/>
      <c r="BO115" s="858"/>
    </row>
    <row r="116" ht="15.75" customHeight="1">
      <c r="A116" s="871"/>
      <c r="B116" s="868" t="s">
        <v>6829</v>
      </c>
      <c r="C116" s="854" t="s">
        <v>879</v>
      </c>
      <c r="D116" s="861" t="s">
        <v>3923</v>
      </c>
      <c r="E116" s="861"/>
      <c r="F116" s="748"/>
      <c r="G116" s="749" t="s">
        <v>823</v>
      </c>
      <c r="H116" s="861"/>
      <c r="I116" s="861"/>
      <c r="J116" s="855" t="s">
        <v>181</v>
      </c>
      <c r="K116" s="861" t="s">
        <v>119</v>
      </c>
      <c r="L116" s="861" t="s">
        <v>295</v>
      </c>
      <c r="M116" s="861"/>
      <c r="N116" s="861"/>
      <c r="O116" s="861"/>
      <c r="P116" s="863" t="s">
        <v>2522</v>
      </c>
      <c r="Q116" s="861" t="s">
        <v>2748</v>
      </c>
      <c r="R116" s="861" t="s">
        <v>848</v>
      </c>
      <c r="S116" s="861"/>
      <c r="T116" s="861"/>
      <c r="U116" s="861" t="s">
        <v>4679</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1588</v>
      </c>
      <c r="E117" s="855" t="s">
        <v>6832</v>
      </c>
      <c r="F117" s="776" t="s">
        <v>1987</v>
      </c>
      <c r="G117" s="762"/>
      <c r="H117" s="855"/>
      <c r="I117" s="855" t="s">
        <v>258</v>
      </c>
      <c r="J117" s="855" t="s">
        <v>4781</v>
      </c>
      <c r="K117" s="855" t="s">
        <v>848</v>
      </c>
      <c r="L117" s="855"/>
      <c r="M117" s="855" t="s">
        <v>770</v>
      </c>
      <c r="N117" s="855"/>
      <c r="O117" s="855" t="s">
        <v>4327</v>
      </c>
      <c r="P117" s="856" t="s">
        <v>6067</v>
      </c>
      <c r="Q117" s="855" t="s">
        <v>6833</v>
      </c>
      <c r="R117" s="855" t="s">
        <v>3360</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1590</v>
      </c>
      <c r="E119" s="861"/>
      <c r="F119" s="862"/>
      <c r="G119" s="762"/>
      <c r="H119" s="861" t="s">
        <v>5117</v>
      </c>
      <c r="I119" s="861" t="s">
        <v>3561</v>
      </c>
      <c r="J119" s="861"/>
      <c r="K119" s="861" t="s">
        <v>3061</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5935</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1589</v>
      </c>
      <c r="E121" s="861"/>
      <c r="F121" s="862"/>
      <c r="G121" s="749" t="s">
        <v>1291</v>
      </c>
      <c r="H121" s="861"/>
      <c r="I121" s="855" t="str">
        <f>HYPERLINK("https://youtu.be/JiJPMQx9xwU","31.85")</f>
        <v>31.85</v>
      </c>
      <c r="J121" s="861"/>
      <c r="K121" s="861"/>
      <c r="L121" s="861" t="s">
        <v>1488</v>
      </c>
      <c r="M121" s="861" t="s">
        <v>771</v>
      </c>
      <c r="N121" s="861"/>
      <c r="O121" s="855" t="s">
        <v>2535</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2889</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4043</v>
      </c>
      <c r="D124" s="855" t="s">
        <v>6844</v>
      </c>
      <c r="E124" s="855" t="s">
        <v>6845</v>
      </c>
      <c r="F124" s="776" t="s">
        <v>6846</v>
      </c>
      <c r="G124" s="762"/>
      <c r="H124" s="855" t="s">
        <v>4043</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2747</v>
      </c>
      <c r="D126" s="861"/>
      <c r="E126" s="861"/>
      <c r="F126" s="748"/>
      <c r="G126" s="749" t="s">
        <v>2747</v>
      </c>
      <c r="H126" s="861"/>
      <c r="I126" s="861"/>
      <c r="J126" s="861"/>
      <c r="K126" s="861"/>
      <c r="L126" s="861"/>
      <c r="M126" s="861"/>
      <c r="N126" s="861"/>
      <c r="O126" s="861"/>
      <c r="P126" s="863"/>
      <c r="Q126" s="861"/>
      <c r="R126" s="861"/>
      <c r="S126" s="861"/>
      <c r="T126" s="861"/>
      <c r="U126" s="861"/>
      <c r="V126" s="861"/>
      <c r="W126" s="861"/>
      <c r="X126" s="861"/>
      <c r="Y126" s="861"/>
      <c r="Z126" s="861"/>
      <c r="AA126" s="749" t="s">
        <v>4079</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2657</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2565</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3401</v>
      </c>
      <c r="D129" s="857"/>
      <c r="E129" s="857"/>
      <c r="F129" s="894" t="s">
        <v>733</v>
      </c>
      <c r="G129" s="762"/>
      <c r="H129" s="787" t="s">
        <v>3401</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2084</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1910</v>
      </c>
      <c r="G131" s="749" t="s">
        <v>1295</v>
      </c>
      <c r="H131" s="861"/>
      <c r="I131" s="787" t="str">
        <f>HYPERLINK("https://youtu.be/6f5dBhAmU1g","42.10")</f>
        <v>42.10</v>
      </c>
      <c r="J131" s="861" t="s">
        <v>6857</v>
      </c>
      <c r="K131" s="861" t="s">
        <v>2143</v>
      </c>
      <c r="L131" s="787" t="s">
        <v>931</v>
      </c>
      <c r="M131" s="787" t="s">
        <v>775</v>
      </c>
      <c r="N131" s="861" t="s">
        <v>4668</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1592</v>
      </c>
      <c r="E132" s="861"/>
      <c r="F132" s="776" t="s">
        <v>2327</v>
      </c>
      <c r="G132" s="749" t="s">
        <v>376</v>
      </c>
      <c r="H132" s="787" t="s">
        <v>1114</v>
      </c>
      <c r="I132" s="861" t="s">
        <v>1453</v>
      </c>
      <c r="J132" s="861" t="s">
        <v>2327</v>
      </c>
      <c r="K132" s="861" t="s">
        <v>407</v>
      </c>
      <c r="L132" s="787" t="s">
        <v>144</v>
      </c>
      <c r="M132" s="787" t="s">
        <v>376</v>
      </c>
      <c r="N132" s="861" t="s">
        <v>3547</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1553</v>
      </c>
      <c r="G133" s="749" t="s">
        <v>6859</v>
      </c>
      <c r="H133" s="855"/>
      <c r="I133" s="855"/>
      <c r="J133" s="855"/>
      <c r="K133" s="855"/>
      <c r="L133" s="855" t="s">
        <v>3006</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4798</v>
      </c>
      <c r="H134" s="861"/>
      <c r="I134" s="861"/>
      <c r="J134" s="861"/>
      <c r="K134" s="861" t="s">
        <v>4426</v>
      </c>
      <c r="L134" s="861"/>
      <c r="M134" s="861"/>
      <c r="N134" s="861"/>
      <c r="O134" s="861"/>
      <c r="P134" s="863"/>
      <c r="Q134" s="861"/>
      <c r="R134" s="861"/>
      <c r="S134" s="861"/>
      <c r="T134" s="861"/>
      <c r="U134" s="861"/>
      <c r="V134" s="861"/>
      <c r="W134" s="861"/>
      <c r="X134" s="861" t="s">
        <v>2912</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1817</v>
      </c>
      <c r="D135" s="861" t="s">
        <v>2564</v>
      </c>
      <c r="E135" s="861"/>
      <c r="F135" s="887"/>
      <c r="G135" s="762"/>
      <c r="H135" s="861"/>
      <c r="I135" s="861"/>
      <c r="J135" s="861"/>
      <c r="K135" s="861" t="s">
        <v>3548</v>
      </c>
      <c r="L135" s="861"/>
      <c r="M135" s="861"/>
      <c r="N135" s="861"/>
      <c r="O135" s="861"/>
      <c r="P135" s="863"/>
      <c r="Q135" s="861"/>
      <c r="R135" s="861" t="s">
        <v>3052</v>
      </c>
      <c r="S135" s="861"/>
      <c r="T135" s="861"/>
      <c r="U135" s="861"/>
      <c r="V135" s="861"/>
      <c r="W135" s="861"/>
      <c r="X135" s="861" t="s">
        <v>1648</v>
      </c>
      <c r="Y135" s="861"/>
      <c r="Z135" s="861" t="s">
        <v>6313</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3659</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3659</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3910</v>
      </c>
      <c r="G137" s="749" t="s">
        <v>1296</v>
      </c>
      <c r="H137" s="898" t="s">
        <v>5719</v>
      </c>
      <c r="I137" s="749" t="s">
        <v>5383</v>
      </c>
      <c r="J137" s="762"/>
      <c r="K137" s="762"/>
      <c r="L137" s="749" t="s">
        <v>932</v>
      </c>
      <c r="M137" s="749" t="s">
        <v>6399</v>
      </c>
      <c r="N137" s="762"/>
      <c r="O137" s="749" t="s">
        <v>6866</v>
      </c>
      <c r="P137" s="856" t="s">
        <v>5075</v>
      </c>
      <c r="Q137" s="762"/>
      <c r="R137" s="749" t="s">
        <v>145</v>
      </c>
      <c r="S137" s="762"/>
      <c r="T137" s="762"/>
      <c r="U137" s="749" t="s">
        <v>1875</v>
      </c>
      <c r="V137" s="762"/>
      <c r="W137" s="762"/>
      <c r="X137" s="762"/>
      <c r="Y137" s="762"/>
      <c r="Z137" s="749" t="s">
        <v>1524</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4267</v>
      </c>
      <c r="E138" s="861"/>
      <c r="F138" s="748"/>
      <c r="G138" s="762"/>
      <c r="H138" s="861"/>
      <c r="I138" s="861"/>
      <c r="J138" s="749" t="s">
        <v>5560</v>
      </c>
      <c r="K138" s="861" t="s">
        <v>1747</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4539</v>
      </c>
      <c r="D139" s="899"/>
      <c r="E139" s="899"/>
      <c r="F139" s="887"/>
      <c r="G139" s="762"/>
      <c r="H139" s="899"/>
      <c r="I139" s="899"/>
      <c r="J139" s="749" t="s">
        <v>6872</v>
      </c>
      <c r="K139" s="899"/>
      <c r="L139" s="899"/>
      <c r="M139" s="899"/>
      <c r="N139" s="899"/>
      <c r="O139" s="899"/>
      <c r="P139" s="856"/>
      <c r="Q139" s="899"/>
      <c r="R139" s="899" t="s">
        <v>4539</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1840</v>
      </c>
      <c r="N140" s="855"/>
      <c r="O140" s="855" t="s">
        <v>1373</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4118</v>
      </c>
      <c r="D141" s="861"/>
      <c r="E141" s="861"/>
      <c r="F141" s="887"/>
      <c r="G141" s="762"/>
      <c r="H141" s="861"/>
      <c r="I141" s="861"/>
      <c r="J141" s="861"/>
      <c r="K141" s="861" t="s">
        <v>3856</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1437</v>
      </c>
      <c r="K142" s="861"/>
      <c r="L142" s="861" t="s">
        <v>934</v>
      </c>
      <c r="M142" s="861"/>
      <c r="N142" s="861"/>
      <c r="O142" s="749" t="s">
        <v>2926</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1593</v>
      </c>
      <c r="D145" s="754" t="s">
        <v>1593</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4081</v>
      </c>
      <c r="D146" s="855" t="s">
        <v>5331</v>
      </c>
      <c r="E146" s="855" t="s">
        <v>4081</v>
      </c>
      <c r="F146" s="887"/>
      <c r="G146" s="749" t="s">
        <v>2877</v>
      </c>
      <c r="H146" s="855"/>
      <c r="I146" s="855"/>
      <c r="J146" s="855"/>
      <c r="K146" s="855" t="s">
        <v>476</v>
      </c>
      <c r="L146" s="855"/>
      <c r="M146" s="855" t="s">
        <v>2319</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1935</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1447</v>
      </c>
      <c r="D147" s="765" t="s">
        <v>1594</v>
      </c>
      <c r="E147" s="855" t="s">
        <v>5387</v>
      </c>
      <c r="F147" s="766" t="s">
        <v>1623</v>
      </c>
      <c r="G147" s="749" t="s">
        <v>3360</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2367</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5610</v>
      </c>
      <c r="D148" s="899"/>
      <c r="E148" s="899"/>
      <c r="F148" s="887"/>
      <c r="G148" s="749" t="s">
        <v>2690</v>
      </c>
      <c r="H148" s="899"/>
      <c r="I148" s="899"/>
      <c r="J148" s="899"/>
      <c r="K148" s="899"/>
      <c r="L148" s="899"/>
      <c r="M148" s="899"/>
      <c r="N148" s="899"/>
      <c r="O148" s="787" t="s">
        <v>5610</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1596</v>
      </c>
      <c r="E151" s="749" t="s">
        <v>382</v>
      </c>
      <c r="F151" s="766" t="s">
        <v>2773</v>
      </c>
      <c r="G151" s="762"/>
      <c r="H151" s="749" t="s">
        <v>6898</v>
      </c>
      <c r="I151" s="749" t="s">
        <v>588</v>
      </c>
      <c r="J151" s="749" t="s">
        <v>3185</v>
      </c>
      <c r="K151" s="762"/>
      <c r="L151" s="762"/>
      <c r="M151" s="762"/>
      <c r="N151" s="762"/>
      <c r="O151" s="762"/>
      <c r="P151" s="856"/>
      <c r="Q151" s="762"/>
      <c r="R151" s="762"/>
      <c r="S151" s="762"/>
      <c r="T151" s="762"/>
      <c r="U151" s="749" t="s">
        <v>2948</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3651</v>
      </c>
      <c r="D152" s="765" t="s">
        <v>1595</v>
      </c>
      <c r="E152" s="861"/>
      <c r="F152" s="887"/>
      <c r="G152" s="749" t="s">
        <v>1300</v>
      </c>
      <c r="H152" s="861"/>
      <c r="I152" s="861"/>
      <c r="J152" s="861"/>
      <c r="K152" s="861"/>
      <c r="L152" s="861"/>
      <c r="M152" s="861" t="s">
        <v>6901</v>
      </c>
      <c r="N152" s="861"/>
      <c r="O152" s="861" t="s">
        <v>1022</v>
      </c>
      <c r="P152" s="863"/>
      <c r="Q152" s="861"/>
      <c r="R152" s="861"/>
      <c r="S152" s="749" t="s">
        <v>3651</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3556</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2592</v>
      </c>
      <c r="D156" s="902" t="s">
        <v>6905</v>
      </c>
      <c r="E156" s="902"/>
      <c r="F156" s="790" t="s">
        <v>3785</v>
      </c>
      <c r="G156" s="762"/>
      <c r="H156" s="749" t="s">
        <v>2592</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1434</v>
      </c>
      <c r="D157" s="902"/>
      <c r="E157" s="902"/>
      <c r="F157" s="887"/>
      <c r="G157" s="749" t="s">
        <v>6907</v>
      </c>
      <c r="H157" s="902" t="s">
        <v>6908</v>
      </c>
      <c r="I157" s="902" t="s">
        <v>285</v>
      </c>
      <c r="J157" s="902"/>
      <c r="K157" s="902"/>
      <c r="L157" s="902"/>
      <c r="M157" s="855" t="s">
        <v>4778</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3095</v>
      </c>
      <c r="G163" s="762"/>
      <c r="H163" s="855" t="s">
        <v>746</v>
      </c>
      <c r="I163" s="902"/>
      <c r="J163" s="902"/>
      <c r="K163" s="902"/>
      <c r="L163" s="902"/>
      <c r="M163" s="855" t="s">
        <v>2966</v>
      </c>
      <c r="N163" s="902"/>
      <c r="O163" s="902"/>
      <c r="P163" s="856"/>
      <c r="Q163" s="902"/>
      <c r="R163" s="902"/>
      <c r="S163" s="902"/>
      <c r="T163" s="902"/>
      <c r="U163" s="902"/>
      <c r="V163" s="902"/>
      <c r="W163" s="902" t="s">
        <v>2351</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2571</v>
      </c>
      <c r="D164" s="861" t="s">
        <v>2571</v>
      </c>
      <c r="E164" s="861"/>
      <c r="F164" s="894" t="s">
        <v>2907</v>
      </c>
      <c r="G164" s="749" t="s">
        <v>2828</v>
      </c>
      <c r="H164" s="855" t="s">
        <v>2571</v>
      </c>
      <c r="I164" s="861"/>
      <c r="J164" s="861"/>
      <c r="K164" s="861" t="s">
        <v>3711</v>
      </c>
      <c r="L164" s="861"/>
      <c r="M164" s="861"/>
      <c r="N164" s="861"/>
      <c r="O164" s="861" t="s">
        <v>2571</v>
      </c>
      <c r="P164" s="863" t="s">
        <v>2907</v>
      </c>
      <c r="Q164" s="861"/>
      <c r="R164" s="861" t="s">
        <v>2571</v>
      </c>
      <c r="S164" s="861" t="s">
        <v>2571</v>
      </c>
      <c r="T164" s="861"/>
      <c r="U164" s="861"/>
      <c r="V164" s="861"/>
      <c r="W164" s="861"/>
      <c r="X164" s="861"/>
      <c r="Y164" s="861"/>
      <c r="Z164" s="861"/>
      <c r="AA164" s="749" t="s">
        <v>4085</v>
      </c>
      <c r="AB164" s="861"/>
      <c r="AC164" s="861"/>
      <c r="AD164" s="861"/>
      <c r="AE164" s="861" t="s">
        <v>2571</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2443</v>
      </c>
      <c r="D165" s="754" t="s">
        <v>1597</v>
      </c>
      <c r="E165" s="855" t="s">
        <v>6931</v>
      </c>
      <c r="F165" s="776" t="s">
        <v>6932</v>
      </c>
      <c r="G165" s="762"/>
      <c r="H165" s="855" t="s">
        <v>6933</v>
      </c>
      <c r="I165" s="855"/>
      <c r="J165" s="855" t="s">
        <v>518</v>
      </c>
      <c r="K165" s="855" t="s">
        <v>3552</v>
      </c>
      <c r="L165" s="855"/>
      <c r="M165" s="855"/>
      <c r="N165" s="855"/>
      <c r="O165" s="855" t="s">
        <v>882</v>
      </c>
      <c r="P165" s="856" t="s">
        <v>800</v>
      </c>
      <c r="Q165" s="855"/>
      <c r="R165" s="855"/>
      <c r="S165" s="855"/>
      <c r="T165" s="855"/>
      <c r="U165" s="749" t="s">
        <v>2728</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6014</v>
      </c>
      <c r="E168" s="861"/>
      <c r="F168" s="748"/>
      <c r="G168" s="762"/>
      <c r="H168" s="861"/>
      <c r="I168" s="861"/>
      <c r="J168" s="861"/>
      <c r="K168" s="861" t="s">
        <v>6269</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1528</v>
      </c>
      <c r="D172" s="798" t="s">
        <v>1598</v>
      </c>
      <c r="E172" s="855" t="s">
        <v>6941</v>
      </c>
      <c r="F172" s="748"/>
      <c r="G172" s="762"/>
      <c r="H172" s="855"/>
      <c r="I172" s="855"/>
      <c r="J172" s="855"/>
      <c r="K172" s="855" t="s">
        <v>1460</v>
      </c>
      <c r="L172" s="855"/>
      <c r="M172" s="855"/>
      <c r="N172" s="855"/>
      <c r="O172" s="855"/>
      <c r="P172" s="856"/>
      <c r="Q172" s="855"/>
      <c r="R172" s="855"/>
      <c r="S172" s="855"/>
      <c r="T172" s="855"/>
      <c r="U172" s="749" t="s">
        <v>2950</v>
      </c>
      <c r="V172" s="855"/>
      <c r="W172" s="855"/>
      <c r="X172" s="855"/>
      <c r="Y172" s="855"/>
      <c r="Z172" s="855" t="s">
        <v>1528</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1461</v>
      </c>
      <c r="D174" s="765" t="s">
        <v>782</v>
      </c>
      <c r="E174" s="861"/>
      <c r="F174" s="887"/>
      <c r="G174" s="749" t="s">
        <v>1304</v>
      </c>
      <c r="H174" s="861"/>
      <c r="I174" s="861" t="s">
        <v>1461</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2245</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1858</v>
      </c>
      <c r="D178" s="751" t="s">
        <v>5359</v>
      </c>
      <c r="E178" s="754" t="s">
        <v>6165</v>
      </c>
      <c r="F178" s="776" t="s">
        <v>6957</v>
      </c>
      <c r="G178" s="749" t="s">
        <v>6958</v>
      </c>
      <c r="H178" s="754" t="s">
        <v>2989</v>
      </c>
      <c r="I178" s="754"/>
      <c r="J178" s="754"/>
      <c r="K178" s="754"/>
      <c r="L178" s="754" t="s">
        <v>4474</v>
      </c>
      <c r="M178" s="754"/>
      <c r="N178" s="754"/>
      <c r="O178" s="754"/>
      <c r="P178" s="752"/>
      <c r="Q178" s="754"/>
      <c r="R178" s="754"/>
      <c r="S178" s="754" t="s">
        <v>4169</v>
      </c>
      <c r="T178" s="754" t="s">
        <v>2871</v>
      </c>
      <c r="U178" s="754"/>
      <c r="V178" s="754"/>
      <c r="W178" s="754"/>
      <c r="X178" s="754"/>
      <c r="Y178" s="754"/>
      <c r="Z178" s="754"/>
      <c r="AA178" s="754"/>
      <c r="AB178" s="754" t="s">
        <v>1858</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2775</v>
      </c>
      <c r="G181" s="749" t="s">
        <v>1306</v>
      </c>
      <c r="H181" s="754" t="s">
        <v>6228</v>
      </c>
      <c r="I181" s="754"/>
      <c r="J181" s="754" t="s">
        <v>610</v>
      </c>
      <c r="K181" s="754" t="s">
        <v>355</v>
      </c>
      <c r="L181" s="754"/>
      <c r="M181" s="754"/>
      <c r="N181" s="754" t="s">
        <v>2500</v>
      </c>
      <c r="O181" s="754" t="s">
        <v>6966</v>
      </c>
      <c r="P181" s="752"/>
      <c r="Q181" s="754"/>
      <c r="R181" s="754"/>
      <c r="S181" s="754" t="s">
        <v>2576</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4112</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1600</v>
      </c>
      <c r="E183" s="754" t="s">
        <v>6971</v>
      </c>
      <c r="F183" s="766" t="s">
        <v>2776</v>
      </c>
      <c r="G183" s="749" t="s">
        <v>1307</v>
      </c>
      <c r="H183" s="754" t="s">
        <v>3072</v>
      </c>
      <c r="I183" s="754" t="s">
        <v>1464</v>
      </c>
      <c r="J183" s="754" t="s">
        <v>3931</v>
      </c>
      <c r="K183" s="754" t="s">
        <v>5335</v>
      </c>
      <c r="L183" s="754" t="s">
        <v>943</v>
      </c>
      <c r="M183" s="754" t="s">
        <v>2919</v>
      </c>
      <c r="N183" s="754" t="s">
        <v>1921</v>
      </c>
      <c r="O183" s="754" t="s">
        <v>4809</v>
      </c>
      <c r="P183" s="752" t="s">
        <v>1921</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3949</v>
      </c>
      <c r="D184" s="754"/>
      <c r="E184" s="754" t="s">
        <v>3949</v>
      </c>
      <c r="F184" s="748"/>
      <c r="G184" s="762"/>
      <c r="H184" s="754"/>
      <c r="I184" s="754" t="s">
        <v>5242</v>
      </c>
      <c r="J184" s="754"/>
      <c r="K184" s="754"/>
      <c r="L184" s="754"/>
      <c r="M184" s="754" t="s">
        <v>1028</v>
      </c>
      <c r="N184" s="754" t="s">
        <v>4463</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3812</v>
      </c>
      <c r="D185" s="921"/>
      <c r="E185" s="921"/>
      <c r="F185" s="925" t="s">
        <v>3035</v>
      </c>
      <c r="G185" s="762"/>
      <c r="H185" s="921"/>
      <c r="I185" s="921"/>
      <c r="J185" s="921"/>
      <c r="K185" s="921"/>
      <c r="L185" s="921" t="s">
        <v>2830</v>
      </c>
      <c r="M185" s="921"/>
      <c r="N185" s="921"/>
      <c r="O185" s="921"/>
      <c r="P185" s="779"/>
      <c r="Q185" s="921"/>
      <c r="R185" s="921"/>
      <c r="S185" s="921"/>
      <c r="T185" s="921"/>
      <c r="U185" s="921"/>
      <c r="V185" s="921"/>
      <c r="W185" s="921"/>
      <c r="X185" s="921"/>
      <c r="Y185" s="921"/>
      <c r="Z185" s="921"/>
      <c r="AA185" s="921" t="s">
        <v>3288</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1578</v>
      </c>
      <c r="D186" s="927" t="s">
        <v>179</v>
      </c>
      <c r="E186" s="754" t="s">
        <v>4767</v>
      </c>
      <c r="F186" s="748"/>
      <c r="G186" s="749" t="s">
        <v>179</v>
      </c>
      <c r="H186" s="754"/>
      <c r="I186" s="754"/>
      <c r="J186" s="754"/>
      <c r="K186" s="750" t="s">
        <v>3288</v>
      </c>
      <c r="L186" s="754"/>
      <c r="M186" s="754"/>
      <c r="N186" s="754"/>
      <c r="O186" s="754"/>
      <c r="P186" s="752"/>
      <c r="Q186" s="754"/>
      <c r="R186" s="754"/>
      <c r="S186" s="754" t="s">
        <v>2002</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1578</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2578</v>
      </c>
      <c r="D189" s="921"/>
      <c r="E189" s="921"/>
      <c r="F189" s="916"/>
      <c r="G189" s="749" t="s">
        <v>6984</v>
      </c>
      <c r="H189" s="921"/>
      <c r="I189" s="921"/>
      <c r="J189" s="921"/>
      <c r="K189" s="921"/>
      <c r="L189" s="921"/>
      <c r="M189" s="921"/>
      <c r="N189" s="921" t="s">
        <v>4557</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3502</v>
      </c>
      <c r="E190" s="921"/>
      <c r="F190" s="776" t="s">
        <v>2193</v>
      </c>
      <c r="G190" s="762"/>
      <c r="H190" s="921"/>
      <c r="I190" s="921" t="s">
        <v>5807</v>
      </c>
      <c r="J190" s="921"/>
      <c r="K190" s="921" t="s">
        <v>3354</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4512</v>
      </c>
      <c r="AH190" s="921"/>
      <c r="AI190" s="921"/>
      <c r="AJ190" s="813"/>
      <c r="AK190" s="921"/>
      <c r="AL190" s="921"/>
      <c r="AM190" s="921"/>
      <c r="AN190" s="921"/>
      <c r="AO190" s="921"/>
      <c r="AP190" s="813"/>
      <c r="AQ190" s="813"/>
      <c r="AR190" s="921"/>
      <c r="AS190" s="921"/>
      <c r="AT190" s="921"/>
      <c r="AU190" s="921"/>
      <c r="AV190" s="921"/>
      <c r="AW190" s="921" t="s">
        <v>3316</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2756</v>
      </c>
      <c r="E191" s="921"/>
      <c r="F191" s="919" t="s">
        <v>1715</v>
      </c>
      <c r="G191" s="749" t="s">
        <v>631</v>
      </c>
      <c r="H191" s="921" t="s">
        <v>785</v>
      </c>
      <c r="I191" s="921"/>
      <c r="J191" s="921" t="s">
        <v>5534</v>
      </c>
      <c r="K191" s="921"/>
      <c r="L191" s="921" t="s">
        <v>944</v>
      </c>
      <c r="M191" s="921"/>
      <c r="N191" s="921"/>
      <c r="O191" s="921" t="s">
        <v>1029</v>
      </c>
      <c r="P191" s="779"/>
      <c r="Q191" s="921" t="s">
        <v>6364</v>
      </c>
      <c r="R191" s="921"/>
      <c r="S191" s="921"/>
      <c r="T191" s="921" t="s">
        <v>496</v>
      </c>
      <c r="U191" s="750" t="s">
        <v>2954</v>
      </c>
      <c r="V191" s="921" t="s">
        <v>587</v>
      </c>
      <c r="W191" s="921"/>
      <c r="X191" s="921"/>
      <c r="Y191" s="921"/>
      <c r="Z191" s="921" t="s">
        <v>1530</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1553</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1553</v>
      </c>
      <c r="Y194" s="921"/>
      <c r="Z194" s="921"/>
      <c r="AA194" s="921"/>
      <c r="AB194" s="921"/>
      <c r="AC194" s="921" t="s">
        <v>1988</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2245</v>
      </c>
      <c r="D195" s="796" t="s">
        <v>6994</v>
      </c>
      <c r="E195" s="921"/>
      <c r="F195" s="919" t="s">
        <v>589</v>
      </c>
      <c r="G195" s="762"/>
      <c r="H195" s="921" t="s">
        <v>3063</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1411</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3242</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3423</v>
      </c>
      <c r="E197" s="921"/>
      <c r="F197" s="919" t="s">
        <v>659</v>
      </c>
      <c r="G197" s="749" t="s">
        <v>6538</v>
      </c>
      <c r="H197" s="921"/>
      <c r="I197" s="921"/>
      <c r="J197" s="921"/>
      <c r="K197" s="921" t="s">
        <v>5583</v>
      </c>
      <c r="L197" s="921" t="s">
        <v>177</v>
      </c>
      <c r="M197" s="921"/>
      <c r="N197" s="921" t="s">
        <v>4646</v>
      </c>
      <c r="O197" s="921"/>
      <c r="P197" s="779"/>
      <c r="Q197" s="921"/>
      <c r="R197" s="921"/>
      <c r="S197" s="921"/>
      <c r="T197" s="921" t="s">
        <v>3443</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5698</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1601</v>
      </c>
      <c r="E200" s="796"/>
      <c r="F200" s="790" t="s">
        <v>2777</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1498</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3763</v>
      </c>
      <c r="F202" s="919" t="s">
        <v>4947</v>
      </c>
      <c r="G202" s="749" t="s">
        <v>6523</v>
      </c>
      <c r="H202" s="796"/>
      <c r="I202" s="796" t="s">
        <v>7005</v>
      </c>
      <c r="J202" s="796"/>
      <c r="K202" s="796"/>
      <c r="L202" s="796" t="s">
        <v>3763</v>
      </c>
      <c r="M202" s="796"/>
      <c r="N202" s="796" t="s">
        <v>7006</v>
      </c>
      <c r="O202" s="796"/>
      <c r="P202" s="797" t="s">
        <v>3789</v>
      </c>
      <c r="Q202" s="796"/>
      <c r="R202" s="794" t="s">
        <v>7007</v>
      </c>
      <c r="S202" s="796"/>
      <c r="T202" s="796"/>
      <c r="U202" s="796"/>
      <c r="V202" s="796" t="s">
        <v>3155</v>
      </c>
      <c r="W202" s="796"/>
      <c r="X202" s="796" t="s">
        <v>3836</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4708</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2759</v>
      </c>
      <c r="D204" s="754" t="s">
        <v>544</v>
      </c>
      <c r="E204" s="754" t="s">
        <v>2759</v>
      </c>
      <c r="F204" s="790" t="s">
        <v>7007</v>
      </c>
      <c r="G204" s="762"/>
      <c r="H204" s="754"/>
      <c r="I204" s="754" t="s">
        <v>1465</v>
      </c>
      <c r="J204" s="754" t="s">
        <v>7008</v>
      </c>
      <c r="K204" s="754" t="s">
        <v>4226</v>
      </c>
      <c r="L204" s="754"/>
      <c r="M204" s="754" t="s">
        <v>7009</v>
      </c>
      <c r="N204" s="754" t="s">
        <v>4481</v>
      </c>
      <c r="O204" s="754" t="s">
        <v>4818</v>
      </c>
      <c r="P204" s="750" t="s">
        <v>6155</v>
      </c>
      <c r="Q204" s="754"/>
      <c r="R204" s="750" t="s">
        <v>5745</v>
      </c>
      <c r="S204" s="754"/>
      <c r="T204" s="754"/>
      <c r="U204" s="754"/>
      <c r="V204" s="754"/>
      <c r="W204" s="754" t="s">
        <v>2528</v>
      </c>
      <c r="X204" s="754" t="s">
        <v>7010</v>
      </c>
      <c r="Y204" s="754"/>
      <c r="Z204" s="754"/>
      <c r="AA204" s="754"/>
      <c r="AB204" s="754"/>
      <c r="AC204" s="754"/>
      <c r="AD204" s="754"/>
      <c r="AE204" s="754"/>
      <c r="AF204" s="754"/>
      <c r="AG204" s="754"/>
      <c r="AH204" s="754"/>
      <c r="AI204" s="754"/>
      <c r="AJ204" s="813"/>
      <c r="AK204" s="754" t="s">
        <v>4818</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2136</v>
      </c>
      <c r="D205" s="754" t="s">
        <v>1602</v>
      </c>
      <c r="E205" s="751"/>
      <c r="F205" s="766" t="s">
        <v>950</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5938</v>
      </c>
      <c r="E206" s="750" t="s">
        <v>380</v>
      </c>
      <c r="F206" s="776" t="s">
        <v>7011</v>
      </c>
      <c r="G206" s="749" t="s">
        <v>7012</v>
      </c>
      <c r="H206" s="751" t="s">
        <v>2243</v>
      </c>
      <c r="I206" s="751"/>
      <c r="J206" s="751"/>
      <c r="K206" s="751"/>
      <c r="L206" s="751" t="s">
        <v>7013</v>
      </c>
      <c r="M206" s="751"/>
      <c r="N206" s="751"/>
      <c r="O206" s="751"/>
      <c r="P206" s="752"/>
      <c r="Q206" s="751"/>
      <c r="R206" s="751"/>
      <c r="S206" s="751"/>
      <c r="T206" s="751"/>
      <c r="U206" s="751"/>
      <c r="V206" s="751"/>
      <c r="W206" s="751" t="s">
        <v>4417</v>
      </c>
      <c r="X206" s="751"/>
      <c r="Y206" s="751"/>
      <c r="Z206" s="750" t="s">
        <v>4417</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1603</v>
      </c>
      <c r="E208" s="754" t="s">
        <v>7020</v>
      </c>
      <c r="F208" s="925" t="s">
        <v>2778</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4435</v>
      </c>
      <c r="D209" s="754" t="s">
        <v>3385</v>
      </c>
      <c r="E209" s="754" t="s">
        <v>4435</v>
      </c>
      <c r="F209" s="790" t="s">
        <v>1798</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1874</v>
      </c>
      <c r="D212" s="921" t="s">
        <v>4148</v>
      </c>
      <c r="E212" s="921"/>
      <c r="F212" s="919" t="s">
        <v>7027</v>
      </c>
      <c r="G212" s="749" t="s">
        <v>3111</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1530</v>
      </c>
      <c r="E213" s="921"/>
      <c r="F213" s="790" t="s">
        <v>2780</v>
      </c>
      <c r="G213" s="749" t="s">
        <v>1311</v>
      </c>
      <c r="H213" s="921"/>
      <c r="I213" s="921"/>
      <c r="J213" s="921"/>
      <c r="K213" s="921"/>
      <c r="L213" s="855" t="s">
        <v>950</v>
      </c>
      <c r="M213" s="855" t="s">
        <v>166</v>
      </c>
      <c r="N213" s="921"/>
      <c r="O213" s="855" t="s">
        <v>1927</v>
      </c>
      <c r="P213" s="779" t="s">
        <v>1469</v>
      </c>
      <c r="Q213" s="921"/>
      <c r="R213" s="921" t="s">
        <v>2974</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1470</v>
      </c>
      <c r="D214" s="800" t="s">
        <v>1605</v>
      </c>
      <c r="E214" s="921"/>
      <c r="F214" s="916"/>
      <c r="G214" s="762"/>
      <c r="H214" s="921"/>
      <c r="I214" s="921" t="s">
        <v>1470</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1606</v>
      </c>
      <c r="E215" s="921"/>
      <c r="F215" s="916"/>
      <c r="G215" s="749" t="s">
        <v>1313</v>
      </c>
      <c r="H215" s="921"/>
      <c r="I215" s="921" t="s">
        <v>1480</v>
      </c>
      <c r="J215" s="921" t="s">
        <v>7036</v>
      </c>
      <c r="K215" s="921" t="s">
        <v>3560</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2423</v>
      </c>
      <c r="D218" s="921"/>
      <c r="E218" s="921"/>
      <c r="F218" s="748"/>
      <c r="G218" s="762"/>
      <c r="H218" s="921"/>
      <c r="I218" s="921"/>
      <c r="J218" s="921" t="s">
        <v>2423</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3561</v>
      </c>
      <c r="L219" s="754" t="s">
        <v>1449</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1472</v>
      </c>
      <c r="D221" s="765" t="s">
        <v>7045</v>
      </c>
      <c r="E221" s="921"/>
      <c r="F221" s="748"/>
      <c r="G221" s="749" t="s">
        <v>1314</v>
      </c>
      <c r="H221" s="921"/>
      <c r="I221" s="921" t="s">
        <v>1472</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1608</v>
      </c>
      <c r="E223" s="861"/>
      <c r="F223" s="766" t="s">
        <v>2781</v>
      </c>
      <c r="G223" s="749" t="s">
        <v>1315</v>
      </c>
      <c r="H223" s="855" t="s">
        <v>1104</v>
      </c>
      <c r="I223" s="861" t="s">
        <v>7047</v>
      </c>
      <c r="J223" s="855" t="s">
        <v>4554</v>
      </c>
      <c r="K223" s="855" t="s">
        <v>1737</v>
      </c>
      <c r="L223" s="855" t="s">
        <v>954</v>
      </c>
      <c r="M223" s="855" t="s">
        <v>256</v>
      </c>
      <c r="N223" s="861" t="s">
        <v>4410</v>
      </c>
      <c r="O223" s="855" t="s">
        <v>1178</v>
      </c>
      <c r="P223" s="863" t="s">
        <v>355</v>
      </c>
      <c r="Q223" s="861"/>
      <c r="R223" s="861"/>
      <c r="S223" s="861"/>
      <c r="T223" s="861"/>
      <c r="U223" s="861"/>
      <c r="V223" s="861" t="s">
        <v>3973</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1623</v>
      </c>
      <c r="D224" s="754" t="s">
        <v>1609</v>
      </c>
      <c r="E224" s="855" t="s">
        <v>1623</v>
      </c>
      <c r="F224" s="824" t="s">
        <v>2782</v>
      </c>
      <c r="G224" s="749" t="s">
        <v>2978</v>
      </c>
      <c r="H224" s="855" t="s">
        <v>2179</v>
      </c>
      <c r="I224" s="855" t="s">
        <v>1609</v>
      </c>
      <c r="J224" s="855" t="s">
        <v>6883</v>
      </c>
      <c r="K224" s="855" t="s">
        <v>2179</v>
      </c>
      <c r="L224" s="855" t="s">
        <v>955</v>
      </c>
      <c r="M224" s="855" t="s">
        <v>1245</v>
      </c>
      <c r="N224" s="855" t="s">
        <v>376</v>
      </c>
      <c r="O224" s="855" t="s">
        <v>2760</v>
      </c>
      <c r="P224" s="856" t="s">
        <v>2355</v>
      </c>
      <c r="Q224" s="855" t="s">
        <v>848</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1645</v>
      </c>
      <c r="J225" s="861"/>
      <c r="K225" s="855" t="s">
        <v>6501</v>
      </c>
      <c r="L225" s="855" t="s">
        <v>104</v>
      </c>
      <c r="M225" s="855" t="str">
        <f>HYPERLINK("https://www.youtube.com/watch?v=aWzlUqH0LaM","41.87")</f>
        <v>41.87</v>
      </c>
      <c r="N225" s="861" t="s">
        <v>2160</v>
      </c>
      <c r="O225" s="855" t="s">
        <v>1541</v>
      </c>
      <c r="P225" s="863" t="s">
        <v>3285</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4183</v>
      </c>
      <c r="Q227" s="861"/>
      <c r="R227" s="861"/>
      <c r="S227" s="861"/>
      <c r="T227" s="855" t="s">
        <v>508</v>
      </c>
      <c r="U227" s="861"/>
      <c r="V227" s="861" t="s">
        <v>6257</v>
      </c>
      <c r="W227" s="861"/>
      <c r="X227" s="861"/>
      <c r="Y227" s="861"/>
      <c r="Z227" s="861"/>
      <c r="AA227" s="861"/>
      <c r="AB227" s="861" t="s">
        <v>7059</v>
      </c>
      <c r="AC227" s="861" t="s">
        <v>2935</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3510</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3113</v>
      </c>
      <c r="D229" s="861"/>
      <c r="E229" s="861"/>
      <c r="F229" s="766" t="s">
        <v>2784</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2785</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4085</v>
      </c>
      <c r="K234" s="956"/>
      <c r="L234" s="956"/>
      <c r="M234" s="956"/>
      <c r="N234" s="956"/>
      <c r="O234" s="956"/>
      <c r="P234" s="957"/>
      <c r="Q234" s="956"/>
      <c r="R234" s="962" t="s">
        <v>6917</v>
      </c>
      <c r="S234" s="956"/>
      <c r="T234" s="956"/>
      <c r="U234" s="956"/>
      <c r="V234" s="956"/>
      <c r="W234" s="962" t="s">
        <v>2571</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4178</v>
      </c>
      <c r="E238" s="861"/>
      <c r="F238" s="948"/>
      <c r="G238" s="762"/>
      <c r="H238" s="861"/>
      <c r="I238" s="861"/>
      <c r="J238" s="861"/>
      <c r="K238" s="855" t="s">
        <v>5372</v>
      </c>
      <c r="L238" s="861"/>
      <c r="M238" s="861"/>
      <c r="N238" s="861"/>
      <c r="O238" s="861"/>
      <c r="P238" s="863"/>
      <c r="Q238" s="861"/>
      <c r="R238" s="861"/>
      <c r="S238" s="855" t="s">
        <v>4620</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2176</v>
      </c>
      <c r="D239" s="754" t="s">
        <v>1934</v>
      </c>
      <c r="E239" s="861"/>
      <c r="F239" s="766" t="s">
        <v>2176</v>
      </c>
      <c r="G239" s="749" t="s">
        <v>1319</v>
      </c>
      <c r="H239" s="861"/>
      <c r="I239" s="861" t="s">
        <v>4368</v>
      </c>
      <c r="J239" s="855" t="s">
        <v>7082</v>
      </c>
      <c r="K239" s="855" t="s">
        <v>3452</v>
      </c>
      <c r="L239" s="861"/>
      <c r="M239" s="861"/>
      <c r="N239" s="861" t="s">
        <v>4351</v>
      </c>
      <c r="O239" s="855" t="s">
        <v>1319</v>
      </c>
      <c r="P239" s="863" t="s">
        <v>2144</v>
      </c>
      <c r="Q239" s="861" t="s">
        <v>1934</v>
      </c>
      <c r="R239" s="749" t="s">
        <v>177</v>
      </c>
      <c r="S239" s="749" t="s">
        <v>1139</v>
      </c>
      <c r="T239" s="855" t="s">
        <v>3980</v>
      </c>
      <c r="U239" s="861"/>
      <c r="V239" s="861" t="s">
        <v>4415</v>
      </c>
      <c r="W239" s="861"/>
      <c r="X239" s="861"/>
      <c r="Y239" s="861"/>
      <c r="Z239" s="861"/>
      <c r="AA239" s="861"/>
      <c r="AB239" s="861"/>
      <c r="AC239" s="861"/>
      <c r="AD239" s="861"/>
      <c r="AE239" s="861"/>
      <c r="AF239" s="861"/>
      <c r="AG239" s="861" t="s">
        <v>2680</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2887</v>
      </c>
      <c r="D241" s="861" t="s">
        <v>389</v>
      </c>
      <c r="E241" s="861"/>
      <c r="F241" s="748"/>
      <c r="G241" s="762"/>
      <c r="H241" s="861"/>
      <c r="I241" s="861"/>
      <c r="J241" s="861"/>
      <c r="K241" s="749" t="s">
        <v>3196</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1785</v>
      </c>
      <c r="D242" s="855"/>
      <c r="E242" s="855" t="s">
        <v>4222</v>
      </c>
      <c r="F242" s="961" t="s">
        <v>2356</v>
      </c>
      <c r="G242" s="762"/>
      <c r="H242" s="855"/>
      <c r="I242" s="855"/>
      <c r="J242" s="855"/>
      <c r="K242" s="855"/>
      <c r="L242" s="855"/>
      <c r="M242" s="855"/>
      <c r="N242" s="855"/>
      <c r="O242" s="855"/>
      <c r="P242" s="856"/>
      <c r="Q242" s="855"/>
      <c r="R242" s="855" t="s">
        <v>2248</v>
      </c>
      <c r="S242" s="855"/>
      <c r="T242" s="855"/>
      <c r="U242" s="855"/>
      <c r="V242" s="855"/>
      <c r="W242" s="855"/>
      <c r="X242" s="855" t="s">
        <v>3196</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1785</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1631</v>
      </c>
      <c r="E243" s="861"/>
      <c r="H243" s="861"/>
      <c r="I243" s="861" t="s">
        <v>2414</v>
      </c>
      <c r="J243" s="861"/>
      <c r="L243" s="861"/>
      <c r="M243" s="861"/>
      <c r="N243" s="861" t="s">
        <v>3254</v>
      </c>
      <c r="O243" s="861"/>
      <c r="P243" s="863" t="s">
        <v>7087</v>
      </c>
      <c r="Q243" s="861"/>
      <c r="R243" s="861" t="s">
        <v>5270</v>
      </c>
      <c r="S243" s="861"/>
      <c r="T243" s="861"/>
      <c r="U243" s="749" t="s">
        <v>1785</v>
      </c>
      <c r="V243" s="861" t="s">
        <v>3700</v>
      </c>
      <c r="W243" s="861"/>
      <c r="X243" s="861"/>
      <c r="Y243" s="861"/>
      <c r="Z243" s="861"/>
      <c r="AA243" s="861"/>
      <c r="AB243" s="861"/>
      <c r="AC243" s="861"/>
      <c r="AD243" s="861"/>
      <c r="AG243" s="861" t="s">
        <v>2470</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2326</v>
      </c>
      <c r="G244" s="749" t="s">
        <v>1699</v>
      </c>
      <c r="H244" s="855"/>
      <c r="I244" s="861"/>
      <c r="J244" s="855"/>
      <c r="K244" s="749" t="s">
        <v>1410</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4830</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1614</v>
      </c>
      <c r="E245" s="861"/>
      <c r="F245" s="948"/>
      <c r="G245" s="762"/>
      <c r="H245" s="855" t="s">
        <v>2519</v>
      </c>
      <c r="I245" s="861"/>
      <c r="J245" s="855" t="s">
        <v>1079</v>
      </c>
      <c r="K245" s="861"/>
      <c r="L245" s="855" t="s">
        <v>958</v>
      </c>
      <c r="M245" s="855" t="s">
        <v>242</v>
      </c>
      <c r="N245" s="861"/>
      <c r="O245" s="855" t="s">
        <v>3114</v>
      </c>
      <c r="P245" s="863"/>
      <c r="Q245" s="861" t="s">
        <v>7091</v>
      </c>
      <c r="R245" s="749" t="s">
        <v>2145</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5682</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3269</v>
      </c>
      <c r="H247" s="749" t="s">
        <v>5438</v>
      </c>
      <c r="I247" s="855"/>
      <c r="J247" s="855" t="s">
        <v>1798</v>
      </c>
      <c r="K247" s="855" t="s">
        <v>736</v>
      </c>
      <c r="L247" s="855" t="s">
        <v>531</v>
      </c>
      <c r="M247" s="855"/>
      <c r="N247" s="855"/>
      <c r="O247" s="855"/>
      <c r="P247" s="856"/>
      <c r="Q247" s="855"/>
      <c r="R247" s="749" t="s">
        <v>812</v>
      </c>
      <c r="S247" s="855" t="s">
        <v>1344</v>
      </c>
      <c r="T247" s="855"/>
      <c r="U247" s="855"/>
      <c r="V247" s="855"/>
      <c r="W247" s="855" t="s">
        <v>4435</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4593</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1416</v>
      </c>
      <c r="E249" s="855" t="s">
        <v>2562</v>
      </c>
      <c r="F249" s="790" t="s">
        <v>4103</v>
      </c>
      <c r="G249" s="762"/>
      <c r="H249" s="855" t="s">
        <v>5430</v>
      </c>
      <c r="I249" s="855"/>
      <c r="J249" s="855"/>
      <c r="K249" s="855" t="s">
        <v>5541</v>
      </c>
      <c r="L249" s="855"/>
      <c r="M249" s="855"/>
      <c r="N249" s="855" t="s">
        <v>5209</v>
      </c>
      <c r="O249" s="855" t="s">
        <v>4103</v>
      </c>
      <c r="P249" s="856" t="s">
        <v>5472</v>
      </c>
      <c r="Q249" s="855"/>
      <c r="R249" s="855" t="s">
        <v>5430</v>
      </c>
      <c r="S249" s="855"/>
      <c r="T249" s="855"/>
      <c r="U249" s="855"/>
      <c r="V249" s="855" t="s">
        <v>4252</v>
      </c>
      <c r="W249" s="855"/>
      <c r="X249" s="855"/>
      <c r="Y249" s="855"/>
      <c r="Z249" s="855"/>
      <c r="AA249" s="855"/>
      <c r="AB249" s="855"/>
      <c r="AC249" s="855"/>
      <c r="AD249" s="855"/>
      <c r="AE249" s="855"/>
      <c r="AF249" s="855"/>
      <c r="AG249" s="855"/>
      <c r="AH249" s="855"/>
      <c r="AI249" s="855"/>
      <c r="AJ249" s="857"/>
      <c r="AK249" s="855"/>
      <c r="AL249" s="855"/>
      <c r="AM249" s="855" t="s">
        <v>3142</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3058</v>
      </c>
      <c r="D250" s="855"/>
      <c r="E250" s="855" t="s">
        <v>4242</v>
      </c>
      <c r="F250" s="961" t="s">
        <v>7098</v>
      </c>
      <c r="G250" s="762"/>
      <c r="H250" s="855" t="s">
        <v>3058</v>
      </c>
      <c r="I250" s="855" t="str">
        <f>HYPERLINK("https://youtu.be/yGR2akJEjQQ","19.18")</f>
        <v>19.18</v>
      </c>
      <c r="J250" s="855"/>
      <c r="K250" s="855"/>
      <c r="L250" s="855"/>
      <c r="M250" s="855"/>
      <c r="N250" s="855"/>
      <c r="O250" s="855"/>
      <c r="P250" s="856"/>
      <c r="Q250" s="855"/>
      <c r="R250" s="749" t="s">
        <v>5386</v>
      </c>
      <c r="S250" s="855"/>
      <c r="T250" s="855" t="s">
        <v>2418</v>
      </c>
      <c r="U250" s="855"/>
      <c r="V250" s="855"/>
      <c r="W250" s="855" t="s">
        <v>3024</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2789</v>
      </c>
      <c r="D251" s="855"/>
      <c r="E251" s="855" t="s">
        <v>922</v>
      </c>
      <c r="F251" s="748"/>
      <c r="G251" s="762"/>
      <c r="H251" s="855" t="s">
        <v>2789</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1615</v>
      </c>
      <c r="E252" s="749" t="s">
        <v>405</v>
      </c>
      <c r="F252" s="766" t="s">
        <v>1783</v>
      </c>
      <c r="G252" s="749" t="s">
        <v>1250</v>
      </c>
      <c r="H252" s="749" t="s">
        <v>1042</v>
      </c>
      <c r="I252" s="749" t="s">
        <v>405</v>
      </c>
      <c r="J252" s="762"/>
      <c r="K252" s="749" t="s">
        <v>2205</v>
      </c>
      <c r="L252" s="749" t="s">
        <v>512</v>
      </c>
      <c r="M252" s="762"/>
      <c r="N252" s="762"/>
      <c r="O252" s="749" t="s">
        <v>1858</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2002</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1616</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5618</v>
      </c>
      <c r="D255" s="765" t="s">
        <v>1618</v>
      </c>
      <c r="E255" s="861"/>
      <c r="F255" s="948"/>
      <c r="G255" s="762"/>
      <c r="H255" s="861"/>
      <c r="I255" s="861" t="s">
        <v>1859</v>
      </c>
      <c r="J255" s="855" t="s">
        <v>1471</v>
      </c>
      <c r="K255" s="861" t="s">
        <v>6377</v>
      </c>
      <c r="L255" s="861" t="s">
        <v>5965</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7103</v>
      </c>
      <c r="D256" s="800" t="s">
        <v>7103</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7104</v>
      </c>
      <c r="C257" s="854" t="s">
        <v>2944</v>
      </c>
      <c r="D257" s="855"/>
      <c r="E257" s="855" t="s">
        <v>2944</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7105</v>
      </c>
      <c r="C258" s="854" t="s">
        <v>295</v>
      </c>
      <c r="D258" s="765" t="s">
        <v>1617</v>
      </c>
      <c r="E258" s="749" t="s">
        <v>407</v>
      </c>
      <c r="F258" s="948"/>
      <c r="G258" s="749" t="s">
        <v>1322</v>
      </c>
      <c r="H258" s="749" t="s">
        <v>798</v>
      </c>
      <c r="I258" s="762"/>
      <c r="J258" s="749" t="s">
        <v>354</v>
      </c>
      <c r="K258" s="762"/>
      <c r="L258" s="762" t="s">
        <v>3424</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1619</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7106</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7107</v>
      </c>
      <c r="C261" s="854" t="s">
        <v>1762</v>
      </c>
      <c r="D261" s="861" t="s">
        <v>3916</v>
      </c>
      <c r="E261" s="861"/>
      <c r="F261" s="748"/>
      <c r="G261" s="762"/>
      <c r="H261" s="861"/>
      <c r="I261" s="861"/>
      <c r="J261" s="855" t="s">
        <v>3122</v>
      </c>
      <c r="K261" s="861"/>
      <c r="L261" s="861"/>
      <c r="M261" s="861"/>
      <c r="N261" s="861"/>
      <c r="O261" s="861"/>
      <c r="P261" s="863"/>
      <c r="Q261" s="861"/>
      <c r="R261" s="861"/>
      <c r="S261" s="861"/>
      <c r="T261" s="861"/>
      <c r="U261" s="861"/>
      <c r="V261" s="861"/>
      <c r="W261" s="861"/>
      <c r="X261" s="861" t="s">
        <v>7108</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7109</v>
      </c>
      <c r="C262" s="854" t="s">
        <v>4535</v>
      </c>
      <c r="D262" s="861"/>
      <c r="E262" s="861"/>
      <c r="F262" s="986" t="s">
        <v>3707</v>
      </c>
      <c r="G262" s="762"/>
      <c r="H262" s="861"/>
      <c r="I262" s="855" t="str">
        <f>HYPERLINK("https://youtu.be/K8Egs0-qumI","48.41")</f>
        <v>48.41</v>
      </c>
      <c r="J262" s="861"/>
      <c r="K262" s="861"/>
      <c r="L262" s="861"/>
      <c r="M262" s="861"/>
      <c r="N262" s="861"/>
      <c r="O262" s="861"/>
      <c r="P262" s="863"/>
      <c r="Q262" s="861"/>
      <c r="R262" s="749" t="s">
        <v>7110</v>
      </c>
      <c r="S262" s="861"/>
      <c r="T262" s="855" t="s">
        <v>4535</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7111</v>
      </c>
      <c r="C263" s="854" t="s">
        <v>429</v>
      </c>
      <c r="D263" s="861" t="s">
        <v>4535</v>
      </c>
      <c r="E263" s="861"/>
      <c r="F263" s="748"/>
      <c r="G263" s="762"/>
      <c r="H263" s="861"/>
      <c r="I263" s="861" t="s">
        <v>7112</v>
      </c>
      <c r="J263" s="855" t="s">
        <v>4824</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7113</v>
      </c>
      <c r="C264" s="854" t="s">
        <v>3879</v>
      </c>
      <c r="D264" s="861"/>
      <c r="E264" s="861"/>
      <c r="F264" s="989"/>
      <c r="G264" s="749" t="s">
        <v>6401</v>
      </c>
      <c r="H264" s="861"/>
      <c r="I264" s="855" t="s">
        <v>7114</v>
      </c>
      <c r="J264" s="861"/>
      <c r="K264" s="861"/>
      <c r="L264" s="861"/>
      <c r="M264" s="861"/>
      <c r="N264" s="861"/>
      <c r="O264" s="861"/>
      <c r="P264" s="863"/>
      <c r="Q264" s="861" t="s">
        <v>570</v>
      </c>
      <c r="R264" s="861"/>
      <c r="S264" s="861"/>
      <c r="T264" s="861"/>
      <c r="U264" s="861"/>
      <c r="V264" s="861"/>
      <c r="W264" s="861"/>
      <c r="X264" s="861"/>
      <c r="Y264" s="861"/>
      <c r="Z264" s="861"/>
      <c r="AA264" s="861"/>
      <c r="AB264" s="861" t="s">
        <v>3463</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7115</v>
      </c>
      <c r="C265" s="854" t="s">
        <v>2004</v>
      </c>
      <c r="D265" s="855"/>
      <c r="E265" s="855" t="s">
        <v>1541</v>
      </c>
      <c r="F265" s="776" t="s">
        <v>934</v>
      </c>
      <c r="G265" s="762"/>
      <c r="H265" s="855" t="s">
        <v>2004</v>
      </c>
      <c r="I265" s="855"/>
      <c r="J265" s="855" t="s">
        <v>2167</v>
      </c>
      <c r="K265" s="855"/>
      <c r="L265" s="856" t="s">
        <v>7116</v>
      </c>
      <c r="M265" s="855"/>
      <c r="N265" s="855"/>
      <c r="O265" s="855" t="s">
        <v>1400</v>
      </c>
      <c r="P265" s="856" t="s">
        <v>7117</v>
      </c>
      <c r="Q265" s="855"/>
      <c r="R265" s="855"/>
      <c r="S265" s="855"/>
      <c r="T265" s="855" t="s">
        <v>2156</v>
      </c>
      <c r="U265" s="855"/>
      <c r="V265" s="855"/>
      <c r="W265" s="855"/>
      <c r="X265" s="855"/>
      <c r="Y265" s="855" t="s">
        <v>1854</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7118</v>
      </c>
      <c r="C266" s="854" t="s">
        <v>2167</v>
      </c>
      <c r="D266" s="855"/>
      <c r="E266" s="855" t="s">
        <v>2167</v>
      </c>
      <c r="F266" s="986" t="s">
        <v>7119</v>
      </c>
      <c r="G266" s="762"/>
      <c r="H266" s="856" t="s">
        <v>3116</v>
      </c>
      <c r="I266" s="855"/>
      <c r="J266" s="855"/>
      <c r="K266" s="855"/>
      <c r="L266" s="855"/>
      <c r="M266" s="855"/>
      <c r="N266" s="855"/>
      <c r="O266" s="855"/>
      <c r="P266" s="856"/>
      <c r="Q266" s="749" t="s">
        <v>3285</v>
      </c>
      <c r="R266" s="855"/>
      <c r="S266" s="855"/>
      <c r="T266" s="855"/>
      <c r="U266" s="855"/>
      <c r="V266" s="855"/>
      <c r="W266" s="856" t="s">
        <v>4568</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7120</v>
      </c>
      <c r="C267" s="854" t="s">
        <v>359</v>
      </c>
      <c r="D267" s="855"/>
      <c r="E267" s="855" t="s">
        <v>801</v>
      </c>
      <c r="F267" s="776" t="s">
        <v>1400</v>
      </c>
      <c r="G267" s="762"/>
      <c r="H267" s="856" t="s">
        <v>5491</v>
      </c>
      <c r="I267" s="855"/>
      <c r="J267" s="855"/>
      <c r="K267" s="855"/>
      <c r="L267" s="855"/>
      <c r="M267" s="855"/>
      <c r="N267" s="855"/>
      <c r="O267" s="855" t="s">
        <v>5815</v>
      </c>
      <c r="P267" s="856"/>
      <c r="Q267" s="855"/>
      <c r="R267" s="855"/>
      <c r="S267" s="855"/>
      <c r="T267" s="855"/>
      <c r="U267" s="855"/>
      <c r="V267" s="855"/>
      <c r="W267" s="856" t="s">
        <v>7121</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7122</v>
      </c>
      <c r="C268" s="775" t="s">
        <v>2786</v>
      </c>
      <c r="D268" s="855" t="s">
        <v>849</v>
      </c>
      <c r="E268" s="855" t="s">
        <v>7123</v>
      </c>
      <c r="F268" s="776" t="s">
        <v>2786</v>
      </c>
      <c r="G268" s="749" t="s">
        <v>2934</v>
      </c>
      <c r="H268" s="855"/>
      <c r="I268" s="855"/>
      <c r="J268" s="855"/>
      <c r="K268" s="855"/>
      <c r="L268" s="855"/>
      <c r="M268" s="855"/>
      <c r="N268" s="855"/>
      <c r="O268" s="855" t="s">
        <v>7124</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7125</v>
      </c>
      <c r="D269" s="861"/>
      <c r="E269" s="861"/>
      <c r="F269" s="776" t="s">
        <v>7125</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7126</v>
      </c>
      <c r="C270" s="854" t="s">
        <v>1631</v>
      </c>
      <c r="D270" s="861" t="s">
        <v>145</v>
      </c>
      <c r="E270" s="861"/>
      <c r="F270" s="989"/>
      <c r="G270" s="749" t="s">
        <v>4326</v>
      </c>
      <c r="H270" s="861"/>
      <c r="I270" s="855" t="str">
        <f>HYPERLINK("https://youtu.be/_GZXmZdCc5s","31.80")</f>
        <v>31.80</v>
      </c>
      <c r="J270" s="861"/>
      <c r="K270" s="855" t="s">
        <v>7127</v>
      </c>
      <c r="L270" s="861"/>
      <c r="M270" s="855" t="s">
        <v>1631</v>
      </c>
      <c r="N270" s="855" t="str">
        <f>HYPERLINK("https://youtu.be/kUsh0nBBuMY","32.45")</f>
        <v>32.45</v>
      </c>
      <c r="O270" s="861"/>
      <c r="P270" s="863" t="s">
        <v>2222</v>
      </c>
      <c r="Q270" s="861"/>
      <c r="R270" s="861" t="s">
        <v>1088</v>
      </c>
      <c r="S270" s="861"/>
      <c r="T270" s="861"/>
      <c r="U270" s="749" t="s">
        <v>7128</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7129</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4025</v>
      </c>
      <c r="W271" s="861"/>
      <c r="X271" s="861"/>
      <c r="Y271" s="861"/>
      <c r="Z271" s="861"/>
      <c r="AA271" s="861"/>
      <c r="AB271" s="861"/>
      <c r="AC271" s="861"/>
      <c r="AD271" s="861"/>
      <c r="AE271" s="861"/>
      <c r="AF271" s="861"/>
      <c r="AG271" s="861" t="s">
        <v>2929</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7130</v>
      </c>
      <c r="C272" s="854" t="s">
        <v>4995</v>
      </c>
      <c r="D272" s="861" t="s">
        <v>3424</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7131</v>
      </c>
      <c r="C273" s="854" t="s">
        <v>3547</v>
      </c>
      <c r="D273" s="855" t="s">
        <v>242</v>
      </c>
      <c r="E273" s="855" t="s">
        <v>3547</v>
      </c>
      <c r="F273" s="766" t="s">
        <v>181</v>
      </c>
      <c r="G273" s="749" t="s">
        <v>1327</v>
      </c>
      <c r="H273" s="855" t="s">
        <v>1543</v>
      </c>
      <c r="I273" s="855" t="s">
        <v>205</v>
      </c>
      <c r="J273" s="855" t="s">
        <v>2145</v>
      </c>
      <c r="K273" s="855" t="s">
        <v>5404</v>
      </c>
      <c r="L273" s="855" t="s">
        <v>916</v>
      </c>
      <c r="M273" s="855" t="s">
        <v>277</v>
      </c>
      <c r="N273" s="855" t="s">
        <v>5701</v>
      </c>
      <c r="O273" s="855" t="s">
        <v>718</v>
      </c>
      <c r="P273" s="856" t="s">
        <v>426</v>
      </c>
      <c r="Q273" s="855" t="s">
        <v>4025</v>
      </c>
      <c r="R273" s="855"/>
      <c r="S273" s="855"/>
      <c r="T273" s="855"/>
      <c r="U273" s="990" t="s">
        <v>1575</v>
      </c>
      <c r="V273" s="855" t="s">
        <v>7132</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7133</v>
      </c>
      <c r="C274" s="854" t="s">
        <v>7134</v>
      </c>
      <c r="D274" s="855" t="s">
        <v>6757</v>
      </c>
      <c r="E274" s="855" t="s">
        <v>4144</v>
      </c>
      <c r="F274" s="991" t="s">
        <v>7135</v>
      </c>
      <c r="G274" s="749" t="s">
        <v>7136</v>
      </c>
      <c r="H274" s="855"/>
      <c r="I274" s="855" t="str">
        <f>HYPERLINK("https://youtu.be/fNmQmNF7N9I","46.93")</f>
        <v>46.93</v>
      </c>
      <c r="J274" s="855" t="s">
        <v>7134</v>
      </c>
      <c r="K274" s="855" t="s">
        <v>537</v>
      </c>
      <c r="L274" s="855" t="s">
        <v>7137</v>
      </c>
      <c r="M274" s="855" t="s">
        <v>1579</v>
      </c>
      <c r="N274" s="855"/>
      <c r="O274" s="855"/>
      <c r="P274" s="856"/>
      <c r="Q274" s="855"/>
      <c r="R274" s="855"/>
      <c r="S274" s="855" t="s">
        <v>3926</v>
      </c>
      <c r="T274" s="855" t="s">
        <v>7112</v>
      </c>
      <c r="U274" s="855"/>
      <c r="V274" s="855" t="s">
        <v>7138</v>
      </c>
      <c r="W274" s="855" t="s">
        <v>4382</v>
      </c>
      <c r="X274" s="855" t="s">
        <v>7139</v>
      </c>
      <c r="Y274" s="855"/>
      <c r="Z274" s="855"/>
      <c r="AA274" s="855" t="s">
        <v>7140</v>
      </c>
      <c r="AB274" s="855" t="s">
        <v>7141</v>
      </c>
      <c r="AC274" s="855"/>
      <c r="AD274" s="855"/>
      <c r="AE274" s="855"/>
      <c r="AF274" s="855"/>
      <c r="AG274" s="855"/>
      <c r="AH274" s="855"/>
      <c r="AI274" s="855"/>
      <c r="AJ274" s="857"/>
      <c r="AK274" s="855"/>
      <c r="AL274" s="855"/>
      <c r="AM274" s="855"/>
      <c r="AN274" s="855"/>
      <c r="AO274" s="855"/>
      <c r="AP274" s="857"/>
      <c r="AQ274" s="857"/>
      <c r="AR274" s="855" t="s">
        <v>7142</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7143</v>
      </c>
      <c r="C275" s="854" t="s">
        <v>3911</v>
      </c>
      <c r="D275" s="855" t="s">
        <v>5148</v>
      </c>
      <c r="E275" s="855" t="s">
        <v>3425</v>
      </c>
      <c r="F275" s="790" t="s">
        <v>7144</v>
      </c>
      <c r="G275" s="749" t="s">
        <v>7145</v>
      </c>
      <c r="H275" s="855"/>
      <c r="I275" s="855" t="str">
        <f>HYPERLINK(" https://youtu.be/dsDcBzsPA5s","45.74")</f>
        <v>45.74</v>
      </c>
      <c r="J275" s="855" t="s">
        <v>3911</v>
      </c>
      <c r="K275" s="855" t="s">
        <v>7146</v>
      </c>
      <c r="L275" s="855" t="s">
        <v>3805</v>
      </c>
      <c r="M275" s="855" t="s">
        <v>1705</v>
      </c>
      <c r="N275" s="855" t="s">
        <v>2005</v>
      </c>
      <c r="O275" s="855" t="s">
        <v>3977</v>
      </c>
      <c r="P275" s="856" t="s">
        <v>3463</v>
      </c>
      <c r="Q275" s="855" t="s">
        <v>7147</v>
      </c>
      <c r="R275" s="855"/>
      <c r="S275" s="855" t="s">
        <v>7148</v>
      </c>
      <c r="T275" s="855" t="s">
        <v>285</v>
      </c>
      <c r="U275" s="855"/>
      <c r="V275" s="855" t="s">
        <v>7121</v>
      </c>
      <c r="W275" s="855" t="s">
        <v>705</v>
      </c>
      <c r="X275" s="855" t="s">
        <v>7149</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7150</v>
      </c>
      <c r="C276" s="854" t="s">
        <v>1046</v>
      </c>
      <c r="D276" s="855" t="s">
        <v>4625</v>
      </c>
      <c r="E276" s="855" t="s">
        <v>411</v>
      </c>
      <c r="F276" s="991" t="s">
        <v>2068</v>
      </c>
      <c r="G276" s="749" t="s">
        <v>188</v>
      </c>
      <c r="H276" s="855" t="s">
        <v>2050</v>
      </c>
      <c r="I276" s="855" t="str">
        <f>HYPERLINK("https://youtu.be/9O9oqhlyCxY","45.20")</f>
        <v>45.20</v>
      </c>
      <c r="J276" s="855" t="s">
        <v>7151</v>
      </c>
      <c r="K276" s="749" t="s">
        <v>3569</v>
      </c>
      <c r="L276" s="855" t="s">
        <v>321</v>
      </c>
      <c r="M276" s="855" t="s">
        <v>1401</v>
      </c>
      <c r="N276" s="855" t="s">
        <v>7114</v>
      </c>
      <c r="O276" s="855" t="s">
        <v>1046</v>
      </c>
      <c r="P276" s="856"/>
      <c r="Q276" s="855" t="s">
        <v>1862</v>
      </c>
      <c r="R276" s="855"/>
      <c r="S276" s="855" t="s">
        <v>429</v>
      </c>
      <c r="T276" s="855" t="s">
        <v>520</v>
      </c>
      <c r="U276" s="855"/>
      <c r="V276" s="855"/>
      <c r="W276" s="855" t="s">
        <v>618</v>
      </c>
      <c r="X276" s="855"/>
      <c r="Y276" s="855"/>
      <c r="Z276" s="855"/>
      <c r="AA276" s="855" t="s">
        <v>4379</v>
      </c>
      <c r="AB276" s="855" t="s">
        <v>1401</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7152</v>
      </c>
      <c r="C277" s="854" t="s">
        <v>885</v>
      </c>
      <c r="D277" s="765" t="s">
        <v>1622</v>
      </c>
      <c r="E277" s="994" t="s">
        <v>412</v>
      </c>
      <c r="F277" s="824" t="s">
        <v>2787</v>
      </c>
      <c r="G277" s="749" t="s">
        <v>1328</v>
      </c>
      <c r="H277" s="994" t="s">
        <v>4533</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7152</v>
      </c>
      <c r="C278" s="854" t="s">
        <v>7011</v>
      </c>
      <c r="D278" s="994" t="s">
        <v>1623</v>
      </c>
      <c r="E278" s="994" t="s">
        <v>413</v>
      </c>
      <c r="F278" s="824" t="s">
        <v>1586</v>
      </c>
      <c r="G278" s="762"/>
      <c r="H278" s="994" t="s">
        <v>7011</v>
      </c>
      <c r="I278" s="994"/>
      <c r="J278" s="994"/>
      <c r="K278" s="994"/>
      <c r="L278" s="994" t="s">
        <v>962</v>
      </c>
      <c r="M278" s="994" t="s">
        <v>190</v>
      </c>
      <c r="N278" s="994"/>
      <c r="O278" s="994" t="s">
        <v>1048</v>
      </c>
      <c r="P278" s="995"/>
      <c r="Q278" s="994"/>
      <c r="R278" s="994"/>
      <c r="S278" s="994"/>
      <c r="T278" s="994" t="s">
        <v>3082</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5688</v>
      </c>
      <c r="D279" s="855" t="s">
        <v>5668</v>
      </c>
      <c r="E279" s="855" t="s">
        <v>2882</v>
      </c>
      <c r="F279" s="776" t="s">
        <v>433</v>
      </c>
      <c r="G279" s="749" t="s">
        <v>5640</v>
      </c>
      <c r="H279" s="855" t="s">
        <v>5688</v>
      </c>
      <c r="I279" s="855"/>
      <c r="J279" s="855" t="s">
        <v>5209</v>
      </c>
      <c r="K279" s="855"/>
      <c r="L279" s="855" t="s">
        <v>7153</v>
      </c>
      <c r="M279" s="855"/>
      <c r="N279" s="855"/>
      <c r="O279" s="855" t="s">
        <v>5688</v>
      </c>
      <c r="P279" s="856"/>
      <c r="Q279" s="855"/>
      <c r="R279" s="749" t="s">
        <v>7154</v>
      </c>
      <c r="S279" s="855"/>
      <c r="T279" s="855" t="s">
        <v>5688</v>
      </c>
      <c r="U279" s="855"/>
      <c r="V279" s="855"/>
      <c r="W279" s="855" t="s">
        <v>4103</v>
      </c>
      <c r="X279" s="855" t="s">
        <v>5807</v>
      </c>
      <c r="Y279" s="855" t="s">
        <v>7155</v>
      </c>
      <c r="Z279" s="855" t="s">
        <v>6161</v>
      </c>
      <c r="AA279" s="855"/>
      <c r="AB279" s="855"/>
      <c r="AC279" s="855"/>
      <c r="AD279" s="855"/>
      <c r="AE279" s="855" t="s">
        <v>3492</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7156</v>
      </c>
      <c r="C280" s="854" t="s">
        <v>7157</v>
      </c>
      <c r="D280" s="754" t="s">
        <v>1485</v>
      </c>
      <c r="E280" s="855" t="s">
        <v>4408</v>
      </c>
      <c r="F280" s="766" t="s">
        <v>2146</v>
      </c>
      <c r="G280" s="749" t="s">
        <v>1330</v>
      </c>
      <c r="H280" s="855" t="s">
        <v>7157</v>
      </c>
      <c r="I280" s="855" t="s">
        <v>1485</v>
      </c>
      <c r="J280" s="855" t="s">
        <v>3771</v>
      </c>
      <c r="K280" s="855"/>
      <c r="L280" s="855" t="s">
        <v>963</v>
      </c>
      <c r="M280" s="855"/>
      <c r="N280" s="855"/>
      <c r="O280" s="855" t="s">
        <v>7158</v>
      </c>
      <c r="P280" s="856"/>
      <c r="Q280" s="855" t="s">
        <v>2146</v>
      </c>
      <c r="R280" s="855"/>
      <c r="S280" s="855"/>
      <c r="T280" s="855" t="s">
        <v>523</v>
      </c>
      <c r="U280" s="855"/>
      <c r="V280" s="855"/>
      <c r="W280" s="855" t="s">
        <v>7159</v>
      </c>
      <c r="X280" s="855"/>
      <c r="Y280" s="855"/>
      <c r="Z280" s="855"/>
      <c r="AA280" s="855"/>
      <c r="AB280" s="855"/>
      <c r="AC280" s="855"/>
      <c r="AD280" s="855"/>
      <c r="AE280" s="855"/>
      <c r="AF280" s="855" t="s">
        <v>7160</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7156</v>
      </c>
      <c r="C281" s="745" t="s">
        <v>7161</v>
      </c>
      <c r="D281" s="855" t="s">
        <v>7162</v>
      </c>
      <c r="E281" s="855"/>
      <c r="F281" s="776" t="s">
        <v>7163</v>
      </c>
      <c r="G281" s="762"/>
      <c r="H281" s="749" t="s">
        <v>7161</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7164</v>
      </c>
      <c r="C282" s="854" t="s">
        <v>4202</v>
      </c>
      <c r="D282" s="762"/>
      <c r="E282" s="749" t="s">
        <v>4341</v>
      </c>
      <c r="F282" s="989"/>
      <c r="G282" s="749" t="s">
        <v>3270</v>
      </c>
      <c r="H282" s="749" t="s">
        <v>4202</v>
      </c>
      <c r="I282" s="762"/>
      <c r="J282" s="762"/>
      <c r="K282" s="762"/>
      <c r="L282" s="762"/>
      <c r="M282" s="762"/>
      <c r="N282" s="762" t="s">
        <v>4310</v>
      </c>
      <c r="O282" s="762"/>
      <c r="P282" s="856" t="s">
        <v>7165</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7166</v>
      </c>
      <c r="C283" s="854" t="s">
        <v>4489</v>
      </c>
      <c r="D283" s="855" t="s">
        <v>1624</v>
      </c>
      <c r="E283" s="855" t="s">
        <v>2750</v>
      </c>
      <c r="F283" s="776" t="s">
        <v>2789</v>
      </c>
      <c r="G283" s="762"/>
      <c r="H283" s="856" t="s">
        <v>1370</v>
      </c>
      <c r="I283" s="855"/>
      <c r="J283" s="855"/>
      <c r="K283" s="855"/>
      <c r="L283" s="855"/>
      <c r="M283" s="855"/>
      <c r="N283" s="855"/>
      <c r="O283" s="855"/>
      <c r="P283" s="856" t="s">
        <v>5212</v>
      </c>
      <c r="Q283" s="855" t="s">
        <v>2595</v>
      </c>
      <c r="R283" s="855" t="s">
        <v>1624</v>
      </c>
      <c r="S283" s="855"/>
      <c r="T283" s="855" t="s">
        <v>4489</v>
      </c>
      <c r="U283" s="855"/>
      <c r="V283" s="855"/>
      <c r="W283" s="855"/>
      <c r="X283" s="855"/>
      <c r="Y283" s="855"/>
      <c r="Z283" s="855"/>
      <c r="AA283" s="855" t="s">
        <v>1751</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7167</v>
      </c>
      <c r="C284" s="854" t="s">
        <v>622</v>
      </c>
      <c r="D284" s="855"/>
      <c r="E284" s="855" t="s">
        <v>370</v>
      </c>
      <c r="F284" s="991" t="s">
        <v>2789</v>
      </c>
      <c r="G284" s="749" t="s">
        <v>3759</v>
      </c>
      <c r="H284" s="856" t="s">
        <v>6326</v>
      </c>
      <c r="I284" s="855"/>
      <c r="J284" s="855" t="s">
        <v>1624</v>
      </c>
      <c r="K284" s="855"/>
      <c r="L284" s="855"/>
      <c r="M284" s="855" t="s">
        <v>1189</v>
      </c>
      <c r="N284" s="855"/>
      <c r="O284" s="855" t="s">
        <v>3759</v>
      </c>
      <c r="P284" s="856" t="s">
        <v>1547</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7168</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7169</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7170</v>
      </c>
      <c r="D287" s="749" t="s">
        <v>7170</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4160</v>
      </c>
      <c r="D288" s="798" t="s">
        <v>1625</v>
      </c>
      <c r="E288" s="861"/>
      <c r="F288" s="989"/>
      <c r="G288" s="749" t="s">
        <v>1648</v>
      </c>
      <c r="H288" s="861"/>
      <c r="I288" s="861" t="s">
        <v>4160</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4816</v>
      </c>
      <c r="D289" s="861"/>
      <c r="E289" s="861"/>
      <c r="F289" s="748"/>
      <c r="G289" s="749" t="s">
        <v>1333</v>
      </c>
      <c r="H289" s="861"/>
      <c r="I289" s="861"/>
      <c r="J289" s="861"/>
      <c r="K289" s="861"/>
      <c r="L289" s="861"/>
      <c r="M289" s="861"/>
      <c r="N289" s="861"/>
      <c r="O289" s="861"/>
      <c r="P289" s="863"/>
      <c r="Q289" s="861"/>
      <c r="R289" s="861"/>
      <c r="S289" s="749" t="s">
        <v>2597</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7171</v>
      </c>
      <c r="D290" s="861" t="s">
        <v>7172</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7173</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7174</v>
      </c>
      <c r="B292" s="1010" t="s">
        <v>7175</v>
      </c>
      <c r="C292" s="745" t="s">
        <v>7176</v>
      </c>
      <c r="D292" s="971"/>
      <c r="E292" s="762"/>
      <c r="F292" s="761"/>
      <c r="G292" s="749" t="s">
        <v>4832</v>
      </c>
      <c r="H292" s="762"/>
      <c r="I292" s="762"/>
      <c r="J292" s="762"/>
      <c r="K292" s="762"/>
      <c r="L292" s="762"/>
      <c r="M292" s="762"/>
      <c r="N292" s="762"/>
      <c r="O292" s="762"/>
      <c r="P292" s="856"/>
      <c r="Q292" s="762"/>
      <c r="R292" s="762"/>
      <c r="S292" s="762"/>
      <c r="T292" s="762"/>
      <c r="U292" s="749" t="s">
        <v>7176</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7177</v>
      </c>
      <c r="C293" s="854" t="s">
        <v>7178</v>
      </c>
      <c r="D293" s="855" t="s">
        <v>7179</v>
      </c>
      <c r="E293" s="855" t="s">
        <v>7178</v>
      </c>
      <c r="F293" s="748"/>
      <c r="H293" s="855"/>
      <c r="I293" s="855"/>
      <c r="J293" s="855"/>
      <c r="K293" s="856" t="s">
        <v>7180</v>
      </c>
      <c r="L293" s="855"/>
      <c r="M293" s="855"/>
      <c r="N293" s="855"/>
      <c r="O293" s="855"/>
      <c r="P293" s="856" t="s">
        <v>7181</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7182</v>
      </c>
      <c r="C294" s="854" t="s">
        <v>425</v>
      </c>
      <c r="D294" s="754" t="s">
        <v>1630</v>
      </c>
      <c r="E294" s="749" t="s">
        <v>425</v>
      </c>
      <c r="F294" s="766" t="s">
        <v>2791</v>
      </c>
      <c r="G294" s="749" t="s">
        <v>1341</v>
      </c>
      <c r="H294" s="749" t="s">
        <v>7183</v>
      </c>
      <c r="I294" s="749" t="str">
        <f>HYPERLINK("https://youtu.be/ZpzmhXUsVhA","1:19.38")</f>
        <v>1:19.38</v>
      </c>
      <c r="J294" s="762"/>
      <c r="K294" s="749" t="s">
        <v>3575</v>
      </c>
      <c r="L294" s="762" t="s">
        <v>973</v>
      </c>
      <c r="M294" s="762" t="s">
        <v>6032</v>
      </c>
      <c r="N294" s="762" t="s">
        <v>7184</v>
      </c>
      <c r="O294" s="749" t="s">
        <v>7185</v>
      </c>
      <c r="P294" s="856" t="s">
        <v>7186</v>
      </c>
      <c r="Q294" s="762"/>
      <c r="R294" s="762"/>
      <c r="S294" s="762"/>
      <c r="T294" s="762"/>
      <c r="U294" s="990" t="s">
        <v>2975</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7187</v>
      </c>
      <c r="B295" s="1013" t="s">
        <v>7175</v>
      </c>
      <c r="C295" s="745" t="s">
        <v>2247</v>
      </c>
      <c r="D295" s="855"/>
      <c r="E295" s="855"/>
      <c r="F295" s="748"/>
      <c r="G295" s="762"/>
      <c r="H295" s="855"/>
      <c r="I295" s="855"/>
      <c r="J295" s="855"/>
      <c r="K295" s="855"/>
      <c r="L295" s="855"/>
      <c r="M295" s="855"/>
      <c r="N295" s="855"/>
      <c r="O295" s="855"/>
      <c r="P295" s="856"/>
      <c r="Q295" s="855"/>
      <c r="R295" s="855"/>
      <c r="S295" s="855"/>
      <c r="T295" s="855"/>
      <c r="U295" s="787" t="s">
        <v>5726</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7177</v>
      </c>
      <c r="C296" s="854" t="s">
        <v>5457</v>
      </c>
      <c r="D296" s="855" t="s">
        <v>1017</v>
      </c>
      <c r="E296" s="855" t="s">
        <v>3303</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7182</v>
      </c>
      <c r="C297" s="854" t="s">
        <v>2184</v>
      </c>
      <c r="D297" s="1015" t="s">
        <v>7188</v>
      </c>
      <c r="E297" s="855" t="s">
        <v>4080</v>
      </c>
      <c r="F297" s="834" t="s">
        <v>2074</v>
      </c>
      <c r="G297" s="749" t="s">
        <v>2807</v>
      </c>
      <c r="H297" s="898" t="s">
        <v>4668</v>
      </c>
      <c r="I297" s="855"/>
      <c r="J297" s="855"/>
      <c r="K297" s="855"/>
      <c r="L297" s="855"/>
      <c r="M297" s="855"/>
      <c r="N297" s="855"/>
      <c r="O297" s="855" t="s">
        <v>2184</v>
      </c>
      <c r="P297" s="856"/>
      <c r="Q297" s="855"/>
      <c r="R297" s="855"/>
      <c r="S297" s="855"/>
      <c r="T297" s="855"/>
      <c r="U297" s="749" t="s">
        <v>4494</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7189</v>
      </c>
      <c r="B298" s="1016" t="s">
        <v>7190</v>
      </c>
      <c r="C298" s="854" t="s">
        <v>4249</v>
      </c>
      <c r="D298" s="973" t="s">
        <v>1802</v>
      </c>
      <c r="E298" s="855" t="s">
        <v>4249</v>
      </c>
      <c r="F298" s="748"/>
      <c r="G298" s="762"/>
      <c r="H298" s="855"/>
      <c r="I298" s="855"/>
      <c r="J298" s="855"/>
      <c r="K298" s="855" t="s">
        <v>2339</v>
      </c>
      <c r="L298" s="855"/>
      <c r="M298" s="855"/>
      <c r="N298" s="855"/>
      <c r="O298" s="855"/>
      <c r="P298" s="856" t="s">
        <v>7191</v>
      </c>
      <c r="Q298" s="855"/>
      <c r="R298" s="855"/>
      <c r="S298" s="855" t="s">
        <v>2597</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7192</v>
      </c>
      <c r="C299" s="854" t="s">
        <v>7132</v>
      </c>
      <c r="D299" s="754" t="s">
        <v>1631</v>
      </c>
      <c r="E299" s="749" t="s">
        <v>426</v>
      </c>
      <c r="F299" s="824" t="s">
        <v>2792</v>
      </c>
      <c r="G299" s="749" t="s">
        <v>1342</v>
      </c>
      <c r="H299" s="749" t="s">
        <v>2078</v>
      </c>
      <c r="I299" s="762"/>
      <c r="J299" s="762"/>
      <c r="K299" s="762"/>
      <c r="L299" s="749" t="s">
        <v>974</v>
      </c>
      <c r="M299" s="762" t="s">
        <v>817</v>
      </c>
      <c r="N299" s="762"/>
      <c r="O299" s="749" t="s">
        <v>7132</v>
      </c>
      <c r="P299" s="856" t="s">
        <v>1448</v>
      </c>
      <c r="Q299" s="762"/>
      <c r="R299" s="762"/>
      <c r="S299" s="762"/>
      <c r="T299" s="762" t="s">
        <v>1614</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7193</v>
      </c>
      <c r="B300" s="1010" t="s">
        <v>7194</v>
      </c>
      <c r="C300" s="854" t="s">
        <v>6235</v>
      </c>
      <c r="D300" s="855"/>
      <c r="E300" s="855" t="s">
        <v>6235</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7195</v>
      </c>
      <c r="C301" s="854" t="s">
        <v>6991</v>
      </c>
      <c r="D301" s="855"/>
      <c r="E301" s="855" t="s">
        <v>1411</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7196</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7197</v>
      </c>
      <c r="C303" s="854" t="s">
        <v>2571</v>
      </c>
      <c r="D303" s="902"/>
      <c r="E303" s="902"/>
      <c r="F303" s="817"/>
      <c r="G303" s="762"/>
      <c r="H303" s="902"/>
      <c r="I303" s="902" t="s">
        <v>2571</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7198</v>
      </c>
      <c r="C304" s="854" t="s">
        <v>1496</v>
      </c>
      <c r="D304" s="861"/>
      <c r="E304" s="861"/>
      <c r="F304" s="748"/>
      <c r="G304" s="762"/>
      <c r="H304" s="861"/>
      <c r="I304" s="749" t="s">
        <v>1496</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7199</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3346</v>
      </c>
      <c r="D306" s="855"/>
      <c r="E306" s="855" t="s">
        <v>3700</v>
      </c>
      <c r="F306" s="748"/>
      <c r="G306" s="762"/>
      <c r="H306" s="855" t="s">
        <v>3346</v>
      </c>
      <c r="I306" s="855" t="s">
        <v>7200</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1699</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7201</v>
      </c>
      <c r="B307" s="1018"/>
      <c r="C307" s="745" t="s">
        <v>7202</v>
      </c>
      <c r="D307" s="861"/>
      <c r="E307" s="861"/>
      <c r="F307" s="817"/>
      <c r="G307" s="762"/>
      <c r="H307" s="749" t="s">
        <v>7202</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7203</v>
      </c>
      <c r="B308" s="1016" t="s">
        <v>7204</v>
      </c>
      <c r="C308" s="854" t="s">
        <v>3537</v>
      </c>
      <c r="D308" s="754" t="s">
        <v>3537</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1697</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7205</v>
      </c>
      <c r="C309" s="854" t="s">
        <v>3845</v>
      </c>
      <c r="D309" s="900"/>
      <c r="E309" s="900" t="s">
        <v>4169</v>
      </c>
      <c r="F309" s="817"/>
      <c r="G309" s="762"/>
      <c r="H309" s="900"/>
      <c r="I309" s="749" t="s">
        <v>3845</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7206</v>
      </c>
      <c r="B310" s="1017" t="s">
        <v>7207</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7208</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7209</v>
      </c>
      <c r="B312" s="1017" t="s">
        <v>7210</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7211</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7212</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7213</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7213</v>
      </c>
      <c r="C316" s="854" t="s">
        <v>6521</v>
      </c>
      <c r="D316" s="861"/>
      <c r="E316" s="861"/>
      <c r="F316" s="748"/>
      <c r="G316" s="762"/>
      <c r="H316" s="861"/>
      <c r="I316" s="749" t="s">
        <v>6521</v>
      </c>
      <c r="J316" s="861"/>
      <c r="K316" s="861"/>
      <c r="L316" s="861"/>
      <c r="M316" s="861"/>
      <c r="N316" s="861" t="s">
        <v>5764</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7214</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7215</v>
      </c>
      <c r="B318" s="1020" t="s">
        <v>7216</v>
      </c>
      <c r="C318" s="854" t="s">
        <v>534</v>
      </c>
      <c r="D318" s="865" t="s">
        <v>3424</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7217</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7218</v>
      </c>
      <c r="C320" s="854" t="s">
        <v>3019</v>
      </c>
      <c r="D320" s="749" t="s">
        <v>407</v>
      </c>
      <c r="E320" s="749" t="s">
        <v>5256</v>
      </c>
      <c r="F320" s="776" t="s">
        <v>4679</v>
      </c>
      <c r="G320" s="762"/>
      <c r="H320" s="762" t="s">
        <v>2045</v>
      </c>
      <c r="I320" s="762"/>
      <c r="J320" s="762"/>
      <c r="K320" s="762"/>
      <c r="L320" s="762"/>
      <c r="M320" s="762"/>
      <c r="N320" s="762"/>
      <c r="O320" s="762"/>
      <c r="P320" s="856"/>
      <c r="Q320" s="762"/>
      <c r="R320" s="749" t="s">
        <v>5256</v>
      </c>
      <c r="S320" s="762"/>
      <c r="T320" s="749" t="s">
        <v>3019</v>
      </c>
      <c r="U320" s="762"/>
      <c r="V320" s="762"/>
      <c r="W320" s="762"/>
      <c r="X320" s="762"/>
      <c r="Y320" s="749" t="s">
        <v>2683</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7219</v>
      </c>
      <c r="B321" s="1020" t="s">
        <v>6702</v>
      </c>
      <c r="C321" s="854" t="s">
        <v>7220</v>
      </c>
      <c r="D321" s="762"/>
      <c r="E321" s="749" t="s">
        <v>7220</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4755</v>
      </c>
      <c r="D322" s="762" t="s">
        <v>5075</v>
      </c>
      <c r="E322" s="749" t="s">
        <v>4460</v>
      </c>
      <c r="F322" s="776" t="s">
        <v>7221</v>
      </c>
      <c r="G322" s="762"/>
      <c r="H322" s="749" t="s">
        <v>4755</v>
      </c>
      <c r="I322" s="762"/>
      <c r="J322" s="762"/>
      <c r="K322" s="762"/>
      <c r="L322" s="762"/>
      <c r="M322" s="762"/>
      <c r="N322" s="762"/>
      <c r="O322" s="762"/>
      <c r="P322" s="856"/>
      <c r="Q322" s="762"/>
      <c r="R322" s="749" t="s">
        <v>6866</v>
      </c>
      <c r="S322" s="762"/>
      <c r="T322" s="762"/>
      <c r="U322" s="762"/>
      <c r="V322" s="762"/>
      <c r="W322" s="749" t="s">
        <v>6025</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7222</v>
      </c>
      <c r="B323" s="1020" t="s">
        <v>6593</v>
      </c>
      <c r="C323" s="832" t="s">
        <v>3468</v>
      </c>
      <c r="D323" s="786"/>
      <c r="E323" s="785" t="s">
        <v>1789</v>
      </c>
      <c r="F323" s="828" t="s">
        <v>3468</v>
      </c>
      <c r="G323" s="762"/>
      <c r="H323" s="785" t="s">
        <v>2387</v>
      </c>
      <c r="I323" s="786"/>
      <c r="J323" s="785" t="s">
        <v>1789</v>
      </c>
      <c r="K323" s="786"/>
      <c r="L323" s="785" t="s">
        <v>7223</v>
      </c>
      <c r="M323" s="785" t="s">
        <v>7224</v>
      </c>
      <c r="N323" s="786"/>
      <c r="O323" s="786"/>
      <c r="P323" s="784"/>
      <c r="Q323" s="786"/>
      <c r="R323" s="786"/>
      <c r="S323" s="786"/>
      <c r="T323" s="786"/>
      <c r="U323" s="786"/>
      <c r="V323" s="786"/>
      <c r="W323" s="785" t="s">
        <v>2807</v>
      </c>
      <c r="X323" s="786"/>
      <c r="Y323" s="785" t="s">
        <v>1437</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7225</v>
      </c>
      <c r="B324" s="1020" t="s">
        <v>7226</v>
      </c>
      <c r="C324" s="854" t="s">
        <v>7227</v>
      </c>
      <c r="D324" s="762"/>
      <c r="E324" s="749" t="s">
        <v>7227</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7228</v>
      </c>
      <c r="C325" s="832" t="s">
        <v>7229</v>
      </c>
      <c r="D325" s="762"/>
      <c r="E325" s="749" t="s">
        <v>7230</v>
      </c>
      <c r="F325" s="828" t="s">
        <v>7229</v>
      </c>
      <c r="G325" s="762"/>
      <c r="H325" s="762" t="s">
        <v>1427</v>
      </c>
      <c r="I325" s="762"/>
      <c r="J325" s="762"/>
      <c r="K325" s="762"/>
      <c r="L325" s="762"/>
      <c r="M325" s="762"/>
      <c r="N325" s="762"/>
      <c r="O325" s="762"/>
      <c r="P325" s="856"/>
      <c r="Q325" s="762"/>
      <c r="R325" s="762"/>
      <c r="S325" s="762"/>
      <c r="T325" s="762"/>
      <c r="U325" s="762"/>
      <c r="V325" s="762"/>
      <c r="W325" s="762"/>
      <c r="X325" s="762"/>
      <c r="Y325" s="749" t="s">
        <v>7231</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7232</v>
      </c>
      <c r="B326" s="1010" t="s">
        <v>7233</v>
      </c>
      <c r="C326" s="854" t="s">
        <v>4305</v>
      </c>
      <c r="D326" s="762"/>
      <c r="E326" s="749" t="s">
        <v>4305</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7234</v>
      </c>
      <c r="C327" s="854" t="s">
        <v>3566</v>
      </c>
      <c r="D327" s="762"/>
      <c r="E327" s="749" t="s">
        <v>3566</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7235</v>
      </c>
      <c r="C328" s="854" t="s">
        <v>7236</v>
      </c>
      <c r="D328" s="762"/>
      <c r="E328" s="749" t="s">
        <v>7236</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7237</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7238</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7239</v>
      </c>
      <c r="C331" s="854" t="s">
        <v>7240</v>
      </c>
      <c r="D331" s="762"/>
      <c r="E331" s="749" t="s">
        <v>3821</v>
      </c>
      <c r="F331" s="828" t="s">
        <v>1108</v>
      </c>
      <c r="G331" s="762"/>
      <c r="H331" s="749" t="s">
        <v>7240</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7241</v>
      </c>
      <c r="C332" s="854" t="s">
        <v>7242</v>
      </c>
      <c r="D332" s="861" t="s">
        <v>7243</v>
      </c>
      <c r="E332" s="861"/>
      <c r="F332" s="776" t="s">
        <v>7244</v>
      </c>
      <c r="G332" s="762"/>
      <c r="H332" s="749" t="s">
        <v>7245</v>
      </c>
      <c r="I332" s="861"/>
      <c r="J332" s="861"/>
      <c r="K332" s="861"/>
      <c r="L332" s="861"/>
      <c r="M332" s="861"/>
      <c r="N332" s="861"/>
      <c r="O332" s="861"/>
      <c r="P332" s="863"/>
      <c r="Q332" s="861"/>
      <c r="R332" s="749" t="s">
        <v>7246</v>
      </c>
      <c r="S332" s="861"/>
      <c r="T332" s="749" t="s">
        <v>7247</v>
      </c>
      <c r="U332" s="861"/>
      <c r="V332" s="861"/>
      <c r="W332" s="861"/>
      <c r="X332" s="861"/>
      <c r="Y332" s="749" t="s">
        <v>7242</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7248</v>
      </c>
      <c r="B333" s="1010" t="s">
        <v>6593</v>
      </c>
      <c r="C333" s="854" t="s">
        <v>531</v>
      </c>
      <c r="D333" s="865" t="s">
        <v>5454</v>
      </c>
      <c r="E333" s="861"/>
      <c r="F333" s="828" t="s">
        <v>5438</v>
      </c>
      <c r="G333" s="762"/>
      <c r="H333" s="749" t="s">
        <v>531</v>
      </c>
      <c r="I333" s="861"/>
      <c r="J333" s="749" t="s">
        <v>3860</v>
      </c>
      <c r="K333" s="861"/>
      <c r="L333" s="861"/>
      <c r="M333" s="861"/>
      <c r="N333" s="861"/>
      <c r="O333" s="861"/>
      <c r="P333" s="863"/>
      <c r="Q333" s="861"/>
      <c r="R333" s="861" t="s">
        <v>7249</v>
      </c>
      <c r="S333" s="861"/>
      <c r="T333" s="861"/>
      <c r="U333" s="861"/>
      <c r="V333" s="861"/>
      <c r="W333" s="861" t="s">
        <v>6364</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7250</v>
      </c>
      <c r="B334" s="1010" t="s">
        <v>7251</v>
      </c>
      <c r="C334" s="854" t="s">
        <v>4700</v>
      </c>
      <c r="D334" s="762"/>
      <c r="E334" s="749" t="s">
        <v>4700</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7252</v>
      </c>
      <c r="C335" s="745" t="s">
        <v>7253</v>
      </c>
      <c r="D335" s="762" t="s">
        <v>1011</v>
      </c>
      <c r="E335" s="749" t="s">
        <v>7254</v>
      </c>
      <c r="F335" s="834" t="s">
        <v>7255</v>
      </c>
      <c r="G335" s="762"/>
      <c r="H335" s="762"/>
      <c r="I335" s="762"/>
      <c r="J335" s="749" t="s">
        <v>7256</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7257</v>
      </c>
      <c r="C336" s="745" t="s">
        <v>7258</v>
      </c>
      <c r="D336" s="762"/>
      <c r="E336" s="762"/>
      <c r="F336" s="776" t="s">
        <v>7259</v>
      </c>
      <c r="G336" s="762"/>
      <c r="H336" s="762" t="s">
        <v>7260</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7258</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7261</v>
      </c>
      <c r="B337" s="1017" t="s">
        <v>7262</v>
      </c>
      <c r="C337" s="854" t="s">
        <v>5668</v>
      </c>
      <c r="D337" s="1022"/>
      <c r="E337" s="1022"/>
      <c r="F337" s="828" t="s">
        <v>4574</v>
      </c>
      <c r="G337" s="762"/>
      <c r="H337" s="749" t="s">
        <v>1391</v>
      </c>
      <c r="I337" s="1022"/>
      <c r="J337" s="749" t="s">
        <v>5668</v>
      </c>
      <c r="K337" s="1022"/>
      <c r="L337" s="1022"/>
      <c r="M337" s="1022"/>
      <c r="N337" s="1022"/>
      <c r="O337" s="1022"/>
      <c r="P337" s="856"/>
      <c r="Q337" s="1022"/>
      <c r="R337" s="1022"/>
      <c r="S337" s="1022"/>
      <c r="T337" s="1022"/>
      <c r="U337" s="1022"/>
      <c r="V337" s="1022"/>
      <c r="W337" s="1022"/>
      <c r="X337" s="1022"/>
      <c r="Y337" s="749" t="s">
        <v>4461</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7263</v>
      </c>
      <c r="C338" s="854" t="s">
        <v>4593</v>
      </c>
      <c r="D338" s="762"/>
      <c r="E338" s="749" t="s">
        <v>5835</v>
      </c>
      <c r="F338" s="790" t="s">
        <v>971</v>
      </c>
      <c r="G338" s="762"/>
      <c r="H338" s="762"/>
      <c r="I338" s="762"/>
      <c r="J338" s="762"/>
      <c r="K338" s="762"/>
      <c r="L338" s="762"/>
      <c r="M338" s="762"/>
      <c r="N338" s="762"/>
      <c r="O338" s="762"/>
      <c r="P338" s="856"/>
      <c r="Q338" s="762"/>
      <c r="R338" s="749" t="s">
        <v>1714</v>
      </c>
      <c r="S338" s="762"/>
      <c r="T338" s="762"/>
      <c r="U338" s="762"/>
      <c r="V338" s="762"/>
      <c r="W338" s="762"/>
      <c r="X338" s="762"/>
      <c r="Y338" s="749" t="s">
        <v>4593</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7264</v>
      </c>
      <c r="B339" s="1010" t="s">
        <v>6593</v>
      </c>
      <c r="C339" s="854" t="s">
        <v>7265</v>
      </c>
      <c r="D339" s="899"/>
      <c r="E339" s="899"/>
      <c r="F339" s="817"/>
      <c r="G339" s="762"/>
      <c r="H339" s="749" t="s">
        <v>7265</v>
      </c>
      <c r="I339" s="899"/>
      <c r="J339" s="899"/>
      <c r="K339" s="899"/>
      <c r="L339" s="899"/>
      <c r="M339" s="749" t="s">
        <v>7266</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7267</v>
      </c>
      <c r="B340" s="1010" t="s">
        <v>7268</v>
      </c>
      <c r="C340" s="854" t="s">
        <v>3261</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3261</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7269</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6151</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7270</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7272</v>
      </c>
      <c r="H2" s="1030" t="s">
        <v>47</v>
      </c>
      <c r="I2" s="1030" t="s">
        <v>48</v>
      </c>
      <c r="J2" s="1030" t="s">
        <v>7273</v>
      </c>
      <c r="K2" s="1030" t="s">
        <v>54</v>
      </c>
      <c r="N2" s="1030" t="s">
        <v>7274</v>
      </c>
      <c r="P2" s="1031"/>
      <c r="Q2" s="1032" t="s">
        <v>47</v>
      </c>
      <c r="R2" s="1032" t="s">
        <v>7275</v>
      </c>
      <c r="S2" s="1032" t="s">
        <v>52</v>
      </c>
      <c r="T2" s="1032" t="s">
        <v>53</v>
      </c>
      <c r="U2" s="1032" t="s">
        <v>54</v>
      </c>
      <c r="V2" s="1032" t="s">
        <v>7276</v>
      </c>
      <c r="W2" s="1031"/>
      <c r="X2" s="1033" t="s">
        <v>47</v>
      </c>
      <c r="Y2" s="1033" t="s">
        <v>48</v>
      </c>
      <c r="Z2" s="1033" t="s">
        <v>49</v>
      </c>
      <c r="AA2" s="1033" t="s">
        <v>50</v>
      </c>
      <c r="AC2" s="1033" t="s">
        <v>52</v>
      </c>
      <c r="AD2" s="1033" t="s">
        <v>53</v>
      </c>
      <c r="AE2" s="1033" t="s">
        <v>54</v>
      </c>
      <c r="AF2" s="1033" t="s">
        <v>6840</v>
      </c>
      <c r="AG2" s="1033" t="s">
        <v>7274</v>
      </c>
      <c r="AI2" s="1031"/>
      <c r="AJ2" s="1034" t="s">
        <v>47</v>
      </c>
      <c r="AK2" s="1034" t="s">
        <v>48</v>
      </c>
      <c r="AM2" s="1034" t="s">
        <v>49</v>
      </c>
      <c r="AP2" s="1034" t="s">
        <v>51</v>
      </c>
      <c r="AR2" s="1034" t="s">
        <v>52</v>
      </c>
      <c r="AV2" s="1034" t="s">
        <v>52</v>
      </c>
      <c r="AW2" s="1034" t="s">
        <v>53</v>
      </c>
      <c r="AX2" s="1034" t="s">
        <v>7276</v>
      </c>
      <c r="AZ2" s="1035"/>
      <c r="BA2" s="1036" t="s">
        <v>47</v>
      </c>
      <c r="BB2" s="1036" t="s">
        <v>52</v>
      </c>
      <c r="BC2" s="1036" t="s">
        <v>53</v>
      </c>
      <c r="BD2" s="1036" t="s">
        <v>54</v>
      </c>
      <c r="BE2" s="1036" t="s">
        <v>7274</v>
      </c>
      <c r="BF2" s="1035"/>
      <c r="BG2" s="1037" t="s">
        <v>47</v>
      </c>
      <c r="BH2" s="1037" t="s">
        <v>48</v>
      </c>
      <c r="BI2" s="1037" t="s">
        <v>50</v>
      </c>
      <c r="BK2" s="1037" t="s">
        <v>52</v>
      </c>
      <c r="BL2" s="1037" t="s">
        <v>7274</v>
      </c>
      <c r="BN2" s="1031"/>
      <c r="BO2" s="1038" t="s">
        <v>49</v>
      </c>
      <c r="BP2" s="1038" t="s">
        <v>50</v>
      </c>
      <c r="BQ2" s="1038" t="s">
        <v>51</v>
      </c>
      <c r="BR2" s="1038" t="s">
        <v>52</v>
      </c>
      <c r="BT2" s="1038" t="s">
        <v>53</v>
      </c>
      <c r="BU2" s="1038" t="s">
        <v>54</v>
      </c>
      <c r="BW2" s="1038" t="s">
        <v>7276</v>
      </c>
      <c r="BX2" s="1035"/>
      <c r="BY2" s="1039" t="s">
        <v>7277</v>
      </c>
      <c r="BZ2" s="1040" t="s">
        <v>75</v>
      </c>
      <c r="CA2" s="1039" t="s">
        <v>80</v>
      </c>
      <c r="CD2" s="1039" t="s">
        <v>77</v>
      </c>
      <c r="CE2" s="1039" t="s">
        <v>7278</v>
      </c>
      <c r="CF2" s="1039" t="s">
        <v>7279</v>
      </c>
      <c r="CG2" s="1041" t="s">
        <v>68</v>
      </c>
      <c r="CH2" s="1039" t="s">
        <v>76</v>
      </c>
      <c r="CI2" s="1039" t="s">
        <v>66</v>
      </c>
      <c r="CJ2" s="1040" t="s">
        <v>78</v>
      </c>
    </row>
    <row r="3" ht="23.25" customHeight="1">
      <c r="J3" s="1042" t="s">
        <v>7280</v>
      </c>
      <c r="K3" s="1042" t="s">
        <v>7281</v>
      </c>
      <c r="L3" s="1043" t="s">
        <v>7282</v>
      </c>
      <c r="M3" s="1043" t="s">
        <v>7283</v>
      </c>
      <c r="N3" s="1043" t="s">
        <v>7284</v>
      </c>
      <c r="O3" s="1042" t="s">
        <v>7285</v>
      </c>
      <c r="P3" s="1031"/>
      <c r="W3" s="1031"/>
      <c r="AA3" s="1044" t="s">
        <v>7286</v>
      </c>
      <c r="AB3" s="1045" t="s">
        <v>91</v>
      </c>
      <c r="AF3" s="1045" t="s">
        <v>7287</v>
      </c>
      <c r="AG3" s="1044" t="s">
        <v>52</v>
      </c>
      <c r="AH3" s="1046" t="s">
        <v>49</v>
      </c>
      <c r="AI3" s="1031"/>
      <c r="AK3" s="1047" t="s">
        <v>7288</v>
      </c>
      <c r="AL3" s="1047" t="s">
        <v>7289</v>
      </c>
      <c r="AM3" s="1048" t="s">
        <v>7284</v>
      </c>
      <c r="AN3" s="1048" t="s">
        <v>7290</v>
      </c>
      <c r="AO3" s="1048" t="s">
        <v>7291</v>
      </c>
      <c r="AP3" s="1048" t="s">
        <v>7284</v>
      </c>
      <c r="AQ3" s="1049" t="s">
        <v>7292</v>
      </c>
      <c r="AR3" s="1048" t="s">
        <v>7293</v>
      </c>
      <c r="AS3" s="1048" t="s">
        <v>7294</v>
      </c>
      <c r="AT3" s="1048" t="s">
        <v>7295</v>
      </c>
      <c r="AU3" s="1048" t="s">
        <v>7296</v>
      </c>
      <c r="AX3" s="1048" t="s">
        <v>7297</v>
      </c>
      <c r="AY3" s="1048" t="s">
        <v>7298</v>
      </c>
      <c r="AZ3" s="1035"/>
      <c r="BF3" s="1050"/>
      <c r="BI3" s="1037" t="s">
        <v>7299</v>
      </c>
      <c r="BJ3" s="1037" t="s">
        <v>7300</v>
      </c>
      <c r="BL3" s="1051" t="s">
        <v>88</v>
      </c>
      <c r="BM3" s="1051" t="s">
        <v>7301</v>
      </c>
      <c r="BN3" s="1031"/>
      <c r="BR3" s="1052" t="s">
        <v>7291</v>
      </c>
      <c r="BS3" s="1052" t="s">
        <v>7302</v>
      </c>
      <c r="BU3" s="1052" t="s">
        <v>7284</v>
      </c>
      <c r="BV3" s="1052" t="s">
        <v>7291</v>
      </c>
      <c r="BX3" s="1035"/>
      <c r="CA3" s="1053" t="s">
        <v>7303</v>
      </c>
      <c r="CB3" s="1053" t="s">
        <v>7304</v>
      </c>
      <c r="CC3" s="1053" t="s">
        <v>7305</v>
      </c>
      <c r="CJ3" s="1053" t="s">
        <v>7306</v>
      </c>
      <c r="CK3" s="1053" t="s">
        <v>7307</v>
      </c>
    </row>
    <row r="4">
      <c r="A4" s="1054" t="s">
        <v>7308</v>
      </c>
      <c r="B4" s="1055" t="s">
        <v>7309</v>
      </c>
      <c r="C4" s="1056" t="s">
        <v>219</v>
      </c>
      <c r="D4" s="1057" t="s">
        <v>1064</v>
      </c>
      <c r="E4" s="1058" t="s">
        <v>438</v>
      </c>
      <c r="F4" s="1059" t="s">
        <v>1730</v>
      </c>
      <c r="G4" s="1060" t="s">
        <v>2105</v>
      </c>
      <c r="H4" s="1061" t="s">
        <v>2983</v>
      </c>
      <c r="I4" s="1062"/>
      <c r="J4" s="1063" t="s">
        <v>1963</v>
      </c>
      <c r="K4" s="1063" t="s">
        <v>2967</v>
      </c>
      <c r="L4" s="1063" t="s">
        <v>7310</v>
      </c>
      <c r="M4" s="1064" t="s">
        <v>3247</v>
      </c>
      <c r="N4" s="1062"/>
      <c r="O4" s="1065" t="s">
        <v>7311</v>
      </c>
      <c r="P4" s="1066"/>
      <c r="Q4" s="1067" t="s">
        <v>7312</v>
      </c>
      <c r="R4" s="1068" t="s">
        <v>1654</v>
      </c>
      <c r="S4" s="1069" t="s">
        <v>5039</v>
      </c>
      <c r="T4" s="1069" t="s">
        <v>5589</v>
      </c>
      <c r="U4" s="1069"/>
      <c r="V4" s="1070" t="s">
        <v>7313</v>
      </c>
      <c r="W4" s="1066"/>
      <c r="X4" s="1071" t="s">
        <v>2380</v>
      </c>
      <c r="Y4" s="1072" t="s">
        <v>7314</v>
      </c>
      <c r="Z4" s="1072" t="s">
        <v>7315</v>
      </c>
      <c r="AA4" s="1073" t="s">
        <v>5003</v>
      </c>
      <c r="AB4" s="1073" t="s">
        <v>7316</v>
      </c>
      <c r="AC4" s="1074" t="s">
        <v>2691</v>
      </c>
      <c r="AD4" s="1075" t="s">
        <v>4242</v>
      </c>
      <c r="AE4" s="1075" t="s">
        <v>2525</v>
      </c>
      <c r="AF4" s="1076"/>
      <c r="AG4" s="1073" t="s">
        <v>7317</v>
      </c>
      <c r="AH4" s="1077"/>
      <c r="AI4" s="1078"/>
      <c r="AJ4" s="358"/>
      <c r="AK4" s="1079"/>
      <c r="AL4" s="1079"/>
      <c r="AM4" s="1080" t="s">
        <v>1210</v>
      </c>
      <c r="AN4" s="358"/>
      <c r="AO4" s="1079"/>
      <c r="AP4" s="1081" t="s">
        <v>911</v>
      </c>
      <c r="AQ4" s="358" t="s">
        <v>7318</v>
      </c>
      <c r="AR4" s="1079"/>
      <c r="AS4" s="1079"/>
      <c r="AT4" s="1079"/>
      <c r="AU4" s="1079"/>
      <c r="AV4" s="1079"/>
      <c r="AW4" s="1082" t="s">
        <v>4697</v>
      </c>
      <c r="AX4" s="1081" t="s">
        <v>1679</v>
      </c>
      <c r="AY4" s="1081" t="s">
        <v>2169</v>
      </c>
      <c r="AZ4" s="1083"/>
      <c r="BA4" s="1084" t="s">
        <v>7319</v>
      </c>
      <c r="BB4" s="1085" t="s">
        <v>7320</v>
      </c>
      <c r="BC4" s="1086" t="s">
        <v>293</v>
      </c>
      <c r="BD4" s="1084" t="s">
        <v>4247</v>
      </c>
      <c r="BE4" s="1087" t="s">
        <v>7321</v>
      </c>
      <c r="BF4" s="1083"/>
      <c r="BG4" s="1088" t="s">
        <v>3016</v>
      </c>
      <c r="BH4" s="1088" t="s">
        <v>695</v>
      </c>
      <c r="BI4" s="1089" t="s">
        <v>7322</v>
      </c>
      <c r="BJ4" s="1090" t="s">
        <v>7323</v>
      </c>
      <c r="BK4" s="1091" t="s">
        <v>7324</v>
      </c>
      <c r="BL4" s="1092"/>
      <c r="BM4" s="1093" t="s">
        <v>7325</v>
      </c>
      <c r="BN4" s="1078"/>
      <c r="BO4" s="1094" t="s">
        <v>7326</v>
      </c>
      <c r="BP4" s="1095"/>
      <c r="BQ4" s="1096"/>
      <c r="BR4" s="1097" t="s">
        <v>7327</v>
      </c>
      <c r="BS4" s="1096"/>
      <c r="BT4" s="1098"/>
      <c r="BU4" s="1094" t="s">
        <v>6343</v>
      </c>
      <c r="BV4" s="1099"/>
      <c r="BW4" s="1100" t="s">
        <v>7328</v>
      </c>
      <c r="BX4" s="1066"/>
      <c r="BY4" s="1070" t="s">
        <v>3379</v>
      </c>
      <c r="BZ4" s="1101" t="s">
        <v>6088</v>
      </c>
      <c r="CA4" s="1067" t="s">
        <v>7329</v>
      </c>
      <c r="CB4" s="1102"/>
      <c r="CC4" s="1103"/>
      <c r="CD4" s="1067" t="s">
        <v>7330</v>
      </c>
      <c r="CE4" s="1104" t="s">
        <v>7331</v>
      </c>
      <c r="CF4" s="1067" t="s">
        <v>1599</v>
      </c>
      <c r="CG4" s="1068" t="s">
        <v>5074</v>
      </c>
      <c r="CH4" s="1105" t="s">
        <v>7332</v>
      </c>
      <c r="CI4" s="1106"/>
      <c r="CJ4" s="1067" t="s">
        <v>2179</v>
      </c>
      <c r="CK4" s="1067" t="s">
        <v>3873</v>
      </c>
    </row>
    <row r="5">
      <c r="A5" s="1107" t="s">
        <v>6572</v>
      </c>
      <c r="B5" s="1060" t="s">
        <v>7333</v>
      </c>
      <c r="C5" s="1056" t="s">
        <v>332</v>
      </c>
      <c r="D5" s="1057" t="s">
        <v>439</v>
      </c>
      <c r="E5" s="1058" t="s">
        <v>334</v>
      </c>
      <c r="F5" s="1059" t="s">
        <v>3369</v>
      </c>
      <c r="G5" s="1060" t="s">
        <v>4661</v>
      </c>
      <c r="H5" s="1108"/>
      <c r="I5" s="1109" t="s">
        <v>1263</v>
      </c>
      <c r="J5" s="1109"/>
      <c r="K5" s="1110" t="s">
        <v>7334</v>
      </c>
      <c r="L5" s="1109" t="s">
        <v>7335</v>
      </c>
      <c r="M5" s="1108"/>
      <c r="N5" s="1108"/>
      <c r="O5" s="1111" t="s">
        <v>7336</v>
      </c>
      <c r="P5" s="1083"/>
      <c r="Q5" s="1112" t="s">
        <v>7337</v>
      </c>
      <c r="R5" s="1113"/>
      <c r="S5" s="1113"/>
      <c r="T5" s="1114" t="s">
        <v>6795</v>
      </c>
      <c r="U5" s="1115"/>
      <c r="V5" s="1116" t="s">
        <v>7338</v>
      </c>
      <c r="W5" s="1083"/>
      <c r="X5" s="1074" t="s">
        <v>139</v>
      </c>
      <c r="Y5" s="1074" t="s">
        <v>7339</v>
      </c>
      <c r="Z5" s="1073" t="s">
        <v>4428</v>
      </c>
      <c r="AA5" s="1117" t="s">
        <v>5586</v>
      </c>
      <c r="AB5" s="1117" t="s">
        <v>792</v>
      </c>
      <c r="AC5" s="1072" t="s">
        <v>2910</v>
      </c>
      <c r="AD5" s="1072" t="s">
        <v>1218</v>
      </c>
      <c r="AE5" s="1117" t="s">
        <v>2862</v>
      </c>
      <c r="AF5" s="1076"/>
      <c r="AG5" s="1072" t="s">
        <v>7340</v>
      </c>
      <c r="AH5" s="1077"/>
      <c r="AI5" s="1083"/>
      <c r="AJ5" s="1118"/>
      <c r="AK5" s="1118" t="s">
        <v>4008</v>
      </c>
      <c r="AL5" s="1119"/>
      <c r="AM5" s="1118" t="s">
        <v>4618</v>
      </c>
      <c r="AN5" s="1118"/>
      <c r="AO5" s="1120" t="s">
        <v>2387</v>
      </c>
      <c r="AP5" s="1119"/>
      <c r="AQ5" s="1121" t="s">
        <v>7341</v>
      </c>
      <c r="AR5" s="1118" t="s">
        <v>7342</v>
      </c>
      <c r="AS5" s="1118" t="s">
        <v>7343</v>
      </c>
      <c r="AT5" s="1119"/>
      <c r="AU5" s="1119"/>
      <c r="AV5" s="1119"/>
      <c r="AW5" s="1122" t="s">
        <v>4323</v>
      </c>
      <c r="AX5" s="1123" t="s">
        <v>3694</v>
      </c>
      <c r="AY5" s="1118" t="s">
        <v>7344</v>
      </c>
      <c r="AZ5" s="1083"/>
      <c r="BA5" s="1124"/>
      <c r="BB5" s="1125" t="s">
        <v>7345</v>
      </c>
      <c r="BC5" s="1126" t="s">
        <v>7346</v>
      </c>
      <c r="BD5" s="1124"/>
      <c r="BE5" s="1127" t="s">
        <v>7347</v>
      </c>
      <c r="BF5" s="1083"/>
      <c r="BG5" s="1128" t="s">
        <v>7348</v>
      </c>
      <c r="BH5" s="1129" t="s">
        <v>1875</v>
      </c>
      <c r="BI5" s="1129"/>
      <c r="BJ5" s="1129"/>
      <c r="BK5" s="1130" t="s">
        <v>1982</v>
      </c>
      <c r="BL5" s="1131"/>
      <c r="BM5" s="1129" t="s">
        <v>7349</v>
      </c>
      <c r="BN5" s="1083"/>
      <c r="BO5" s="1132" t="s">
        <v>6422</v>
      </c>
      <c r="BP5" s="1133"/>
      <c r="BQ5" s="1133"/>
      <c r="BR5" s="1134" t="s">
        <v>7350</v>
      </c>
      <c r="BS5" s="1133"/>
      <c r="BT5" s="1135" t="s">
        <v>1623</v>
      </c>
      <c r="BU5" s="1133"/>
      <c r="BV5" s="1136" t="s">
        <v>3793</v>
      </c>
      <c r="BW5" s="1135" t="s">
        <v>6049</v>
      </c>
      <c r="BX5" s="1083"/>
      <c r="BY5" s="1137" t="s">
        <v>2682</v>
      </c>
      <c r="BZ5" s="1138" t="s">
        <v>4195</v>
      </c>
      <c r="CA5" s="1139"/>
      <c r="CB5" s="1139"/>
      <c r="CC5" s="1139"/>
      <c r="CD5" s="1138" t="s">
        <v>1401</v>
      </c>
      <c r="CE5" s="1140" t="s">
        <v>4691</v>
      </c>
      <c r="CF5" s="1138" t="s">
        <v>7351</v>
      </c>
      <c r="CG5" s="1139"/>
      <c r="CH5" s="1139"/>
      <c r="CI5" s="1139"/>
      <c r="CJ5" s="1139"/>
      <c r="CK5" s="1139"/>
    </row>
    <row r="6">
      <c r="A6" s="1141" t="s">
        <v>436</v>
      </c>
      <c r="B6" s="1060" t="s">
        <v>7352</v>
      </c>
      <c r="C6" s="1056" t="s">
        <v>438</v>
      </c>
      <c r="D6" s="1057" t="s">
        <v>1064</v>
      </c>
      <c r="E6" s="1058" t="s">
        <v>439</v>
      </c>
      <c r="F6" s="1059" t="s">
        <v>3986</v>
      </c>
      <c r="G6" s="1060" t="s">
        <v>1505</v>
      </c>
      <c r="H6" s="1142" t="s">
        <v>1613</v>
      </c>
      <c r="I6" s="1143" t="s">
        <v>3106</v>
      </c>
      <c r="J6" s="1111" t="s">
        <v>7353</v>
      </c>
      <c r="K6" s="1144" t="s">
        <v>5795</v>
      </c>
      <c r="L6" s="1142" t="s">
        <v>5434</v>
      </c>
      <c r="M6" s="1108"/>
      <c r="N6" s="1108"/>
      <c r="O6" s="1145" t="s">
        <v>7354</v>
      </c>
      <c r="P6" s="1066"/>
      <c r="Q6" s="1146" t="s">
        <v>5625</v>
      </c>
      <c r="R6" s="1146" t="s">
        <v>2683</v>
      </c>
      <c r="S6" s="1113"/>
      <c r="T6" s="1147" t="s">
        <v>232</v>
      </c>
      <c r="U6" s="1148"/>
      <c r="V6" s="1114" t="s">
        <v>7355</v>
      </c>
      <c r="W6" s="1066"/>
      <c r="X6" s="1075" t="s">
        <v>3200</v>
      </c>
      <c r="Y6" s="1075" t="s">
        <v>7356</v>
      </c>
      <c r="Z6" s="1075" t="s">
        <v>2559</v>
      </c>
      <c r="AA6" s="1149" t="s">
        <v>7357</v>
      </c>
      <c r="AB6" s="1074" t="s">
        <v>120</v>
      </c>
      <c r="AC6" s="1149" t="s">
        <v>1321</v>
      </c>
      <c r="AD6" s="1072" t="s">
        <v>1218</v>
      </c>
      <c r="AE6" s="1072" t="s">
        <v>6685</v>
      </c>
      <c r="AF6" s="1150"/>
      <c r="AG6" s="1151" t="s">
        <v>7358</v>
      </c>
      <c r="AH6" s="1077"/>
      <c r="AI6" s="1078"/>
      <c r="AJ6" s="1118"/>
      <c r="AK6" s="1118" t="s">
        <v>7359</v>
      </c>
      <c r="AL6" s="1119"/>
      <c r="AM6" s="1152" t="s">
        <v>2965</v>
      </c>
      <c r="AN6" s="1153" t="s">
        <v>3449</v>
      </c>
      <c r="AO6" s="1118" t="s">
        <v>7360</v>
      </c>
      <c r="AP6" s="1152" t="s">
        <v>2464</v>
      </c>
      <c r="AQ6" s="1154" t="s">
        <v>7361</v>
      </c>
      <c r="AR6" s="1118" t="s">
        <v>7362</v>
      </c>
      <c r="AS6" s="1119"/>
      <c r="AT6" s="1120" t="s">
        <v>4879</v>
      </c>
      <c r="AU6" s="1119"/>
      <c r="AV6" s="1119"/>
      <c r="AW6" s="1123" t="s">
        <v>5005</v>
      </c>
      <c r="AX6" s="1153" t="s">
        <v>1305</v>
      </c>
      <c r="AY6" s="1119"/>
      <c r="AZ6" s="1083"/>
      <c r="BA6" s="1155"/>
      <c r="BB6" s="1126" t="s">
        <v>7363</v>
      </c>
      <c r="BC6" s="1127" t="s">
        <v>6079</v>
      </c>
      <c r="BD6" s="1155"/>
      <c r="BE6" s="1156" t="s">
        <v>7364</v>
      </c>
      <c r="BF6" s="1083"/>
      <c r="BG6" s="1157" t="s">
        <v>3257</v>
      </c>
      <c r="BH6" s="1128" t="s">
        <v>1307</v>
      </c>
      <c r="BI6" s="1158" t="s">
        <v>5928</v>
      </c>
      <c r="BJ6" s="1159"/>
      <c r="BK6" s="1128" t="s">
        <v>7365</v>
      </c>
      <c r="BL6" s="1131"/>
      <c r="BM6" s="1129" t="s">
        <v>7366</v>
      </c>
      <c r="BN6" s="1066"/>
      <c r="BO6" s="1135" t="s">
        <v>4097</v>
      </c>
      <c r="BP6" s="1134"/>
      <c r="BQ6" s="1160" t="s">
        <v>1772</v>
      </c>
      <c r="BR6" s="1134" t="s">
        <v>7367</v>
      </c>
      <c r="BS6" s="1133"/>
      <c r="BT6" s="1160" t="s">
        <v>2042</v>
      </c>
      <c r="BU6" s="1133"/>
      <c r="BV6" s="1134" t="s">
        <v>5850</v>
      </c>
      <c r="BW6" s="1134" t="s">
        <v>2133</v>
      </c>
      <c r="BX6" s="1066"/>
      <c r="BY6" s="1161" t="s">
        <v>301</v>
      </c>
      <c r="BZ6" s="1138" t="s">
        <v>3444</v>
      </c>
      <c r="CA6" s="1162"/>
      <c r="CB6" s="1162"/>
      <c r="CC6" s="1139"/>
      <c r="CD6" s="1139"/>
      <c r="CE6" s="1139"/>
      <c r="CF6" s="1139"/>
      <c r="CG6" s="1139"/>
      <c r="CH6" s="1139"/>
      <c r="CI6" s="1139"/>
      <c r="CJ6" s="1162"/>
      <c r="CK6" s="1162"/>
    </row>
    <row r="7">
      <c r="A7" s="1163" t="s">
        <v>1558</v>
      </c>
      <c r="B7" s="1060" t="s">
        <v>7368</v>
      </c>
      <c r="C7" s="1056" t="s">
        <v>440</v>
      </c>
      <c r="D7" s="1057" t="s">
        <v>1064</v>
      </c>
      <c r="E7" s="1058" t="s">
        <v>439</v>
      </c>
      <c r="F7" s="1059" t="s">
        <v>2867</v>
      </c>
      <c r="G7" s="1060" t="s">
        <v>5737</v>
      </c>
      <c r="H7" s="1142" t="s">
        <v>1297</v>
      </c>
      <c r="I7" s="1164" t="s">
        <v>7369</v>
      </c>
      <c r="J7" s="1108"/>
      <c r="K7" s="1109" t="s">
        <v>7370</v>
      </c>
      <c r="L7" s="1164" t="s">
        <v>7371</v>
      </c>
      <c r="M7" s="1108"/>
      <c r="N7" s="1145" t="s">
        <v>7372</v>
      </c>
      <c r="O7" s="1108"/>
      <c r="P7" s="1066"/>
      <c r="Q7" s="1112" t="s">
        <v>4150</v>
      </c>
      <c r="R7" s="1147" t="s">
        <v>3168</v>
      </c>
      <c r="S7" s="1148" t="s">
        <v>5778</v>
      </c>
      <c r="T7" s="1165" t="s">
        <v>5328</v>
      </c>
      <c r="U7" s="1165" t="s">
        <v>7373</v>
      </c>
      <c r="V7" s="1146" t="s">
        <v>7374</v>
      </c>
      <c r="W7" s="1066"/>
      <c r="X7" s="1149" t="s">
        <v>915</v>
      </c>
      <c r="Y7" s="1149" t="s">
        <v>7375</v>
      </c>
      <c r="Z7" s="1075" t="s">
        <v>6814</v>
      </c>
      <c r="AA7" s="1166" t="s">
        <v>7376</v>
      </c>
      <c r="AB7" s="1074" t="s">
        <v>4927</v>
      </c>
      <c r="AC7" s="1074" t="s">
        <v>5100</v>
      </c>
      <c r="AD7" s="1149" t="s">
        <v>4932</v>
      </c>
      <c r="AE7" s="1074" t="s">
        <v>6648</v>
      </c>
      <c r="AF7" s="1074"/>
      <c r="AG7" s="1167"/>
      <c r="AH7" s="1168" t="s">
        <v>7377</v>
      </c>
      <c r="AI7" s="1066"/>
      <c r="AJ7" s="1118"/>
      <c r="AK7" s="1118" t="s">
        <v>7378</v>
      </c>
      <c r="AL7" s="1118" t="s">
        <v>5480</v>
      </c>
      <c r="AM7" s="1118" t="s">
        <v>562</v>
      </c>
      <c r="AN7" s="1123" t="s">
        <v>7379</v>
      </c>
      <c r="AO7" s="1119"/>
      <c r="AP7" s="1123" t="s">
        <v>7380</v>
      </c>
      <c r="AQ7" s="1169" t="s">
        <v>5034</v>
      </c>
      <c r="AR7" s="1118" t="s">
        <v>7381</v>
      </c>
      <c r="AS7" s="1153" t="s">
        <v>7382</v>
      </c>
      <c r="AT7" s="1119"/>
      <c r="AU7" s="1118" t="s">
        <v>7383</v>
      </c>
      <c r="AV7" s="1119"/>
      <c r="AW7" s="1118" t="s">
        <v>474</v>
      </c>
      <c r="AX7" s="1123" t="s">
        <v>7384</v>
      </c>
      <c r="AY7" s="1153" t="s">
        <v>7385</v>
      </c>
      <c r="AZ7" s="1083"/>
      <c r="BA7" s="1125" t="s">
        <v>7386</v>
      </c>
      <c r="BB7" s="1126" t="s">
        <v>7387</v>
      </c>
      <c r="BC7" s="1170" t="s">
        <v>3460</v>
      </c>
      <c r="BD7" s="1155"/>
      <c r="BE7" s="1156" t="s">
        <v>7388</v>
      </c>
      <c r="BF7" s="1083"/>
      <c r="BG7" s="1157" t="s">
        <v>3257</v>
      </c>
      <c r="BH7" s="1128" t="s">
        <v>7389</v>
      </c>
      <c r="BI7" s="1129" t="s">
        <v>771</v>
      </c>
      <c r="BJ7" s="1131"/>
      <c r="BK7" s="1128" t="s">
        <v>7390</v>
      </c>
      <c r="BL7" s="1130" t="s">
        <v>7391</v>
      </c>
      <c r="BM7" s="1171" t="s">
        <v>7392</v>
      </c>
      <c r="BN7" s="1066"/>
      <c r="BO7" s="1134" t="s">
        <v>7393</v>
      </c>
      <c r="BP7" s="1172"/>
      <c r="BQ7" s="1134" t="s">
        <v>7029</v>
      </c>
      <c r="BR7" s="1173" t="s">
        <v>7394</v>
      </c>
      <c r="BS7" s="1136" t="s">
        <v>7395</v>
      </c>
      <c r="BT7" s="1134" t="s">
        <v>6834</v>
      </c>
      <c r="BU7" s="1173" t="s">
        <v>7386</v>
      </c>
      <c r="BV7" s="1135" t="s">
        <v>7396</v>
      </c>
      <c r="BW7" s="1174" t="s">
        <v>7397</v>
      </c>
      <c r="BX7" s="1066"/>
      <c r="BY7" s="1138" t="s">
        <v>7398</v>
      </c>
      <c r="BZ7" s="1138" t="s">
        <v>2613</v>
      </c>
      <c r="CA7" s="1162"/>
      <c r="CB7" s="1175" t="s">
        <v>2404</v>
      </c>
      <c r="CC7" s="1138"/>
      <c r="CD7" s="1138" t="s">
        <v>2884</v>
      </c>
      <c r="CE7" s="1176" t="s">
        <v>7399</v>
      </c>
      <c r="CF7" s="1177" t="s">
        <v>7171</v>
      </c>
      <c r="CG7" s="1177" t="s">
        <v>5723</v>
      </c>
      <c r="CH7" s="1178" t="s">
        <v>7400</v>
      </c>
      <c r="CI7" s="1178" t="s">
        <v>3544</v>
      </c>
      <c r="CJ7" s="1177" t="s">
        <v>5013</v>
      </c>
      <c r="CK7" s="1162"/>
    </row>
    <row r="8">
      <c r="A8" s="1179" t="s">
        <v>7401</v>
      </c>
      <c r="B8" s="1180" t="s">
        <v>7402</v>
      </c>
      <c r="C8" s="1056" t="s">
        <v>334</v>
      </c>
      <c r="D8" s="1057" t="s">
        <v>648</v>
      </c>
      <c r="E8" s="1058" t="s">
        <v>3281</v>
      </c>
      <c r="F8" s="1059" t="s">
        <v>3648</v>
      </c>
      <c r="G8" s="1060" t="s">
        <v>2795</v>
      </c>
      <c r="H8" s="1110" t="s">
        <v>7108</v>
      </c>
      <c r="I8" s="1142" t="s">
        <v>7403</v>
      </c>
      <c r="J8" s="1142" t="s">
        <v>3622</v>
      </c>
      <c r="K8" s="1142" t="s">
        <v>7404</v>
      </c>
      <c r="L8" s="1181" t="s">
        <v>1963</v>
      </c>
      <c r="M8" s="1143" t="s">
        <v>7405</v>
      </c>
      <c r="N8" s="1142" t="s">
        <v>7406</v>
      </c>
      <c r="O8" s="1142" t="s">
        <v>7407</v>
      </c>
      <c r="P8" s="1066"/>
      <c r="Q8" s="1116" t="s">
        <v>7408</v>
      </c>
      <c r="R8" s="1116" t="s">
        <v>2078</v>
      </c>
      <c r="S8" s="1114" t="s">
        <v>728</v>
      </c>
      <c r="T8" s="1116" t="s">
        <v>5150</v>
      </c>
      <c r="U8" s="1146" t="s">
        <v>7409</v>
      </c>
      <c r="V8" s="1114" t="s">
        <v>7410</v>
      </c>
      <c r="W8" s="1066"/>
      <c r="X8" s="1117" t="s">
        <v>834</v>
      </c>
      <c r="Y8" s="1073" t="s">
        <v>7411</v>
      </c>
      <c r="Z8" s="1075" t="s">
        <v>7412</v>
      </c>
      <c r="AA8" s="1075" t="s">
        <v>7413</v>
      </c>
      <c r="AB8" s="1166" t="s">
        <v>4368</v>
      </c>
      <c r="AC8" s="1075" t="s">
        <v>5769</v>
      </c>
      <c r="AD8" s="1075" t="s">
        <v>129</v>
      </c>
      <c r="AE8" s="1075" t="s">
        <v>7414</v>
      </c>
      <c r="AF8" s="1076"/>
      <c r="AG8" s="1151" t="s">
        <v>7415</v>
      </c>
      <c r="AH8" s="1182" t="s">
        <v>7416</v>
      </c>
      <c r="AI8" s="1066"/>
      <c r="AJ8" s="1183"/>
      <c r="AK8" s="1153" t="s">
        <v>101</v>
      </c>
      <c r="AL8" s="1154" t="s">
        <v>7417</v>
      </c>
      <c r="AM8" s="1123" t="s">
        <v>2194</v>
      </c>
      <c r="AN8" s="1118" t="s">
        <v>4607</v>
      </c>
      <c r="AO8" s="1118" t="s">
        <v>7418</v>
      </c>
      <c r="AP8" s="1123" t="s">
        <v>7419</v>
      </c>
      <c r="AQ8" s="1118" t="s">
        <v>7420</v>
      </c>
      <c r="AR8" s="1153" t="s">
        <v>7421</v>
      </c>
      <c r="AS8" s="1123" t="s">
        <v>2956</v>
      </c>
      <c r="AT8" s="1154" t="s">
        <v>7422</v>
      </c>
      <c r="AU8" s="1120" t="s">
        <v>7423</v>
      </c>
      <c r="AV8" s="1154" t="s">
        <v>7424</v>
      </c>
      <c r="AW8" s="1123" t="s">
        <v>2769</v>
      </c>
      <c r="AX8" s="1154" t="s">
        <v>2246</v>
      </c>
      <c r="AY8" s="1154" t="s">
        <v>7425</v>
      </c>
      <c r="AZ8" s="1083"/>
      <c r="BA8" s="1127" t="s">
        <v>7426</v>
      </c>
      <c r="BB8" s="1184" t="s">
        <v>7427</v>
      </c>
      <c r="BC8" s="1185" t="s">
        <v>3213</v>
      </c>
      <c r="BD8" s="1186"/>
      <c r="BE8" s="1126" t="s">
        <v>7428</v>
      </c>
      <c r="BF8" s="1083"/>
      <c r="BG8" s="1187" t="s">
        <v>7429</v>
      </c>
      <c r="BH8" s="1188" t="s">
        <v>3461</v>
      </c>
      <c r="BI8" s="1128" t="s">
        <v>611</v>
      </c>
      <c r="BJ8" s="1129" t="s">
        <v>7430</v>
      </c>
      <c r="BK8" s="1128" t="s">
        <v>7431</v>
      </c>
      <c r="BL8" s="1128" t="s">
        <v>7432</v>
      </c>
      <c r="BM8" s="1128" t="s">
        <v>7433</v>
      </c>
      <c r="BN8" s="1066"/>
      <c r="BO8" s="1135" t="s">
        <v>2464</v>
      </c>
      <c r="BP8" s="1136" t="s">
        <v>5689</v>
      </c>
      <c r="BQ8" s="1135" t="s">
        <v>5807</v>
      </c>
      <c r="BR8" s="1135" t="s">
        <v>3855</v>
      </c>
      <c r="BS8" s="1135" t="s">
        <v>816</v>
      </c>
      <c r="BT8" s="1135" t="s">
        <v>1374</v>
      </c>
      <c r="BU8" s="1160" t="s">
        <v>3855</v>
      </c>
      <c r="BV8" s="1174" t="s">
        <v>7434</v>
      </c>
      <c r="BW8" s="1135" t="s">
        <v>7435</v>
      </c>
      <c r="BX8" s="1066"/>
      <c r="BY8" s="1161" t="s">
        <v>7436</v>
      </c>
      <c r="BZ8" s="1177" t="s">
        <v>6313</v>
      </c>
      <c r="CA8" s="1176" t="s">
        <v>106</v>
      </c>
      <c r="CB8" s="1177" t="s">
        <v>3495</v>
      </c>
      <c r="CC8" s="1189"/>
      <c r="CD8" s="1190"/>
      <c r="CE8" s="1161" t="s">
        <v>2691</v>
      </c>
      <c r="CF8" s="1161" t="s">
        <v>7063</v>
      </c>
      <c r="CG8" s="1161" t="s">
        <v>7437</v>
      </c>
      <c r="CH8" s="1161" t="s">
        <v>2209</v>
      </c>
      <c r="CI8" s="1176" t="s">
        <v>7438</v>
      </c>
      <c r="CJ8" s="1176" t="s">
        <v>2944</v>
      </c>
      <c r="CK8" s="1177"/>
    </row>
    <row r="9">
      <c r="A9" s="1141" t="s">
        <v>1418</v>
      </c>
      <c r="B9" s="1060" t="s">
        <v>7439</v>
      </c>
      <c r="C9" s="1056" t="s">
        <v>547</v>
      </c>
      <c r="D9" s="1057" t="s">
        <v>332</v>
      </c>
      <c r="E9" s="1058" t="s">
        <v>1064</v>
      </c>
      <c r="F9" s="1059" t="s">
        <v>219</v>
      </c>
      <c r="G9" s="1060" t="s">
        <v>1730</v>
      </c>
      <c r="H9" s="1108"/>
      <c r="I9" s="1142" t="s">
        <v>7440</v>
      </c>
      <c r="J9" s="1144"/>
      <c r="K9" s="1145" t="s">
        <v>7441</v>
      </c>
      <c r="L9" s="1110" t="s">
        <v>3119</v>
      </c>
      <c r="M9" s="1108"/>
      <c r="N9" s="1108"/>
      <c r="O9" s="1164" t="s">
        <v>7442</v>
      </c>
      <c r="P9" s="1066"/>
      <c r="Q9" s="1116" t="s">
        <v>6892</v>
      </c>
      <c r="R9" s="1113"/>
      <c r="S9" s="1113"/>
      <c r="T9" s="1191" t="s">
        <v>5744</v>
      </c>
      <c r="U9" s="1112"/>
      <c r="V9" s="1165" t="s">
        <v>7443</v>
      </c>
      <c r="W9" s="1066"/>
      <c r="X9" s="1075" t="s">
        <v>591</v>
      </c>
      <c r="Y9" s="1192" t="s">
        <v>6809</v>
      </c>
      <c r="Z9" s="1149" t="s">
        <v>2864</v>
      </c>
      <c r="AA9" s="1149" t="s">
        <v>5471</v>
      </c>
      <c r="AB9" s="1075" t="s">
        <v>2352</v>
      </c>
      <c r="AC9" s="1149" t="s">
        <v>7444</v>
      </c>
      <c r="AD9" s="1193" t="s">
        <v>2418</v>
      </c>
      <c r="AE9" s="1075" t="s">
        <v>1094</v>
      </c>
      <c r="AF9" s="1150"/>
      <c r="AG9" s="1117" t="s">
        <v>7445</v>
      </c>
      <c r="AH9" s="1194" t="s">
        <v>7446</v>
      </c>
      <c r="AI9" s="1078"/>
      <c r="AJ9" s="1119"/>
      <c r="AK9" s="1152" t="s">
        <v>7447</v>
      </c>
      <c r="AL9" s="1153" t="s">
        <v>5963</v>
      </c>
      <c r="AM9" s="1123" t="s">
        <v>659</v>
      </c>
      <c r="AN9" s="1195"/>
      <c r="AO9" s="1123" t="s">
        <v>5731</v>
      </c>
      <c r="AP9" s="1152" t="s">
        <v>7448</v>
      </c>
      <c r="AQ9" s="1196" t="s">
        <v>5757</v>
      </c>
      <c r="AR9" s="1119"/>
      <c r="AS9" s="1119"/>
      <c r="AT9" s="1119"/>
      <c r="AU9" s="1119"/>
      <c r="AV9" s="1152" t="s">
        <v>7449</v>
      </c>
      <c r="AW9" s="1152" t="s">
        <v>964</v>
      </c>
      <c r="AX9" s="1169" t="s">
        <v>7450</v>
      </c>
      <c r="AY9" s="1169" t="s">
        <v>7451</v>
      </c>
      <c r="AZ9" s="1083"/>
      <c r="BA9" s="1197"/>
      <c r="BB9" s="1198" t="s">
        <v>7452</v>
      </c>
      <c r="BC9" s="1126" t="s">
        <v>5293</v>
      </c>
      <c r="BD9" s="1155"/>
      <c r="BE9" s="1126" t="s">
        <v>7453</v>
      </c>
      <c r="BF9" s="1083"/>
      <c r="BG9" s="1128" t="s">
        <v>7454</v>
      </c>
      <c r="BH9" s="1199" t="s">
        <v>4717</v>
      </c>
      <c r="BI9" s="1131"/>
      <c r="BJ9" s="1131"/>
      <c r="BK9" s="1131"/>
      <c r="BL9" s="1131"/>
      <c r="BM9" s="1200" t="s">
        <v>7455</v>
      </c>
      <c r="BN9" s="1078"/>
      <c r="BO9" s="1135" t="s">
        <v>7456</v>
      </c>
      <c r="BP9" s="1172"/>
      <c r="BQ9" s="1133"/>
      <c r="BR9" s="1136" t="s">
        <v>7457</v>
      </c>
      <c r="BS9" s="1133"/>
      <c r="BT9" s="1172" t="s">
        <v>295</v>
      </c>
      <c r="BU9" s="1133"/>
      <c r="BV9" s="1172" t="s">
        <v>7458</v>
      </c>
      <c r="BW9" s="1135" t="s">
        <v>7459</v>
      </c>
      <c r="BX9" s="1078"/>
      <c r="BY9" s="1201"/>
      <c r="BZ9" s="1176" t="s">
        <v>725</v>
      </c>
      <c r="CA9" s="1162"/>
      <c r="CB9" s="1162"/>
      <c r="CC9" s="1139"/>
      <c r="CD9" s="1177" t="s">
        <v>4313</v>
      </c>
      <c r="CE9" s="1139"/>
      <c r="CF9" s="1176" t="s">
        <v>7460</v>
      </c>
      <c r="CG9" s="1175" t="s">
        <v>2602</v>
      </c>
      <c r="CH9" s="1139"/>
      <c r="CI9" s="1139"/>
      <c r="CJ9" s="1162"/>
      <c r="CK9" s="1162"/>
    </row>
    <row r="10">
      <c r="A10" s="1202" t="s">
        <v>827</v>
      </c>
      <c r="B10" s="1060" t="s">
        <v>7439</v>
      </c>
      <c r="C10" s="1056" t="s">
        <v>3281</v>
      </c>
      <c r="D10" s="1057" t="s">
        <v>648</v>
      </c>
      <c r="E10" s="1058" t="s">
        <v>332</v>
      </c>
      <c r="F10" s="1059" t="s">
        <v>6159</v>
      </c>
      <c r="G10" s="1060" t="s">
        <v>2981</v>
      </c>
      <c r="H10" s="1108"/>
      <c r="I10" s="1110" t="s">
        <v>7461</v>
      </c>
      <c r="J10" s="1109" t="s">
        <v>7462</v>
      </c>
      <c r="K10" s="1109"/>
      <c r="L10" s="1145" t="s">
        <v>7463</v>
      </c>
      <c r="M10" s="1108"/>
      <c r="N10" s="1143" t="s">
        <v>7464</v>
      </c>
      <c r="O10" s="1108"/>
      <c r="P10" s="1066"/>
      <c r="Q10" s="1147" t="s">
        <v>7465</v>
      </c>
      <c r="R10" s="1203" t="s">
        <v>2121</v>
      </c>
      <c r="S10" s="1113"/>
      <c r="T10" s="1113"/>
      <c r="U10" s="1147" t="s">
        <v>7466</v>
      </c>
      <c r="V10" s="1114" t="s">
        <v>7467</v>
      </c>
      <c r="W10" s="1066"/>
      <c r="X10" s="1073" t="s">
        <v>7468</v>
      </c>
      <c r="Y10" s="1074"/>
      <c r="Z10" s="1074" t="s">
        <v>7469</v>
      </c>
      <c r="AA10" s="1204" t="s">
        <v>7470</v>
      </c>
      <c r="AB10" s="1074"/>
      <c r="AC10" s="1074" t="s">
        <v>7471</v>
      </c>
      <c r="AD10" s="1072" t="s">
        <v>1218</v>
      </c>
      <c r="AE10" s="1167"/>
      <c r="AF10" s="1167"/>
      <c r="AG10" s="1074" t="s">
        <v>7472</v>
      </c>
      <c r="AH10" s="1077"/>
      <c r="AI10" s="1066"/>
      <c r="AJ10" s="1119"/>
      <c r="AK10" s="1119"/>
      <c r="AL10" s="1119"/>
      <c r="AM10" s="1120" t="s">
        <v>6228</v>
      </c>
      <c r="AN10" s="1119"/>
      <c r="AO10" s="1153" t="s">
        <v>1996</v>
      </c>
      <c r="AP10" s="1154" t="s">
        <v>7473</v>
      </c>
      <c r="AQ10" s="1120" t="s">
        <v>7474</v>
      </c>
      <c r="AR10" s="1119"/>
      <c r="AS10" s="1119"/>
      <c r="AT10" s="1119"/>
      <c r="AU10" s="1119"/>
      <c r="AV10" s="1119"/>
      <c r="AW10" s="1120" t="s">
        <v>2933</v>
      </c>
      <c r="AX10" s="1119"/>
      <c r="AY10" s="1119"/>
      <c r="AZ10" s="1083"/>
      <c r="BA10" s="1197"/>
      <c r="BB10" s="1197"/>
      <c r="BC10" s="1184" t="s">
        <v>6632</v>
      </c>
      <c r="BD10" s="1155"/>
      <c r="BE10" s="1156" t="s">
        <v>7475</v>
      </c>
      <c r="BF10" s="1083"/>
      <c r="BG10" s="1205" t="s">
        <v>7476</v>
      </c>
      <c r="BH10" s="1205" t="s">
        <v>7200</v>
      </c>
      <c r="BI10" s="1130" t="s">
        <v>325</v>
      </c>
      <c r="BJ10" s="1131"/>
      <c r="BK10" s="1131"/>
      <c r="BL10" s="1131"/>
      <c r="BM10" s="1129" t="s">
        <v>7477</v>
      </c>
      <c r="BN10" s="1066"/>
      <c r="BO10" s="1160" t="s">
        <v>7478</v>
      </c>
      <c r="BP10" s="1172"/>
      <c r="BQ10" s="1134" t="s">
        <v>5920</v>
      </c>
      <c r="BR10" s="1133"/>
      <c r="BS10" s="1133"/>
      <c r="BT10" s="1174" t="s">
        <v>874</v>
      </c>
      <c r="BU10" s="1133"/>
      <c r="BV10" s="1134" t="s">
        <v>3993</v>
      </c>
      <c r="BW10" s="1134" t="s">
        <v>7479</v>
      </c>
      <c r="BX10" s="1066"/>
      <c r="BY10" s="1138" t="s">
        <v>968</v>
      </c>
      <c r="BZ10" s="1178" t="s">
        <v>7480</v>
      </c>
      <c r="CA10" s="1162"/>
      <c r="CB10" s="1162"/>
      <c r="CC10" s="1139"/>
      <c r="CD10" s="1139"/>
      <c r="CE10" s="1139"/>
      <c r="CF10" s="1139"/>
      <c r="CG10" s="1139"/>
      <c r="CH10" s="1139"/>
      <c r="CI10" s="1139"/>
      <c r="CJ10" s="1162"/>
      <c r="CK10" s="1162"/>
    </row>
    <row r="11">
      <c r="A11" s="1141" t="s">
        <v>330</v>
      </c>
      <c r="B11" s="1060" t="s">
        <v>7481</v>
      </c>
      <c r="C11" s="1056" t="s">
        <v>440</v>
      </c>
      <c r="D11" s="1057" t="s">
        <v>439</v>
      </c>
      <c r="E11" s="1058" t="s">
        <v>439</v>
      </c>
      <c r="F11" s="1059" t="s">
        <v>3904</v>
      </c>
      <c r="G11" s="1060" t="s">
        <v>1505</v>
      </c>
      <c r="H11" s="1206" t="s">
        <v>2758</v>
      </c>
      <c r="I11" s="1145" t="s">
        <v>7482</v>
      </c>
      <c r="J11" s="1145" t="s">
        <v>7483</v>
      </c>
      <c r="K11" s="1142" t="s">
        <v>714</v>
      </c>
      <c r="L11" s="1207" t="s">
        <v>7484</v>
      </c>
      <c r="M11" s="1108"/>
      <c r="N11" s="1108"/>
      <c r="O11" s="1164" t="s">
        <v>7485</v>
      </c>
      <c r="P11" s="1066"/>
      <c r="Q11" s="1116" t="s">
        <v>7486</v>
      </c>
      <c r="R11" s="1113"/>
      <c r="S11" s="1113"/>
      <c r="T11" s="1146" t="s">
        <v>5259</v>
      </c>
      <c r="U11" s="1112"/>
      <c r="V11" s="1165" t="s">
        <v>7487</v>
      </c>
      <c r="W11" s="1066"/>
      <c r="X11" s="1167"/>
      <c r="Y11" s="1149" t="s">
        <v>7488</v>
      </c>
      <c r="Z11" s="1192" t="s">
        <v>7484</v>
      </c>
      <c r="AA11" s="1192" t="s">
        <v>7489</v>
      </c>
      <c r="AB11" s="1072" t="s">
        <v>3423</v>
      </c>
      <c r="AC11" s="1149" t="s">
        <v>2727</v>
      </c>
      <c r="AD11" s="1075" t="s">
        <v>2396</v>
      </c>
      <c r="AE11" s="1073" t="s">
        <v>1252</v>
      </c>
      <c r="AF11" s="1150"/>
      <c r="AG11" s="1192" t="s">
        <v>7490</v>
      </c>
      <c r="AH11" s="1077"/>
      <c r="AI11" s="1066"/>
      <c r="AJ11" s="1208"/>
      <c r="AK11" s="1123" t="s">
        <v>7491</v>
      </c>
      <c r="AL11" s="1119"/>
      <c r="AM11" s="1209"/>
      <c r="AN11" s="1209" t="s">
        <v>7492</v>
      </c>
      <c r="AO11" s="1210" t="s">
        <v>4828</v>
      </c>
      <c r="AP11" s="1211" t="s">
        <v>7493</v>
      </c>
      <c r="AQ11" s="1211" t="s">
        <v>7494</v>
      </c>
      <c r="AR11" s="1212"/>
      <c r="AS11" s="1120" t="s">
        <v>7343</v>
      </c>
      <c r="AT11" s="1209"/>
      <c r="AU11" s="1195"/>
      <c r="AV11" s="1120" t="s">
        <v>7495</v>
      </c>
      <c r="AW11" s="1153" t="s">
        <v>7496</v>
      </c>
      <c r="AX11" s="1169" t="s">
        <v>7497</v>
      </c>
      <c r="AY11" s="1169" t="s">
        <v>7498</v>
      </c>
      <c r="AZ11" s="1083"/>
      <c r="BA11" s="1124"/>
      <c r="BB11" s="1127" t="s">
        <v>7499</v>
      </c>
      <c r="BC11" s="1126" t="s">
        <v>3690</v>
      </c>
      <c r="BD11" s="1155"/>
      <c r="BE11" s="1198" t="s">
        <v>7500</v>
      </c>
      <c r="BF11" s="1083"/>
      <c r="BG11" s="1130" t="s">
        <v>7501</v>
      </c>
      <c r="BH11" s="1157" t="s">
        <v>5392</v>
      </c>
      <c r="BI11" s="1129"/>
      <c r="BJ11" s="1129"/>
      <c r="BK11" s="1213" t="s">
        <v>7502</v>
      </c>
      <c r="BL11" s="1131"/>
      <c r="BM11" s="1213" t="s">
        <v>7503</v>
      </c>
      <c r="BN11" s="1066"/>
      <c r="BO11" s="1174" t="s">
        <v>7504</v>
      </c>
      <c r="BP11" s="1172"/>
      <c r="BQ11" s="1174" t="s">
        <v>696</v>
      </c>
      <c r="BR11" s="1173" t="s">
        <v>7505</v>
      </c>
      <c r="BS11" s="1133"/>
      <c r="BT11" s="1135" t="s">
        <v>2070</v>
      </c>
      <c r="BU11" s="1133"/>
      <c r="BV11" s="1172" t="s">
        <v>7506</v>
      </c>
      <c r="BW11" s="1214" t="s">
        <v>7507</v>
      </c>
      <c r="BX11" s="1078"/>
      <c r="BY11" s="1175" t="s">
        <v>4487</v>
      </c>
      <c r="BZ11" s="1139"/>
      <c r="CA11" s="1189"/>
      <c r="CB11" s="1178" t="s">
        <v>2816</v>
      </c>
      <c r="CC11" s="1201"/>
      <c r="CD11" s="1175" t="s">
        <v>1176</v>
      </c>
      <c r="CE11" s="1139"/>
      <c r="CF11" s="1175" t="s">
        <v>7508</v>
      </c>
      <c r="CG11" s="1139"/>
      <c r="CH11" s="1177" t="s">
        <v>4836</v>
      </c>
      <c r="CI11" s="1139"/>
      <c r="CJ11" s="1162"/>
      <c r="CK11" s="1162"/>
    </row>
    <row r="12">
      <c r="A12" s="1107" t="s">
        <v>2373</v>
      </c>
      <c r="B12" s="1060" t="s">
        <v>7509</v>
      </c>
      <c r="C12" s="1056" t="s">
        <v>438</v>
      </c>
      <c r="D12" s="1057" t="s">
        <v>440</v>
      </c>
      <c r="E12" s="1058" t="s">
        <v>334</v>
      </c>
      <c r="F12" s="1059" t="s">
        <v>2105</v>
      </c>
      <c r="G12" s="1060" t="s">
        <v>2105</v>
      </c>
      <c r="H12" s="1142" t="s">
        <v>1210</v>
      </c>
      <c r="I12" s="1142" t="s">
        <v>7510</v>
      </c>
      <c r="J12" s="1142" t="s">
        <v>3622</v>
      </c>
      <c r="K12" s="1142" t="s">
        <v>1964</v>
      </c>
      <c r="L12" s="1108"/>
      <c r="M12" s="1108"/>
      <c r="N12" s="1108"/>
      <c r="O12" s="1110" t="s">
        <v>7511</v>
      </c>
      <c r="P12" s="1066"/>
      <c r="Q12" s="1116" t="s">
        <v>7512</v>
      </c>
      <c r="R12" s="1113"/>
      <c r="S12" s="1146" t="s">
        <v>7513</v>
      </c>
      <c r="T12" s="1116" t="s">
        <v>5190</v>
      </c>
      <c r="U12" s="1116" t="s">
        <v>7514</v>
      </c>
      <c r="V12" s="1116" t="s">
        <v>7515</v>
      </c>
      <c r="W12" s="1066"/>
      <c r="X12" s="1075" t="s">
        <v>2650</v>
      </c>
      <c r="Y12" s="1117" t="s">
        <v>7516</v>
      </c>
      <c r="Z12" s="1075" t="s">
        <v>7517</v>
      </c>
      <c r="AA12" s="1075" t="s">
        <v>7413</v>
      </c>
      <c r="AB12" s="1075" t="s">
        <v>6321</v>
      </c>
      <c r="AC12" s="1075" t="s">
        <v>7518</v>
      </c>
      <c r="AD12" s="1075" t="s">
        <v>1059</v>
      </c>
      <c r="AE12" s="1075" t="s">
        <v>7519</v>
      </c>
      <c r="AF12" s="1150"/>
      <c r="AG12" s="1075" t="s">
        <v>7520</v>
      </c>
      <c r="AH12" s="1077"/>
      <c r="AI12" s="1066"/>
      <c r="AJ12" s="1208"/>
      <c r="AK12" s="1154" t="s">
        <v>2089</v>
      </c>
      <c r="AL12" s="1119"/>
      <c r="AM12" s="1123" t="s">
        <v>4225</v>
      </c>
      <c r="AN12" s="1119"/>
      <c r="AO12" s="1119"/>
      <c r="AP12" s="1123" t="s">
        <v>3462</v>
      </c>
      <c r="AQ12" s="1119"/>
      <c r="AR12" s="1120" t="s">
        <v>7521</v>
      </c>
      <c r="AS12" s="1123" t="s">
        <v>7522</v>
      </c>
      <c r="AT12" s="1119"/>
      <c r="AU12" s="1153" t="s">
        <v>7523</v>
      </c>
      <c r="AV12" s="1119"/>
      <c r="AW12" s="1123" t="s">
        <v>5356</v>
      </c>
      <c r="AX12" s="1123" t="s">
        <v>4799</v>
      </c>
      <c r="AY12" s="1123" t="s">
        <v>7524</v>
      </c>
      <c r="AZ12" s="1083"/>
      <c r="BA12" s="1126" t="s">
        <v>7525</v>
      </c>
      <c r="BB12" s="1126" t="s">
        <v>7526</v>
      </c>
      <c r="BC12" s="1126" t="s">
        <v>5249</v>
      </c>
      <c r="BD12" s="1155"/>
      <c r="BE12" s="1126" t="s">
        <v>7527</v>
      </c>
      <c r="BF12" s="1083"/>
      <c r="BG12" s="1128" t="s">
        <v>7528</v>
      </c>
      <c r="BH12" s="1128" t="s">
        <v>3323</v>
      </c>
      <c r="BI12" s="1128" t="s">
        <v>2179</v>
      </c>
      <c r="BJ12" s="1205" t="s">
        <v>7529</v>
      </c>
      <c r="BK12" s="1128" t="s">
        <v>2773</v>
      </c>
      <c r="BL12" s="1131"/>
      <c r="BM12" s="1128" t="s">
        <v>7530</v>
      </c>
      <c r="BN12" s="1066"/>
      <c r="BO12" s="1133"/>
      <c r="BP12" s="1172"/>
      <c r="BQ12" s="1135" t="s">
        <v>2632</v>
      </c>
      <c r="BR12" s="1135" t="s">
        <v>7531</v>
      </c>
      <c r="BS12" s="1133"/>
      <c r="BT12" s="1135" t="s">
        <v>1790</v>
      </c>
      <c r="BU12" s="1133"/>
      <c r="BV12" s="1135" t="s">
        <v>7532</v>
      </c>
      <c r="BW12" s="1135" t="s">
        <v>6127</v>
      </c>
      <c r="BX12" s="1066"/>
      <c r="BY12" s="1161" t="s">
        <v>7360</v>
      </c>
      <c r="BZ12" s="1161" t="s">
        <v>2654</v>
      </c>
      <c r="CA12" s="1215" t="s">
        <v>7533</v>
      </c>
      <c r="CB12" s="1162"/>
      <c r="CC12" s="1139"/>
      <c r="CD12" s="1177" t="s">
        <v>4313</v>
      </c>
      <c r="CE12" s="1161" t="s">
        <v>7534</v>
      </c>
      <c r="CF12" s="1161" t="s">
        <v>2963</v>
      </c>
      <c r="CG12" s="1176" t="s">
        <v>7535</v>
      </c>
      <c r="CH12" s="1139"/>
      <c r="CI12" s="1177" t="s">
        <v>4794</v>
      </c>
      <c r="CJ12" s="1162"/>
      <c r="CK12" s="1162"/>
    </row>
    <row r="13">
      <c r="A13" s="1107" t="s">
        <v>1959</v>
      </c>
      <c r="B13" s="1060" t="s">
        <v>7536</v>
      </c>
      <c r="C13" s="1056" t="s">
        <v>1261</v>
      </c>
      <c r="D13" s="1057" t="s">
        <v>440</v>
      </c>
      <c r="E13" s="1058" t="s">
        <v>438</v>
      </c>
      <c r="F13" s="1059" t="s">
        <v>2697</v>
      </c>
      <c r="G13" s="1060" t="s">
        <v>2841</v>
      </c>
      <c r="H13" s="1108"/>
      <c r="I13" s="1109" t="s">
        <v>7537</v>
      </c>
      <c r="J13" s="1109"/>
      <c r="K13" s="1142" t="s">
        <v>1701</v>
      </c>
      <c r="L13" s="1109"/>
      <c r="M13" s="1109"/>
      <c r="N13" s="1108"/>
      <c r="O13" s="1142" t="s">
        <v>7538</v>
      </c>
      <c r="P13" s="1066"/>
      <c r="Q13" s="1113"/>
      <c r="R13" s="1115"/>
      <c r="S13" s="1116" t="s">
        <v>7539</v>
      </c>
      <c r="T13" s="1113"/>
      <c r="U13" s="1113"/>
      <c r="V13" s="1116" t="s">
        <v>7540</v>
      </c>
      <c r="W13" s="1066"/>
      <c r="X13" s="1072" t="s">
        <v>1377</v>
      </c>
      <c r="Y13" s="1167"/>
      <c r="Z13" s="1074" t="s">
        <v>7541</v>
      </c>
      <c r="AA13" s="1075" t="s">
        <v>7542</v>
      </c>
      <c r="AB13" s="1074" t="s">
        <v>3620</v>
      </c>
      <c r="AC13" s="1075" t="s">
        <v>1982</v>
      </c>
      <c r="AD13" s="1074" t="s">
        <v>4128</v>
      </c>
      <c r="AE13" s="1074" t="s">
        <v>7543</v>
      </c>
      <c r="AF13" s="1074"/>
      <c r="AG13" s="1075" t="s">
        <v>7544</v>
      </c>
      <c r="AH13" s="1077"/>
      <c r="AI13" s="1066"/>
      <c r="AJ13" s="1119"/>
      <c r="AK13" s="1119"/>
      <c r="AL13" s="1119"/>
      <c r="AM13" s="1154" t="s">
        <v>1421</v>
      </c>
      <c r="AN13" s="1119"/>
      <c r="AO13" s="1119"/>
      <c r="AP13" s="1118" t="s">
        <v>7545</v>
      </c>
      <c r="AQ13" s="1119"/>
      <c r="AR13" s="1119"/>
      <c r="AS13" s="1119"/>
      <c r="AT13" s="1119"/>
      <c r="AU13" s="1119"/>
      <c r="AV13" s="1119"/>
      <c r="AW13" s="1119"/>
      <c r="AX13" s="1123" t="s">
        <v>7546</v>
      </c>
      <c r="AY13" s="1118" t="s">
        <v>7547</v>
      </c>
      <c r="AZ13" s="1083"/>
      <c r="BA13" s="1156"/>
      <c r="BB13" s="1156"/>
      <c r="BC13" s="1126" t="s">
        <v>3273</v>
      </c>
      <c r="BD13" s="1124"/>
      <c r="BE13" s="1156" t="s">
        <v>7548</v>
      </c>
      <c r="BF13" s="1083"/>
      <c r="BG13" s="1129" t="s">
        <v>6115</v>
      </c>
      <c r="BH13" s="1130" t="s">
        <v>7221</v>
      </c>
      <c r="BI13" s="1131"/>
      <c r="BJ13" s="1131"/>
      <c r="BK13" s="1157" t="s">
        <v>7549</v>
      </c>
      <c r="BL13" s="1131"/>
      <c r="BM13" s="1128" t="s">
        <v>7550</v>
      </c>
      <c r="BN13" s="1066"/>
      <c r="BO13" s="1134" t="s">
        <v>7551</v>
      </c>
      <c r="BP13" s="1173"/>
      <c r="BQ13" s="1134"/>
      <c r="BR13" s="1135" t="s">
        <v>7552</v>
      </c>
      <c r="BS13" s="1134"/>
      <c r="BT13" s="1135" t="s">
        <v>1406</v>
      </c>
      <c r="BU13" s="1133"/>
      <c r="BV13" s="1160" t="s">
        <v>7553</v>
      </c>
      <c r="BW13" s="1135" t="s">
        <v>7554</v>
      </c>
      <c r="BX13" s="1066"/>
      <c r="BY13" s="1176" t="s">
        <v>464</v>
      </c>
      <c r="BZ13" s="1139"/>
      <c r="CA13" s="1162"/>
      <c r="CB13" s="1162"/>
      <c r="CC13" s="1139"/>
      <c r="CD13" s="1139"/>
      <c r="CE13" s="1139"/>
      <c r="CF13" s="1138" t="s">
        <v>4595</v>
      </c>
      <c r="CG13" s="1139"/>
      <c r="CH13" s="1139"/>
      <c r="CI13" s="1139"/>
      <c r="CJ13" s="1162"/>
      <c r="CK13" s="1162"/>
    </row>
    <row r="14">
      <c r="A14" s="1107" t="s">
        <v>6561</v>
      </c>
      <c r="B14" s="1060" t="s">
        <v>7555</v>
      </c>
      <c r="C14" s="1056" t="s">
        <v>1261</v>
      </c>
      <c r="D14" s="1057" t="s">
        <v>438</v>
      </c>
      <c r="E14" s="1058" t="s">
        <v>438</v>
      </c>
      <c r="F14" s="1059" t="s">
        <v>5550</v>
      </c>
      <c r="G14" s="1060" t="s">
        <v>1730</v>
      </c>
      <c r="H14" s="1142" t="s">
        <v>2124</v>
      </c>
      <c r="I14" s="1142" t="s">
        <v>7556</v>
      </c>
      <c r="J14" s="1108"/>
      <c r="K14" s="1108"/>
      <c r="L14" s="1142" t="s">
        <v>3366</v>
      </c>
      <c r="M14" s="1108"/>
      <c r="N14" s="1142" t="s">
        <v>7557</v>
      </c>
      <c r="O14" s="1108"/>
      <c r="P14" s="1066"/>
      <c r="Q14" s="1116" t="s">
        <v>245</v>
      </c>
      <c r="R14" s="1113"/>
      <c r="S14" s="1116" t="s">
        <v>7447</v>
      </c>
      <c r="T14" s="1116" t="s">
        <v>3638</v>
      </c>
      <c r="U14" s="1113"/>
      <c r="V14" s="1116" t="s">
        <v>7558</v>
      </c>
      <c r="W14" s="1066"/>
      <c r="X14" s="1075" t="s">
        <v>272</v>
      </c>
      <c r="Y14" s="1075" t="s">
        <v>7559</v>
      </c>
      <c r="Z14" s="1075" t="s">
        <v>2369</v>
      </c>
      <c r="AA14" s="1166" t="s">
        <v>7560</v>
      </c>
      <c r="AB14" s="1075" t="s">
        <v>7561</v>
      </c>
      <c r="AC14" s="1075" t="s">
        <v>1675</v>
      </c>
      <c r="AD14" s="1075" t="s">
        <v>5476</v>
      </c>
      <c r="AE14" s="1075" t="s">
        <v>7562</v>
      </c>
      <c r="AF14" s="1076"/>
      <c r="AG14" s="1074" t="s">
        <v>7563</v>
      </c>
      <c r="AH14" s="1077"/>
      <c r="AI14" s="1066"/>
      <c r="AJ14" s="1183"/>
      <c r="AK14" s="1123" t="s">
        <v>7564</v>
      </c>
      <c r="AL14" s="1123" t="s">
        <v>7565</v>
      </c>
      <c r="AM14" s="1123" t="s">
        <v>1215</v>
      </c>
      <c r="AN14" s="1118"/>
      <c r="AO14" s="1119"/>
      <c r="AP14" s="1123" t="s">
        <v>4004</v>
      </c>
      <c r="AQ14" s="1119"/>
      <c r="AR14" s="1123" t="s">
        <v>7566</v>
      </c>
      <c r="AS14" s="1154" t="s">
        <v>7567</v>
      </c>
      <c r="AT14" s="1153" t="s">
        <v>7568</v>
      </c>
      <c r="AU14" s="1154" t="s">
        <v>7569</v>
      </c>
      <c r="AV14" s="1119"/>
      <c r="AW14" s="1123" t="s">
        <v>370</v>
      </c>
      <c r="AX14" s="1123" t="s">
        <v>7570</v>
      </c>
      <c r="AY14" s="1123" t="s">
        <v>7571</v>
      </c>
      <c r="AZ14" s="1083"/>
      <c r="BA14" s="1197"/>
      <c r="BB14" s="1126" t="s">
        <v>7572</v>
      </c>
      <c r="BC14" s="1126" t="s">
        <v>7573</v>
      </c>
      <c r="BD14" s="1124"/>
      <c r="BE14" s="1126" t="s">
        <v>7574</v>
      </c>
      <c r="BF14" s="1083"/>
      <c r="BG14" s="1129" t="s">
        <v>4019</v>
      </c>
      <c r="BH14" s="1129" t="s">
        <v>4594</v>
      </c>
      <c r="BI14" s="1157" t="s">
        <v>1594</v>
      </c>
      <c r="BJ14" s="1131"/>
      <c r="BK14" s="1129" t="s">
        <v>4278</v>
      </c>
      <c r="BL14" s="1131"/>
      <c r="BM14" s="1129" t="s">
        <v>7575</v>
      </c>
      <c r="BN14" s="1066"/>
      <c r="BO14" s="1135" t="s">
        <v>3419</v>
      </c>
      <c r="BP14" s="1172"/>
      <c r="BQ14" s="1133"/>
      <c r="BR14" s="1133"/>
      <c r="BS14" s="1133"/>
      <c r="BT14" s="1135" t="s">
        <v>848</v>
      </c>
      <c r="BU14" s="1133"/>
      <c r="BV14" s="1134" t="s">
        <v>7576</v>
      </c>
      <c r="BW14" s="1134" t="s">
        <v>7577</v>
      </c>
      <c r="BX14" s="1066"/>
      <c r="BY14" s="1161" t="s">
        <v>1621</v>
      </c>
      <c r="BZ14" s="1138"/>
      <c r="CA14" s="1162"/>
      <c r="CB14" s="1162"/>
      <c r="CC14" s="1139"/>
      <c r="CD14" s="1139"/>
      <c r="CE14" s="1138" t="s">
        <v>7578</v>
      </c>
      <c r="CF14" s="1139"/>
      <c r="CG14" s="1139"/>
      <c r="CH14" s="1139"/>
      <c r="CI14" s="1139"/>
      <c r="CJ14" s="1162"/>
      <c r="CK14" s="1162"/>
    </row>
    <row r="15">
      <c r="A15" s="1216" t="s">
        <v>1728</v>
      </c>
      <c r="B15" s="1060" t="s">
        <v>7579</v>
      </c>
      <c r="C15" s="1056" t="s">
        <v>1261</v>
      </c>
      <c r="D15" s="1057" t="s">
        <v>438</v>
      </c>
      <c r="E15" s="1058" t="s">
        <v>547</v>
      </c>
      <c r="F15" s="1059" t="s">
        <v>3281</v>
      </c>
      <c r="G15" s="1060" t="s">
        <v>5551</v>
      </c>
      <c r="H15" s="1142" t="s">
        <v>2357</v>
      </c>
      <c r="I15" s="1217" t="s">
        <v>7580</v>
      </c>
      <c r="J15" s="1109" t="s">
        <v>1303</v>
      </c>
      <c r="K15" s="1109" t="s">
        <v>7581</v>
      </c>
      <c r="L15" s="1109" t="s">
        <v>2149</v>
      </c>
      <c r="M15" s="1108"/>
      <c r="N15" s="1109" t="s">
        <v>7582</v>
      </c>
      <c r="O15" s="1109" t="s">
        <v>7583</v>
      </c>
      <c r="P15" s="1066"/>
      <c r="Q15" s="1112" t="s">
        <v>7584</v>
      </c>
      <c r="R15" s="1112" t="s">
        <v>2456</v>
      </c>
      <c r="S15" s="1112" t="s">
        <v>7585</v>
      </c>
      <c r="T15" s="1112" t="s">
        <v>5652</v>
      </c>
      <c r="U15" s="1112" t="s">
        <v>7586</v>
      </c>
      <c r="V15" s="1112" t="s">
        <v>7587</v>
      </c>
      <c r="W15" s="1066"/>
      <c r="X15" s="1074" t="s">
        <v>3911</v>
      </c>
      <c r="Y15" s="1074" t="s">
        <v>7588</v>
      </c>
      <c r="Z15" s="1149" t="s">
        <v>7589</v>
      </c>
      <c r="AA15" s="1218" t="s">
        <v>7590</v>
      </c>
      <c r="AB15" s="1074" t="s">
        <v>7591</v>
      </c>
      <c r="AC15" s="1074" t="s">
        <v>7592</v>
      </c>
      <c r="AD15" s="1166" t="s">
        <v>1707</v>
      </c>
      <c r="AE15" s="1075" t="s">
        <v>5401</v>
      </c>
      <c r="AF15" s="1074" t="s">
        <v>2784</v>
      </c>
      <c r="AG15" s="1074" t="s">
        <v>7593</v>
      </c>
      <c r="AH15" s="1219" t="s">
        <v>7594</v>
      </c>
      <c r="AI15" s="1066"/>
      <c r="AJ15" s="1183"/>
      <c r="AK15" s="1123" t="s">
        <v>7595</v>
      </c>
      <c r="AL15" s="1118"/>
      <c r="AM15" s="1118" t="s">
        <v>3413</v>
      </c>
      <c r="AN15" s="1123" t="s">
        <v>1648</v>
      </c>
      <c r="AO15" s="1118" t="s">
        <v>4060</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4204</v>
      </c>
      <c r="BD15" s="1156"/>
      <c r="BE15" s="1220" t="s">
        <v>7604</v>
      </c>
      <c r="BF15" s="1083"/>
      <c r="BG15" s="1129" t="s">
        <v>7605</v>
      </c>
      <c r="BH15" s="1129" t="s">
        <v>5142</v>
      </c>
      <c r="BI15" s="1128" t="s">
        <v>2078</v>
      </c>
      <c r="BJ15" s="1130" t="s">
        <v>7606</v>
      </c>
      <c r="BK15" s="1171" t="s">
        <v>7607</v>
      </c>
      <c r="BL15" s="1129"/>
      <c r="BM15" s="1129" t="s">
        <v>7608</v>
      </c>
      <c r="BN15" s="1066"/>
      <c r="BO15" s="1135" t="s">
        <v>4749</v>
      </c>
      <c r="BP15" s="1173"/>
      <c r="BQ15" s="1221" t="s">
        <v>4723</v>
      </c>
      <c r="BR15" s="1134" t="s">
        <v>7609</v>
      </c>
      <c r="BS15" s="1134"/>
      <c r="BT15" s="1222" t="s">
        <v>7610</v>
      </c>
      <c r="BU15" s="1173" t="s">
        <v>4772</v>
      </c>
      <c r="BV15" s="1134" t="s">
        <v>7611</v>
      </c>
      <c r="BW15" s="1134" t="s">
        <v>7612</v>
      </c>
      <c r="BX15" s="1066"/>
      <c r="BY15" s="1138" t="s">
        <v>2518</v>
      </c>
      <c r="BZ15" s="1138" t="s">
        <v>2073</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3335</v>
      </c>
      <c r="H16" s="1108"/>
      <c r="I16" s="1164" t="s">
        <v>2949</v>
      </c>
      <c r="J16" s="1109"/>
      <c r="K16" s="1108"/>
      <c r="L16" s="1108"/>
      <c r="M16" s="1108"/>
      <c r="N16" s="1108"/>
      <c r="O16" s="1109" t="s">
        <v>7618</v>
      </c>
      <c r="P16" s="1066"/>
      <c r="Q16" s="1165" t="s">
        <v>1491</v>
      </c>
      <c r="R16" s="1113"/>
      <c r="S16" s="1113"/>
      <c r="T16" s="1165" t="s">
        <v>1119</v>
      </c>
      <c r="U16" s="1112"/>
      <c r="V16" s="1112" t="s">
        <v>7619</v>
      </c>
      <c r="W16" s="1066"/>
      <c r="X16" s="1192" t="s">
        <v>7620</v>
      </c>
      <c r="Y16" s="1074" t="s">
        <v>7621</v>
      </c>
      <c r="Z16" s="1192" t="s">
        <v>7484</v>
      </c>
      <c r="AA16" s="1149" t="s">
        <v>6596</v>
      </c>
      <c r="AB16" s="1149" t="s">
        <v>1655</v>
      </c>
      <c r="AC16" s="1149" t="s">
        <v>3544</v>
      </c>
      <c r="AD16" s="1192" t="s">
        <v>201</v>
      </c>
      <c r="AE16" s="1149" t="s">
        <v>4606</v>
      </c>
      <c r="AF16" s="1074"/>
      <c r="AG16" s="1149" t="s">
        <v>7622</v>
      </c>
      <c r="AH16" s="1077"/>
      <c r="AI16" s="1066"/>
      <c r="AJ16" s="1119"/>
      <c r="AK16" s="1152" t="s">
        <v>5584</v>
      </c>
      <c r="AL16" s="1169" t="s">
        <v>7623</v>
      </c>
      <c r="AM16" s="1152" t="s">
        <v>7624</v>
      </c>
      <c r="AN16" s="1119"/>
      <c r="AO16" s="1169" t="s">
        <v>977</v>
      </c>
      <c r="AP16" s="1152" t="s">
        <v>1572</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2131</v>
      </c>
      <c r="BI16" s="1131"/>
      <c r="BJ16" s="1131"/>
      <c r="BK16" s="1131"/>
      <c r="BL16" s="1131"/>
      <c r="BM16" s="1129" t="s">
        <v>7632</v>
      </c>
      <c r="BN16" s="1066"/>
      <c r="BO16" s="1173" t="s">
        <v>1966</v>
      </c>
      <c r="BP16" s="1172"/>
      <c r="BQ16" s="1133"/>
      <c r="BR16" s="1173" t="s">
        <v>7633</v>
      </c>
      <c r="BS16" s="1133"/>
      <c r="BT16" s="1173" t="s">
        <v>3077</v>
      </c>
      <c r="BU16" s="1133"/>
      <c r="BV16" s="1173" t="s">
        <v>7634</v>
      </c>
      <c r="BW16" s="1173" t="s">
        <v>7635</v>
      </c>
      <c r="BX16" s="1066"/>
      <c r="BY16" s="1175" t="s">
        <v>3674</v>
      </c>
      <c r="BZ16" s="1139"/>
      <c r="CA16" s="1162"/>
      <c r="CB16" s="1162"/>
      <c r="CC16" s="1139"/>
      <c r="CD16" s="1139"/>
      <c r="CE16" s="1139"/>
      <c r="CF16" s="1139"/>
      <c r="CG16" s="1139"/>
      <c r="CH16" s="1139"/>
      <c r="CI16" s="1139"/>
      <c r="CJ16" s="1162"/>
      <c r="CK16" s="1162"/>
    </row>
    <row r="17">
      <c r="A17" s="1107" t="s">
        <v>7636</v>
      </c>
      <c r="B17" s="1060" t="s">
        <v>6243</v>
      </c>
      <c r="C17" s="1056" t="s">
        <v>1261</v>
      </c>
      <c r="D17" s="1057" t="s">
        <v>1261</v>
      </c>
      <c r="E17" s="1058" t="s">
        <v>1261</v>
      </c>
      <c r="F17" s="1059" t="s">
        <v>1064</v>
      </c>
      <c r="G17" s="1060" t="s">
        <v>5695</v>
      </c>
      <c r="H17" s="1108"/>
      <c r="I17" s="1108"/>
      <c r="J17" s="1109" t="s">
        <v>7637</v>
      </c>
      <c r="K17" s="1109" t="s">
        <v>7638</v>
      </c>
      <c r="L17" s="1142" t="s">
        <v>7639</v>
      </c>
      <c r="M17" s="1108"/>
      <c r="N17" s="1164" t="s">
        <v>7640</v>
      </c>
      <c r="O17" s="1109" t="s">
        <v>7641</v>
      </c>
      <c r="P17" s="1066"/>
      <c r="Q17" s="1165" t="s">
        <v>727</v>
      </c>
      <c r="R17" s="1113"/>
      <c r="S17" s="1113"/>
      <c r="T17" s="1113"/>
      <c r="U17" s="1112"/>
      <c r="V17" s="1116" t="s">
        <v>7563</v>
      </c>
      <c r="W17" s="1066"/>
      <c r="X17" s="1167"/>
      <c r="Y17" s="1075" t="s">
        <v>7642</v>
      </c>
      <c r="Z17" s="1149" t="s">
        <v>2402</v>
      </c>
      <c r="AA17" s="1223"/>
      <c r="AB17" s="1167"/>
      <c r="AC17" s="1149" t="s">
        <v>816</v>
      </c>
      <c r="AD17" s="1149" t="s">
        <v>5688</v>
      </c>
      <c r="AE17" s="1149" t="s">
        <v>6907</v>
      </c>
      <c r="AF17" s="1074"/>
      <c r="AG17" s="1149" t="s">
        <v>7643</v>
      </c>
      <c r="AH17" s="1077"/>
      <c r="AI17" s="1066"/>
      <c r="AJ17" s="1118"/>
      <c r="AK17" s="1169" t="s">
        <v>1476</v>
      </c>
      <c r="AL17" s="1119"/>
      <c r="AM17" s="1119"/>
      <c r="AN17" s="1119"/>
      <c r="AO17" s="1119"/>
      <c r="AP17" s="1169" t="s">
        <v>7644</v>
      </c>
      <c r="AQ17" s="1119"/>
      <c r="AR17" s="1119"/>
      <c r="AS17" s="1119"/>
      <c r="AT17" s="1119"/>
      <c r="AU17" s="1119"/>
      <c r="AV17" s="1119"/>
      <c r="AW17" s="1123" t="s">
        <v>6133</v>
      </c>
      <c r="AX17" s="1118" t="s">
        <v>7645</v>
      </c>
      <c r="AY17" s="1118" t="s">
        <v>6264</v>
      </c>
      <c r="AZ17" s="1083"/>
      <c r="BA17" s="1156" t="s">
        <v>7646</v>
      </c>
      <c r="BB17" s="1220" t="s">
        <v>7647</v>
      </c>
      <c r="BC17" s="1126" t="s">
        <v>512</v>
      </c>
      <c r="BD17" s="1124"/>
      <c r="BE17" s="1220" t="s">
        <v>7648</v>
      </c>
      <c r="BF17" s="1083"/>
      <c r="BG17" s="1129" t="s">
        <v>2825</v>
      </c>
      <c r="BH17" s="1213" t="s">
        <v>7649</v>
      </c>
      <c r="BI17" s="1129"/>
      <c r="BJ17" s="1129"/>
      <c r="BK17" s="1131"/>
      <c r="BL17" s="1131"/>
      <c r="BM17" s="1128" t="s">
        <v>7650</v>
      </c>
      <c r="BN17" s="1066"/>
      <c r="BO17" s="1173" t="s">
        <v>2768</v>
      </c>
      <c r="BP17" s="1172"/>
      <c r="BQ17" s="1133"/>
      <c r="BR17" s="1134" t="s">
        <v>7651</v>
      </c>
      <c r="BS17" s="1133"/>
      <c r="BT17" s="1173" t="s">
        <v>2327</v>
      </c>
      <c r="BU17" s="1133"/>
      <c r="BV17" s="1134" t="s">
        <v>251</v>
      </c>
      <c r="BW17" s="1134" t="s">
        <v>1581</v>
      </c>
      <c r="BX17" s="1066"/>
      <c r="BY17" s="1138" t="s">
        <v>4196</v>
      </c>
      <c r="BZ17" s="1161" t="s">
        <v>6004</v>
      </c>
      <c r="CA17" s="1162"/>
      <c r="CB17" s="1162"/>
      <c r="CC17" s="1139"/>
      <c r="CD17" s="1139"/>
      <c r="CE17" s="1138" t="s">
        <v>5776</v>
      </c>
      <c r="CF17" s="1175" t="s">
        <v>7652</v>
      </c>
      <c r="CG17" s="1139"/>
      <c r="CH17" s="1139"/>
      <c r="CI17" s="1138" t="s">
        <v>7653</v>
      </c>
      <c r="CJ17" s="1162"/>
      <c r="CK17" s="1162"/>
    </row>
    <row r="18">
      <c r="A18" s="1107" t="s">
        <v>1812</v>
      </c>
      <c r="B18" s="1060" t="s">
        <v>7654</v>
      </c>
      <c r="C18" s="1056" t="s">
        <v>1261</v>
      </c>
      <c r="D18" s="1057" t="s">
        <v>1261</v>
      </c>
      <c r="E18" s="1058" t="s">
        <v>1261</v>
      </c>
      <c r="F18" s="1059" t="s">
        <v>1261</v>
      </c>
      <c r="G18" s="1060" t="s">
        <v>5695</v>
      </c>
      <c r="H18" s="1108"/>
      <c r="I18" s="1109" t="s">
        <v>2628</v>
      </c>
      <c r="J18" s="1109" t="s">
        <v>2096</v>
      </c>
      <c r="K18" s="1109" t="s">
        <v>7655</v>
      </c>
      <c r="L18" s="1164" t="s">
        <v>7656</v>
      </c>
      <c r="M18" s="1108"/>
      <c r="N18" s="1164" t="s">
        <v>7657</v>
      </c>
      <c r="O18" s="1109" t="s">
        <v>7658</v>
      </c>
      <c r="P18" s="1066"/>
      <c r="Q18" s="1165" t="s">
        <v>2771</v>
      </c>
      <c r="R18" s="1113"/>
      <c r="S18" s="1113"/>
      <c r="T18" s="1165" t="s">
        <v>5006</v>
      </c>
      <c r="U18" s="1112"/>
      <c r="V18" s="1165" t="s">
        <v>7659</v>
      </c>
      <c r="W18" s="1066"/>
      <c r="X18" s="1149" t="s">
        <v>4052</v>
      </c>
      <c r="Y18" s="1149" t="s">
        <v>7660</v>
      </c>
      <c r="Z18" s="1149" t="s">
        <v>7661</v>
      </c>
      <c r="AA18" s="1149" t="s">
        <v>3025</v>
      </c>
      <c r="AB18" s="1149" t="s">
        <v>4685</v>
      </c>
      <c r="AC18" s="1074" t="s">
        <v>7662</v>
      </c>
      <c r="AD18" s="1149" t="s">
        <v>4593</v>
      </c>
      <c r="AE18" s="1149" t="s">
        <v>4889</v>
      </c>
      <c r="AF18" s="1074"/>
      <c r="AG18" s="1074" t="s">
        <v>7663</v>
      </c>
      <c r="AH18" s="1224" t="s">
        <v>7664</v>
      </c>
      <c r="AI18" s="1066"/>
      <c r="AJ18" s="1119"/>
      <c r="AK18" s="1119"/>
      <c r="AL18" s="1119"/>
      <c r="AM18" s="1118" t="s">
        <v>171</v>
      </c>
      <c r="AN18" s="1119"/>
      <c r="AO18" s="1169" t="s">
        <v>4379</v>
      </c>
      <c r="AP18" s="1118" t="s">
        <v>3297</v>
      </c>
      <c r="AQ18" s="1169" t="s">
        <v>7665</v>
      </c>
      <c r="AR18" s="1119"/>
      <c r="AS18" s="1119"/>
      <c r="AT18" s="1119"/>
      <c r="AU18" s="1119"/>
      <c r="AV18" s="1119"/>
      <c r="AW18" s="1169" t="s">
        <v>1009</v>
      </c>
      <c r="AX18" s="1169" t="s">
        <v>4879</v>
      </c>
      <c r="AY18" s="1119"/>
      <c r="AZ18" s="1083"/>
      <c r="BA18" s="1197"/>
      <c r="BB18" s="1197"/>
      <c r="BC18" s="1220" t="s">
        <v>6793</v>
      </c>
      <c r="BD18" s="1156"/>
      <c r="BE18" s="1156" t="s">
        <v>7666</v>
      </c>
      <c r="BF18" s="1083"/>
      <c r="BG18" s="1213" t="s">
        <v>1208</v>
      </c>
      <c r="BH18" s="1213" t="s">
        <v>2131</v>
      </c>
      <c r="BI18" s="1131"/>
      <c r="BJ18" s="1131"/>
      <c r="BK18" s="1129" t="s">
        <v>7667</v>
      </c>
      <c r="BL18" s="1131"/>
      <c r="BM18" s="1213" t="s">
        <v>7668</v>
      </c>
      <c r="BN18" s="1066"/>
      <c r="BO18" s="1173" t="s">
        <v>7669</v>
      </c>
      <c r="BP18" s="1172"/>
      <c r="BQ18" s="1133"/>
      <c r="BR18" s="1133"/>
      <c r="BS18" s="1133"/>
      <c r="BT18" s="1173" t="s">
        <v>2962</v>
      </c>
      <c r="BU18" s="1133"/>
      <c r="BV18" s="1133"/>
      <c r="BW18" s="1172" t="s">
        <v>7670</v>
      </c>
      <c r="BX18" s="1066"/>
      <c r="BY18" s="1138" t="s">
        <v>2990</v>
      </c>
      <c r="BZ18" s="1139"/>
      <c r="CA18" s="1162"/>
      <c r="CB18" s="1162"/>
      <c r="CC18" s="1139"/>
      <c r="CD18" s="1139"/>
      <c r="CE18" s="1139"/>
      <c r="CF18" s="1139"/>
      <c r="CG18" s="1139"/>
      <c r="CH18" s="1139"/>
      <c r="CI18" s="1139"/>
      <c r="CJ18" s="1162"/>
      <c r="CK18" s="1162"/>
    </row>
    <row r="19">
      <c r="A19" s="1107" t="s">
        <v>6570</v>
      </c>
      <c r="B19" s="1060" t="s">
        <v>7671</v>
      </c>
      <c r="C19" s="1056" t="s">
        <v>1261</v>
      </c>
      <c r="D19" s="1057" t="s">
        <v>547</v>
      </c>
      <c r="E19" s="1058" t="s">
        <v>1261</v>
      </c>
      <c r="F19" s="1059" t="s">
        <v>547</v>
      </c>
      <c r="G19" s="1060" t="s">
        <v>2841</v>
      </c>
      <c r="H19" s="1108"/>
      <c r="I19" s="1108"/>
      <c r="J19" s="1109" t="s">
        <v>7672</v>
      </c>
      <c r="K19" s="1109" t="s">
        <v>7673</v>
      </c>
      <c r="L19" s="1108"/>
      <c r="M19" s="1108"/>
      <c r="N19" s="1108"/>
      <c r="O19" s="1164" t="s">
        <v>7674</v>
      </c>
      <c r="P19" s="1066"/>
      <c r="Q19" s="1112" t="s">
        <v>7675</v>
      </c>
      <c r="R19" s="1113"/>
      <c r="S19" s="1112" t="s">
        <v>5778</v>
      </c>
      <c r="T19" s="1112" t="s">
        <v>5119</v>
      </c>
      <c r="U19" s="1112" t="s">
        <v>7676</v>
      </c>
      <c r="V19" s="1165" t="s">
        <v>7677</v>
      </c>
      <c r="W19" s="1066"/>
      <c r="X19" s="1167"/>
      <c r="Y19" s="1167"/>
      <c r="Z19" s="1074" t="s">
        <v>7678</v>
      </c>
      <c r="AA19" s="1223"/>
      <c r="AB19" s="1074" t="s">
        <v>2274</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3909</v>
      </c>
      <c r="AX19" s="1169" t="s">
        <v>7681</v>
      </c>
      <c r="AY19" s="1119"/>
      <c r="AZ19" s="1083"/>
      <c r="BA19" s="1197"/>
      <c r="BB19" s="1156" t="s">
        <v>7682</v>
      </c>
      <c r="BC19" s="1156" t="s">
        <v>3635</v>
      </c>
      <c r="BD19" s="1156"/>
      <c r="BE19" s="1220" t="s">
        <v>7683</v>
      </c>
      <c r="BF19" s="1083"/>
      <c r="BG19" s="1129" t="s">
        <v>714</v>
      </c>
      <c r="BH19" s="1213" t="s">
        <v>4281</v>
      </c>
      <c r="BI19" s="1129" t="s">
        <v>145</v>
      </c>
      <c r="BJ19" s="1129" t="s">
        <v>7684</v>
      </c>
      <c r="BK19" s="1129" t="s">
        <v>7685</v>
      </c>
      <c r="BL19" s="1131"/>
      <c r="BM19" s="1129" t="s">
        <v>7686</v>
      </c>
      <c r="BN19" s="1066"/>
      <c r="BO19" s="1134" t="s">
        <v>4715</v>
      </c>
      <c r="BP19" s="1172"/>
      <c r="BQ19" s="1133"/>
      <c r="BR19" s="1160" t="s">
        <v>7687</v>
      </c>
      <c r="BS19" s="1133"/>
      <c r="BT19" s="1134" t="s">
        <v>2367</v>
      </c>
      <c r="BU19" s="1133"/>
      <c r="BV19" s="1134" t="s">
        <v>7688</v>
      </c>
      <c r="BW19" s="1134" t="s">
        <v>2056</v>
      </c>
      <c r="BX19" s="1066"/>
      <c r="BY19" s="1138" t="s">
        <v>4568</v>
      </c>
      <c r="BZ19" s="1189"/>
      <c r="CA19" s="1162"/>
      <c r="CB19" s="1162"/>
      <c r="CC19" s="1139"/>
      <c r="CD19" s="1139"/>
      <c r="CE19" s="1139"/>
      <c r="CF19" s="1139"/>
      <c r="CG19" s="1139"/>
      <c r="CH19" s="1139"/>
      <c r="CI19" s="1139"/>
      <c r="CJ19" s="1162"/>
      <c r="CK19" s="1162"/>
    </row>
    <row r="20">
      <c r="A20" s="1225" t="s">
        <v>1060</v>
      </c>
      <c r="B20" s="1060" t="s">
        <v>7689</v>
      </c>
      <c r="C20" s="1056" t="s">
        <v>3281</v>
      </c>
      <c r="D20" s="1057" t="s">
        <v>438</v>
      </c>
      <c r="E20" s="1058" t="s">
        <v>438</v>
      </c>
      <c r="F20" s="1059" t="s">
        <v>1063</v>
      </c>
      <c r="G20" s="1060" t="s">
        <v>2697</v>
      </c>
      <c r="H20" s="1143" t="s">
        <v>4798</v>
      </c>
      <c r="I20" s="1108"/>
      <c r="J20" s="1110" t="s">
        <v>7690</v>
      </c>
      <c r="K20" s="1108"/>
      <c r="L20" s="1108"/>
      <c r="M20" s="1108"/>
      <c r="N20" s="1108"/>
      <c r="O20" s="1108"/>
      <c r="P20" s="1066"/>
      <c r="Q20" s="1113"/>
      <c r="R20" s="1114" t="s">
        <v>404</v>
      </c>
      <c r="S20" s="1113"/>
      <c r="T20" s="1203" t="s">
        <v>4846</v>
      </c>
      <c r="U20" s="1203" t="s">
        <v>1190</v>
      </c>
      <c r="V20" s="1113"/>
      <c r="W20" s="1066"/>
      <c r="X20" s="1167"/>
      <c r="Y20" s="1167"/>
      <c r="Z20" s="1117" t="s">
        <v>3289</v>
      </c>
      <c r="AA20" s="1223"/>
      <c r="AB20" s="1167"/>
      <c r="AC20" s="1167"/>
      <c r="AD20" s="1073" t="s">
        <v>1792</v>
      </c>
      <c r="AE20" s="1149" t="s">
        <v>4382</v>
      </c>
      <c r="AF20" s="1074"/>
      <c r="AG20" s="1167"/>
      <c r="AH20" s="1077"/>
      <c r="AI20" s="1066"/>
      <c r="AJ20" s="1119"/>
      <c r="AK20" s="1119"/>
      <c r="AL20" s="1119"/>
      <c r="AM20" s="1118" t="s">
        <v>5135</v>
      </c>
      <c r="AN20" s="1120" t="s">
        <v>4011</v>
      </c>
      <c r="AO20" s="1119"/>
      <c r="AP20" s="1119"/>
      <c r="AQ20" s="1119"/>
      <c r="AR20" s="1119"/>
      <c r="AS20" s="1119"/>
      <c r="AT20" s="1119"/>
      <c r="AU20" s="1119"/>
      <c r="AV20" s="1119"/>
      <c r="AW20" s="1154" t="s">
        <v>1042</v>
      </c>
      <c r="AX20" s="1119"/>
      <c r="AY20" s="1119"/>
      <c r="AZ20" s="1083"/>
      <c r="BA20" s="1197"/>
      <c r="BB20" s="1156"/>
      <c r="BC20" s="1125" t="s">
        <v>4528</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3494</v>
      </c>
      <c r="BZ20" s="1138"/>
      <c r="CA20" s="1162"/>
      <c r="CB20" s="1162"/>
      <c r="CC20" s="1139"/>
      <c r="CD20" s="1139"/>
      <c r="CE20" s="1139"/>
      <c r="CF20" s="1139"/>
      <c r="CG20" s="1178" t="s">
        <v>7694</v>
      </c>
      <c r="CH20" s="1139"/>
      <c r="CI20" s="1139"/>
      <c r="CJ20" s="1162"/>
      <c r="CK20" s="1162"/>
    </row>
    <row r="21">
      <c r="A21" s="1107" t="s">
        <v>2979</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3743</v>
      </c>
      <c r="S21" s="1112" t="s">
        <v>692</v>
      </c>
      <c r="T21" s="1112" t="s">
        <v>250</v>
      </c>
      <c r="U21" s="1113"/>
      <c r="V21" s="1112" t="s">
        <v>7698</v>
      </c>
      <c r="W21" s="1066"/>
      <c r="X21" s="1074" t="s">
        <v>6397</v>
      </c>
      <c r="Y21" s="1167"/>
      <c r="Z21" s="1074" t="s">
        <v>4856</v>
      </c>
      <c r="AA21" s="1074" t="s">
        <v>7699</v>
      </c>
      <c r="AB21" s="1074" t="s">
        <v>2998</v>
      </c>
      <c r="AC21" s="1074" t="s">
        <v>1675</v>
      </c>
      <c r="AD21" s="1074" t="s">
        <v>6634</v>
      </c>
      <c r="AE21" s="1074" t="s">
        <v>2811</v>
      </c>
      <c r="AF21" s="1074"/>
      <c r="AG21" s="1074" t="s">
        <v>7700</v>
      </c>
      <c r="AH21" s="1226" t="s">
        <v>3001</v>
      </c>
      <c r="AI21" s="1066"/>
      <c r="AJ21" s="1119"/>
      <c r="AK21" s="1119"/>
      <c r="AL21" s="1120" t="s">
        <v>7701</v>
      </c>
      <c r="AM21" s="1118" t="s">
        <v>1899</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6115</v>
      </c>
      <c r="BH21" s="1131"/>
      <c r="BI21" s="1129" t="s">
        <v>476</v>
      </c>
      <c r="BJ21" s="1129" t="s">
        <v>7710</v>
      </c>
      <c r="BK21" s="1129" t="s">
        <v>7711</v>
      </c>
      <c r="BL21" s="1129" t="s">
        <v>7712</v>
      </c>
      <c r="BM21" s="1171" t="s">
        <v>7713</v>
      </c>
      <c r="BN21" s="1066"/>
      <c r="BO21" s="1134" t="s">
        <v>7714</v>
      </c>
      <c r="BP21" s="1134" t="s">
        <v>4170</v>
      </c>
      <c r="BQ21" s="1133"/>
      <c r="BR21" s="1134" t="s">
        <v>7715</v>
      </c>
      <c r="BS21" s="1133"/>
      <c r="BT21" s="1134" t="s">
        <v>3019</v>
      </c>
      <c r="BU21" s="1134" t="s">
        <v>5137</v>
      </c>
      <c r="BV21" s="1134" t="s">
        <v>7716</v>
      </c>
      <c r="BW21" s="1134" t="s">
        <v>7717</v>
      </c>
      <c r="BX21" s="1066"/>
      <c r="BY21" s="1227" t="s">
        <v>3463</v>
      </c>
      <c r="BZ21" s="1138" t="s">
        <v>854</v>
      </c>
      <c r="CA21" s="1162"/>
      <c r="CB21" s="1162"/>
      <c r="CC21" s="1139"/>
      <c r="CD21" s="1139"/>
      <c r="CE21" s="1138" t="s">
        <v>7718</v>
      </c>
      <c r="CF21" s="1138" t="s">
        <v>7719</v>
      </c>
      <c r="CG21" s="1139"/>
      <c r="CH21" s="1139"/>
      <c r="CI21" s="1139"/>
      <c r="CJ21" s="1162"/>
      <c r="CK21" s="1162"/>
    </row>
    <row r="22">
      <c r="A22" s="1228" t="s">
        <v>3474</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3113</v>
      </c>
      <c r="V22" s="1112" t="s">
        <v>7722</v>
      </c>
      <c r="W22" s="1066"/>
      <c r="X22" s="1074" t="s">
        <v>197</v>
      </c>
      <c r="Y22" s="1074" t="s">
        <v>7723</v>
      </c>
      <c r="Z22" s="1074" t="s">
        <v>7724</v>
      </c>
      <c r="AA22" s="1229" t="s">
        <v>2754</v>
      </c>
      <c r="AB22" s="1074" t="s">
        <v>658</v>
      </c>
      <c r="AC22" s="1074" t="s">
        <v>1816</v>
      </c>
      <c r="AD22" s="1074" t="s">
        <v>7249</v>
      </c>
      <c r="AE22" s="1074" t="s">
        <v>146</v>
      </c>
      <c r="AF22" s="1074"/>
      <c r="AG22" s="1074" t="s">
        <v>6470</v>
      </c>
      <c r="AH22" s="1230" t="s">
        <v>7725</v>
      </c>
      <c r="AI22" s="1066"/>
      <c r="AJ22" s="1118"/>
      <c r="AK22" s="1118" t="s">
        <v>5649</v>
      </c>
      <c r="AL22" s="1119"/>
      <c r="AM22" s="1118" t="s">
        <v>5135</v>
      </c>
      <c r="AN22" s="1119"/>
      <c r="AO22" s="1119"/>
      <c r="AP22" s="1118" t="s">
        <v>1995</v>
      </c>
      <c r="AQ22" s="1119"/>
      <c r="AR22" s="1118" t="s">
        <v>7726</v>
      </c>
      <c r="AS22" s="1118" t="s">
        <v>3668</v>
      </c>
      <c r="AT22" s="1119"/>
      <c r="AU22" s="1119"/>
      <c r="AV22" s="1169" t="s">
        <v>7727</v>
      </c>
      <c r="AW22" s="1118" t="s">
        <v>804</v>
      </c>
      <c r="AX22" s="1118" t="s">
        <v>7728</v>
      </c>
      <c r="AY22" s="1118" t="s">
        <v>7729</v>
      </c>
      <c r="AZ22" s="1083"/>
      <c r="BA22" s="1197"/>
      <c r="BB22" s="1126" t="s">
        <v>7730</v>
      </c>
      <c r="BC22" s="1156" t="s">
        <v>6326</v>
      </c>
      <c r="BD22" s="1156"/>
      <c r="BE22" s="1231" t="s">
        <v>7731</v>
      </c>
      <c r="BF22" s="1083"/>
      <c r="BG22" s="1131"/>
      <c r="BH22" s="1131"/>
      <c r="BI22" s="1131"/>
      <c r="BJ22" s="1131"/>
      <c r="BK22" s="1131"/>
      <c r="BL22" s="1158" t="s">
        <v>7732</v>
      </c>
      <c r="BM22" s="1129" t="s">
        <v>7733</v>
      </c>
      <c r="BN22" s="1066"/>
      <c r="BO22" s="1133"/>
      <c r="BP22" s="1172"/>
      <c r="BQ22" s="1133"/>
      <c r="BR22" s="1133"/>
      <c r="BS22" s="1160" t="s">
        <v>7178</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3184</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4126</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3904</v>
      </c>
      <c r="H24" s="1142" t="s">
        <v>2576</v>
      </c>
      <c r="I24" s="1142" t="s">
        <v>7747</v>
      </c>
      <c r="J24" s="1237"/>
      <c r="K24" s="1142" t="s">
        <v>3302</v>
      </c>
      <c r="L24" s="1109"/>
      <c r="M24" s="1108"/>
      <c r="N24" s="1108"/>
      <c r="O24" s="1164" t="s">
        <v>7748</v>
      </c>
      <c r="P24" s="1066"/>
      <c r="Q24" s="1165" t="s">
        <v>7749</v>
      </c>
      <c r="R24" s="1113"/>
      <c r="S24" s="1113"/>
      <c r="T24" s="1165" t="s">
        <v>5150</v>
      </c>
      <c r="U24" s="1112"/>
      <c r="V24" s="1165" t="s">
        <v>7750</v>
      </c>
      <c r="W24" s="1066"/>
      <c r="X24" s="1149" t="s">
        <v>2143</v>
      </c>
      <c r="Y24" s="1167"/>
      <c r="Z24" s="1149" t="s">
        <v>1842</v>
      </c>
      <c r="AA24" s="1223"/>
      <c r="AB24" s="1149" t="s">
        <v>5235</v>
      </c>
      <c r="AC24" s="1167"/>
      <c r="AD24" s="1167"/>
      <c r="AE24" s="1149" t="s">
        <v>4414</v>
      </c>
      <c r="AF24" s="1074"/>
      <c r="AG24" s="1149" t="s">
        <v>7751</v>
      </c>
      <c r="AH24" s="1077"/>
      <c r="AI24" s="1066"/>
      <c r="AJ24" s="1119"/>
      <c r="AK24" s="1119"/>
      <c r="AL24" s="1119"/>
      <c r="AM24" s="1119"/>
      <c r="AN24" s="1119"/>
      <c r="AO24" s="1169" t="s">
        <v>5065</v>
      </c>
      <c r="AP24" s="1119"/>
      <c r="AQ24" s="1123" t="s">
        <v>3232</v>
      </c>
      <c r="AR24" s="1119"/>
      <c r="AS24" s="1119"/>
      <c r="AT24" s="1119"/>
      <c r="AU24" s="1119"/>
      <c r="AV24" s="1119"/>
      <c r="AW24" s="1123" t="s">
        <v>722</v>
      </c>
      <c r="AX24" s="1119"/>
      <c r="AY24" s="1119"/>
      <c r="AZ24" s="1083"/>
      <c r="BA24" s="1197"/>
      <c r="BB24" s="1197"/>
      <c r="BC24" s="1197"/>
      <c r="BD24" s="1197"/>
      <c r="BE24" s="1220" t="s">
        <v>7752</v>
      </c>
      <c r="BF24" s="1083"/>
      <c r="BG24" s="1213" t="s">
        <v>2591</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6573</v>
      </c>
      <c r="B25" s="1060" t="s">
        <v>7758</v>
      </c>
      <c r="C25" s="1056" t="s">
        <v>1261</v>
      </c>
      <c r="D25" s="1057" t="s">
        <v>1261</v>
      </c>
      <c r="E25" s="1058" t="s">
        <v>547</v>
      </c>
      <c r="F25" s="1059" t="s">
        <v>438</v>
      </c>
      <c r="G25" s="1060" t="s">
        <v>3904</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4765</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7542</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6587</v>
      </c>
      <c r="B26" s="1060" t="s">
        <v>6389</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7774</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7775</v>
      </c>
      <c r="BF26" s="1083"/>
      <c r="BG26" s="1131"/>
      <c r="BH26" s="1131"/>
      <c r="BI26" s="1131"/>
      <c r="BJ26" s="1131"/>
      <c r="BK26" s="1131"/>
      <c r="BL26" s="1131"/>
      <c r="BM26" s="1130" t="s">
        <v>7776</v>
      </c>
      <c r="BN26" s="1078"/>
      <c r="BO26" s="1235" t="str">
        <f>HYPERLINK("https://youtu.be/oOY4TocVyJU","1:05.01")</f>
        <v>1:05.01</v>
      </c>
      <c r="BP26" s="1172"/>
      <c r="BQ26" s="1133"/>
      <c r="BR26" s="1134"/>
      <c r="BS26" s="1134"/>
      <c r="BT26" s="1133"/>
      <c r="BU26" s="1133"/>
      <c r="BV26" s="1133"/>
      <c r="BW26" s="1136" t="s">
        <v>7777</v>
      </c>
      <c r="BX26" s="1078"/>
      <c r="BY26" s="1139"/>
      <c r="BZ26" s="1139"/>
      <c r="CA26" s="1242"/>
      <c r="CB26" s="1242"/>
      <c r="CC26" s="1189"/>
      <c r="CD26" s="1139"/>
      <c r="CE26" s="1139"/>
      <c r="CF26" s="1139"/>
      <c r="CG26" s="1139"/>
      <c r="CH26" s="1139"/>
      <c r="CI26" s="1139"/>
      <c r="CJ26" s="1162"/>
      <c r="CK26" s="1162"/>
    </row>
    <row r="27">
      <c r="A27" s="1107" t="s">
        <v>7778</v>
      </c>
      <c r="B27" s="1060" t="s">
        <v>7779</v>
      </c>
      <c r="C27" s="1056" t="s">
        <v>547</v>
      </c>
      <c r="D27" s="1057" t="s">
        <v>1261</v>
      </c>
      <c r="E27" s="1058" t="s">
        <v>547</v>
      </c>
      <c r="F27" s="1059" t="s">
        <v>440</v>
      </c>
      <c r="G27" s="1060" t="s">
        <v>2867</v>
      </c>
      <c r="H27" s="1109" t="s">
        <v>3973</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6608</v>
      </c>
      <c r="AA27" s="1229" t="s">
        <v>4595</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2624</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3991</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4064</v>
      </c>
      <c r="B28" s="1060" t="s">
        <v>7800</v>
      </c>
      <c r="C28" s="1056" t="s">
        <v>1261</v>
      </c>
      <c r="D28" s="1057" t="s">
        <v>1261</v>
      </c>
      <c r="E28" s="1058" t="s">
        <v>332</v>
      </c>
      <c r="F28" s="1059" t="s">
        <v>648</v>
      </c>
      <c r="G28" s="1060" t="s">
        <v>1814</v>
      </c>
      <c r="H28" s="1206" t="s">
        <v>1289</v>
      </c>
      <c r="I28" s="1108"/>
      <c r="J28" s="1108"/>
      <c r="K28" s="1108"/>
      <c r="L28" s="1109" t="s">
        <v>1491</v>
      </c>
      <c r="M28" s="1108"/>
      <c r="N28" s="1142" t="s">
        <v>7801</v>
      </c>
      <c r="O28" s="1108"/>
      <c r="P28" s="1066"/>
      <c r="Q28" s="1243" t="s">
        <v>7802</v>
      </c>
      <c r="R28" s="1113"/>
      <c r="S28" s="1112" t="s">
        <v>5957</v>
      </c>
      <c r="T28" s="1116" t="s">
        <v>622</v>
      </c>
      <c r="U28" s="1244" t="s">
        <v>7803</v>
      </c>
      <c r="V28" s="1112" t="s">
        <v>7804</v>
      </c>
      <c r="W28" s="1066"/>
      <c r="X28" s="1167"/>
      <c r="Y28" s="1074" t="s">
        <v>4076</v>
      </c>
      <c r="Z28" s="1074" t="s">
        <v>5232</v>
      </c>
      <c r="AA28" s="1245" t="s">
        <v>1769</v>
      </c>
      <c r="AB28" s="1074" t="s">
        <v>6294</v>
      </c>
      <c r="AC28" s="1074" t="s">
        <v>3510</v>
      </c>
      <c r="AD28" s="1074" t="s">
        <v>3067</v>
      </c>
      <c r="AE28" s="1075" t="s">
        <v>243</v>
      </c>
      <c r="AF28" s="1150"/>
      <c r="AG28" s="1167"/>
      <c r="AH28" s="1246" t="s">
        <v>4078</v>
      </c>
      <c r="AI28" s="1066"/>
      <c r="AJ28" s="1118"/>
      <c r="AK28" s="1118" t="s">
        <v>7805</v>
      </c>
      <c r="AL28" s="1118" t="s">
        <v>7806</v>
      </c>
      <c r="AM28" s="1118" t="s">
        <v>1649</v>
      </c>
      <c r="AN28" s="1118"/>
      <c r="AO28" s="1119"/>
      <c r="AP28" s="1123" t="s">
        <v>7036</v>
      </c>
      <c r="AQ28" s="1119"/>
      <c r="AR28" s="1118" t="s">
        <v>7807</v>
      </c>
      <c r="AS28" s="1118" t="s">
        <v>7808</v>
      </c>
      <c r="AT28" s="1119"/>
      <c r="AU28" s="1118" t="s">
        <v>7809</v>
      </c>
      <c r="AV28" s="1119"/>
      <c r="AW28" s="1123" t="s">
        <v>2711</v>
      </c>
      <c r="AX28" s="1118" t="s">
        <v>7810</v>
      </c>
      <c r="AY28" s="1118" t="s">
        <v>7811</v>
      </c>
      <c r="AZ28" s="1083"/>
      <c r="BA28" s="1197"/>
      <c r="BB28" s="1197"/>
      <c r="BC28" s="1156" t="s">
        <v>2214</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3799</v>
      </c>
      <c r="BX28" s="1066"/>
      <c r="BY28" s="1139"/>
      <c r="BZ28" s="1139"/>
      <c r="CA28" s="1162"/>
      <c r="CB28" s="1162"/>
      <c r="CC28" s="1139"/>
      <c r="CD28" s="1139"/>
      <c r="CE28" s="1138" t="s">
        <v>7757</v>
      </c>
      <c r="CF28" s="1138" t="s">
        <v>7817</v>
      </c>
      <c r="CG28" s="1139"/>
      <c r="CH28" s="1139"/>
      <c r="CI28" s="1139"/>
      <c r="CJ28" s="1162"/>
      <c r="CK28" s="1162"/>
    </row>
    <row r="29">
      <c r="A29" s="1247" t="s">
        <v>6567</v>
      </c>
      <c r="B29" s="1060" t="s">
        <v>7818</v>
      </c>
      <c r="C29" s="1056" t="s">
        <v>1261</v>
      </c>
      <c r="D29" s="1057" t="s">
        <v>1261</v>
      </c>
      <c r="E29" s="1058" t="s">
        <v>1261</v>
      </c>
      <c r="F29" s="1059" t="s">
        <v>439</v>
      </c>
      <c r="G29" s="1060" t="s">
        <v>1062</v>
      </c>
      <c r="H29" s="1206" t="s">
        <v>4218</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6018</v>
      </c>
      <c r="AA29" s="1218" t="s">
        <v>4595</v>
      </c>
      <c r="AB29" s="1149" t="s">
        <v>2506</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1624</v>
      </c>
      <c r="AX29" s="1118" t="s">
        <v>7830</v>
      </c>
      <c r="AY29" s="1119"/>
      <c r="AZ29" s="1083"/>
      <c r="BA29" s="1197"/>
      <c r="BB29" s="1197"/>
      <c r="BC29" s="1197"/>
      <c r="BD29" s="1197"/>
      <c r="BE29" s="1220" t="s">
        <v>7831</v>
      </c>
      <c r="BF29" s="1083"/>
      <c r="BG29" s="1129" t="s">
        <v>1471</v>
      </c>
      <c r="BH29" s="1131"/>
      <c r="BI29" s="1131"/>
      <c r="BJ29" s="1131"/>
      <c r="BK29" s="1129" t="s">
        <v>7832</v>
      </c>
      <c r="BL29" s="1131"/>
      <c r="BM29" s="1129" t="s">
        <v>7833</v>
      </c>
      <c r="BN29" s="1066"/>
      <c r="BO29" s="1134" t="s">
        <v>7834</v>
      </c>
      <c r="BP29" s="1172"/>
      <c r="BQ29" s="1133"/>
      <c r="BR29" s="1133"/>
      <c r="BS29" s="1133"/>
      <c r="BT29" s="1173" t="s">
        <v>1478</v>
      </c>
      <c r="BU29" s="1133"/>
      <c r="BV29" s="1248" t="str">
        <f>HYPERLINK("https://twitter.com/Qbe_Root/status/1400138849058275330", "1:53.21")</f>
        <v>1:53.21</v>
      </c>
      <c r="BW29" s="1134" t="s">
        <v>2598</v>
      </c>
      <c r="BX29" s="1066"/>
      <c r="BY29" s="1139"/>
      <c r="BZ29" s="1139"/>
      <c r="CA29" s="1162"/>
      <c r="CB29" s="1162"/>
      <c r="CC29" s="1139"/>
      <c r="CD29" s="1175" t="s">
        <v>4956</v>
      </c>
      <c r="CE29" s="1139"/>
      <c r="CF29" s="1139"/>
      <c r="CG29" s="1139"/>
      <c r="CH29" s="1139"/>
      <c r="CI29" s="1139"/>
      <c r="CJ29" s="1162"/>
      <c r="CK29" s="1162"/>
    </row>
    <row r="30">
      <c r="A30" s="1107" t="s">
        <v>6510</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7517</v>
      </c>
      <c r="BH30" s="1129" t="s">
        <v>5703</v>
      </c>
      <c r="BI30" s="1129" t="s">
        <v>2976</v>
      </c>
      <c r="BJ30" s="1213" t="s">
        <v>6348</v>
      </c>
      <c r="BK30" s="1131"/>
      <c r="BL30" s="1129" t="s">
        <v>7853</v>
      </c>
      <c r="BM30" s="1131"/>
      <c r="BN30" s="1066"/>
      <c r="BO30" s="1134" t="s">
        <v>7854</v>
      </c>
      <c r="BP30" s="1172"/>
      <c r="BQ30" s="1133"/>
      <c r="BR30" s="1134" t="s">
        <v>1336</v>
      </c>
      <c r="BS30" s="1133"/>
      <c r="BT30" s="1134" t="s">
        <v>1291</v>
      </c>
      <c r="BU30" s="1133"/>
      <c r="BV30" s="1133"/>
      <c r="BW30" s="1133"/>
      <c r="BX30" s="1066"/>
      <c r="BY30" s="1138" t="s">
        <v>4426</v>
      </c>
      <c r="BZ30" s="1139"/>
      <c r="CA30" s="1162"/>
      <c r="CB30" s="1162"/>
      <c r="CC30" s="1178" t="s">
        <v>7855</v>
      </c>
      <c r="CD30" s="1139"/>
      <c r="CE30" s="1139"/>
      <c r="CF30" s="1138" t="s">
        <v>7356</v>
      </c>
      <c r="CG30" s="1139"/>
      <c r="CH30" s="1139"/>
      <c r="CI30" s="1139"/>
      <c r="CJ30" s="1162"/>
      <c r="CK30" s="1162"/>
    </row>
    <row r="31">
      <c r="A31" s="1107" t="s">
        <v>3984</v>
      </c>
      <c r="B31" s="1060" t="s">
        <v>7856</v>
      </c>
      <c r="C31" s="1056" t="s">
        <v>1261</v>
      </c>
      <c r="D31" s="1057" t="s">
        <v>1261</v>
      </c>
      <c r="E31" s="1058" t="s">
        <v>1261</v>
      </c>
      <c r="F31" s="1059" t="s">
        <v>438</v>
      </c>
      <c r="G31" s="1060" t="s">
        <v>2981</v>
      </c>
      <c r="H31" s="1109" t="s">
        <v>2310</v>
      </c>
      <c r="I31" s="1108"/>
      <c r="J31" s="1108"/>
      <c r="K31" s="1108"/>
      <c r="L31" s="1109" t="s">
        <v>6423</v>
      </c>
      <c r="M31" s="1108"/>
      <c r="N31" s="1109" t="s">
        <v>7857</v>
      </c>
      <c r="O31" s="1108"/>
      <c r="P31" s="1066"/>
      <c r="Q31" s="1112" t="s">
        <v>7858</v>
      </c>
      <c r="R31" s="1113"/>
      <c r="S31" s="1113"/>
      <c r="T31" s="1113"/>
      <c r="U31" s="1165" t="s">
        <v>7458</v>
      </c>
      <c r="V31" s="1112" t="s">
        <v>7859</v>
      </c>
      <c r="W31" s="1066"/>
      <c r="X31" s="1167"/>
      <c r="Y31" s="1167"/>
      <c r="Z31" s="1074" t="s">
        <v>7860</v>
      </c>
      <c r="AA31" s="1223"/>
      <c r="AB31" s="1074" t="s">
        <v>4836</v>
      </c>
      <c r="AC31" s="1074" t="s">
        <v>309</v>
      </c>
      <c r="AD31" s="1167"/>
      <c r="AE31" s="1074" t="s">
        <v>2965</v>
      </c>
      <c r="AF31" s="1074"/>
      <c r="AG31" s="1075" t="s">
        <v>7861</v>
      </c>
      <c r="AH31" s="1226" t="s">
        <v>7862</v>
      </c>
      <c r="AI31" s="1066"/>
      <c r="AJ31" s="1118"/>
      <c r="AK31" s="1118" t="s">
        <v>7863</v>
      </c>
      <c r="AL31" s="1118" t="s">
        <v>7864</v>
      </c>
      <c r="AM31" s="1118" t="s">
        <v>4186</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4489</v>
      </c>
      <c r="BD31" s="1156"/>
      <c r="BE31" s="1220" t="s">
        <v>7870</v>
      </c>
      <c r="BF31" s="1083"/>
      <c r="BG31" s="1129" t="s">
        <v>7871</v>
      </c>
      <c r="BH31" s="1131"/>
      <c r="BI31" s="1131"/>
      <c r="BJ31" s="1131"/>
      <c r="BK31" s="1131"/>
      <c r="BL31" s="1129" t="s">
        <v>7872</v>
      </c>
      <c r="BM31" s="1129" t="s">
        <v>7873</v>
      </c>
      <c r="BN31" s="1066"/>
      <c r="BO31" s="1134" t="s">
        <v>3390</v>
      </c>
      <c r="BP31" s="1172"/>
      <c r="BQ31" s="1133"/>
      <c r="BR31" s="1134" t="s">
        <v>7874</v>
      </c>
      <c r="BS31" s="1173" t="s">
        <v>7875</v>
      </c>
      <c r="BT31" s="1133"/>
      <c r="BU31" s="1133"/>
      <c r="BV31" s="1134" t="s">
        <v>5247</v>
      </c>
      <c r="BW31" s="1134" t="s">
        <v>4500</v>
      </c>
      <c r="BX31" s="1066"/>
      <c r="BY31" s="1139"/>
      <c r="BZ31" s="1139"/>
      <c r="CA31" s="1162"/>
      <c r="CB31" s="1162"/>
      <c r="CC31" s="1139"/>
      <c r="CD31" s="1139"/>
      <c r="CE31" s="1139"/>
      <c r="CF31" s="1138" t="s">
        <v>7876</v>
      </c>
      <c r="CG31" s="1139"/>
      <c r="CH31" s="1139"/>
      <c r="CI31" s="1161" t="s">
        <v>7877</v>
      </c>
      <c r="CJ31" s="1162"/>
      <c r="CK31" s="1162"/>
    </row>
    <row r="32">
      <c r="A32" s="1107" t="s">
        <v>2865</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4555</v>
      </c>
      <c r="AF32" s="1074"/>
      <c r="AG32" s="1167"/>
      <c r="AH32" s="1077"/>
      <c r="AI32" s="1066"/>
      <c r="AJ32" s="1119"/>
      <c r="AK32" s="1119"/>
      <c r="AL32" s="1119"/>
      <c r="AM32" s="1119"/>
      <c r="AN32" s="1119"/>
      <c r="AO32" s="1119"/>
      <c r="AP32" s="1153" t="s">
        <v>7883</v>
      </c>
      <c r="AQ32" s="1119"/>
      <c r="AR32" s="1119"/>
      <c r="AS32" s="1119"/>
      <c r="AT32" s="1119"/>
      <c r="AU32" s="1119"/>
      <c r="AV32" s="1119"/>
      <c r="AW32" s="1118" t="s">
        <v>1707</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3987</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2301</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2472</v>
      </c>
      <c r="BS33" s="1133"/>
      <c r="BT33" s="1133"/>
      <c r="BU33" s="1133"/>
      <c r="BV33" s="1173" t="s">
        <v>7896</v>
      </c>
      <c r="BW33" s="1134" t="s">
        <v>7897</v>
      </c>
      <c r="BX33" s="1066"/>
      <c r="BY33" s="1138" t="s">
        <v>6248</v>
      </c>
      <c r="BZ33" s="1139"/>
      <c r="CA33" s="1175"/>
      <c r="CB33" s="1175"/>
      <c r="CC33" s="1138"/>
      <c r="CD33" s="1139"/>
      <c r="CE33" s="1139"/>
      <c r="CF33" s="1139"/>
      <c r="CG33" s="1139"/>
      <c r="CH33" s="1139"/>
      <c r="CI33" s="1139"/>
      <c r="CJ33" s="1162"/>
      <c r="CK33" s="1162"/>
    </row>
    <row r="34">
      <c r="A34" s="1249" t="s">
        <v>5027</v>
      </c>
      <c r="B34" s="1060" t="s">
        <v>4158</v>
      </c>
      <c r="C34" s="1056" t="s">
        <v>1261</v>
      </c>
      <c r="D34" s="1057" t="s">
        <v>1261</v>
      </c>
      <c r="E34" s="1058" t="s">
        <v>1261</v>
      </c>
      <c r="F34" s="1059" t="s">
        <v>440</v>
      </c>
      <c r="G34" s="1060" t="s">
        <v>6226</v>
      </c>
      <c r="H34" s="1109" t="s">
        <v>5624</v>
      </c>
      <c r="I34" s="1108"/>
      <c r="J34" s="1108"/>
      <c r="K34" s="1108"/>
      <c r="L34" s="1108"/>
      <c r="M34" s="1108"/>
      <c r="N34" s="1108"/>
      <c r="O34" s="1108"/>
      <c r="P34" s="1066"/>
      <c r="Q34" s="1113"/>
      <c r="R34" s="1113"/>
      <c r="S34" s="1112" t="s">
        <v>1025</v>
      </c>
      <c r="T34" s="1112" t="s">
        <v>1978</v>
      </c>
      <c r="U34" s="1112" t="s">
        <v>4552</v>
      </c>
      <c r="V34" s="1112" t="s">
        <v>7898</v>
      </c>
      <c r="W34" s="1066"/>
      <c r="X34" s="1074" t="s">
        <v>1671</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1441</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6625</v>
      </c>
      <c r="CA34" s="1162"/>
      <c r="CB34" s="1162"/>
      <c r="CC34" s="1139"/>
      <c r="CD34" s="1139"/>
      <c r="CE34" s="1139"/>
      <c r="CF34" s="1139"/>
      <c r="CG34" s="1139"/>
      <c r="CH34" s="1139"/>
      <c r="CI34" s="1139"/>
      <c r="CJ34" s="1162"/>
      <c r="CK34" s="1162"/>
    </row>
    <row r="35">
      <c r="A35" s="1107" t="s">
        <v>2151</v>
      </c>
      <c r="B35" s="1060" t="s">
        <v>2924</v>
      </c>
      <c r="C35" s="1056" t="s">
        <v>547</v>
      </c>
      <c r="D35" s="1057" t="s">
        <v>1261</v>
      </c>
      <c r="E35" s="1058" t="s">
        <v>1261</v>
      </c>
      <c r="F35" s="1059" t="s">
        <v>547</v>
      </c>
      <c r="G35" s="1060" t="s">
        <v>3184</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3863</v>
      </c>
      <c r="AC35" s="1074" t="s">
        <v>7912</v>
      </c>
      <c r="AD35" s="1167"/>
      <c r="AE35" s="1074" t="s">
        <v>2569</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3216</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2814</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1395</v>
      </c>
      <c r="BH36" s="1131"/>
      <c r="BI36" s="1131"/>
      <c r="BJ36" s="1131"/>
      <c r="BK36" s="1131"/>
      <c r="BL36" s="1129" t="s">
        <v>7927</v>
      </c>
      <c r="BM36" s="1131"/>
      <c r="BN36" s="1066"/>
      <c r="BO36" s="1133"/>
      <c r="BP36" s="1172"/>
      <c r="BQ36" s="1133"/>
      <c r="BR36" s="1133"/>
      <c r="BS36" s="1133"/>
      <c r="BT36" s="1133"/>
      <c r="BU36" s="1133"/>
      <c r="BV36" s="1133"/>
      <c r="BW36" s="1134" t="s">
        <v>1393</v>
      </c>
      <c r="BX36" s="1066"/>
      <c r="BY36" s="1139"/>
      <c r="BZ36" s="1139"/>
      <c r="CA36" s="1162"/>
      <c r="CB36" s="1162"/>
      <c r="CC36" s="1139"/>
      <c r="CD36" s="1139"/>
      <c r="CE36" s="1139"/>
      <c r="CF36" s="1139"/>
      <c r="CG36" s="1139"/>
      <c r="CH36" s="1139"/>
      <c r="CI36" s="1139"/>
      <c r="CJ36" s="1162"/>
      <c r="CK36" s="1162"/>
    </row>
    <row r="37">
      <c r="A37" s="1107" t="s">
        <v>6279</v>
      </c>
      <c r="B37" s="1060" t="s">
        <v>1506</v>
      </c>
      <c r="C37" s="1056" t="s">
        <v>1261</v>
      </c>
      <c r="D37" s="1057" t="s">
        <v>1261</v>
      </c>
      <c r="E37" s="1058" t="s">
        <v>1261</v>
      </c>
      <c r="F37" s="1059" t="s">
        <v>1261</v>
      </c>
      <c r="G37" s="1060" t="s">
        <v>2697</v>
      </c>
      <c r="H37" s="1108"/>
      <c r="I37" s="1108"/>
      <c r="J37" s="1108"/>
      <c r="K37" s="1108"/>
      <c r="L37" s="1109" t="s">
        <v>7928</v>
      </c>
      <c r="M37" s="1108"/>
      <c r="N37" s="1109" t="s">
        <v>7929</v>
      </c>
      <c r="O37" s="1108"/>
      <c r="P37" s="1066"/>
      <c r="Q37" s="1113"/>
      <c r="R37" s="1113"/>
      <c r="S37" s="1113"/>
      <c r="T37" s="1113"/>
      <c r="U37" s="1112" t="s">
        <v>4501</v>
      </c>
      <c r="V37" s="1112" t="s">
        <v>7930</v>
      </c>
      <c r="W37" s="1066"/>
      <c r="X37" s="1167"/>
      <c r="Y37" s="1167"/>
      <c r="Z37" s="1074" t="s">
        <v>7931</v>
      </c>
      <c r="AA37" s="1223"/>
      <c r="AB37" s="1167"/>
      <c r="AC37" s="1167"/>
      <c r="AD37" s="1074" t="s">
        <v>1415</v>
      </c>
      <c r="AE37" s="1074" t="s">
        <v>3197</v>
      </c>
      <c r="AF37" s="1074"/>
      <c r="AG37" s="1167"/>
      <c r="AH37" s="1226" t="s">
        <v>7932</v>
      </c>
      <c r="AI37" s="1066"/>
      <c r="AJ37" s="1119"/>
      <c r="AK37" s="1119"/>
      <c r="AL37" s="1119"/>
      <c r="AM37" s="1118" t="s">
        <v>2915</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2990</v>
      </c>
      <c r="BI37" s="1131"/>
      <c r="BJ37" s="1131"/>
      <c r="BK37" s="1131"/>
      <c r="BL37" s="1129" t="s">
        <v>7935</v>
      </c>
      <c r="BM37" s="1131"/>
      <c r="BN37" s="1066"/>
      <c r="BO37" s="1134" t="s">
        <v>1834</v>
      </c>
      <c r="BP37" s="1172"/>
      <c r="BQ37" s="1133"/>
      <c r="BR37" s="1133"/>
      <c r="BS37" s="1133"/>
      <c r="BT37" s="1134" t="s">
        <v>4381</v>
      </c>
      <c r="BU37" s="1133"/>
      <c r="BV37" s="1134" t="s">
        <v>7936</v>
      </c>
      <c r="BW37" s="1134" t="s">
        <v>7937</v>
      </c>
      <c r="BX37" s="1066"/>
      <c r="BY37" s="1139"/>
      <c r="BZ37" s="1139"/>
      <c r="CA37" s="1162"/>
      <c r="CB37" s="1162"/>
      <c r="CC37" s="1139"/>
      <c r="CD37" s="1139"/>
      <c r="CE37" s="1139"/>
      <c r="CF37" s="1139"/>
      <c r="CG37" s="1139"/>
      <c r="CH37" s="1175" t="s">
        <v>6024</v>
      </c>
      <c r="CI37" s="1139"/>
      <c r="CJ37" s="1162"/>
      <c r="CK37" s="1162"/>
    </row>
    <row r="38">
      <c r="A38" s="1107" t="s">
        <v>5396</v>
      </c>
      <c r="B38" s="1060" t="s">
        <v>2087</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6890</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3404</v>
      </c>
      <c r="BV38" s="1134" t="s">
        <v>391</v>
      </c>
      <c r="BW38" s="1173" t="s">
        <v>7943</v>
      </c>
      <c r="BX38" s="1066"/>
      <c r="BY38" s="1139"/>
      <c r="BZ38" s="1227" t="s">
        <v>2701</v>
      </c>
      <c r="CA38" s="1162"/>
      <c r="CB38" s="1162"/>
      <c r="CC38" s="1139"/>
      <c r="CD38" s="1139"/>
      <c r="CE38" s="1139"/>
      <c r="CF38" s="1138" t="s">
        <v>7944</v>
      </c>
      <c r="CG38" s="1139"/>
      <c r="CH38" s="1139"/>
      <c r="CI38" s="1161" t="s">
        <v>4970</v>
      </c>
      <c r="CJ38" s="1162"/>
      <c r="CK38" s="1162"/>
    </row>
    <row r="39">
      <c r="A39" s="1107" t="s">
        <v>7945</v>
      </c>
      <c r="B39" s="1060" t="s">
        <v>4732</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4659</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2343</v>
      </c>
      <c r="B41" s="1060" t="s">
        <v>2230</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6105</v>
      </c>
      <c r="AF41" s="1167"/>
      <c r="AG41" s="1167"/>
      <c r="AH41" s="1077"/>
      <c r="AI41" s="1066"/>
      <c r="AJ41" s="1119"/>
      <c r="AK41" s="1119"/>
      <c r="AL41" s="1119"/>
      <c r="AM41" s="1123" t="s">
        <v>4539</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4422</v>
      </c>
      <c r="B42" s="1060" t="s">
        <v>1505</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7220</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7424</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4850</v>
      </c>
      <c r="C43" s="1056" t="s">
        <v>1261</v>
      </c>
      <c r="D43" s="1057" t="s">
        <v>1261</v>
      </c>
      <c r="E43" s="1058" t="s">
        <v>1261</v>
      </c>
      <c r="F43" s="1059" t="s">
        <v>332</v>
      </c>
      <c r="G43" s="1060" t="s">
        <v>333</v>
      </c>
      <c r="H43" s="1109" t="s">
        <v>2060</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1923</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3564</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5923</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2644</v>
      </c>
      <c r="B45" s="1060" t="s">
        <v>3986</v>
      </c>
      <c r="C45" s="1056" t="s">
        <v>1261</v>
      </c>
      <c r="D45" s="1057" t="s">
        <v>1261</v>
      </c>
      <c r="E45" s="1058" t="s">
        <v>1261</v>
      </c>
      <c r="F45" s="1059" t="s">
        <v>1261</v>
      </c>
      <c r="G45" s="1060" t="s">
        <v>332</v>
      </c>
      <c r="H45" s="1108"/>
      <c r="I45" s="1108"/>
      <c r="J45" s="1108"/>
      <c r="K45" s="1108"/>
      <c r="L45" s="1258" t="s">
        <v>7972</v>
      </c>
      <c r="M45" s="1164" t="s">
        <v>2691</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3801</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4253</v>
      </c>
      <c r="AE46" s="1167"/>
      <c r="AF46" s="1167"/>
      <c r="AG46" s="1167"/>
      <c r="AH46" s="1077"/>
      <c r="AI46" s="1066"/>
      <c r="AJ46" s="1119"/>
      <c r="AK46" s="1119"/>
      <c r="AL46" s="1119"/>
      <c r="AM46" s="1118" t="s">
        <v>3331</v>
      </c>
      <c r="AN46" s="1119"/>
      <c r="AO46" s="1119"/>
      <c r="AP46" s="1118" t="s">
        <v>704</v>
      </c>
      <c r="AQ46" s="1119"/>
      <c r="AR46" s="1118" t="s">
        <v>7976</v>
      </c>
      <c r="AS46" s="1119"/>
      <c r="AT46" s="1119"/>
      <c r="AU46" s="1119"/>
      <c r="AV46" s="1119"/>
      <c r="AW46" s="1118" t="s">
        <v>891</v>
      </c>
      <c r="AX46" s="1119"/>
      <c r="AY46" s="1119"/>
      <c r="AZ46" s="1083"/>
      <c r="BA46" s="1197"/>
      <c r="BB46" s="1197"/>
      <c r="BC46" s="1156" t="s">
        <v>2136</v>
      </c>
      <c r="BD46" s="1197"/>
      <c r="BE46" s="1197"/>
      <c r="BF46" s="1083"/>
      <c r="BG46" s="1131"/>
      <c r="BH46" s="1131"/>
      <c r="BI46" s="1131"/>
      <c r="BJ46" s="1131"/>
      <c r="BK46" s="1131"/>
      <c r="BL46" s="1131"/>
      <c r="BM46" s="1131"/>
      <c r="BN46" s="1066"/>
      <c r="BO46" s="1134" t="s">
        <v>7977</v>
      </c>
      <c r="BP46" s="1172"/>
      <c r="BQ46" s="1133"/>
      <c r="BR46" s="1133"/>
      <c r="BS46" s="1133"/>
      <c r="BT46" s="1134" t="s">
        <v>3982</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6159</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6159</v>
      </c>
      <c r="C48" s="1056" t="s">
        <v>1261</v>
      </c>
      <c r="D48" s="1057" t="s">
        <v>1261</v>
      </c>
      <c r="E48" s="1058" t="s">
        <v>1261</v>
      </c>
      <c r="F48" s="1059" t="s">
        <v>1261</v>
      </c>
      <c r="G48" s="1060" t="s">
        <v>987</v>
      </c>
      <c r="H48" s="1108"/>
      <c r="I48" s="1108"/>
      <c r="J48" s="1108"/>
      <c r="K48" s="1108"/>
      <c r="L48" s="1109" t="s">
        <v>4813</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3281</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3523</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6046</v>
      </c>
      <c r="R52" s="1113"/>
      <c r="S52" s="1113"/>
      <c r="T52" s="1113"/>
      <c r="U52" s="1113"/>
      <c r="V52" s="1113"/>
      <c r="W52" s="1066"/>
      <c r="X52" s="1167"/>
      <c r="Y52" s="1167"/>
      <c r="Z52" s="1149" t="s">
        <v>1598</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3869</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6366</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1990</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5738</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1801</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6138</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6180</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4632</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7363</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3815</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6805</v>
      </c>
      <c r="Q1" s="29" t="s">
        <v>38</v>
      </c>
      <c r="T1" s="30" t="s">
        <v>39</v>
      </c>
      <c r="W1" s="32" t="s">
        <v>7046</v>
      </c>
      <c r="Z1" s="33" t="s">
        <v>7106</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4234</v>
      </c>
      <c r="B3" s="1280" t="s">
        <v>6226</v>
      </c>
      <c r="C3" s="1281" t="s">
        <v>547</v>
      </c>
      <c r="D3" s="1282" t="s">
        <v>547</v>
      </c>
      <c r="E3" s="1283" t="s">
        <v>438</v>
      </c>
      <c r="F3" s="1284" t="s">
        <v>440</v>
      </c>
      <c r="G3" s="1280" t="s">
        <v>440</v>
      </c>
      <c r="H3" s="1285"/>
      <c r="I3" s="1286"/>
      <c r="J3" s="1287"/>
      <c r="K3" s="1288"/>
      <c r="L3" s="1254"/>
      <c r="M3" s="1254"/>
      <c r="N3" s="1254"/>
      <c r="O3" s="1289"/>
      <c r="P3" s="1289"/>
      <c r="Q3" s="1290" t="s">
        <v>5917</v>
      </c>
      <c r="R3" s="1285"/>
      <c r="S3" s="1285"/>
      <c r="T3" s="1291" t="s">
        <v>7040</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6019</v>
      </c>
      <c r="R4" s="1254"/>
      <c r="S4" s="1254"/>
      <c r="T4" s="1296" t="s">
        <v>2115</v>
      </c>
      <c r="U4" s="1289"/>
      <c r="V4" s="1289"/>
      <c r="W4" s="1290" t="s">
        <v>8021</v>
      </c>
      <c r="X4" s="1289"/>
      <c r="Y4" s="1289"/>
      <c r="Z4" s="765" t="s">
        <v>1248</v>
      </c>
      <c r="AA4" s="1289"/>
      <c r="AB4" s="1254"/>
      <c r="AC4" s="1289"/>
      <c r="AD4" s="1289"/>
      <c r="AE4" s="1289"/>
      <c r="AF4" s="1293"/>
      <c r="AG4" s="1293"/>
    </row>
    <row r="5">
      <c r="A5" s="1279" t="s">
        <v>3984</v>
      </c>
      <c r="B5" s="1280" t="s">
        <v>829</v>
      </c>
      <c r="C5" s="1281" t="s">
        <v>1261</v>
      </c>
      <c r="D5" s="1282" t="s">
        <v>547</v>
      </c>
      <c r="E5" s="1283" t="s">
        <v>1261</v>
      </c>
      <c r="F5" s="1284" t="s">
        <v>332</v>
      </c>
      <c r="G5" s="1280" t="s">
        <v>334</v>
      </c>
      <c r="H5" s="1254"/>
      <c r="I5" s="96"/>
      <c r="J5" s="92"/>
      <c r="K5" s="1254"/>
      <c r="L5" s="1254"/>
      <c r="M5" s="1254"/>
      <c r="N5" s="1254"/>
      <c r="O5" s="1289"/>
      <c r="P5" s="1289"/>
      <c r="Q5" s="1296" t="s">
        <v>4499</v>
      </c>
      <c r="R5" s="1297" t="s">
        <v>1667</v>
      </c>
      <c r="S5" s="1254"/>
      <c r="T5" s="765" t="s">
        <v>1042</v>
      </c>
      <c r="U5" s="1289"/>
      <c r="V5" s="1289"/>
      <c r="W5" s="765" t="s">
        <v>8022</v>
      </c>
      <c r="X5" s="1289"/>
      <c r="Y5" s="1289"/>
      <c r="Z5" s="1298" t="s">
        <v>8023</v>
      </c>
      <c r="AA5" s="1289"/>
      <c r="AB5" s="1254"/>
      <c r="AC5" s="1289"/>
      <c r="AD5" s="1289"/>
      <c r="AE5" s="1289"/>
      <c r="AF5" s="1293"/>
      <c r="AG5" s="1293"/>
    </row>
    <row r="6">
      <c r="A6" s="1279" t="s">
        <v>2457</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1741</v>
      </c>
      <c r="U6" s="96"/>
      <c r="V6" s="783" t="s">
        <v>7871</v>
      </c>
      <c r="W6" s="1254"/>
      <c r="X6" s="1289"/>
      <c r="Y6" s="1289"/>
      <c r="Z6" s="1254"/>
      <c r="AA6" s="1289"/>
      <c r="AB6" s="1254"/>
      <c r="AC6" s="765" t="s">
        <v>216</v>
      </c>
      <c r="AD6" s="1289"/>
      <c r="AE6" s="1289"/>
      <c r="AF6" s="1293"/>
      <c r="AG6" s="1293"/>
    </row>
    <row r="7">
      <c r="A7" s="1279" t="s">
        <v>985</v>
      </c>
      <c r="B7" s="1280" t="s">
        <v>3281</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6354</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1697</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3223</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4524</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2922</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3641</v>
      </c>
      <c r="R17" s="1285"/>
      <c r="S17" s="1285"/>
      <c r="T17" s="1303" t="s">
        <v>6703</v>
      </c>
      <c r="U17" s="1254"/>
      <c r="V17" s="1254"/>
      <c r="W17" s="1303" t="s">
        <v>1348</v>
      </c>
      <c r="X17" s="1288"/>
      <c r="Y17" s="1288"/>
      <c r="Z17" s="1301"/>
      <c r="AA17" s="1288"/>
      <c r="AB17" s="1288"/>
      <c r="AC17" s="798"/>
      <c r="AD17" s="1309"/>
      <c r="AE17" s="1309"/>
      <c r="AF17" s="1310"/>
      <c r="AG17" s="1311"/>
    </row>
    <row r="18">
      <c r="A18" s="1141" t="s">
        <v>1418</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1959</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2540</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6356</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6585</v>
      </c>
      <c r="B3" s="1060" t="s">
        <v>7579</v>
      </c>
      <c r="C3" s="1056" t="s">
        <v>829</v>
      </c>
      <c r="D3" s="1057" t="s">
        <v>438</v>
      </c>
      <c r="E3" s="1058" t="s">
        <v>332</v>
      </c>
      <c r="F3" s="1059" t="s">
        <v>2697</v>
      </c>
      <c r="G3" s="1060" t="s">
        <v>3648</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2357</v>
      </c>
      <c r="X3" s="1298" t="s">
        <v>1782</v>
      </c>
      <c r="Y3" s="798" t="s">
        <v>1951</v>
      </c>
      <c r="Z3" s="1298" t="s">
        <v>8151</v>
      </c>
      <c r="AA3" s="798" t="s">
        <v>4438</v>
      </c>
      <c r="AB3" s="1298"/>
      <c r="AC3" s="798" t="s">
        <v>3488</v>
      </c>
      <c r="AD3" s="798" t="s">
        <v>3881</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7312</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3865</v>
      </c>
      <c r="BY3" s="1254"/>
      <c r="BZ3" s="1254"/>
      <c r="CA3" s="1298" t="s">
        <v>3520</v>
      </c>
      <c r="CB3" s="1298" t="s">
        <v>372</v>
      </c>
      <c r="CC3" s="1298" t="s">
        <v>2386</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6561</v>
      </c>
      <c r="B4" s="1060" t="s">
        <v>8183</v>
      </c>
      <c r="C4" s="1056" t="s">
        <v>334</v>
      </c>
      <c r="D4" s="1057" t="s">
        <v>440</v>
      </c>
      <c r="E4" s="1058" t="s">
        <v>3281</v>
      </c>
      <c r="F4" s="1059" t="s">
        <v>7836</v>
      </c>
      <c r="G4" s="1060" t="s">
        <v>1814</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1731</v>
      </c>
      <c r="Y4" s="765" t="s">
        <v>1589</v>
      </c>
      <c r="Z4" s="1290" t="s">
        <v>2937</v>
      </c>
      <c r="AA4" s="1285"/>
      <c r="AB4" s="1340" t="s">
        <v>8193</v>
      </c>
      <c r="AC4" s="765" t="s">
        <v>3402</v>
      </c>
      <c r="AD4" s="765" t="s">
        <v>4755</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1582</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1650</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6261</v>
      </c>
      <c r="C5" s="1056" t="s">
        <v>440</v>
      </c>
      <c r="D5" s="1057" t="s">
        <v>334</v>
      </c>
      <c r="E5" s="1058" t="s">
        <v>1261</v>
      </c>
      <c r="F5" s="1059" t="s">
        <v>1203</v>
      </c>
      <c r="G5" s="1060" t="s">
        <v>5550</v>
      </c>
      <c r="H5" s="798" t="s">
        <v>8205</v>
      </c>
      <c r="I5" s="798" t="s">
        <v>7867</v>
      </c>
      <c r="J5" s="798"/>
      <c r="K5" s="1296" t="s">
        <v>8206</v>
      </c>
      <c r="L5" s="1290" t="s">
        <v>8207</v>
      </c>
      <c r="M5" s="798"/>
      <c r="N5" s="798"/>
      <c r="O5" s="765" t="s">
        <v>8208</v>
      </c>
      <c r="P5" s="798" t="s">
        <v>8209</v>
      </c>
      <c r="Q5" s="798" t="s">
        <v>8210</v>
      </c>
      <c r="R5" s="1290" t="s">
        <v>8211</v>
      </c>
      <c r="S5" s="798"/>
      <c r="T5" s="1296" t="s">
        <v>8212</v>
      </c>
      <c r="U5" s="1296" t="s">
        <v>8213</v>
      </c>
      <c r="V5" s="798"/>
      <c r="W5" s="798" t="s">
        <v>6611</v>
      </c>
      <c r="X5" s="798"/>
      <c r="Y5" s="798" t="s">
        <v>8214</v>
      </c>
      <c r="Z5" s="1296" t="s">
        <v>1139</v>
      </c>
      <c r="AA5" s="1285"/>
      <c r="AB5" s="1285"/>
      <c r="AC5" s="798" t="s">
        <v>8215</v>
      </c>
      <c r="AD5" s="1254"/>
      <c r="AE5" s="798"/>
      <c r="AF5" s="798" t="s">
        <v>8216</v>
      </c>
      <c r="AG5" s="798"/>
      <c r="AH5" s="798" t="s">
        <v>4753</v>
      </c>
      <c r="AI5" s="798" t="s">
        <v>2035</v>
      </c>
      <c r="AJ5" s="1254"/>
      <c r="AK5" s="798"/>
      <c r="AL5" s="798"/>
      <c r="AM5" s="798" t="s">
        <v>8217</v>
      </c>
      <c r="AN5" s="1254"/>
      <c r="AO5" s="1254"/>
      <c r="AP5" s="798" t="s">
        <v>8218</v>
      </c>
      <c r="AQ5" s="1296" t="s">
        <v>8219</v>
      </c>
      <c r="AR5" s="798" t="s">
        <v>8220</v>
      </c>
      <c r="AS5" s="798"/>
      <c r="AT5" s="798" t="s">
        <v>8221</v>
      </c>
      <c r="AU5" s="765" t="s">
        <v>8222</v>
      </c>
      <c r="AV5" s="798"/>
      <c r="AW5" s="1299" t="s">
        <v>8223</v>
      </c>
      <c r="AX5" s="113"/>
      <c r="AY5" s="113" t="s">
        <v>8224</v>
      </c>
      <c r="AZ5" s="798" t="s">
        <v>3086</v>
      </c>
      <c r="BA5" s="798"/>
      <c r="BB5" s="798" t="s">
        <v>8204</v>
      </c>
      <c r="BC5" s="1290" t="s">
        <v>8225</v>
      </c>
      <c r="BD5" s="798" t="s">
        <v>8226</v>
      </c>
      <c r="BE5" s="798"/>
      <c r="BF5" s="798"/>
      <c r="BG5" s="798" t="s">
        <v>8227</v>
      </c>
      <c r="BH5" s="798"/>
      <c r="BI5" s="798"/>
      <c r="BJ5" s="798"/>
      <c r="BK5" s="798" t="s">
        <v>8228</v>
      </c>
      <c r="BL5" s="798"/>
      <c r="BM5" s="798"/>
      <c r="BN5" s="798"/>
      <c r="BO5" s="798"/>
      <c r="BP5" s="798" t="s">
        <v>8229</v>
      </c>
      <c r="BQ5" s="1254"/>
      <c r="BR5" s="1254"/>
      <c r="BS5" s="1254"/>
      <c r="BT5" s="1254"/>
      <c r="BU5" s="1254"/>
      <c r="BV5" s="798"/>
      <c r="BW5" s="798" t="s">
        <v>6870</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8230</v>
      </c>
      <c r="C6" s="1056" t="s">
        <v>3281</v>
      </c>
      <c r="D6" s="1057" t="s">
        <v>829</v>
      </c>
      <c r="E6" s="1058" t="s">
        <v>440</v>
      </c>
      <c r="F6" s="1059" t="s">
        <v>7836</v>
      </c>
      <c r="G6" s="1060" t="s">
        <v>5881</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6182</v>
      </c>
      <c r="Y6" s="1296" t="s">
        <v>2538</v>
      </c>
      <c r="Z6" s="1254"/>
      <c r="AA6" s="1254"/>
      <c r="AB6" s="1254"/>
      <c r="AC6" s="1254"/>
      <c r="AD6" s="798" t="s">
        <v>8240</v>
      </c>
      <c r="AE6" s="1285"/>
      <c r="AF6" s="765" t="s">
        <v>466</v>
      </c>
      <c r="AG6" s="1285"/>
      <c r="AH6" s="1254"/>
      <c r="AI6" s="1254"/>
      <c r="AJ6" s="1290" t="s">
        <v>2219</v>
      </c>
      <c r="AK6" s="1296" t="s">
        <v>6137</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4614</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3369</v>
      </c>
      <c r="CO6" s="1346"/>
      <c r="CP6" s="1346"/>
      <c r="CQ6" s="1346"/>
      <c r="CR6" s="1346"/>
      <c r="CS6" s="1348" t="s">
        <v>8256</v>
      </c>
      <c r="CT6" s="1254"/>
      <c r="CU6" s="1254"/>
    </row>
    <row r="7">
      <c r="A7" s="1349" t="s">
        <v>7401</v>
      </c>
      <c r="B7" s="1060" t="s">
        <v>8257</v>
      </c>
      <c r="C7" s="1056" t="s">
        <v>440</v>
      </c>
      <c r="D7" s="1057" t="s">
        <v>439</v>
      </c>
      <c r="E7" s="1058" t="s">
        <v>439</v>
      </c>
      <c r="F7" s="1059" t="s">
        <v>4968</v>
      </c>
      <c r="G7" s="1060" t="s">
        <v>3086</v>
      </c>
      <c r="H7" s="765" t="s">
        <v>8258</v>
      </c>
      <c r="I7" s="746" t="s">
        <v>8259</v>
      </c>
      <c r="J7" s="1350"/>
      <c r="K7" s="765" t="s">
        <v>8260</v>
      </c>
      <c r="L7" s="1285"/>
      <c r="M7" s="1295" t="s">
        <v>8261</v>
      </c>
      <c r="N7" s="1254"/>
      <c r="O7" s="1254"/>
      <c r="P7" s="1298" t="s">
        <v>8262</v>
      </c>
      <c r="Q7" s="1289"/>
      <c r="R7" s="798"/>
      <c r="S7" s="1254"/>
      <c r="T7" s="1254"/>
      <c r="U7" s="1298" t="s">
        <v>8263</v>
      </c>
      <c r="V7" s="1298"/>
      <c r="W7" s="1295" t="s">
        <v>2130</v>
      </c>
      <c r="X7" s="765" t="s">
        <v>1824</v>
      </c>
      <c r="Y7" s="765" t="s">
        <v>2062</v>
      </c>
      <c r="Z7" s="1295" t="s">
        <v>8264</v>
      </c>
      <c r="AA7" s="1285"/>
      <c r="AB7" s="1285"/>
      <c r="AC7" s="1298" t="s">
        <v>8265</v>
      </c>
      <c r="AD7" s="765" t="s">
        <v>4460</v>
      </c>
      <c r="AE7" s="1285"/>
      <c r="AF7" s="765" t="s">
        <v>8266</v>
      </c>
      <c r="AG7" s="1285"/>
      <c r="AH7" s="1298" t="s">
        <v>8267</v>
      </c>
      <c r="AI7" s="1298" t="s">
        <v>120</v>
      </c>
      <c r="AJ7" s="1298"/>
      <c r="AK7" s="798" t="s">
        <v>5857</v>
      </c>
      <c r="AL7" s="1298" t="s">
        <v>6332</v>
      </c>
      <c r="AM7" s="1351" t="s">
        <v>8268</v>
      </c>
      <c r="AN7" s="1295" t="s">
        <v>8269</v>
      </c>
      <c r="AO7" s="1296" t="s">
        <v>8270</v>
      </c>
      <c r="AP7" s="765" t="s">
        <v>8271</v>
      </c>
      <c r="AQ7" s="1285"/>
      <c r="AR7" s="765" t="s">
        <v>8272</v>
      </c>
      <c r="AS7" s="1285"/>
      <c r="AT7" s="1296" t="s">
        <v>8228</v>
      </c>
      <c r="AU7" s="765" t="s">
        <v>8273</v>
      </c>
      <c r="AV7" s="1285"/>
      <c r="AW7" s="1297" t="s">
        <v>8274</v>
      </c>
      <c r="AX7" s="1285"/>
      <c r="AY7" s="1296" t="s">
        <v>8275</v>
      </c>
      <c r="AZ7" s="765" t="s">
        <v>4661</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8279</v>
      </c>
      <c r="BZ7" s="1296" t="s">
        <v>8280</v>
      </c>
      <c r="CA7" s="1290" t="s">
        <v>1282</v>
      </c>
      <c r="CB7" s="1290" t="s">
        <v>8281</v>
      </c>
      <c r="CC7" s="1290" t="s">
        <v>478</v>
      </c>
      <c r="CD7" s="1353" t="s">
        <v>2515</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3184</v>
      </c>
      <c r="G8" s="1060" t="s">
        <v>2841</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3707</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3538</v>
      </c>
      <c r="BX8" s="1296" t="s">
        <v>2317</v>
      </c>
      <c r="BY8" s="1351" t="s">
        <v>3203</v>
      </c>
      <c r="BZ8" s="1285"/>
      <c r="CA8" s="1296" t="s">
        <v>1975</v>
      </c>
      <c r="CB8" s="1351" t="s">
        <v>2826</v>
      </c>
      <c r="CC8" s="1357" t="s">
        <v>3449</v>
      </c>
      <c r="CD8" s="1300"/>
      <c r="CE8" s="1347"/>
      <c r="CF8" s="1347"/>
      <c r="CG8" s="1358"/>
      <c r="CH8" s="1358"/>
      <c r="CI8" s="1347"/>
      <c r="CJ8" s="1347"/>
      <c r="CK8" s="1358"/>
      <c r="CL8" s="1358"/>
      <c r="CM8" s="1359" t="s">
        <v>2231</v>
      </c>
      <c r="CN8" s="1347"/>
      <c r="CO8" s="1358"/>
      <c r="CP8" s="1358"/>
      <c r="CQ8" s="1360" t="s">
        <v>8274</v>
      </c>
      <c r="CR8" s="1358"/>
      <c r="CS8" s="1358"/>
      <c r="CT8" s="1307"/>
      <c r="CU8" s="1285"/>
    </row>
    <row r="9">
      <c r="A9" s="1361" t="s">
        <v>2151</v>
      </c>
      <c r="B9" s="1060" t="s">
        <v>8300</v>
      </c>
      <c r="C9" s="1056" t="s">
        <v>1261</v>
      </c>
      <c r="D9" s="1057" t="s">
        <v>438</v>
      </c>
      <c r="E9" s="1058" t="s">
        <v>438</v>
      </c>
      <c r="F9" s="1059" t="s">
        <v>440</v>
      </c>
      <c r="G9" s="1060" t="s">
        <v>4614</v>
      </c>
      <c r="H9" s="1362" t="s">
        <v>8301</v>
      </c>
      <c r="I9" s="1363" t="s">
        <v>2164</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3935</v>
      </c>
      <c r="X9" s="798" t="s">
        <v>8315</v>
      </c>
      <c r="Y9" s="1298" t="s">
        <v>1991</v>
      </c>
      <c r="Z9" s="1254"/>
      <c r="AA9" s="1254"/>
      <c r="AB9" s="1289"/>
      <c r="AC9" s="1298" t="s">
        <v>8316</v>
      </c>
      <c r="AD9" s="1298" t="s">
        <v>5310</v>
      </c>
      <c r="AE9" s="1296" t="s">
        <v>2525</v>
      </c>
      <c r="AF9" s="1298" t="s">
        <v>8317</v>
      </c>
      <c r="AG9" s="798" t="s">
        <v>8318</v>
      </c>
      <c r="AH9" s="1289"/>
      <c r="AI9" s="1289"/>
      <c r="AJ9" s="1289"/>
      <c r="AK9" s="798" t="s">
        <v>8319</v>
      </c>
      <c r="AL9" s="798" t="s">
        <v>2754</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2181</v>
      </c>
      <c r="BY9" s="1298" t="s">
        <v>6014</v>
      </c>
      <c r="BZ9" s="798"/>
      <c r="CA9" s="1298" t="s">
        <v>3520</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2979</v>
      </c>
      <c r="B10" s="1060" t="s">
        <v>8326</v>
      </c>
      <c r="C10" s="1056" t="s">
        <v>438</v>
      </c>
      <c r="D10" s="1057" t="s">
        <v>438</v>
      </c>
      <c r="E10" s="1058" t="s">
        <v>1261</v>
      </c>
      <c r="F10" s="1059" t="s">
        <v>1064</v>
      </c>
      <c r="G10" s="1060" t="s">
        <v>5695</v>
      </c>
      <c r="H10" s="1362"/>
      <c r="I10" s="1362" t="s">
        <v>8327</v>
      </c>
      <c r="J10" s="1254"/>
      <c r="K10" s="798" t="s">
        <v>8328</v>
      </c>
      <c r="L10" s="765" t="s">
        <v>8329</v>
      </c>
      <c r="M10" s="798" t="s">
        <v>8330</v>
      </c>
      <c r="N10" s="1254"/>
      <c r="O10" s="798" t="s">
        <v>8331</v>
      </c>
      <c r="P10" s="798" t="s">
        <v>8332</v>
      </c>
      <c r="Q10" s="798" t="s">
        <v>8333</v>
      </c>
      <c r="R10" s="798" t="s">
        <v>8334</v>
      </c>
      <c r="S10" s="1296" t="s">
        <v>3017</v>
      </c>
      <c r="T10" s="1254"/>
      <c r="U10" s="798" t="s">
        <v>3936</v>
      </c>
      <c r="V10" s="1289"/>
      <c r="W10" s="798" t="s">
        <v>4977</v>
      </c>
      <c r="X10" s="765" t="s">
        <v>3567</v>
      </c>
      <c r="Y10" s="765" t="s">
        <v>8335</v>
      </c>
      <c r="Z10" s="1254"/>
      <c r="AA10" s="1290" t="s">
        <v>5642</v>
      </c>
      <c r="AB10" s="1289"/>
      <c r="AC10" s="798" t="s">
        <v>5752</v>
      </c>
      <c r="AD10" s="798" t="s">
        <v>1991</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1529</v>
      </c>
      <c r="BY10" s="798" t="s">
        <v>3665</v>
      </c>
      <c r="BZ10" s="1254"/>
      <c r="CA10" s="1289"/>
      <c r="CB10" s="798" t="s">
        <v>3545</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3801</v>
      </c>
      <c r="B11" s="1060" t="s">
        <v>8343</v>
      </c>
      <c r="C11" s="1056" t="s">
        <v>1261</v>
      </c>
      <c r="D11" s="1057" t="s">
        <v>547</v>
      </c>
      <c r="E11" s="1058" t="s">
        <v>1261</v>
      </c>
      <c r="F11" s="1059" t="s">
        <v>547</v>
      </c>
      <c r="G11" s="1060" t="s">
        <v>2430</v>
      </c>
      <c r="H11" s="1362"/>
      <c r="I11" s="1362" t="s">
        <v>3810</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4020</v>
      </c>
      <c r="W11" s="798" t="s">
        <v>4985</v>
      </c>
      <c r="X11" s="798" t="s">
        <v>8355</v>
      </c>
      <c r="Y11" s="798" t="s">
        <v>377</v>
      </c>
      <c r="Z11" s="1298" t="s">
        <v>3247</v>
      </c>
      <c r="AA11" s="798" t="s">
        <v>8356</v>
      </c>
      <c r="AB11" s="1298"/>
      <c r="AC11" s="1298" t="s">
        <v>2216</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1730</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4195</v>
      </c>
      <c r="BW11" s="1289"/>
      <c r="BX11" s="798" t="s">
        <v>4523</v>
      </c>
      <c r="BY11" s="798" t="s">
        <v>5383</v>
      </c>
      <c r="BZ11" s="1254"/>
      <c r="CA11" s="1289"/>
      <c r="CB11" s="798" t="s">
        <v>1671</v>
      </c>
      <c r="CC11" s="1289"/>
      <c r="CD11" s="1289"/>
      <c r="CE11" s="1347"/>
      <c r="CF11" s="798" t="s">
        <v>8322</v>
      </c>
      <c r="CG11" s="1289"/>
      <c r="CH11" s="1358"/>
      <c r="CI11" s="1360" t="s">
        <v>8181</v>
      </c>
      <c r="CJ11" s="1346" t="s">
        <v>8371</v>
      </c>
      <c r="CK11" s="1346"/>
      <c r="CL11" s="1359" t="s">
        <v>7836</v>
      </c>
      <c r="CM11" s="1346" t="s">
        <v>8372</v>
      </c>
      <c r="CN11" s="1346" t="s">
        <v>6159</v>
      </c>
      <c r="CO11" s="1346" t="s">
        <v>5695</v>
      </c>
      <c r="CP11" s="1346" t="s">
        <v>8273</v>
      </c>
      <c r="CQ11" s="1346" t="s">
        <v>8270</v>
      </c>
      <c r="CR11" s="1358"/>
      <c r="CS11" s="1358"/>
      <c r="CT11" s="1289"/>
      <c r="CU11" s="1254"/>
    </row>
    <row r="12">
      <c r="A12" s="1368" t="s">
        <v>6588</v>
      </c>
      <c r="B12" s="1060" t="s">
        <v>7746</v>
      </c>
      <c r="C12" s="1056" t="s">
        <v>440</v>
      </c>
      <c r="D12" s="1057" t="s">
        <v>1064</v>
      </c>
      <c r="E12" s="1058" t="s">
        <v>547</v>
      </c>
      <c r="F12" s="1059" t="s">
        <v>3184</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4251</v>
      </c>
      <c r="AE12" s="1254"/>
      <c r="AF12" s="1254"/>
      <c r="AG12" s="1254"/>
      <c r="AH12" s="798" t="s">
        <v>5899</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3086</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6380</v>
      </c>
      <c r="C13" s="1056" t="s">
        <v>547</v>
      </c>
      <c r="D13" s="1057" t="s">
        <v>440</v>
      </c>
      <c r="E13" s="1058" t="s">
        <v>332</v>
      </c>
      <c r="F13" s="1059" t="s">
        <v>3184</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2500</v>
      </c>
      <c r="Y13" s="765" t="s">
        <v>4198</v>
      </c>
      <c r="Z13" s="1254"/>
      <c r="AA13" s="1296" t="s">
        <v>6142</v>
      </c>
      <c r="AB13" s="1289"/>
      <c r="AC13" s="765" t="s">
        <v>2220</v>
      </c>
      <c r="AD13" s="765" t="s">
        <v>2300</v>
      </c>
      <c r="AE13" s="765" t="s">
        <v>6105</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3986</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2682</v>
      </c>
      <c r="Z14" s="1254"/>
      <c r="AA14" s="1254"/>
      <c r="AB14" s="1289"/>
      <c r="AC14" s="798" t="s">
        <v>8402</v>
      </c>
      <c r="AD14" s="746" t="s">
        <v>4251</v>
      </c>
      <c r="AE14" s="1254"/>
      <c r="AF14" s="1254"/>
      <c r="AG14" s="1254"/>
      <c r="AH14" s="1298" t="s">
        <v>5355</v>
      </c>
      <c r="AI14" s="1289"/>
      <c r="AJ14" s="1289"/>
      <c r="AK14" s="1298" t="s">
        <v>4814</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6159</v>
      </c>
      <c r="CO14" s="1358"/>
      <c r="CP14" s="1358"/>
      <c r="CQ14" s="1358"/>
      <c r="CR14" s="1384" t="s">
        <v>2841</v>
      </c>
      <c r="CS14" s="1358"/>
      <c r="CT14" s="1289"/>
      <c r="CU14" s="1254"/>
    </row>
    <row r="15">
      <c r="A15" s="1341" t="s">
        <v>1812</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5906</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2865</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3597</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3281</v>
      </c>
      <c r="G17" s="1060" t="s">
        <v>1203</v>
      </c>
      <c r="H17" s="1362"/>
      <c r="I17" s="1362"/>
      <c r="J17" s="1254"/>
      <c r="K17" s="1254"/>
      <c r="L17" s="1254"/>
      <c r="M17" s="1254"/>
      <c r="N17" s="1254"/>
      <c r="O17" s="1254"/>
      <c r="P17" s="1254"/>
      <c r="Q17" s="1289"/>
      <c r="R17" s="1254"/>
      <c r="S17" s="1254"/>
      <c r="T17" s="1254"/>
      <c r="U17" s="1254"/>
      <c r="V17" s="1289"/>
      <c r="W17" s="1290" t="s">
        <v>8428</v>
      </c>
      <c r="X17" s="1296" t="s">
        <v>1746</v>
      </c>
      <c r="Y17" s="1254"/>
      <c r="Z17" s="1254"/>
      <c r="AA17" s="1254"/>
      <c r="AB17" s="1290" t="s">
        <v>8429</v>
      </c>
      <c r="AC17" s="1296" t="s">
        <v>2459</v>
      </c>
      <c r="AD17" s="765" t="s">
        <v>2929</v>
      </c>
      <c r="AE17" s="1285"/>
      <c r="AF17" s="1290" t="s">
        <v>8430</v>
      </c>
      <c r="AG17" s="1254"/>
      <c r="AH17" s="1290" t="s">
        <v>1705</v>
      </c>
      <c r="AI17" s="1290" t="s">
        <v>3136</v>
      </c>
      <c r="AJ17" s="1289"/>
      <c r="AK17" s="798" t="s">
        <v>4253</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3480</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3984</v>
      </c>
      <c r="B18" s="1060" t="s">
        <v>8432</v>
      </c>
      <c r="C18" s="1056" t="s">
        <v>547</v>
      </c>
      <c r="D18" s="1057" t="s">
        <v>1261</v>
      </c>
      <c r="E18" s="1058" t="s">
        <v>547</v>
      </c>
      <c r="F18" s="1059" t="s">
        <v>438</v>
      </c>
      <c r="G18" s="1060" t="s">
        <v>3086</v>
      </c>
      <c r="H18" s="1362"/>
      <c r="I18" s="1362" t="s">
        <v>8433</v>
      </c>
      <c r="J18" s="798"/>
      <c r="K18" s="1298" t="s">
        <v>8434</v>
      </c>
      <c r="L18" s="798"/>
      <c r="M18" s="1298" t="s">
        <v>8435</v>
      </c>
      <c r="N18" s="1254"/>
      <c r="O18" s="1298" t="s">
        <v>8436</v>
      </c>
      <c r="P18" s="1254"/>
      <c r="Q18" s="1289"/>
      <c r="R18" s="798" t="s">
        <v>8437</v>
      </c>
      <c r="S18" s="1336" t="s">
        <v>8438</v>
      </c>
      <c r="T18" s="1298" t="s">
        <v>8439</v>
      </c>
      <c r="U18" s="798" t="s">
        <v>3718</v>
      </c>
      <c r="V18" s="1298"/>
      <c r="W18" s="1298" t="s">
        <v>4429</v>
      </c>
      <c r="X18" s="798" t="s">
        <v>3752</v>
      </c>
      <c r="Y18" s="1298" t="s">
        <v>2802</v>
      </c>
      <c r="Z18" s="1254"/>
      <c r="AA18" s="1254"/>
      <c r="AB18" s="1289"/>
      <c r="AC18" s="1298" t="s">
        <v>8440</v>
      </c>
      <c r="AD18" s="798" t="s">
        <v>2025</v>
      </c>
      <c r="AE18" s="798"/>
      <c r="AF18" s="1298" t="s">
        <v>8441</v>
      </c>
      <c r="AG18" s="1290" t="s">
        <v>8442</v>
      </c>
      <c r="AH18" s="1295" t="s">
        <v>1270</v>
      </c>
      <c r="AI18" s="1289"/>
      <c r="AJ18" s="1289"/>
      <c r="AK18" s="1298" t="s">
        <v>708</v>
      </c>
      <c r="AL18" s="1254"/>
      <c r="AM18" s="1298" t="s">
        <v>8391</v>
      </c>
      <c r="AN18" s="1254"/>
      <c r="AO18" s="1254"/>
      <c r="AP18" s="798" t="s">
        <v>8197</v>
      </c>
      <c r="AQ18" s="798"/>
      <c r="AR18" s="798" t="s">
        <v>8221</v>
      </c>
      <c r="AS18" s="798" t="s">
        <v>8443</v>
      </c>
      <c r="AT18" s="798" t="s">
        <v>8444</v>
      </c>
      <c r="AU18" s="798" t="s">
        <v>8445</v>
      </c>
      <c r="AV18" s="798"/>
      <c r="AW18" s="1254"/>
      <c r="AX18" s="1254"/>
      <c r="AY18" s="1254"/>
      <c r="AZ18" s="1298" t="s">
        <v>4762</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4679</v>
      </c>
      <c r="BW18" s="1289"/>
      <c r="BX18" s="1254"/>
      <c r="BY18" s="798" t="s">
        <v>2192</v>
      </c>
      <c r="BZ18" s="1254"/>
      <c r="CA18" s="1289"/>
      <c r="CB18" s="798" t="s">
        <v>4518</v>
      </c>
      <c r="CC18" s="1298" t="s">
        <v>8449</v>
      </c>
      <c r="CD18" s="1298"/>
      <c r="CE18" s="1254"/>
      <c r="CF18" s="1254"/>
      <c r="CG18" s="1289"/>
      <c r="CH18" s="1289"/>
      <c r="CI18" s="1254"/>
      <c r="CJ18" s="1254"/>
      <c r="CK18" s="1289"/>
      <c r="CL18" s="1289"/>
      <c r="CM18" s="1298" t="s">
        <v>8450</v>
      </c>
      <c r="CN18" s="1298" t="s">
        <v>1882</v>
      </c>
      <c r="CO18" s="1298" t="s">
        <v>4850</v>
      </c>
      <c r="CP18" s="1298" t="s">
        <v>8451</v>
      </c>
      <c r="CQ18" s="798" t="s">
        <v>8452</v>
      </c>
      <c r="CR18" s="1298" t="s">
        <v>3335</v>
      </c>
      <c r="CS18" s="798" t="s">
        <v>8453</v>
      </c>
      <c r="CT18" s="1289"/>
      <c r="CU18" s="1254"/>
    </row>
    <row r="19">
      <c r="A19" s="1389" t="s">
        <v>4782</v>
      </c>
      <c r="B19" s="1060" t="s">
        <v>8454</v>
      </c>
      <c r="C19" s="1056" t="s">
        <v>1261</v>
      </c>
      <c r="D19" s="1057" t="s">
        <v>1261</v>
      </c>
      <c r="E19" s="1058" t="s">
        <v>1261</v>
      </c>
      <c r="F19" s="1059" t="s">
        <v>547</v>
      </c>
      <c r="G19" s="1060" t="s">
        <v>3369</v>
      </c>
      <c r="H19" s="1362"/>
      <c r="I19" s="1362" t="s">
        <v>8455</v>
      </c>
      <c r="J19" s="798"/>
      <c r="K19" s="798" t="s">
        <v>7374</v>
      </c>
      <c r="L19" s="798"/>
      <c r="M19" s="1254"/>
      <c r="N19" s="1254"/>
      <c r="O19" s="1254"/>
      <c r="P19" s="1254"/>
      <c r="Q19" s="1289"/>
      <c r="R19" s="1298" t="s">
        <v>8456</v>
      </c>
      <c r="S19" s="1254"/>
      <c r="T19" s="1298" t="s">
        <v>8457</v>
      </c>
      <c r="U19" s="1298" t="s">
        <v>8458</v>
      </c>
      <c r="V19" s="1298" t="s">
        <v>8459</v>
      </c>
      <c r="W19" s="1298" t="s">
        <v>3655</v>
      </c>
      <c r="X19" s="798" t="s">
        <v>2584</v>
      </c>
      <c r="Y19" s="1298" t="s">
        <v>8460</v>
      </c>
      <c r="Z19" s="1254"/>
      <c r="AA19" s="1254"/>
      <c r="AB19" s="1289"/>
      <c r="AC19" s="765" t="s">
        <v>344</v>
      </c>
      <c r="AD19" s="1298" t="s">
        <v>3879</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8226</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4422</v>
      </c>
      <c r="B20" s="1060" t="s">
        <v>6416</v>
      </c>
      <c r="C20" s="1056" t="s">
        <v>1261</v>
      </c>
      <c r="D20" s="1057" t="s">
        <v>1261</v>
      </c>
      <c r="E20" s="1058" t="s">
        <v>1261</v>
      </c>
      <c r="F20" s="1059" t="s">
        <v>1261</v>
      </c>
      <c r="G20" s="1060" t="s">
        <v>3369</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4160</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8482</v>
      </c>
      <c r="C21" s="1056" t="s">
        <v>1261</v>
      </c>
      <c r="D21" s="1057" t="s">
        <v>1261</v>
      </c>
      <c r="E21" s="1058" t="s">
        <v>1261</v>
      </c>
      <c r="F21" s="1059" t="s">
        <v>1261</v>
      </c>
      <c r="G21" s="1060" t="s">
        <v>3184</v>
      </c>
      <c r="H21" s="1362"/>
      <c r="I21" s="1362" t="s">
        <v>8483</v>
      </c>
      <c r="J21" s="798"/>
      <c r="K21" s="1298" t="s">
        <v>8484</v>
      </c>
      <c r="L21" s="798"/>
      <c r="M21" s="798"/>
      <c r="N21" s="798"/>
      <c r="O21" s="1298" t="s">
        <v>8485</v>
      </c>
      <c r="P21" s="798"/>
      <c r="Q21" s="1289"/>
      <c r="R21" s="1254"/>
      <c r="S21" s="1254"/>
      <c r="T21" s="798"/>
      <c r="U21" s="1298" t="s">
        <v>8486</v>
      </c>
      <c r="V21" s="1298"/>
      <c r="W21" s="1298" t="s">
        <v>2307</v>
      </c>
      <c r="X21" s="798"/>
      <c r="Y21" s="1298" t="s">
        <v>3261</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8227</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8492</v>
      </c>
      <c r="C22" s="1056" t="s">
        <v>1261</v>
      </c>
      <c r="D22" s="1057" t="s">
        <v>1261</v>
      </c>
      <c r="E22" s="1058" t="s">
        <v>547</v>
      </c>
      <c r="F22" s="1059" t="s">
        <v>438</v>
      </c>
      <c r="G22" s="1060" t="s">
        <v>3184</v>
      </c>
      <c r="H22" s="1362" t="s">
        <v>8493</v>
      </c>
      <c r="I22" s="1362"/>
      <c r="J22" s="1254"/>
      <c r="K22" s="1298" t="s">
        <v>8494</v>
      </c>
      <c r="L22" s="798"/>
      <c r="M22" s="1254"/>
      <c r="N22" s="1254"/>
      <c r="O22" s="1254"/>
      <c r="P22" s="1254"/>
      <c r="Q22" s="1298" t="s">
        <v>8495</v>
      </c>
      <c r="R22" s="1298" t="s">
        <v>8496</v>
      </c>
      <c r="S22" s="1254"/>
      <c r="T22" s="1298" t="s">
        <v>8497</v>
      </c>
      <c r="U22" s="1392" t="s">
        <v>8498</v>
      </c>
      <c r="V22" s="1392"/>
      <c r="W22" s="1298" t="s">
        <v>369</v>
      </c>
      <c r="X22" s="798"/>
      <c r="Y22" s="1298" t="s">
        <v>5142</v>
      </c>
      <c r="Z22" s="1254"/>
      <c r="AA22" s="1254"/>
      <c r="AB22" s="1289"/>
      <c r="AC22" s="1298" t="s">
        <v>8499</v>
      </c>
      <c r="AD22" s="1298" t="s">
        <v>4047</v>
      </c>
      <c r="AE22" s="1285"/>
      <c r="AF22" s="765" t="s">
        <v>724</v>
      </c>
      <c r="AG22" s="1285"/>
      <c r="AH22" s="1298" t="s">
        <v>3274</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8500</v>
      </c>
      <c r="CU22" s="1285"/>
    </row>
    <row r="23">
      <c r="A23" s="1395" t="s">
        <v>7991</v>
      </c>
      <c r="B23" s="1060" t="s">
        <v>8501</v>
      </c>
      <c r="C23" s="1056" t="s">
        <v>1261</v>
      </c>
      <c r="D23" s="1057" t="s">
        <v>1261</v>
      </c>
      <c r="E23" s="1058" t="s">
        <v>1261</v>
      </c>
      <c r="F23" s="1059" t="s">
        <v>1261</v>
      </c>
      <c r="G23" s="1060" t="s">
        <v>2697</v>
      </c>
      <c r="H23" s="1362"/>
      <c r="I23" s="1362" t="s">
        <v>8502</v>
      </c>
      <c r="J23" s="798"/>
      <c r="K23" s="798" t="s">
        <v>8503</v>
      </c>
      <c r="L23" s="798"/>
      <c r="M23" s="1254"/>
      <c r="N23" s="1289" t="s">
        <v>8504</v>
      </c>
      <c r="O23" s="1254"/>
      <c r="P23" s="1254"/>
      <c r="Q23" s="1289"/>
      <c r="R23" s="1298" t="s">
        <v>8505</v>
      </c>
      <c r="S23" s="1254"/>
      <c r="T23" s="1298" t="s">
        <v>8506</v>
      </c>
      <c r="U23" s="1298" t="s">
        <v>8507</v>
      </c>
      <c r="V23" s="1298"/>
      <c r="W23" s="1298" t="s">
        <v>2959</v>
      </c>
      <c r="X23" s="798"/>
      <c r="Y23" s="1298" t="s">
        <v>1016</v>
      </c>
      <c r="Z23" s="1289" t="s">
        <v>8508</v>
      </c>
      <c r="AA23" s="1254"/>
      <c r="AB23" s="1289"/>
      <c r="AC23" s="798"/>
      <c r="AD23" s="1298" t="s">
        <v>1912</v>
      </c>
      <c r="AE23" s="798"/>
      <c r="AF23" s="798"/>
      <c r="AG23" s="798"/>
      <c r="AH23" s="1298"/>
      <c r="AI23" s="1289" t="s">
        <v>8509</v>
      </c>
      <c r="AJ23" s="1289"/>
      <c r="AK23" s="1289"/>
      <c r="AL23" s="1254"/>
      <c r="AM23" s="1289" t="s">
        <v>8510</v>
      </c>
      <c r="AN23" s="1254"/>
      <c r="AO23" s="1254"/>
      <c r="AP23" s="798" t="s">
        <v>8511</v>
      </c>
      <c r="AQ23" s="1254"/>
      <c r="AR23" s="1289" t="s">
        <v>8512</v>
      </c>
      <c r="AS23" s="1254"/>
      <c r="AT23" s="1289" t="s">
        <v>8513</v>
      </c>
      <c r="AU23" s="798" t="s">
        <v>8514</v>
      </c>
      <c r="AV23" s="798"/>
      <c r="AW23" s="798" t="s">
        <v>8403</v>
      </c>
      <c r="AX23" s="1254"/>
      <c r="AY23" s="1289" t="s">
        <v>8407</v>
      </c>
      <c r="AZ23" s="798"/>
      <c r="BA23" s="798"/>
      <c r="BB23" s="1289" t="s">
        <v>8515</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8516</v>
      </c>
      <c r="C24" s="1056" t="s">
        <v>1261</v>
      </c>
      <c r="D24" s="1057" t="s">
        <v>547</v>
      </c>
      <c r="E24" s="1058" t="s">
        <v>438</v>
      </c>
      <c r="F24" s="1059" t="s">
        <v>439</v>
      </c>
      <c r="G24" s="1060" t="s">
        <v>5114</v>
      </c>
      <c r="H24" s="1369" t="s">
        <v>8517</v>
      </c>
      <c r="I24" s="1369" t="s">
        <v>5219</v>
      </c>
      <c r="J24" s="1285"/>
      <c r="K24" s="1298" t="s">
        <v>8518</v>
      </c>
      <c r="L24" s="798"/>
      <c r="M24" s="798"/>
      <c r="N24" s="1298" t="s">
        <v>8519</v>
      </c>
      <c r="O24" s="1298" t="s">
        <v>8520</v>
      </c>
      <c r="P24" s="1298" t="s">
        <v>8521</v>
      </c>
      <c r="Q24" s="1298" t="s">
        <v>8522</v>
      </c>
      <c r="R24" s="1298" t="s">
        <v>8523</v>
      </c>
      <c r="S24" s="1298" t="s">
        <v>5239</v>
      </c>
      <c r="T24" s="1298" t="s">
        <v>8524</v>
      </c>
      <c r="U24" s="1298" t="s">
        <v>8525</v>
      </c>
      <c r="V24" s="1298"/>
      <c r="W24" s="1298" t="s">
        <v>6024</v>
      </c>
      <c r="X24" s="798"/>
      <c r="Y24" s="1254"/>
      <c r="Z24" s="1254"/>
      <c r="AA24" s="1254"/>
      <c r="AB24" s="1289"/>
      <c r="AC24" s="1298" t="s">
        <v>8526</v>
      </c>
      <c r="AD24" s="1298" t="s">
        <v>5760</v>
      </c>
      <c r="AE24" s="798"/>
      <c r="AF24" s="1298" t="s">
        <v>7597</v>
      </c>
      <c r="AG24" s="798"/>
      <c r="AH24" s="1298" t="s">
        <v>3321</v>
      </c>
      <c r="AI24" s="1298"/>
      <c r="AJ24" s="1298"/>
      <c r="AK24" s="1289"/>
      <c r="AL24" s="1254"/>
      <c r="AM24" s="1298" t="s">
        <v>8527</v>
      </c>
      <c r="AN24" s="1298" t="s">
        <v>8379</v>
      </c>
      <c r="AO24" s="1298" t="s">
        <v>8294</v>
      </c>
      <c r="AP24" s="1298" t="s">
        <v>8528</v>
      </c>
      <c r="AQ24" s="798"/>
      <c r="AR24" s="1298" t="s">
        <v>8443</v>
      </c>
      <c r="AS24" s="798"/>
      <c r="AT24" s="1298" t="s">
        <v>8529</v>
      </c>
      <c r="AU24" s="1298" t="s">
        <v>8530</v>
      </c>
      <c r="AV24" s="798"/>
      <c r="AW24" s="1298" t="s">
        <v>8391</v>
      </c>
      <c r="AX24" s="798"/>
      <c r="AY24" s="1298" t="s">
        <v>8431</v>
      </c>
      <c r="AZ24" s="1254"/>
      <c r="BA24" s="1254"/>
      <c r="BB24" s="1298" t="s">
        <v>8360</v>
      </c>
      <c r="BC24" s="798" t="s">
        <v>8431</v>
      </c>
      <c r="BD24" s="1298" t="s">
        <v>8445</v>
      </c>
      <c r="BE24" s="1298"/>
      <c r="BF24" s="798"/>
      <c r="BG24" s="1397" t="s">
        <v>8531</v>
      </c>
      <c r="BH24" s="1398" t="s">
        <v>8532</v>
      </c>
      <c r="BI24" s="1198"/>
      <c r="BJ24" s="1198"/>
      <c r="BK24" s="1198"/>
      <c r="BL24" s="1198" t="s">
        <v>8533</v>
      </c>
      <c r="BM24" s="1198" t="s">
        <v>8534</v>
      </c>
      <c r="BN24" s="1198"/>
      <c r="BO24" s="1198"/>
      <c r="BP24" s="1198"/>
      <c r="BQ24" s="1289"/>
      <c r="BR24" s="1399" t="s">
        <v>8535</v>
      </c>
      <c r="BS24" s="1289"/>
      <c r="BT24" s="1289"/>
      <c r="BU24" s="1289"/>
      <c r="BV24" s="1400" t="s">
        <v>162</v>
      </c>
      <c r="BW24" s="1298" t="s">
        <v>1785</v>
      </c>
      <c r="BX24" s="1298" t="s">
        <v>1636</v>
      </c>
      <c r="BY24" s="1295" t="s">
        <v>4935</v>
      </c>
      <c r="BZ24" s="1298" t="s">
        <v>2216</v>
      </c>
      <c r="CA24" s="1298" t="s">
        <v>5433</v>
      </c>
      <c r="CB24" s="1298" t="s">
        <v>2131</v>
      </c>
      <c r="CC24" s="1298" t="s">
        <v>8536</v>
      </c>
      <c r="CD24" s="1298"/>
      <c r="CE24" s="1360" t="s">
        <v>8465</v>
      </c>
      <c r="CF24" s="1360" t="s">
        <v>8168</v>
      </c>
      <c r="CG24" s="1360" t="s">
        <v>8537</v>
      </c>
      <c r="CH24" s="1360"/>
      <c r="CI24" s="1347"/>
      <c r="CJ24" s="1347"/>
      <c r="CK24" s="1358"/>
      <c r="CL24" s="1358"/>
      <c r="CM24" s="1358"/>
      <c r="CN24" s="1347"/>
      <c r="CO24" s="1358"/>
      <c r="CP24" s="1358"/>
      <c r="CQ24" s="1358"/>
      <c r="CR24" s="1358"/>
      <c r="CS24" s="1358"/>
      <c r="CT24" s="765" t="s">
        <v>4886</v>
      </c>
      <c r="CU24" s="1285"/>
    </row>
    <row r="25">
      <c r="A25" s="1354" t="s">
        <v>6576</v>
      </c>
      <c r="B25" s="1060" t="s">
        <v>8538</v>
      </c>
      <c r="C25" s="1056" t="s">
        <v>1261</v>
      </c>
      <c r="D25" s="1057" t="s">
        <v>547</v>
      </c>
      <c r="E25" s="1058" t="s">
        <v>1261</v>
      </c>
      <c r="F25" s="1059" t="s">
        <v>440</v>
      </c>
      <c r="G25" s="1060" t="s">
        <v>3369</v>
      </c>
      <c r="H25" s="1362"/>
      <c r="I25" s="1362" t="s">
        <v>8539</v>
      </c>
      <c r="J25" s="798"/>
      <c r="K25" s="798" t="s">
        <v>8540</v>
      </c>
      <c r="L25" s="1296" t="s">
        <v>3696</v>
      </c>
      <c r="M25" s="1254"/>
      <c r="N25" s="1254"/>
      <c r="O25" s="1254"/>
      <c r="P25" s="798" t="s">
        <v>5806</v>
      </c>
      <c r="Q25" s="1289"/>
      <c r="R25" s="765" t="s">
        <v>8541</v>
      </c>
      <c r="S25" s="1254"/>
      <c r="T25" s="1254"/>
      <c r="U25" s="798" t="s">
        <v>752</v>
      </c>
      <c r="V25" s="1298"/>
      <c r="W25" s="1298" t="s">
        <v>4303</v>
      </c>
      <c r="X25" s="798" t="s">
        <v>3660</v>
      </c>
      <c r="Y25" s="765" t="s">
        <v>5843</v>
      </c>
      <c r="Z25" s="1254"/>
      <c r="AA25" s="1254"/>
      <c r="AB25" s="1289"/>
      <c r="AC25" s="1298" t="s">
        <v>8542</v>
      </c>
      <c r="AD25" s="1298" t="s">
        <v>8543</v>
      </c>
      <c r="AE25" s="798"/>
      <c r="AF25" s="1298" t="s">
        <v>8544</v>
      </c>
      <c r="AG25" s="798"/>
      <c r="AH25" s="1298" t="s">
        <v>8545</v>
      </c>
      <c r="AI25" s="1289"/>
      <c r="AJ25" s="1289"/>
      <c r="AK25" s="1303" t="s">
        <v>3742</v>
      </c>
      <c r="AL25" s="1350"/>
      <c r="AM25" s="1254"/>
      <c r="AN25" s="1254"/>
      <c r="AO25" s="1254"/>
      <c r="AP25" s="1254"/>
      <c r="AQ25" s="1254"/>
      <c r="AR25" s="1298" t="s">
        <v>8546</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3986</v>
      </c>
      <c r="CN25" s="1298" t="s">
        <v>219</v>
      </c>
      <c r="CO25" s="1298" t="s">
        <v>4661</v>
      </c>
      <c r="CP25" s="1289"/>
      <c r="CQ25" s="1289"/>
      <c r="CR25" s="1289"/>
      <c r="CS25" s="1289"/>
      <c r="CT25" s="1289"/>
      <c r="CU25" s="1254"/>
    </row>
    <row r="26">
      <c r="A26" s="1387" t="s">
        <v>4659</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2912</v>
      </c>
      <c r="Y26" s="1290" t="s">
        <v>8378</v>
      </c>
      <c r="Z26" s="1254"/>
      <c r="AA26" s="1254"/>
      <c r="AB26" s="1289"/>
      <c r="AC26" s="1290" t="s">
        <v>4703</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3939</v>
      </c>
      <c r="BW26" s="1289"/>
      <c r="BX26" s="1290" t="s">
        <v>1669</v>
      </c>
      <c r="BY26" s="1254"/>
      <c r="BZ26" s="1290" t="s">
        <v>8547</v>
      </c>
      <c r="CA26" s="1289"/>
      <c r="CB26" s="1289"/>
      <c r="CC26" s="1289"/>
      <c r="CD26" s="1382" t="s">
        <v>2003</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8548</v>
      </c>
      <c r="C27" s="1056" t="s">
        <v>1261</v>
      </c>
      <c r="D27" s="1057" t="s">
        <v>1261</v>
      </c>
      <c r="E27" s="1058" t="s">
        <v>547</v>
      </c>
      <c r="F27" s="1059" t="s">
        <v>438</v>
      </c>
      <c r="G27" s="1060" t="s">
        <v>829</v>
      </c>
      <c r="H27" s="1362"/>
      <c r="I27" s="1362" t="s">
        <v>8549</v>
      </c>
      <c r="J27" s="1254"/>
      <c r="K27" s="798" t="s">
        <v>8550</v>
      </c>
      <c r="L27" s="1254"/>
      <c r="M27" s="1254"/>
      <c r="N27" s="1254"/>
      <c r="O27" s="1254"/>
      <c r="P27" s="798" t="s">
        <v>8551</v>
      </c>
      <c r="Q27" s="1289"/>
      <c r="R27" s="1254"/>
      <c r="S27" s="1254"/>
      <c r="T27" s="1254"/>
      <c r="U27" s="746" t="s">
        <v>8552</v>
      </c>
      <c r="V27" s="1289"/>
      <c r="W27" s="1254"/>
      <c r="X27" s="798" t="s">
        <v>6772</v>
      </c>
      <c r="Y27" s="765" t="s">
        <v>6866</v>
      </c>
      <c r="Z27" s="1254"/>
      <c r="AA27" s="798" t="s">
        <v>8553</v>
      </c>
      <c r="AB27" s="1289"/>
      <c r="AC27" s="798" t="s">
        <v>8554</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3216</v>
      </c>
      <c r="B28" s="1060" t="s">
        <v>2087</v>
      </c>
      <c r="C28" s="1056" t="s">
        <v>547</v>
      </c>
      <c r="D28" s="1057" t="s">
        <v>1261</v>
      </c>
      <c r="E28" s="1058" t="s">
        <v>1261</v>
      </c>
      <c r="F28" s="1059" t="s">
        <v>332</v>
      </c>
      <c r="G28" s="1060" t="s">
        <v>2697</v>
      </c>
      <c r="H28" s="1362"/>
      <c r="I28" s="1339" t="s">
        <v>8555</v>
      </c>
      <c r="J28" s="1254"/>
      <c r="K28" s="798" t="s">
        <v>8556</v>
      </c>
      <c r="L28" s="1254"/>
      <c r="M28" s="765" t="s">
        <v>8557</v>
      </c>
      <c r="N28" s="1254"/>
      <c r="O28" s="1254"/>
      <c r="P28" s="1298" t="s">
        <v>5911</v>
      </c>
      <c r="Q28" s="1289"/>
      <c r="R28" s="1254"/>
      <c r="S28" s="798" t="s">
        <v>8558</v>
      </c>
      <c r="T28" s="798"/>
      <c r="U28" s="1298" t="s">
        <v>3685</v>
      </c>
      <c r="V28" s="1289"/>
      <c r="W28" s="1254"/>
      <c r="X28" s="798" t="s">
        <v>8559</v>
      </c>
      <c r="Y28" s="798" t="s">
        <v>5049</v>
      </c>
      <c r="Z28" s="1254"/>
      <c r="AA28" s="798" t="s">
        <v>8560</v>
      </c>
      <c r="AB28" s="1289"/>
      <c r="AC28" s="798" t="s">
        <v>8561</v>
      </c>
      <c r="AD28" s="798" t="s">
        <v>5311</v>
      </c>
      <c r="AE28" s="798" t="s">
        <v>8562</v>
      </c>
      <c r="AF28" s="798" t="s">
        <v>7881</v>
      </c>
      <c r="AG28" s="1254"/>
      <c r="AH28" s="1289"/>
      <c r="AI28" s="1289"/>
      <c r="AJ28" s="1289"/>
      <c r="AK28" s="1289"/>
      <c r="AL28" s="1254"/>
      <c r="AM28" s="1254"/>
      <c r="AN28" s="798" t="s">
        <v>8563</v>
      </c>
      <c r="AO28" s="1298" t="s">
        <v>8564</v>
      </c>
      <c r="AP28" s="1254"/>
      <c r="AQ28" s="798" t="s">
        <v>8293</v>
      </c>
      <c r="AR28" s="1254"/>
      <c r="AS28" s="1254"/>
      <c r="AT28" s="1254"/>
      <c r="AU28" s="798" t="s">
        <v>8514</v>
      </c>
      <c r="AV28" s="1254"/>
      <c r="AW28" s="1254"/>
      <c r="AX28" s="1254"/>
      <c r="AY28" s="1254"/>
      <c r="AZ28" s="1254"/>
      <c r="BA28" s="1254"/>
      <c r="BB28" s="1254"/>
      <c r="BC28" s="1254"/>
      <c r="BD28" s="1254"/>
      <c r="BE28" s="1289"/>
      <c r="BF28" s="1254"/>
      <c r="BG28" s="1366"/>
      <c r="BH28" s="1366"/>
      <c r="BI28" s="1366"/>
      <c r="BJ28" s="1366"/>
      <c r="BK28" s="1366"/>
      <c r="BL28" s="1403" t="s">
        <v>8565</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4732</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3211</v>
      </c>
      <c r="Y29" s="1295" t="s">
        <v>5412</v>
      </c>
      <c r="Z29" s="1254"/>
      <c r="AA29" s="1254"/>
      <c r="AB29" s="1289"/>
      <c r="AC29" s="1254"/>
      <c r="AD29" s="1254"/>
      <c r="AE29" s="1285"/>
      <c r="AF29" s="1296" t="s">
        <v>5657</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5737</v>
      </c>
      <c r="C30" s="1056" t="s">
        <v>1261</v>
      </c>
      <c r="D30" s="1057" t="s">
        <v>1261</v>
      </c>
      <c r="E30" s="1058" t="s">
        <v>1261</v>
      </c>
      <c r="F30" s="1059" t="s">
        <v>438</v>
      </c>
      <c r="G30" s="1060" t="s">
        <v>332</v>
      </c>
      <c r="H30" s="1362"/>
      <c r="I30" s="1362"/>
      <c r="J30" s="92"/>
      <c r="K30" s="92"/>
      <c r="L30" s="92"/>
      <c r="M30" s="92"/>
      <c r="N30" s="92"/>
      <c r="O30" s="92"/>
      <c r="P30" s="92"/>
      <c r="Q30" s="96"/>
      <c r="R30" s="113" t="s">
        <v>8566</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8567</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4762</v>
      </c>
      <c r="C31" s="1056" t="s">
        <v>1261</v>
      </c>
      <c r="D31" s="1057" t="s">
        <v>1261</v>
      </c>
      <c r="E31" s="1058" t="s">
        <v>1261</v>
      </c>
      <c r="F31" s="1059" t="s">
        <v>1261</v>
      </c>
      <c r="G31" s="1060" t="s">
        <v>333</v>
      </c>
      <c r="H31" s="1362"/>
      <c r="I31" s="1362" t="s">
        <v>6649</v>
      </c>
      <c r="J31" s="1254"/>
      <c r="K31" s="798" t="s">
        <v>8568</v>
      </c>
      <c r="L31" s="1254"/>
      <c r="M31" s="1254"/>
      <c r="N31" s="1254"/>
      <c r="O31" s="1254"/>
      <c r="P31" s="798" t="s">
        <v>8569</v>
      </c>
      <c r="Q31" s="1289"/>
      <c r="R31" s="1254"/>
      <c r="S31" s="1254"/>
      <c r="T31" s="798" t="s">
        <v>8570</v>
      </c>
      <c r="U31" s="798" t="s">
        <v>8571</v>
      </c>
      <c r="V31" s="1289"/>
      <c r="W31" s="798" t="s">
        <v>248</v>
      </c>
      <c r="X31" s="798" t="s">
        <v>8572</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8546</v>
      </c>
      <c r="AV31" s="1254"/>
      <c r="AW31" s="1254"/>
      <c r="AX31" s="1254"/>
      <c r="AY31" s="1254"/>
      <c r="AZ31" s="798" t="s">
        <v>2375</v>
      </c>
      <c r="BA31" s="1254"/>
      <c r="BB31" s="746" t="s">
        <v>8573</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4524</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6004</v>
      </c>
      <c r="Z32" s="1254"/>
      <c r="AA32" s="1254"/>
      <c r="AB32" s="1289"/>
      <c r="AC32" s="1298" t="s">
        <v>8574</v>
      </c>
      <c r="AD32" s="798" t="s">
        <v>2125</v>
      </c>
      <c r="AE32" s="798"/>
      <c r="AF32" s="1298" t="s">
        <v>7788</v>
      </c>
      <c r="AG32" s="798"/>
      <c r="AH32" s="1298" t="s">
        <v>4437</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4112</v>
      </c>
      <c r="BY32" s="1298" t="s">
        <v>4463</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6101</v>
      </c>
      <c r="B33" s="1060" t="s">
        <v>4614</v>
      </c>
      <c r="C33" s="1056" t="s">
        <v>1261</v>
      </c>
      <c r="D33" s="1057" t="s">
        <v>1261</v>
      </c>
      <c r="E33" s="1058" t="s">
        <v>547</v>
      </c>
      <c r="F33" s="1059" t="s">
        <v>332</v>
      </c>
      <c r="G33" s="1060" t="s">
        <v>829</v>
      </c>
      <c r="H33" s="1362" t="s">
        <v>8575</v>
      </c>
      <c r="I33" s="1362"/>
      <c r="J33" s="1254"/>
      <c r="K33" s="1254"/>
      <c r="L33" s="1254"/>
      <c r="M33" s="1254"/>
      <c r="N33" s="1254"/>
      <c r="O33" s="1254"/>
      <c r="P33" s="1254"/>
      <c r="Q33" s="1289"/>
      <c r="R33" s="1254"/>
      <c r="S33" s="1254"/>
      <c r="T33" s="765" t="s">
        <v>8576</v>
      </c>
      <c r="U33" s="798" t="s">
        <v>8577</v>
      </c>
      <c r="V33" s="798" t="s">
        <v>8578</v>
      </c>
      <c r="W33" s="1254"/>
      <c r="X33" s="798" t="s">
        <v>8579</v>
      </c>
      <c r="Y33" s="798" t="s">
        <v>8580</v>
      </c>
      <c r="Z33" s="1254"/>
      <c r="AA33" s="1254"/>
      <c r="AB33" s="1289"/>
      <c r="AC33" s="765" t="s">
        <v>1658</v>
      </c>
      <c r="AD33" s="798" t="s">
        <v>5453</v>
      </c>
      <c r="AE33" s="1254"/>
      <c r="AF33" s="1254"/>
      <c r="AG33" s="1254"/>
      <c r="AH33" s="1289"/>
      <c r="AI33" s="1289"/>
      <c r="AJ33" s="1289"/>
      <c r="AK33" s="1289"/>
      <c r="AL33" s="1254"/>
      <c r="AM33" s="798" t="s">
        <v>8581</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8582</v>
      </c>
      <c r="CF33" s="1254"/>
      <c r="CG33" s="1289"/>
      <c r="CH33" s="1289"/>
      <c r="CI33" s="1254"/>
      <c r="CJ33" s="1254"/>
      <c r="CK33" s="1289"/>
      <c r="CL33" s="1289"/>
      <c r="CM33" s="1289"/>
      <c r="CN33" s="1254"/>
      <c r="CO33" s="1289"/>
      <c r="CP33" s="1289"/>
      <c r="CQ33" s="1289"/>
      <c r="CR33" s="1289"/>
      <c r="CS33" s="1289"/>
      <c r="CT33" s="1289"/>
      <c r="CU33" s="1254"/>
    </row>
    <row r="34">
      <c r="A34" s="1337" t="s">
        <v>8583</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2317</v>
      </c>
      <c r="BY34" s="1351" t="s">
        <v>3687</v>
      </c>
      <c r="BZ34" s="1351" t="s">
        <v>8584</v>
      </c>
      <c r="CA34" s="1289"/>
      <c r="CB34" s="1351" t="s">
        <v>1080</v>
      </c>
      <c r="CC34" s="1351" t="s">
        <v>2706</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3335</v>
      </c>
      <c r="C35" s="1056" t="s">
        <v>438</v>
      </c>
      <c r="D35" s="1057" t="s">
        <v>1261</v>
      </c>
      <c r="E35" s="1058" t="s">
        <v>1261</v>
      </c>
      <c r="F35" s="1059" t="s">
        <v>438</v>
      </c>
      <c r="G35" s="1060" t="s">
        <v>438</v>
      </c>
      <c r="H35" s="1057"/>
      <c r="I35" s="1362"/>
      <c r="J35" s="1254"/>
      <c r="K35" s="1254"/>
      <c r="L35" s="1254"/>
      <c r="M35" s="1254"/>
      <c r="N35" s="1254"/>
      <c r="O35" s="1290" t="s">
        <v>8585</v>
      </c>
      <c r="P35" s="1290" t="s">
        <v>8586</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1399</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3120</v>
      </c>
      <c r="B37" s="1060" t="s">
        <v>2867</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1418</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4635</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8587</v>
      </c>
      <c r="B40" s="1060" t="s">
        <v>3369</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8218</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6159</v>
      </c>
      <c r="C41" s="1056" t="s">
        <v>1261</v>
      </c>
      <c r="D41" s="1057" t="s">
        <v>1261</v>
      </c>
      <c r="E41" s="1058" t="s">
        <v>1261</v>
      </c>
      <c r="F41" s="1059" t="s">
        <v>1261</v>
      </c>
      <c r="G41" s="1060" t="s">
        <v>438</v>
      </c>
      <c r="H41" s="1401"/>
      <c r="I41" s="1401"/>
      <c r="J41" s="1254"/>
      <c r="K41" s="1254"/>
      <c r="L41" s="1254"/>
      <c r="M41" s="1254"/>
      <c r="N41" s="1254"/>
      <c r="O41" s="1254"/>
      <c r="P41" s="1254"/>
      <c r="Q41" s="1289"/>
      <c r="R41" s="798" t="s">
        <v>8588</v>
      </c>
      <c r="S41" s="1254"/>
      <c r="T41" s="1254"/>
      <c r="U41" s="798" t="s">
        <v>8589</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8590</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6180</v>
      </c>
      <c r="B43" s="1060" t="s">
        <v>220</v>
      </c>
      <c r="C43" s="1056" t="s">
        <v>1261</v>
      </c>
      <c r="D43" s="1057" t="s">
        <v>1261</v>
      </c>
      <c r="E43" s="1058" t="s">
        <v>1261</v>
      </c>
      <c r="F43" s="1059" t="s">
        <v>1261</v>
      </c>
      <c r="G43" s="1060" t="s">
        <v>334</v>
      </c>
      <c r="H43" s="1362"/>
      <c r="I43" s="1362"/>
      <c r="J43" s="1254"/>
      <c r="K43" s="798" t="s">
        <v>8591</v>
      </c>
      <c r="L43" s="1254"/>
      <c r="M43" s="1254"/>
      <c r="N43" s="1254"/>
      <c r="O43" s="1254"/>
      <c r="P43" s="1254"/>
      <c r="Q43" s="1289"/>
      <c r="R43" s="1254"/>
      <c r="S43" s="1254"/>
      <c r="T43" s="1254"/>
      <c r="U43" s="1254"/>
      <c r="V43" s="1289"/>
      <c r="W43" s="1298" t="s">
        <v>6434</v>
      </c>
      <c r="X43" s="798"/>
      <c r="Y43" s="1254"/>
      <c r="Z43" s="1254"/>
      <c r="AA43" s="1254"/>
      <c r="AB43" s="1289"/>
      <c r="AC43" s="1254"/>
      <c r="AD43" s="1298" t="s">
        <v>3064</v>
      </c>
      <c r="AE43" s="92"/>
      <c r="AF43" s="92"/>
      <c r="AG43" s="92"/>
      <c r="AH43" s="1289"/>
      <c r="AI43" s="1289"/>
      <c r="AJ43" s="1289"/>
      <c r="AK43" s="1289"/>
      <c r="AL43" s="1254"/>
      <c r="AM43" s="1254"/>
      <c r="AN43" s="1254"/>
      <c r="AO43" s="1254"/>
      <c r="AP43" s="1254"/>
      <c r="AQ43" s="1254"/>
      <c r="AR43" s="1254"/>
      <c r="AS43" s="1254"/>
      <c r="AT43" s="1254"/>
      <c r="AU43" s="798" t="s">
        <v>8221</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3523</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8592</v>
      </c>
      <c r="B47" s="1060" t="s">
        <v>3281</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8593</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8594</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8595</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5770</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4303</v>
      </c>
      <c r="X49" s="798"/>
      <c r="Y49" s="798" t="s">
        <v>3236</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8596</v>
      </c>
      <c r="S50" s="1254"/>
      <c r="T50" s="1254"/>
      <c r="U50" s="765" t="s">
        <v>8597</v>
      </c>
      <c r="V50" s="1289"/>
      <c r="W50" s="798" t="s">
        <v>8598</v>
      </c>
      <c r="X50" s="798" t="s">
        <v>8598</v>
      </c>
      <c r="Y50" s="1254"/>
      <c r="Z50" s="1254"/>
      <c r="AA50" s="1254"/>
      <c r="AB50" s="1289"/>
      <c r="AC50" s="1254"/>
      <c r="AD50" s="1254"/>
      <c r="AE50" s="1254"/>
      <c r="AF50" s="1254"/>
      <c r="AG50" s="1254"/>
      <c r="AH50" s="1289"/>
      <c r="AI50" s="1289"/>
      <c r="AJ50" s="1289"/>
      <c r="AK50" s="1289"/>
      <c r="AL50" s="1254"/>
      <c r="AM50" s="1254"/>
      <c r="AN50" s="1254"/>
      <c r="AO50" s="1254"/>
      <c r="AP50" s="798" t="s">
        <v>8599</v>
      </c>
      <c r="AQ50" s="765" t="s">
        <v>8600</v>
      </c>
      <c r="AR50" s="765" t="s">
        <v>8601</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8602</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4161</v>
      </c>
      <c r="CU51" s="1285"/>
    </row>
    <row r="52">
      <c r="A52" s="1387" t="s">
        <v>8603</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3147</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3084</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8546</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8604</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3696</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3902</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8605</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8606</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8607</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8608</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5799</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8609</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5879</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8610</v>
      </c>
      <c r="V60" s="1289"/>
      <c r="W60" s="1254"/>
      <c r="X60" s="1254"/>
      <c r="Y60" s="798" t="s">
        <v>1939</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8611</v>
      </c>
      <c r="C1" s="1422" t="s">
        <v>8612</v>
      </c>
      <c r="D1" s="1423" t="s">
        <v>8613</v>
      </c>
      <c r="E1" s="1423" t="s">
        <v>8052</v>
      </c>
      <c r="F1" s="1423" t="s">
        <v>8053</v>
      </c>
      <c r="G1" s="1423" t="s">
        <v>8614</v>
      </c>
      <c r="H1" s="1424" t="s">
        <v>8615</v>
      </c>
      <c r="I1" s="1424" t="s">
        <v>8616</v>
      </c>
      <c r="J1" s="1425" t="s">
        <v>8064</v>
      </c>
      <c r="K1" s="1425" t="s">
        <v>8617</v>
      </c>
      <c r="L1" s="1425" t="s">
        <v>8618</v>
      </c>
      <c r="M1" s="1425" t="s">
        <v>8619</v>
      </c>
      <c r="N1" s="1425" t="s">
        <v>8127</v>
      </c>
      <c r="O1" s="1425" t="s">
        <v>8620</v>
      </c>
      <c r="P1" s="1425" t="s">
        <v>8621</v>
      </c>
      <c r="Q1" s="1426" t="s">
        <v>8622</v>
      </c>
      <c r="R1" s="1426" t="s">
        <v>8060</v>
      </c>
      <c r="S1" s="1426" t="s">
        <v>8623</v>
      </c>
      <c r="T1" s="1426" t="s">
        <v>8624</v>
      </c>
      <c r="U1" s="1426" t="s">
        <v>8625</v>
      </c>
      <c r="V1" s="1426" t="s">
        <v>8626</v>
      </c>
      <c r="W1" s="1427" t="s">
        <v>8054</v>
      </c>
      <c r="X1" s="1427" t="s">
        <v>8055</v>
      </c>
      <c r="Y1" s="1427" t="s">
        <v>8627</v>
      </c>
      <c r="Z1" s="1427" t="s">
        <v>8628</v>
      </c>
      <c r="AA1" s="1427" t="s">
        <v>8057</v>
      </c>
      <c r="AB1" s="1427" t="s">
        <v>8629</v>
      </c>
      <c r="AC1" s="1427" t="s">
        <v>8630</v>
      </c>
      <c r="AD1" s="1428" t="s">
        <v>8631</v>
      </c>
      <c r="AE1" s="1428" t="s">
        <v>8632</v>
      </c>
      <c r="AF1" s="1429" t="s">
        <v>8061</v>
      </c>
      <c r="AG1" s="1429" t="s">
        <v>8633</v>
      </c>
      <c r="AH1" s="1429" t="s">
        <v>8634</v>
      </c>
      <c r="AI1" s="1429" t="s">
        <v>8062</v>
      </c>
      <c r="AJ1" s="1429" t="s">
        <v>8635</v>
      </c>
      <c r="AK1" s="1429" t="s">
        <v>8636</v>
      </c>
      <c r="AL1" s="1429" t="s">
        <v>8637</v>
      </c>
      <c r="AM1" s="1430" t="s">
        <v>8063</v>
      </c>
      <c r="AN1" s="1430" t="s">
        <v>8638</v>
      </c>
      <c r="AO1" s="1430" t="s">
        <v>8639</v>
      </c>
      <c r="AP1" s="1430" t="s">
        <v>8640</v>
      </c>
      <c r="AQ1" s="1430" t="s">
        <v>8641</v>
      </c>
      <c r="AR1" s="1430" t="s">
        <v>8642</v>
      </c>
      <c r="AS1" s="1430" t="s">
        <v>8643</v>
      </c>
      <c r="AT1" s="1431" t="s">
        <v>8644</v>
      </c>
      <c r="AU1" s="1432" t="s">
        <v>8645</v>
      </c>
      <c r="AV1" s="1433" t="s">
        <v>8646</v>
      </c>
      <c r="AW1" s="1434" t="s">
        <v>8647</v>
      </c>
    </row>
    <row r="2" ht="15.75" customHeight="1">
      <c r="A2" s="1435" t="s">
        <v>8648</v>
      </c>
      <c r="B2" s="1436" t="s">
        <v>8649</v>
      </c>
      <c r="C2" s="1437">
        <v>0.048899768518518516</v>
      </c>
      <c r="D2" s="1438" t="s">
        <v>8650</v>
      </c>
      <c r="E2" s="1438" t="s">
        <v>8651</v>
      </c>
      <c r="F2" s="1439" t="s">
        <v>8652</v>
      </c>
      <c r="G2" s="1438" t="s">
        <v>8653</v>
      </c>
      <c r="H2" s="1440" t="s">
        <v>6232</v>
      </c>
      <c r="I2" s="1440" t="s">
        <v>8654</v>
      </c>
      <c r="J2" s="1441" t="s">
        <v>8655</v>
      </c>
      <c r="K2" s="1442" t="s">
        <v>8656</v>
      </c>
      <c r="L2" s="1442" t="s">
        <v>233</v>
      </c>
      <c r="M2" s="1442" t="s">
        <v>6205</v>
      </c>
      <c r="N2" s="1442" t="s">
        <v>4003</v>
      </c>
      <c r="O2" s="1442" t="s">
        <v>8657</v>
      </c>
      <c r="P2" s="1442" t="s">
        <v>1287</v>
      </c>
      <c r="Q2" s="1443" t="s">
        <v>8658</v>
      </c>
      <c r="R2" s="1444" t="s">
        <v>8659</v>
      </c>
      <c r="S2" s="1443" t="s">
        <v>6814</v>
      </c>
      <c r="T2" s="1444" t="s">
        <v>3201</v>
      </c>
      <c r="U2" s="1443" t="s">
        <v>8660</v>
      </c>
      <c r="V2" s="1443">
        <v>58.55</v>
      </c>
      <c r="W2" s="1445" t="s">
        <v>8661</v>
      </c>
      <c r="X2" s="1446" t="s">
        <v>8662</v>
      </c>
      <c r="Y2" s="1446" t="s">
        <v>5731</v>
      </c>
      <c r="Z2" s="1447" t="s">
        <v>8663</v>
      </c>
      <c r="AA2" s="1446" t="s">
        <v>5215</v>
      </c>
      <c r="AB2" s="1446" t="s">
        <v>8664</v>
      </c>
      <c r="AC2" s="1447" t="s">
        <v>4028</v>
      </c>
      <c r="AD2" s="1438" t="s">
        <v>8665</v>
      </c>
      <c r="AE2" s="1439" t="s">
        <v>4785</v>
      </c>
      <c r="AF2" s="1448" t="s">
        <v>8666</v>
      </c>
      <c r="AG2" s="1448" t="s">
        <v>8667</v>
      </c>
      <c r="AH2" s="1448" t="s">
        <v>3782</v>
      </c>
      <c r="AI2" s="1449" t="s">
        <v>5353</v>
      </c>
      <c r="AJ2" s="1449" t="s">
        <v>8668</v>
      </c>
      <c r="AK2" s="1449" t="s">
        <v>8669</v>
      </c>
      <c r="AL2" s="1449" t="s">
        <v>5542</v>
      </c>
      <c r="AM2" s="1450" t="s">
        <v>8670</v>
      </c>
      <c r="AN2" s="1451" t="s">
        <v>8671</v>
      </c>
      <c r="AO2" s="1451" t="s">
        <v>6468</v>
      </c>
      <c r="AP2" s="1452" t="s">
        <v>8672</v>
      </c>
      <c r="AQ2" s="1450" t="s">
        <v>8673</v>
      </c>
      <c r="AR2" s="1451" t="s">
        <v>416</v>
      </c>
      <c r="AS2" s="1450">
        <v>42.83</v>
      </c>
      <c r="AT2" s="1441" t="s">
        <v>8674</v>
      </c>
      <c r="AU2" s="1453" t="s">
        <v>8675</v>
      </c>
      <c r="AV2" s="1453" t="str">
        <f t="shared" ref="AV2:AV99" si="1">TEXT(AU2-C2,"m:ss")</f>
        <v>2:19</v>
      </c>
      <c r="AW2" s="1454"/>
    </row>
    <row r="3" ht="15.75" customHeight="1">
      <c r="A3" s="1455" t="s">
        <v>8676</v>
      </c>
      <c r="B3" s="1456" t="s">
        <v>8677</v>
      </c>
      <c r="C3" s="1457">
        <v>0.04938611111111111</v>
      </c>
      <c r="D3" s="1458" t="s">
        <v>8678</v>
      </c>
      <c r="E3" s="1458" t="s">
        <v>7318</v>
      </c>
      <c r="F3" s="1458" t="s">
        <v>8679</v>
      </c>
      <c r="G3" s="1458" t="s">
        <v>8680</v>
      </c>
      <c r="H3" s="1459" t="s">
        <v>8681</v>
      </c>
      <c r="I3" s="1459" t="s">
        <v>8682</v>
      </c>
      <c r="J3" s="1460" t="s">
        <v>1354</v>
      </c>
      <c r="K3" s="1460" t="s">
        <v>8683</v>
      </c>
      <c r="L3" s="1460" t="s">
        <v>2878</v>
      </c>
      <c r="M3" s="1460" t="s">
        <v>8684</v>
      </c>
      <c r="N3" s="1460" t="s">
        <v>2496</v>
      </c>
      <c r="O3" s="1460" t="s">
        <v>8685</v>
      </c>
      <c r="P3" s="1460" t="s">
        <v>5479</v>
      </c>
      <c r="Q3" s="1461" t="s">
        <v>5836</v>
      </c>
      <c r="R3" s="1461" t="s">
        <v>8686</v>
      </c>
      <c r="S3" s="1462" t="s">
        <v>336</v>
      </c>
      <c r="T3" s="1461" t="s">
        <v>8687</v>
      </c>
      <c r="U3" s="1463" t="s">
        <v>7968</v>
      </c>
      <c r="V3" s="1461" t="s">
        <v>4106</v>
      </c>
      <c r="W3" s="1464" t="s">
        <v>4135</v>
      </c>
      <c r="X3" s="1464" t="s">
        <v>7584</v>
      </c>
      <c r="Y3" s="1465" t="s">
        <v>4322</v>
      </c>
      <c r="Z3" s="1465" t="s">
        <v>444</v>
      </c>
      <c r="AA3" s="1465" t="s">
        <v>5932</v>
      </c>
      <c r="AB3" s="1464" t="s">
        <v>2916</v>
      </c>
      <c r="AC3" s="1465" t="s">
        <v>8688</v>
      </c>
      <c r="AD3" s="1458" t="s">
        <v>8689</v>
      </c>
      <c r="AE3" s="1458" t="s">
        <v>6787</v>
      </c>
      <c r="AF3" s="1466" t="s">
        <v>8690</v>
      </c>
      <c r="AG3" s="1467" t="s">
        <v>3930</v>
      </c>
      <c r="AH3" s="1467" t="s">
        <v>8691</v>
      </c>
      <c r="AI3" s="1467" t="s">
        <v>8692</v>
      </c>
      <c r="AJ3" s="1466" t="s">
        <v>8693</v>
      </c>
      <c r="AK3" s="1467" t="s">
        <v>8694</v>
      </c>
      <c r="AL3" s="1467" t="s">
        <v>6176</v>
      </c>
      <c r="AM3" s="1468" t="s">
        <v>8695</v>
      </c>
      <c r="AN3" s="1468" t="s">
        <v>3240</v>
      </c>
      <c r="AO3" s="1469" t="s">
        <v>7860</v>
      </c>
      <c r="AP3" s="1469" t="s">
        <v>8696</v>
      </c>
      <c r="AQ3" s="1469" t="s">
        <v>8697</v>
      </c>
      <c r="AR3" s="1469" t="s">
        <v>4010</v>
      </c>
      <c r="AS3" s="1468" t="s">
        <v>5204</v>
      </c>
      <c r="AT3" s="1460" t="s">
        <v>8698</v>
      </c>
      <c r="AU3" s="1470" t="s">
        <v>8699</v>
      </c>
      <c r="AV3" s="1470" t="str">
        <f t="shared" si="1"/>
        <v>3:51</v>
      </c>
      <c r="AW3" s="1471"/>
    </row>
    <row r="4" ht="15.75" customHeight="1">
      <c r="A4" s="1472" t="s">
        <v>8700</v>
      </c>
      <c r="B4" s="1473" t="s">
        <v>8701</v>
      </c>
      <c r="C4" s="1474">
        <v>0.050637731481481485</v>
      </c>
      <c r="D4" s="1475" t="s">
        <v>8702</v>
      </c>
      <c r="E4" s="1475" t="s">
        <v>8703</v>
      </c>
      <c r="F4" s="1475" t="s">
        <v>8704</v>
      </c>
      <c r="G4" s="1475" t="s">
        <v>8705</v>
      </c>
      <c r="H4" s="1476" t="s">
        <v>8706</v>
      </c>
      <c r="I4" s="1476" t="s">
        <v>350</v>
      </c>
      <c r="J4" s="1477" t="s">
        <v>8707</v>
      </c>
      <c r="K4" s="1477" t="s">
        <v>6254</v>
      </c>
      <c r="L4" s="1477" t="s">
        <v>3741</v>
      </c>
      <c r="M4" s="1477" t="s">
        <v>8708</v>
      </c>
      <c r="N4" s="1477" t="s">
        <v>8670</v>
      </c>
      <c r="O4" s="1477" t="s">
        <v>8709</v>
      </c>
      <c r="P4" s="1477" t="s">
        <v>8710</v>
      </c>
      <c r="Q4" s="1478" t="s">
        <v>8711</v>
      </c>
      <c r="R4" s="1478" t="s">
        <v>8712</v>
      </c>
      <c r="S4" s="1478" t="s">
        <v>2269</v>
      </c>
      <c r="T4" s="1478" t="s">
        <v>8713</v>
      </c>
      <c r="U4" s="1478" t="s">
        <v>8714</v>
      </c>
      <c r="V4" s="1478" t="s">
        <v>4264</v>
      </c>
      <c r="W4" s="1479" t="s">
        <v>8715</v>
      </c>
      <c r="X4" s="1479" t="s">
        <v>8716</v>
      </c>
      <c r="Y4" s="1479">
        <v>47.93</v>
      </c>
      <c r="Z4" s="1479" t="s">
        <v>8717</v>
      </c>
      <c r="AA4" s="1479" t="s">
        <v>8718</v>
      </c>
      <c r="AB4" s="1479" t="s">
        <v>8719</v>
      </c>
      <c r="AC4" s="1479">
        <v>49.24</v>
      </c>
      <c r="AD4" s="1480" t="s">
        <v>8720</v>
      </c>
      <c r="AE4" s="1475" t="s">
        <v>8721</v>
      </c>
      <c r="AF4" s="1481" t="s">
        <v>2675</v>
      </c>
      <c r="AG4" s="1481" t="s">
        <v>4590</v>
      </c>
      <c r="AH4" s="1481" t="s">
        <v>5206</v>
      </c>
      <c r="AI4" s="1481" t="s">
        <v>8722</v>
      </c>
      <c r="AJ4" s="1481" t="s">
        <v>8723</v>
      </c>
      <c r="AK4" s="1481" t="s">
        <v>888</v>
      </c>
      <c r="AL4" s="1481" t="s">
        <v>8724</v>
      </c>
      <c r="AM4" s="1482" t="s">
        <v>8725</v>
      </c>
      <c r="AN4" s="1483" t="s">
        <v>8726</v>
      </c>
      <c r="AO4" s="1482" t="s">
        <v>8727</v>
      </c>
      <c r="AP4" s="1483" t="s">
        <v>8728</v>
      </c>
      <c r="AQ4" s="1482" t="s">
        <v>8729</v>
      </c>
      <c r="AR4" s="1482" t="s">
        <v>6599</v>
      </c>
      <c r="AS4" s="1482" t="s">
        <v>755</v>
      </c>
      <c r="AT4" s="1477" t="s">
        <v>8730</v>
      </c>
      <c r="AU4" s="1484" t="s">
        <v>8731</v>
      </c>
      <c r="AV4" s="1485" t="str">
        <f t="shared" si="1"/>
        <v>2:49</v>
      </c>
      <c r="AW4" s="1454"/>
    </row>
    <row r="5" ht="15.75" customHeight="1">
      <c r="A5" s="1486" t="s">
        <v>1060</v>
      </c>
      <c r="B5" s="1487" t="s">
        <v>8649</v>
      </c>
      <c r="C5" s="1488">
        <v>0.0490625</v>
      </c>
      <c r="D5" s="1489" t="s">
        <v>8650</v>
      </c>
      <c r="E5" s="1489" t="s">
        <v>8651</v>
      </c>
      <c r="F5" s="1490" t="s">
        <v>8732</v>
      </c>
      <c r="G5" s="1491" t="s">
        <v>8653</v>
      </c>
      <c r="H5" s="1489" t="s">
        <v>6232</v>
      </c>
      <c r="I5" s="1489" t="s">
        <v>8654</v>
      </c>
      <c r="J5" s="1492" t="s">
        <v>2077</v>
      </c>
      <c r="K5" s="1493" t="s">
        <v>4358</v>
      </c>
      <c r="L5" s="1494" t="s">
        <v>8733</v>
      </c>
      <c r="M5" s="1493" t="s">
        <v>6291</v>
      </c>
      <c r="N5" s="1495" t="s">
        <v>4003</v>
      </c>
      <c r="O5" s="1494" t="s">
        <v>8734</v>
      </c>
      <c r="P5" s="1496" t="s">
        <v>4176</v>
      </c>
      <c r="Q5" s="1495" t="s">
        <v>8658</v>
      </c>
      <c r="R5" s="1491" t="s">
        <v>8659</v>
      </c>
      <c r="S5" s="1495" t="s">
        <v>6814</v>
      </c>
      <c r="T5" s="1491" t="s">
        <v>3201</v>
      </c>
      <c r="U5" s="1495" t="s">
        <v>8660</v>
      </c>
      <c r="V5" s="1497" t="s">
        <v>8499</v>
      </c>
      <c r="W5" s="1489" t="s">
        <v>8661</v>
      </c>
      <c r="X5" s="1490" t="s">
        <v>4771</v>
      </c>
      <c r="Y5" s="1491" t="s">
        <v>5731</v>
      </c>
      <c r="Z5" s="1494" t="s">
        <v>5032</v>
      </c>
      <c r="AA5" s="1491" t="s">
        <v>5215</v>
      </c>
      <c r="AB5" s="1490" t="s">
        <v>3284</v>
      </c>
      <c r="AC5" s="1495" t="s">
        <v>4028</v>
      </c>
      <c r="AD5" s="1491" t="s">
        <v>8665</v>
      </c>
      <c r="AE5" s="1493" t="s">
        <v>4465</v>
      </c>
      <c r="AF5" s="1409" t="s">
        <v>8735</v>
      </c>
      <c r="AG5" s="1285" t="s">
        <v>8736</v>
      </c>
      <c r="AH5" s="1490" t="s">
        <v>5532</v>
      </c>
      <c r="AI5" s="1495" t="s">
        <v>5353</v>
      </c>
      <c r="AJ5" s="1285" t="s">
        <v>8737</v>
      </c>
      <c r="AK5" s="1495" t="s">
        <v>8669</v>
      </c>
      <c r="AL5" s="1491" t="s">
        <v>5542</v>
      </c>
      <c r="AM5" s="1491" t="s">
        <v>8670</v>
      </c>
      <c r="AN5" s="1494" t="s">
        <v>5257</v>
      </c>
      <c r="AO5" s="1493" t="s">
        <v>7376</v>
      </c>
      <c r="AP5" s="1492" t="s">
        <v>8738</v>
      </c>
      <c r="AQ5" s="1491" t="s">
        <v>8673</v>
      </c>
      <c r="AR5" s="1285" t="s">
        <v>8739</v>
      </c>
      <c r="AS5" s="1494" t="s">
        <v>104</v>
      </c>
      <c r="AT5" s="1490" t="s">
        <v>8740</v>
      </c>
      <c r="AU5" s="1498" t="s">
        <v>8675</v>
      </c>
      <c r="AV5" s="1409" t="str">
        <f t="shared" si="1"/>
        <v>2:05</v>
      </c>
      <c r="AW5" s="1499" t="s">
        <v>8741</v>
      </c>
    </row>
    <row r="6" ht="15.75" customHeight="1">
      <c r="A6" s="1500" t="s">
        <v>436</v>
      </c>
      <c r="B6" s="1487" t="s">
        <v>8649</v>
      </c>
      <c r="C6" s="1501">
        <v>0.0493287037037037</v>
      </c>
      <c r="D6" s="1502" t="s">
        <v>8742</v>
      </c>
      <c r="E6" s="1503" t="s">
        <v>8743</v>
      </c>
      <c r="F6" s="1503" t="s">
        <v>8744</v>
      </c>
      <c r="G6" s="1503" t="s">
        <v>8745</v>
      </c>
      <c r="H6" s="1503" t="s">
        <v>8746</v>
      </c>
      <c r="I6" s="1504" t="s">
        <v>8747</v>
      </c>
      <c r="J6" s="1505" t="s">
        <v>8655</v>
      </c>
      <c r="K6" s="1503" t="s">
        <v>782</v>
      </c>
      <c r="L6" s="1503" t="s">
        <v>8748</v>
      </c>
      <c r="M6" s="1503" t="s">
        <v>8749</v>
      </c>
      <c r="N6" s="1503" t="s">
        <v>8750</v>
      </c>
      <c r="O6" s="1503" t="s">
        <v>8751</v>
      </c>
      <c r="P6" s="1505" t="s">
        <v>1287</v>
      </c>
      <c r="Q6" s="1496" t="s">
        <v>1573</v>
      </c>
      <c r="R6" s="1503" t="s">
        <v>4437</v>
      </c>
      <c r="S6" s="1503" t="s">
        <v>8655</v>
      </c>
      <c r="T6" s="1503" t="s">
        <v>5291</v>
      </c>
      <c r="U6" s="1496" t="s">
        <v>8672</v>
      </c>
      <c r="V6" s="1506" t="s">
        <v>8499</v>
      </c>
      <c r="W6" s="1503" t="s">
        <v>8752</v>
      </c>
      <c r="X6" s="1505" t="s">
        <v>8662</v>
      </c>
      <c r="Y6" s="1507">
        <v>46.72</v>
      </c>
      <c r="Z6" s="1507" t="s">
        <v>3599</v>
      </c>
      <c r="AA6" s="1503" t="s">
        <v>3611</v>
      </c>
      <c r="AB6" s="1505" t="s">
        <v>8664</v>
      </c>
      <c r="AC6" s="1503" t="s">
        <v>5457</v>
      </c>
      <c r="AD6" s="1503" t="s">
        <v>7547</v>
      </c>
      <c r="AE6" s="1508" t="s">
        <v>4785</v>
      </c>
      <c r="AF6" s="1507" t="s">
        <v>8753</v>
      </c>
      <c r="AG6" s="1506" t="s">
        <v>6096</v>
      </c>
      <c r="AH6" s="1505" t="s">
        <v>3782</v>
      </c>
      <c r="AI6" s="1503" t="s">
        <v>5993</v>
      </c>
      <c r="AJ6" s="1507" t="s">
        <v>8754</v>
      </c>
      <c r="AK6" s="1507" t="s">
        <v>5883</v>
      </c>
      <c r="AL6" s="1506" t="s">
        <v>6218</v>
      </c>
      <c r="AM6" s="1503" t="s">
        <v>8755</v>
      </c>
      <c r="AN6" s="1506" t="s">
        <v>3229</v>
      </c>
      <c r="AO6" s="1506" t="s">
        <v>2816</v>
      </c>
      <c r="AP6" s="1506" t="s">
        <v>8756</v>
      </c>
      <c r="AQ6" s="1409" t="s">
        <v>8757</v>
      </c>
      <c r="AR6" s="1506" t="s">
        <v>8758</v>
      </c>
      <c r="AS6" s="1506" t="s">
        <v>8759</v>
      </c>
      <c r="AT6" s="1506" t="s">
        <v>8760</v>
      </c>
      <c r="AU6" s="1509" t="s">
        <v>8761</v>
      </c>
      <c r="AV6" s="1409" t="str">
        <f t="shared" si="1"/>
        <v>2:15</v>
      </c>
      <c r="AW6" s="1499"/>
    </row>
    <row r="7" ht="15.75" customHeight="1">
      <c r="A7" s="1486" t="s">
        <v>6572</v>
      </c>
      <c r="B7" s="1487" t="s">
        <v>8649</v>
      </c>
      <c r="C7" s="1501">
        <v>0.049444444444444444</v>
      </c>
      <c r="D7" s="1494" t="s">
        <v>8762</v>
      </c>
      <c r="E7" s="1494" t="s">
        <v>8763</v>
      </c>
      <c r="F7" s="1504" t="s">
        <v>8764</v>
      </c>
      <c r="G7" s="1493" t="s">
        <v>8765</v>
      </c>
      <c r="H7" s="1504" t="s">
        <v>8766</v>
      </c>
      <c r="I7" s="1504" t="s">
        <v>2884</v>
      </c>
      <c r="J7" s="1494" t="s">
        <v>8767</v>
      </c>
      <c r="K7" s="1504" t="s">
        <v>3470</v>
      </c>
      <c r="L7" s="1504" t="s">
        <v>4178</v>
      </c>
      <c r="M7" s="1504" t="s">
        <v>6513</v>
      </c>
      <c r="N7" s="1494" t="s">
        <v>8768</v>
      </c>
      <c r="O7" s="1504" t="s">
        <v>8769</v>
      </c>
      <c r="P7" s="1409" t="s">
        <v>7138</v>
      </c>
      <c r="Q7" s="1494" t="s">
        <v>8770</v>
      </c>
      <c r="R7" s="1504" t="s">
        <v>7438</v>
      </c>
      <c r="S7" s="1504" t="s">
        <v>3427</v>
      </c>
      <c r="T7" s="1409" t="s">
        <v>8771</v>
      </c>
      <c r="U7" s="1504" t="s">
        <v>8772</v>
      </c>
      <c r="V7" s="1504" t="s">
        <v>5182</v>
      </c>
      <c r="W7" s="1510" t="s">
        <v>8773</v>
      </c>
      <c r="X7" s="1409" t="s">
        <v>8774</v>
      </c>
      <c r="Y7" s="1511" t="s">
        <v>8775</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8776</v>
      </c>
      <c r="AF7" s="1409" t="s">
        <v>8777</v>
      </c>
      <c r="AG7" s="1512" t="str">
        <f>HYPERLINK("https://www.twitch.tv/videos/566334947","1:28.73")</f>
        <v>1:28.73</v>
      </c>
      <c r="AH7" s="1504" t="s">
        <v>8778</v>
      </c>
      <c r="AI7" s="1513" t="str">
        <f>HYPERLINK("https://www.twitch.tv/videos/584107631","1:27.68")</f>
        <v>1:27.68</v>
      </c>
      <c r="AJ7" s="1409" t="s">
        <v>8779</v>
      </c>
      <c r="AK7" s="1504" t="s">
        <v>7369</v>
      </c>
      <c r="AL7" s="1504" t="s">
        <v>8780</v>
      </c>
      <c r="AM7" s="1494" t="s">
        <v>4527</v>
      </c>
      <c r="AN7" s="1494" t="s">
        <v>2656</v>
      </c>
      <c r="AO7" s="1494" t="s">
        <v>5902</v>
      </c>
      <c r="AP7" s="1504" t="s">
        <v>8781</v>
      </c>
      <c r="AQ7" s="1409" t="s">
        <v>8782</v>
      </c>
      <c r="AR7" s="1494" t="s">
        <v>8783</v>
      </c>
      <c r="AS7" s="783" t="str">
        <f>HYPERLINK("https://www.twitch.tv/videos/571767101","42.91")</f>
        <v>42.91</v>
      </c>
      <c r="AT7" s="1490" t="s">
        <v>8784</v>
      </c>
      <c r="AU7" s="1509" t="s">
        <v>8785</v>
      </c>
      <c r="AV7" s="1409" t="str">
        <f t="shared" si="1"/>
        <v>2:32</v>
      </c>
      <c r="AW7" s="1514" t="s">
        <v>8786</v>
      </c>
    </row>
    <row r="8" ht="15.75" customHeight="1">
      <c r="A8" s="1486" t="s">
        <v>1812</v>
      </c>
      <c r="B8" s="1487" t="s">
        <v>8649</v>
      </c>
      <c r="C8" s="1501">
        <v>0.04949074074074074</v>
      </c>
      <c r="D8" s="1515" t="s">
        <v>8787</v>
      </c>
      <c r="E8" s="1511" t="s">
        <v>8788</v>
      </c>
      <c r="F8" s="1511" t="s">
        <v>2133</v>
      </c>
      <c r="G8" s="1511" t="s">
        <v>8789</v>
      </c>
      <c r="H8" s="1494" t="s">
        <v>8790</v>
      </c>
      <c r="I8" s="1503">
        <v>47.34</v>
      </c>
      <c r="J8" s="1511" t="s">
        <v>1732</v>
      </c>
      <c r="K8" s="1511" t="s">
        <v>8791</v>
      </c>
      <c r="L8" s="1511">
        <v>55.97</v>
      </c>
      <c r="M8" s="1511" t="s">
        <v>1982</v>
      </c>
      <c r="N8" s="1511" t="s">
        <v>8792</v>
      </c>
      <c r="O8" s="1516" t="s">
        <v>8657</v>
      </c>
      <c r="P8" s="1511">
        <v>47.49</v>
      </c>
      <c r="Q8" s="1511" t="s">
        <v>8793</v>
      </c>
      <c r="R8" s="1511" t="s">
        <v>1230</v>
      </c>
      <c r="S8" s="1517" t="s">
        <v>1834</v>
      </c>
      <c r="T8" s="1511" t="s">
        <v>8794</v>
      </c>
      <c r="U8" s="1494" t="s">
        <v>8795</v>
      </c>
      <c r="V8" s="1511">
        <v>59.32</v>
      </c>
      <c r="W8" s="1515" t="s">
        <v>8796</v>
      </c>
      <c r="X8" s="1518" t="s">
        <v>8797</v>
      </c>
      <c r="Y8" s="1511">
        <v>46.65</v>
      </c>
      <c r="Z8" s="1511" t="s">
        <v>8798</v>
      </c>
      <c r="AA8" s="1511" t="s">
        <v>2493</v>
      </c>
      <c r="AB8" s="1511" t="s">
        <v>8799</v>
      </c>
      <c r="AC8" s="1511">
        <v>47.89</v>
      </c>
      <c r="AD8" s="1511" t="s">
        <v>1833</v>
      </c>
      <c r="AE8" s="1511">
        <v>47.98</v>
      </c>
      <c r="AF8" s="1518" t="s">
        <v>8800</v>
      </c>
      <c r="AG8" s="1511" t="s">
        <v>8801</v>
      </c>
      <c r="AH8" s="1511">
        <v>57.45</v>
      </c>
      <c r="AI8" s="1507" t="s">
        <v>7337</v>
      </c>
      <c r="AJ8" s="1519" t="s">
        <v>8737</v>
      </c>
      <c r="AK8" s="1511" t="s">
        <v>5425</v>
      </c>
      <c r="AL8" s="1511">
        <v>56.23</v>
      </c>
      <c r="AM8" s="1515" t="s">
        <v>3956</v>
      </c>
      <c r="AN8" s="1515" t="s">
        <v>8802</v>
      </c>
      <c r="AO8" s="1511" t="s">
        <v>8803</v>
      </c>
      <c r="AP8" s="1511" t="s">
        <v>8804</v>
      </c>
      <c r="AQ8" s="1511" t="s">
        <v>8805</v>
      </c>
      <c r="AR8" s="1511" t="s">
        <v>4495</v>
      </c>
      <c r="AS8" s="1511">
        <v>46.19</v>
      </c>
      <c r="AT8" s="1520" t="s">
        <v>8674</v>
      </c>
      <c r="AU8" s="1521" t="s">
        <v>8806</v>
      </c>
      <c r="AV8" s="1409" t="str">
        <f t="shared" si="1"/>
        <v>1:33</v>
      </c>
      <c r="AW8" s="1514" t="s">
        <v>8807</v>
      </c>
    </row>
    <row r="9" ht="15.75" customHeight="1">
      <c r="A9" s="1500" t="s">
        <v>330</v>
      </c>
      <c r="B9" s="1487" t="s">
        <v>8649</v>
      </c>
      <c r="C9" s="1501">
        <v>0.04957175925925926</v>
      </c>
      <c r="D9" s="1522" t="s">
        <v>8808</v>
      </c>
      <c r="E9" s="1503" t="s">
        <v>8809</v>
      </c>
      <c r="F9" s="1523" t="s">
        <v>8652</v>
      </c>
      <c r="G9" s="1506" t="s">
        <v>8810</v>
      </c>
      <c r="H9" s="1524" t="s">
        <v>5366</v>
      </c>
      <c r="I9" s="1506" t="s">
        <v>1390</v>
      </c>
      <c r="J9" s="837" t="s">
        <v>8811</v>
      </c>
      <c r="K9" s="1506" t="s">
        <v>6893</v>
      </c>
      <c r="L9" s="1505" t="s">
        <v>233</v>
      </c>
      <c r="M9" s="837" t="s">
        <v>8812</v>
      </c>
      <c r="N9" s="1503" t="s">
        <v>8813</v>
      </c>
      <c r="O9" s="837" t="s">
        <v>8814</v>
      </c>
      <c r="P9" s="1506" t="s">
        <v>6501</v>
      </c>
      <c r="Q9" s="1506" t="s">
        <v>8793</v>
      </c>
      <c r="R9" s="1506" t="s">
        <v>5571</v>
      </c>
      <c r="S9" s="1506" t="s">
        <v>8815</v>
      </c>
      <c r="T9" s="1506" t="s">
        <v>4012</v>
      </c>
      <c r="U9" s="1506" t="s">
        <v>6202</v>
      </c>
      <c r="V9" s="798" t="s">
        <v>8816</v>
      </c>
      <c r="W9" s="1525" t="s">
        <v>8817</v>
      </c>
      <c r="X9" s="1506" t="s">
        <v>8818</v>
      </c>
      <c r="Y9" s="1503">
        <v>46.63</v>
      </c>
      <c r="Z9" s="794" t="s">
        <v>306</v>
      </c>
      <c r="AA9" s="1503" t="s">
        <v>8819</v>
      </c>
      <c r="AB9" s="1505" t="s">
        <v>8664</v>
      </c>
      <c r="AC9" s="1506" t="s">
        <v>5455</v>
      </c>
      <c r="AD9" s="1506" t="s">
        <v>8820</v>
      </c>
      <c r="AE9" s="1507" t="s">
        <v>8821</v>
      </c>
      <c r="AF9" s="1503" t="s">
        <v>8822</v>
      </c>
      <c r="AG9" s="1511" t="s">
        <v>8823</v>
      </c>
      <c r="AH9" s="1506" t="s">
        <v>8824</v>
      </c>
      <c r="AI9" s="798" t="s">
        <v>8825</v>
      </c>
      <c r="AJ9" s="1507" t="s">
        <v>8826</v>
      </c>
      <c r="AK9" s="1506" t="s">
        <v>1300</v>
      </c>
      <c r="AL9" s="1506" t="s">
        <v>5155</v>
      </c>
      <c r="AM9" s="1506" t="s">
        <v>4012</v>
      </c>
      <c r="AN9" s="837" t="s">
        <v>8827</v>
      </c>
      <c r="AO9" s="1506" t="s">
        <v>8758</v>
      </c>
      <c r="AP9" s="1506" t="s">
        <v>8828</v>
      </c>
      <c r="AQ9" s="1506" t="s">
        <v>8829</v>
      </c>
      <c r="AR9" s="1506" t="s">
        <v>4615</v>
      </c>
      <c r="AS9" s="1506" t="s">
        <v>8830</v>
      </c>
      <c r="AT9" s="1492" t="s">
        <v>8831</v>
      </c>
      <c r="AU9" s="1526" t="s">
        <v>8832</v>
      </c>
      <c r="AV9" s="1409" t="str">
        <f t="shared" si="1"/>
        <v>2:59</v>
      </c>
      <c r="AW9" s="1527"/>
    </row>
    <row r="10">
      <c r="A10" s="1500" t="s">
        <v>6509</v>
      </c>
      <c r="B10" s="1528" t="s">
        <v>8649</v>
      </c>
      <c r="C10" s="1501">
        <v>0.04958333333333333</v>
      </c>
      <c r="D10" s="798" t="s">
        <v>8833</v>
      </c>
      <c r="E10" s="1511" t="s">
        <v>6465</v>
      </c>
      <c r="F10" s="1511" t="s">
        <v>8834</v>
      </c>
      <c r="G10" s="1511" t="s">
        <v>8835</v>
      </c>
      <c r="H10" s="1515" t="s">
        <v>8836</v>
      </c>
      <c r="I10" s="1515" t="s">
        <v>5650</v>
      </c>
      <c r="J10" s="1515" t="s">
        <v>150</v>
      </c>
      <c r="K10" s="1515" t="s">
        <v>7537</v>
      </c>
      <c r="L10" s="1511">
        <v>56.42</v>
      </c>
      <c r="M10" s="1511" t="s">
        <v>5189</v>
      </c>
      <c r="N10" s="1511" t="s">
        <v>8837</v>
      </c>
      <c r="O10" s="1515" t="s">
        <v>8838</v>
      </c>
      <c r="P10" s="1515" t="s">
        <v>279</v>
      </c>
      <c r="Q10" s="1515" t="s">
        <v>8839</v>
      </c>
      <c r="R10" s="1511" t="s">
        <v>8840</v>
      </c>
      <c r="S10" s="1515" t="s">
        <v>8841</v>
      </c>
      <c r="T10" s="1515" t="s">
        <v>5000</v>
      </c>
      <c r="U10" s="1515" t="s">
        <v>8842</v>
      </c>
      <c r="V10" s="1511">
        <v>59.45</v>
      </c>
      <c r="W10" s="1515" t="s">
        <v>8843</v>
      </c>
      <c r="X10" s="1515" t="s">
        <v>8844</v>
      </c>
      <c r="Y10" s="1515" t="s">
        <v>5107</v>
      </c>
      <c r="Z10" s="1511" t="s">
        <v>4172</v>
      </c>
      <c r="AA10" s="1511" t="s">
        <v>8845</v>
      </c>
      <c r="AB10" s="1511" t="s">
        <v>4582</v>
      </c>
      <c r="AC10" s="1515" t="s">
        <v>4889</v>
      </c>
      <c r="AD10" s="1515" t="s">
        <v>8846</v>
      </c>
      <c r="AE10" s="1511">
        <v>47.89</v>
      </c>
      <c r="AF10" s="1511" t="s">
        <v>8847</v>
      </c>
      <c r="AG10" s="1508" t="s">
        <v>8667</v>
      </c>
      <c r="AH10" s="1511">
        <v>57.71</v>
      </c>
      <c r="AI10" s="1515" t="s">
        <v>2191</v>
      </c>
      <c r="AJ10" s="1511" t="s">
        <v>8848</v>
      </c>
      <c r="AK10" s="1515" t="s">
        <v>7378</v>
      </c>
      <c r="AL10" s="1511">
        <v>56.69</v>
      </c>
      <c r="AM10" s="1515" t="s">
        <v>8849</v>
      </c>
      <c r="AN10" s="1515" t="s">
        <v>4130</v>
      </c>
      <c r="AO10" s="1515" t="s">
        <v>2868</v>
      </c>
      <c r="AP10" s="1511" t="s">
        <v>8850</v>
      </c>
      <c r="AQ10" s="1515" t="s">
        <v>8851</v>
      </c>
      <c r="AR10" s="1515" t="s">
        <v>8852</v>
      </c>
      <c r="AS10" s="1511">
        <v>43.65</v>
      </c>
      <c r="AT10" s="1515" t="s">
        <v>8853</v>
      </c>
      <c r="AU10" s="1509" t="s">
        <v>8854</v>
      </c>
      <c r="AV10" s="1409" t="str">
        <f t="shared" si="1"/>
        <v>1:34</v>
      </c>
      <c r="AW10" s="1529" t="s">
        <v>8855</v>
      </c>
    </row>
    <row r="11">
      <c r="A11" s="1530" t="s">
        <v>827</v>
      </c>
      <c r="B11" s="1531" t="s">
        <v>8649</v>
      </c>
      <c r="C11" s="1501">
        <v>0.049652777777777775</v>
      </c>
      <c r="D11" s="1506" t="s">
        <v>8856</v>
      </c>
      <c r="E11" s="1506" t="s">
        <v>8857</v>
      </c>
      <c r="F11" s="1506" t="s">
        <v>8858</v>
      </c>
      <c r="G11" s="1507" t="s">
        <v>8859</v>
      </c>
      <c r="H11" s="1506" t="s">
        <v>7730</v>
      </c>
      <c r="I11" s="1506" t="s">
        <v>8605</v>
      </c>
      <c r="J11" s="1503" t="s">
        <v>8860</v>
      </c>
      <c r="K11" s="1506" t="s">
        <v>8861</v>
      </c>
      <c r="L11" s="1506" t="s">
        <v>3376</v>
      </c>
      <c r="M11" s="1508" t="s">
        <v>6205</v>
      </c>
      <c r="N11" s="1506" t="s">
        <v>8862</v>
      </c>
      <c r="O11" s="1506" t="s">
        <v>8863</v>
      </c>
      <c r="P11" s="1506" t="s">
        <v>6105</v>
      </c>
      <c r="Q11" s="1506" t="s">
        <v>4779</v>
      </c>
      <c r="R11" s="1506" t="s">
        <v>8864</v>
      </c>
      <c r="S11" s="1494" t="s">
        <v>2730</v>
      </c>
      <c r="T11" s="1506" t="s">
        <v>8865</v>
      </c>
      <c r="U11" s="1506" t="s">
        <v>8866</v>
      </c>
      <c r="V11" s="1506" t="s">
        <v>5364</v>
      </c>
      <c r="W11" s="1506" t="s">
        <v>7385</v>
      </c>
      <c r="X11" s="1494" t="s">
        <v>8867</v>
      </c>
      <c r="Y11" s="1506" t="s">
        <v>8868</v>
      </c>
      <c r="Z11" s="1516" t="s">
        <v>8663</v>
      </c>
      <c r="AA11" s="1494" t="s">
        <v>8692</v>
      </c>
      <c r="AB11" s="1506" t="s">
        <v>8869</v>
      </c>
      <c r="AC11" s="1506" t="s">
        <v>4777</v>
      </c>
      <c r="AD11" s="1506" t="s">
        <v>5654</v>
      </c>
      <c r="AE11" s="1507">
        <v>47.81</v>
      </c>
      <c r="AF11" s="1506" t="s">
        <v>8870</v>
      </c>
      <c r="AG11" s="1506" t="s">
        <v>8871</v>
      </c>
      <c r="AH11" s="1506" t="s">
        <v>750</v>
      </c>
      <c r="AI11" s="1506" t="s">
        <v>940</v>
      </c>
      <c r="AJ11" s="1506" t="s">
        <v>8872</v>
      </c>
      <c r="AK11" s="1506" t="s">
        <v>8873</v>
      </c>
      <c r="AL11" s="1506" t="s">
        <v>8874</v>
      </c>
      <c r="AM11" s="1506" t="s">
        <v>4527</v>
      </c>
      <c r="AN11" s="1516" t="s">
        <v>8671</v>
      </c>
      <c r="AO11" s="1516" t="s">
        <v>6468</v>
      </c>
      <c r="AP11" s="1506" t="s">
        <v>8875</v>
      </c>
      <c r="AQ11" s="1506" t="s">
        <v>8876</v>
      </c>
      <c r="AR11" s="1516" t="s">
        <v>416</v>
      </c>
      <c r="AS11" s="1506" t="s">
        <v>3310</v>
      </c>
      <c r="AT11" s="1506" t="s">
        <v>3573</v>
      </c>
      <c r="AU11" s="1526" t="s">
        <v>8877</v>
      </c>
      <c r="AV11" s="1409" t="str">
        <f t="shared" si="1"/>
        <v>2:27</v>
      </c>
      <c r="AW11" s="1532" t="s">
        <v>8878</v>
      </c>
    </row>
    <row r="12" ht="15.75" customHeight="1">
      <c r="A12" s="1533" t="s">
        <v>6570</v>
      </c>
      <c r="B12" s="1487" t="s">
        <v>8649</v>
      </c>
      <c r="C12" s="1501">
        <v>0.04967592592592593</v>
      </c>
      <c r="D12" s="798" t="s">
        <v>8879</v>
      </c>
      <c r="E12" s="1504" t="s">
        <v>959</v>
      </c>
      <c r="F12" s="1504" t="s">
        <v>8880</v>
      </c>
      <c r="G12" s="1504" t="s">
        <v>8881</v>
      </c>
      <c r="H12" s="798" t="s">
        <v>8882</v>
      </c>
      <c r="I12" s="1504" t="s">
        <v>8883</v>
      </c>
      <c r="J12" s="1504" t="s">
        <v>8884</v>
      </c>
      <c r="K12" s="1504" t="s">
        <v>6441</v>
      </c>
      <c r="L12" s="1504" t="s">
        <v>4490</v>
      </c>
      <c r="M12" s="1504" t="s">
        <v>8461</v>
      </c>
      <c r="N12" s="1504" t="s">
        <v>2187</v>
      </c>
      <c r="O12" s="1504" t="s">
        <v>3324</v>
      </c>
      <c r="P12" s="1504" t="s">
        <v>8883</v>
      </c>
      <c r="Q12" s="1504" t="s">
        <v>8885</v>
      </c>
      <c r="R12" s="1504" t="s">
        <v>1230</v>
      </c>
      <c r="S12" s="1534" t="s">
        <v>8886</v>
      </c>
      <c r="T12" s="1504" t="s">
        <v>4856</v>
      </c>
      <c r="U12" s="1504" t="s">
        <v>8887</v>
      </c>
      <c r="V12" s="1504" t="s">
        <v>8888</v>
      </c>
      <c r="W12" s="1504" t="s">
        <v>8889</v>
      </c>
      <c r="X12" s="1504" t="s">
        <v>1052</v>
      </c>
      <c r="Y12" s="1504" t="s">
        <v>4379</v>
      </c>
      <c r="Z12" s="1504" t="s">
        <v>8890</v>
      </c>
      <c r="AA12" s="1504" t="s">
        <v>8891</v>
      </c>
      <c r="AB12" s="1504" t="s">
        <v>1842</v>
      </c>
      <c r="AC12" s="1504" t="s">
        <v>760</v>
      </c>
      <c r="AD12" s="1504" t="s">
        <v>8892</v>
      </c>
      <c r="AE12" s="1504" t="s">
        <v>6517</v>
      </c>
      <c r="AF12" s="1494" t="s">
        <v>8893</v>
      </c>
      <c r="AG12" s="1504" t="s">
        <v>8894</v>
      </c>
      <c r="AH12" s="1504" t="s">
        <v>4803</v>
      </c>
      <c r="AI12" s="1504" t="s">
        <v>3007</v>
      </c>
      <c r="AJ12" s="1504" t="s">
        <v>8895</v>
      </c>
      <c r="AK12" s="1504" t="s">
        <v>4180</v>
      </c>
      <c r="AL12" s="1504" t="s">
        <v>8896</v>
      </c>
      <c r="AM12" s="1504" t="s">
        <v>8897</v>
      </c>
      <c r="AN12" s="798" t="s">
        <v>8748</v>
      </c>
      <c r="AO12" s="1504" t="s">
        <v>8898</v>
      </c>
      <c r="AP12" s="1504" t="s">
        <v>8899</v>
      </c>
      <c r="AQ12" s="1494" t="s">
        <v>8900</v>
      </c>
      <c r="AR12" s="1504" t="s">
        <v>1846</v>
      </c>
      <c r="AS12" s="1504" t="s">
        <v>1579</v>
      </c>
      <c r="AT12" s="1504" t="s">
        <v>8901</v>
      </c>
      <c r="AU12" s="1504" t="s">
        <v>8902</v>
      </c>
      <c r="AV12" s="1409" t="str">
        <f t="shared" si="1"/>
        <v>2:47</v>
      </c>
      <c r="AW12" s="1499" t="s">
        <v>8903</v>
      </c>
    </row>
    <row r="13" ht="15.75" customHeight="1">
      <c r="A13" s="1535" t="s">
        <v>2644</v>
      </c>
      <c r="B13" s="1487" t="s">
        <v>8649</v>
      </c>
      <c r="C13" s="1536">
        <v>0.04971064814814815</v>
      </c>
      <c r="D13" s="1336" t="s">
        <v>8904</v>
      </c>
      <c r="E13" s="1537" t="s">
        <v>513</v>
      </c>
      <c r="F13" s="1537" t="s">
        <v>8905</v>
      </c>
      <c r="G13" s="1537" t="s">
        <v>8906</v>
      </c>
      <c r="H13" s="1494" t="s">
        <v>8907</v>
      </c>
      <c r="I13" s="1167" t="s">
        <v>5663</v>
      </c>
      <c r="J13" s="1538" t="s">
        <v>8908</v>
      </c>
      <c r="K13" s="1538" t="s">
        <v>4332</v>
      </c>
      <c r="L13" s="1538" t="s">
        <v>4685</v>
      </c>
      <c r="M13" s="1539" t="s">
        <v>6205</v>
      </c>
      <c r="N13" s="1538" t="s">
        <v>2628</v>
      </c>
      <c r="O13" s="1538" t="s">
        <v>8909</v>
      </c>
      <c r="P13" s="1538" t="s">
        <v>8910</v>
      </c>
      <c r="Q13" s="1494" t="s">
        <v>8911</v>
      </c>
      <c r="R13" s="1540" t="s">
        <v>8912</v>
      </c>
      <c r="S13" s="1494" t="s">
        <v>1834</v>
      </c>
      <c r="T13" s="1540" t="s">
        <v>8913</v>
      </c>
      <c r="U13" s="1494" t="s">
        <v>8914</v>
      </c>
      <c r="V13" s="1540" t="s">
        <v>3488</v>
      </c>
      <c r="W13" s="1541" t="s">
        <v>8915</v>
      </c>
      <c r="X13" s="1541" t="s">
        <v>4039</v>
      </c>
      <c r="Y13" s="1541" t="s">
        <v>7149</v>
      </c>
      <c r="Z13" s="1541" t="s">
        <v>8916</v>
      </c>
      <c r="AA13" s="1541" t="s">
        <v>6096</v>
      </c>
      <c r="AB13" s="1541" t="s">
        <v>4418</v>
      </c>
      <c r="AC13" s="1541" t="s">
        <v>1149</v>
      </c>
      <c r="AD13" s="1537" t="s">
        <v>8917</v>
      </c>
      <c r="AE13" s="1537" t="s">
        <v>5324</v>
      </c>
      <c r="AF13" s="1542" t="s">
        <v>8918</v>
      </c>
      <c r="AG13" s="1542" t="s">
        <v>7939</v>
      </c>
      <c r="AH13" s="1542" t="s">
        <v>5334</v>
      </c>
      <c r="AI13" s="1542" t="s">
        <v>8919</v>
      </c>
      <c r="AJ13" s="1542" t="s">
        <v>8920</v>
      </c>
      <c r="AK13" s="1542" t="s">
        <v>8921</v>
      </c>
      <c r="AL13" s="1542" t="s">
        <v>4073</v>
      </c>
      <c r="AM13" s="1543" t="s">
        <v>8922</v>
      </c>
      <c r="AN13" s="1544" t="s">
        <v>4685</v>
      </c>
      <c r="AO13" s="1544" t="s">
        <v>8923</v>
      </c>
      <c r="AP13" s="1543" t="s">
        <v>8924</v>
      </c>
      <c r="AQ13" s="1543" t="s">
        <v>8925</v>
      </c>
      <c r="AR13" s="1544" t="s">
        <v>8926</v>
      </c>
      <c r="AS13" s="1543" t="s">
        <v>272</v>
      </c>
      <c r="AT13" s="1509" t="s">
        <v>8927</v>
      </c>
      <c r="AU13" s="1526" t="s">
        <v>8928</v>
      </c>
      <c r="AV13" s="1409" t="str">
        <f t="shared" si="1"/>
        <v>2:35</v>
      </c>
      <c r="AW13" s="1545" t="s">
        <v>8929</v>
      </c>
    </row>
    <row r="14">
      <c r="A14" s="1533" t="s">
        <v>2021</v>
      </c>
      <c r="B14" s="1528" t="s">
        <v>8649</v>
      </c>
      <c r="C14" s="1546">
        <v>0.04976851851851852</v>
      </c>
      <c r="D14" s="1515" t="s">
        <v>8930</v>
      </c>
      <c r="E14" s="1515" t="s">
        <v>8931</v>
      </c>
      <c r="F14" s="1515" t="s">
        <v>8932</v>
      </c>
      <c r="G14" s="1518" t="s">
        <v>8933</v>
      </c>
      <c r="H14" s="1515" t="s">
        <v>8934</v>
      </c>
      <c r="I14" s="1515" t="s">
        <v>3688</v>
      </c>
      <c r="J14" s="1515" t="s">
        <v>5829</v>
      </c>
      <c r="K14" s="1520" t="s">
        <v>8656</v>
      </c>
      <c r="L14" s="1515" t="s">
        <v>8935</v>
      </c>
      <c r="M14" s="1515" t="s">
        <v>6087</v>
      </c>
      <c r="N14" s="1515" t="s">
        <v>689</v>
      </c>
      <c r="O14" s="1515" t="s">
        <v>8936</v>
      </c>
      <c r="P14" s="1515" t="s">
        <v>6501</v>
      </c>
      <c r="Q14" s="1515" t="s">
        <v>8937</v>
      </c>
      <c r="R14" s="1515" t="s">
        <v>7502</v>
      </c>
      <c r="S14" s="1515" t="s">
        <v>8938</v>
      </c>
      <c r="T14" s="1515" t="s">
        <v>5740</v>
      </c>
      <c r="U14" s="1515" t="s">
        <v>8939</v>
      </c>
      <c r="V14" s="1515" t="s">
        <v>8940</v>
      </c>
      <c r="W14" s="1515" t="s">
        <v>8941</v>
      </c>
      <c r="X14" s="1515" t="s">
        <v>8942</v>
      </c>
      <c r="Y14" s="1515" t="s">
        <v>8775</v>
      </c>
      <c r="Z14" s="1515" t="s">
        <v>8943</v>
      </c>
      <c r="AA14" s="1515" t="s">
        <v>8944</v>
      </c>
      <c r="AB14" s="1515" t="s">
        <v>8945</v>
      </c>
      <c r="AC14" s="1515" t="s">
        <v>597</v>
      </c>
      <c r="AD14" s="1515" t="s">
        <v>8946</v>
      </c>
      <c r="AE14" s="1515" t="s">
        <v>5505</v>
      </c>
      <c r="AF14" s="1515" t="s">
        <v>8947</v>
      </c>
      <c r="AG14" s="1515" t="s">
        <v>309</v>
      </c>
      <c r="AH14" s="1515" t="s">
        <v>8948</v>
      </c>
      <c r="AI14" s="1515" t="s">
        <v>8845</v>
      </c>
      <c r="AJ14" s="1515" t="s">
        <v>8949</v>
      </c>
      <c r="AK14" s="1515" t="s">
        <v>8950</v>
      </c>
      <c r="AL14" s="1515" t="s">
        <v>344</v>
      </c>
      <c r="AM14" s="1515" t="s">
        <v>2189</v>
      </c>
      <c r="AN14" s="1515" t="s">
        <v>233</v>
      </c>
      <c r="AO14" s="1515" t="s">
        <v>8951</v>
      </c>
      <c r="AP14" s="1515" t="s">
        <v>8952</v>
      </c>
      <c r="AQ14" s="1547" t="s">
        <v>8953</v>
      </c>
      <c r="AR14" s="1515" t="s">
        <v>8954</v>
      </c>
      <c r="AS14" s="1515" t="s">
        <v>840</v>
      </c>
      <c r="AT14" s="1515" t="s">
        <v>2409</v>
      </c>
      <c r="AU14" s="1504" t="s">
        <v>8955</v>
      </c>
      <c r="AV14" s="1409" t="str">
        <f t="shared" si="1"/>
        <v>2:14</v>
      </c>
      <c r="AW14" s="1548"/>
    </row>
    <row r="15" ht="15.75" customHeight="1">
      <c r="A15" s="1533" t="s">
        <v>2228</v>
      </c>
      <c r="B15" s="1549" t="s">
        <v>8677</v>
      </c>
      <c r="C15" s="1550">
        <v>0.04978009259259259</v>
      </c>
      <c r="D15" s="1551" t="s">
        <v>8956</v>
      </c>
      <c r="E15" s="798" t="s">
        <v>3287</v>
      </c>
      <c r="F15" s="798" t="s">
        <v>8957</v>
      </c>
      <c r="G15" s="1551" t="s">
        <v>8958</v>
      </c>
      <c r="H15" s="1552" t="s">
        <v>8681</v>
      </c>
      <c r="I15" s="798" t="s">
        <v>6146</v>
      </c>
      <c r="J15" s="798" t="s">
        <v>5759</v>
      </c>
      <c r="K15" s="1553" t="s">
        <v>8683</v>
      </c>
      <c r="L15" s="1553" t="s">
        <v>2878</v>
      </c>
      <c r="M15" s="798" t="s">
        <v>6488</v>
      </c>
      <c r="N15" s="1538" t="s">
        <v>3978</v>
      </c>
      <c r="O15" s="798" t="s">
        <v>8959</v>
      </c>
      <c r="P15" s="1538" t="s">
        <v>5455</v>
      </c>
      <c r="Q15" s="798" t="s">
        <v>8960</v>
      </c>
      <c r="R15" s="1553" t="s">
        <v>8686</v>
      </c>
      <c r="S15" s="1285" t="s">
        <v>2402</v>
      </c>
      <c r="T15" s="1554" t="s">
        <v>8873</v>
      </c>
      <c r="U15" s="1540" t="s">
        <v>8961</v>
      </c>
      <c r="V15" s="798" t="s">
        <v>8962</v>
      </c>
      <c r="W15" s="1555" t="s">
        <v>4135</v>
      </c>
      <c r="X15" s="1555" t="s">
        <v>7584</v>
      </c>
      <c r="Y15" s="1553" t="s">
        <v>4322</v>
      </c>
      <c r="Z15" s="1553" t="s">
        <v>444</v>
      </c>
      <c r="AA15" s="1556" t="s">
        <v>5932</v>
      </c>
      <c r="AB15" s="798" t="s">
        <v>8963</v>
      </c>
      <c r="AC15" s="1557" t="s">
        <v>8688</v>
      </c>
      <c r="AD15" s="798" t="s">
        <v>6071</v>
      </c>
      <c r="AE15" s="1558" t="s">
        <v>6787</v>
      </c>
      <c r="AF15" s="1285" t="s">
        <v>8964</v>
      </c>
      <c r="AG15" s="1559" t="s">
        <v>4595</v>
      </c>
      <c r="AH15" s="1560" t="s">
        <v>8691</v>
      </c>
      <c r="AI15" s="1560" t="s">
        <v>8692</v>
      </c>
      <c r="AJ15" s="798" t="s">
        <v>8965</v>
      </c>
      <c r="AK15" s="798" t="s">
        <v>8890</v>
      </c>
      <c r="AL15" s="1555" t="s">
        <v>6176</v>
      </c>
      <c r="AM15" s="1553" t="s">
        <v>8695</v>
      </c>
      <c r="AN15" s="1544" t="s">
        <v>8966</v>
      </c>
      <c r="AO15" s="1553" t="s">
        <v>7860</v>
      </c>
      <c r="AP15" s="1561" t="s">
        <v>8696</v>
      </c>
      <c r="AQ15" s="1562" t="s">
        <v>8697</v>
      </c>
      <c r="AR15" s="1562" t="s">
        <v>4010</v>
      </c>
      <c r="AS15" s="1563" t="s">
        <v>5204</v>
      </c>
      <c r="AT15" s="1553" t="s">
        <v>8698</v>
      </c>
      <c r="AU15" s="1526" t="s">
        <v>8967</v>
      </c>
      <c r="AV15" s="1409" t="str">
        <f t="shared" si="1"/>
        <v>4:22</v>
      </c>
      <c r="AW15" s="1532" t="s">
        <v>8968</v>
      </c>
    </row>
    <row r="16" ht="15.75" customHeight="1">
      <c r="A16" s="1486" t="s">
        <v>6356</v>
      </c>
      <c r="B16" s="1564" t="s">
        <v>8649</v>
      </c>
      <c r="C16" s="1501">
        <v>0.04982638888888889</v>
      </c>
      <c r="D16" s="1336" t="s">
        <v>8969</v>
      </c>
      <c r="E16" s="1336" t="s">
        <v>4826</v>
      </c>
      <c r="F16" s="1336" t="s">
        <v>8970</v>
      </c>
      <c r="G16" s="1336" t="s">
        <v>8971</v>
      </c>
      <c r="H16" s="1336" t="s">
        <v>8972</v>
      </c>
      <c r="I16" s="1336" t="s">
        <v>5677</v>
      </c>
      <c r="J16" s="1336" t="s">
        <v>8973</v>
      </c>
      <c r="K16" s="798" t="s">
        <v>8974</v>
      </c>
      <c r="L16" s="1336" t="s">
        <v>8975</v>
      </c>
      <c r="M16" s="1336" t="s">
        <v>8976</v>
      </c>
      <c r="N16" s="1336" t="s">
        <v>2096</v>
      </c>
      <c r="O16" s="1336" t="s">
        <v>8977</v>
      </c>
      <c r="P16" s="798" t="s">
        <v>4465</v>
      </c>
      <c r="Q16" s="1336" t="s">
        <v>8978</v>
      </c>
      <c r="R16" s="1336" t="s">
        <v>1872</v>
      </c>
      <c r="S16" s="1336" t="s">
        <v>3427</v>
      </c>
      <c r="T16" s="1336" t="s">
        <v>8979</v>
      </c>
      <c r="U16" s="1336" t="s">
        <v>8980</v>
      </c>
      <c r="V16" s="1336" t="s">
        <v>6771</v>
      </c>
      <c r="W16" s="1336" t="s">
        <v>5443</v>
      </c>
      <c r="X16" s="1336" t="s">
        <v>8667</v>
      </c>
      <c r="Y16" s="1336" t="s">
        <v>8747</v>
      </c>
      <c r="Z16" s="1336" t="s">
        <v>6901</v>
      </c>
      <c r="AA16" s="1565" t="s">
        <v>8981</v>
      </c>
      <c r="AB16" s="1336" t="s">
        <v>5776</v>
      </c>
      <c r="AC16" s="1336" t="s">
        <v>1030</v>
      </c>
      <c r="AD16" s="1336" t="s">
        <v>7576</v>
      </c>
      <c r="AE16" s="1336" t="s">
        <v>4937</v>
      </c>
      <c r="AF16" s="1336" t="s">
        <v>8982</v>
      </c>
      <c r="AG16" s="1336" t="s">
        <v>1536</v>
      </c>
      <c r="AH16" s="798" t="s">
        <v>8983</v>
      </c>
      <c r="AI16" s="1336" t="s">
        <v>8325</v>
      </c>
      <c r="AJ16" s="1336" t="s">
        <v>8984</v>
      </c>
      <c r="AK16" s="1336" t="s">
        <v>8985</v>
      </c>
      <c r="AL16" s="1336" t="s">
        <v>4410</v>
      </c>
      <c r="AM16" s="1336" t="s">
        <v>3495</v>
      </c>
      <c r="AN16" s="1336" t="s">
        <v>8986</v>
      </c>
      <c r="AO16" s="1336" t="s">
        <v>8783</v>
      </c>
      <c r="AP16" s="1566" t="s">
        <v>8672</v>
      </c>
      <c r="AQ16" s="1336" t="s">
        <v>8987</v>
      </c>
      <c r="AR16" s="1336" t="s">
        <v>8988</v>
      </c>
      <c r="AS16" s="1336" t="s">
        <v>8989</v>
      </c>
      <c r="AT16" s="1336" t="s">
        <v>8990</v>
      </c>
      <c r="AU16" s="1343" t="s">
        <v>8991</v>
      </c>
      <c r="AV16" s="1409" t="str">
        <f t="shared" si="1"/>
        <v>2:18</v>
      </c>
      <c r="AW16" s="1567" t="s">
        <v>8992</v>
      </c>
    </row>
    <row r="17">
      <c r="A17" s="1568" t="s">
        <v>2764</v>
      </c>
      <c r="B17" s="1569" t="s">
        <v>8649</v>
      </c>
      <c r="C17" s="1570">
        <v>0.04984953703703704</v>
      </c>
      <c r="D17" s="1571" t="s">
        <v>8993</v>
      </c>
      <c r="E17" s="1571" t="s">
        <v>8994</v>
      </c>
      <c r="F17" s="1571" t="s">
        <v>7452</v>
      </c>
      <c r="G17" s="1571" t="s">
        <v>8995</v>
      </c>
      <c r="H17" s="1572" t="s">
        <v>8996</v>
      </c>
      <c r="I17" s="1571" t="s">
        <v>1850</v>
      </c>
      <c r="J17" s="1571" t="s">
        <v>8997</v>
      </c>
      <c r="K17" s="1571" t="s">
        <v>8998</v>
      </c>
      <c r="L17" s="1571" t="s">
        <v>8966</v>
      </c>
      <c r="M17" s="1571" t="s">
        <v>4544</v>
      </c>
      <c r="N17" s="1571" t="s">
        <v>8999</v>
      </c>
      <c r="O17" s="1571" t="s">
        <v>9000</v>
      </c>
      <c r="P17" s="1572" t="s">
        <v>6517</v>
      </c>
      <c r="Q17" s="1571" t="s">
        <v>9001</v>
      </c>
      <c r="R17" s="1571" t="s">
        <v>5586</v>
      </c>
      <c r="S17" s="1571" t="s">
        <v>9002</v>
      </c>
      <c r="T17" s="1571" t="s">
        <v>6466</v>
      </c>
      <c r="U17" s="1573" t="s">
        <v>9003</v>
      </c>
      <c r="V17" s="1571" t="s">
        <v>3820</v>
      </c>
      <c r="W17" s="1571" t="s">
        <v>9004</v>
      </c>
      <c r="X17" s="1571" t="s">
        <v>8774</v>
      </c>
      <c r="Y17" s="1572" t="s">
        <v>7149</v>
      </c>
      <c r="Z17" s="1571" t="s">
        <v>7065</v>
      </c>
      <c r="AA17" s="1572" t="s">
        <v>7584</v>
      </c>
      <c r="AB17" s="1571" t="s">
        <v>2051</v>
      </c>
      <c r="AC17" s="1571" t="s">
        <v>7138</v>
      </c>
      <c r="AD17" s="1571" t="s">
        <v>9005</v>
      </c>
      <c r="AE17" s="1571" t="s">
        <v>6785</v>
      </c>
      <c r="AF17" s="1572" t="s">
        <v>9006</v>
      </c>
      <c r="AG17" s="1571" t="s">
        <v>196</v>
      </c>
      <c r="AH17" s="1571" t="s">
        <v>9007</v>
      </c>
      <c r="AI17" s="1571" t="s">
        <v>9008</v>
      </c>
      <c r="AJ17" s="1571" t="s">
        <v>9009</v>
      </c>
      <c r="AK17" s="1571" t="s">
        <v>9010</v>
      </c>
      <c r="AL17" s="1571" t="s">
        <v>3409</v>
      </c>
      <c r="AM17" s="1571" t="s">
        <v>8695</v>
      </c>
      <c r="AN17" s="1571" t="s">
        <v>558</v>
      </c>
      <c r="AO17" s="1571" t="s">
        <v>7376</v>
      </c>
      <c r="AP17" s="1571" t="s">
        <v>9011</v>
      </c>
      <c r="AQ17" s="1571" t="s">
        <v>9012</v>
      </c>
      <c r="AR17" s="1571" t="s">
        <v>7413</v>
      </c>
      <c r="AS17" s="1571" t="s">
        <v>884</v>
      </c>
      <c r="AT17" s="1571" t="s">
        <v>9013</v>
      </c>
      <c r="AU17" s="1574" t="s">
        <v>9014</v>
      </c>
      <c r="AV17" s="1409" t="str">
        <f t="shared" si="1"/>
        <v>2:04</v>
      </c>
      <c r="AW17" s="1575"/>
    </row>
    <row r="18" ht="15.75" customHeight="1">
      <c r="A18" s="1486" t="s">
        <v>2085</v>
      </c>
      <c r="B18" s="1487" t="s">
        <v>8649</v>
      </c>
      <c r="C18" s="1501">
        <v>0.049895833333333334</v>
      </c>
      <c r="D18" s="798" t="s">
        <v>9015</v>
      </c>
      <c r="E18" s="1576" t="s">
        <v>959</v>
      </c>
      <c r="F18" s="1537" t="s">
        <v>9016</v>
      </c>
      <c r="G18" s="1576" t="s">
        <v>9017</v>
      </c>
      <c r="H18" s="1076" t="s">
        <v>9018</v>
      </c>
      <c r="I18" s="1167" t="s">
        <v>5507</v>
      </c>
      <c r="J18" s="1538" t="s">
        <v>9019</v>
      </c>
      <c r="K18" s="1577" t="s">
        <v>9020</v>
      </c>
      <c r="L18" s="1538" t="s">
        <v>8966</v>
      </c>
      <c r="M18" s="1538" t="s">
        <v>5034</v>
      </c>
      <c r="N18" s="1538" t="s">
        <v>9021</v>
      </c>
      <c r="O18" s="1577" t="s">
        <v>9022</v>
      </c>
      <c r="P18" s="798" t="s">
        <v>1073</v>
      </c>
      <c r="Q18" s="1540" t="s">
        <v>3453</v>
      </c>
      <c r="R18" s="1578" t="s">
        <v>6898</v>
      </c>
      <c r="S18" s="1578" t="s">
        <v>9023</v>
      </c>
      <c r="T18" s="1578" t="s">
        <v>9024</v>
      </c>
      <c r="U18" s="1578" t="s">
        <v>1831</v>
      </c>
      <c r="V18" s="1540" t="s">
        <v>4445</v>
      </c>
      <c r="W18" s="1541" t="s">
        <v>9025</v>
      </c>
      <c r="X18" s="1579" t="s">
        <v>9026</v>
      </c>
      <c r="Y18" s="1541" t="s">
        <v>9027</v>
      </c>
      <c r="Z18" s="1541" t="s">
        <v>9028</v>
      </c>
      <c r="AA18" s="1541" t="s">
        <v>3311</v>
      </c>
      <c r="AB18" s="1579" t="s">
        <v>7910</v>
      </c>
      <c r="AC18" s="1579" t="s">
        <v>1223</v>
      </c>
      <c r="AD18" s="1576" t="s">
        <v>9029</v>
      </c>
      <c r="AE18" s="1576" t="s">
        <v>9030</v>
      </c>
      <c r="AF18" s="1580" t="s">
        <v>9031</v>
      </c>
      <c r="AG18" s="1542" t="s">
        <v>9032</v>
      </c>
      <c r="AH18" s="1542" t="s">
        <v>9033</v>
      </c>
      <c r="AI18" s="1542" t="s">
        <v>8871</v>
      </c>
      <c r="AJ18" s="1580" t="s">
        <v>9034</v>
      </c>
      <c r="AK18" s="1580" t="s">
        <v>965</v>
      </c>
      <c r="AL18" s="1542" t="s">
        <v>9035</v>
      </c>
      <c r="AM18" s="1544" t="s">
        <v>9036</v>
      </c>
      <c r="AN18" s="1543" t="s">
        <v>3150</v>
      </c>
      <c r="AO18" s="1544" t="s">
        <v>7690</v>
      </c>
      <c r="AP18" s="1543" t="s">
        <v>5578</v>
      </c>
      <c r="AQ18" s="1544" t="s">
        <v>9037</v>
      </c>
      <c r="AR18" s="1543" t="s">
        <v>1165</v>
      </c>
      <c r="AS18" s="1543" t="s">
        <v>3851</v>
      </c>
      <c r="AT18" s="1577" t="s">
        <v>6486</v>
      </c>
      <c r="AU18" s="1581" t="s">
        <v>9038</v>
      </c>
      <c r="AV18" s="1409" t="str">
        <f t="shared" si="1"/>
        <v>2:22</v>
      </c>
      <c r="AW18" s="1527" t="s">
        <v>9039</v>
      </c>
    </row>
    <row r="19">
      <c r="A19" s="1533" t="s">
        <v>1558</v>
      </c>
      <c r="B19" s="1531" t="s">
        <v>8649</v>
      </c>
      <c r="C19" s="1501">
        <v>0.04991898148148148</v>
      </c>
      <c r="D19" s="1582" t="s">
        <v>9040</v>
      </c>
      <c r="E19" s="1583" t="s">
        <v>9041</v>
      </c>
      <c r="F19" s="1583" t="s">
        <v>9042</v>
      </c>
      <c r="G19" s="1583" t="s">
        <v>9043</v>
      </c>
      <c r="H19" s="1583" t="s">
        <v>9044</v>
      </c>
      <c r="I19" s="1583">
        <v>48.07</v>
      </c>
      <c r="J19" s="1583" t="s">
        <v>9045</v>
      </c>
      <c r="K19" s="1583" t="s">
        <v>1708</v>
      </c>
      <c r="L19" s="1583">
        <v>56.32</v>
      </c>
      <c r="M19" s="1583" t="s">
        <v>938</v>
      </c>
      <c r="N19" s="1583" t="s">
        <v>9046</v>
      </c>
      <c r="O19" s="1583" t="s">
        <v>9047</v>
      </c>
      <c r="P19" s="1583">
        <v>47.77</v>
      </c>
      <c r="Q19" s="1583" t="s">
        <v>9048</v>
      </c>
      <c r="R19" s="1583" t="s">
        <v>7463</v>
      </c>
      <c r="S19" s="1583" t="s">
        <v>9049</v>
      </c>
      <c r="T19" s="1583" t="s">
        <v>4572</v>
      </c>
      <c r="U19" s="1583" t="s">
        <v>9050</v>
      </c>
      <c r="V19" s="1583">
        <v>59.79</v>
      </c>
      <c r="W19" s="1583" t="s">
        <v>9051</v>
      </c>
      <c r="X19" s="1583" t="s">
        <v>2064</v>
      </c>
      <c r="Y19" s="1583">
        <v>47.0</v>
      </c>
      <c r="Z19" s="1583" t="s">
        <v>9052</v>
      </c>
      <c r="AA19" s="1583" t="s">
        <v>9053</v>
      </c>
      <c r="AB19" s="1583" t="s">
        <v>7431</v>
      </c>
      <c r="AC19" s="1583">
        <v>47.56</v>
      </c>
      <c r="AD19" s="1583" t="s">
        <v>8689</v>
      </c>
      <c r="AE19" s="1583">
        <v>47.95</v>
      </c>
      <c r="AF19" s="1583" t="s">
        <v>9054</v>
      </c>
      <c r="AG19" s="1583" t="s">
        <v>9055</v>
      </c>
      <c r="AH19" s="1583">
        <v>57.67</v>
      </c>
      <c r="AI19" s="1583" t="s">
        <v>1052</v>
      </c>
      <c r="AJ19" s="1583" t="s">
        <v>9056</v>
      </c>
      <c r="AK19" s="1583" t="s">
        <v>7934</v>
      </c>
      <c r="AL19" s="1583">
        <v>56.37</v>
      </c>
      <c r="AM19" s="1583" t="s">
        <v>9057</v>
      </c>
      <c r="AN19" s="1583">
        <v>55.92</v>
      </c>
      <c r="AO19" s="1583" t="s">
        <v>4495</v>
      </c>
      <c r="AP19" s="1583" t="s">
        <v>8567</v>
      </c>
      <c r="AQ19" s="1583" t="s">
        <v>9058</v>
      </c>
      <c r="AR19" s="1583" t="s">
        <v>6598</v>
      </c>
      <c r="AS19" s="1583">
        <v>46.83</v>
      </c>
      <c r="AT19" s="1584" t="s">
        <v>9059</v>
      </c>
      <c r="AU19" s="1515" t="s">
        <v>9060</v>
      </c>
      <c r="AV19" s="1409" t="str">
        <f t="shared" si="1"/>
        <v>1:53</v>
      </c>
      <c r="AW19" s="1532" t="s">
        <v>9061</v>
      </c>
    </row>
    <row r="20">
      <c r="A20" s="1533" t="s">
        <v>2103</v>
      </c>
      <c r="B20" s="1531" t="s">
        <v>8649</v>
      </c>
      <c r="C20" s="1585">
        <v>0.049930555555555554</v>
      </c>
      <c r="D20" s="1586" t="s">
        <v>9062</v>
      </c>
      <c r="E20" s="1515" t="s">
        <v>9063</v>
      </c>
      <c r="F20" s="1515" t="s">
        <v>4325</v>
      </c>
      <c r="G20" s="1515" t="s">
        <v>9064</v>
      </c>
      <c r="H20" s="1515" t="s">
        <v>9065</v>
      </c>
      <c r="I20" s="1515" t="s">
        <v>5650</v>
      </c>
      <c r="J20" s="1515" t="s">
        <v>6343</v>
      </c>
      <c r="K20" s="1515" t="s">
        <v>9066</v>
      </c>
      <c r="L20" s="1515" t="s">
        <v>4073</v>
      </c>
      <c r="M20" s="1515" t="s">
        <v>1092</v>
      </c>
      <c r="N20" s="1515" t="s">
        <v>9067</v>
      </c>
      <c r="O20" s="1515" t="s">
        <v>799</v>
      </c>
      <c r="P20" s="1511">
        <v>47.54</v>
      </c>
      <c r="Q20" s="1587" t="s">
        <v>5658</v>
      </c>
      <c r="R20" s="1511" t="s">
        <v>9068</v>
      </c>
      <c r="S20" s="1587" t="s">
        <v>8886</v>
      </c>
      <c r="T20" s="1511" t="s">
        <v>9069</v>
      </c>
      <c r="U20" s="1587" t="s">
        <v>9070</v>
      </c>
      <c r="V20" s="1588">
        <v>58.55</v>
      </c>
      <c r="W20" s="1587" t="s">
        <v>9071</v>
      </c>
      <c r="X20" s="1587" t="s">
        <v>9072</v>
      </c>
      <c r="Y20" s="1494" t="s">
        <v>8775</v>
      </c>
      <c r="Z20" s="1587" t="s">
        <v>9073</v>
      </c>
      <c r="AA20" s="1515" t="s">
        <v>9074</v>
      </c>
      <c r="AB20" s="1587" t="s">
        <v>8945</v>
      </c>
      <c r="AC20" s="1409">
        <v>47.2</v>
      </c>
      <c r="AD20" s="1587" t="s">
        <v>9075</v>
      </c>
      <c r="AE20" s="1511">
        <v>47.88</v>
      </c>
      <c r="AF20" s="1587" t="s">
        <v>9076</v>
      </c>
      <c r="AG20" s="1587" t="s">
        <v>9077</v>
      </c>
      <c r="AH20" s="1587">
        <v>57.68</v>
      </c>
      <c r="AI20" s="1587" t="s">
        <v>2754</v>
      </c>
      <c r="AJ20" s="1511" t="s">
        <v>9078</v>
      </c>
      <c r="AK20" s="1494" t="s">
        <v>9079</v>
      </c>
      <c r="AL20" s="1587">
        <v>55.92</v>
      </c>
      <c r="AM20" s="1587" t="s">
        <v>2896</v>
      </c>
      <c r="AN20" s="1494" t="s">
        <v>5667</v>
      </c>
      <c r="AO20" s="1587" t="s">
        <v>6886</v>
      </c>
      <c r="AP20" s="1587" t="s">
        <v>9080</v>
      </c>
      <c r="AQ20" s="1587" t="s">
        <v>7546</v>
      </c>
      <c r="AR20" s="1587" t="s">
        <v>6444</v>
      </c>
      <c r="AS20" s="1589">
        <v>42.83</v>
      </c>
      <c r="AT20" s="1511" t="s">
        <v>8148</v>
      </c>
      <c r="AU20" s="1526" t="s">
        <v>9081</v>
      </c>
      <c r="AV20" s="1409" t="str">
        <f t="shared" si="1"/>
        <v>4:29</v>
      </c>
      <c r="AW20" s="1532" t="s">
        <v>9082</v>
      </c>
    </row>
    <row r="21" ht="15.75" customHeight="1">
      <c r="A21" s="1533" t="s">
        <v>2266</v>
      </c>
      <c r="B21" s="1487" t="s">
        <v>8649</v>
      </c>
      <c r="C21" s="1501">
        <v>0.0499537037037037</v>
      </c>
      <c r="D21" s="1504" t="s">
        <v>9083</v>
      </c>
      <c r="E21" s="1504" t="s">
        <v>2705</v>
      </c>
      <c r="F21" s="1504" t="s">
        <v>9084</v>
      </c>
      <c r="G21" s="1494" t="s">
        <v>9085</v>
      </c>
      <c r="H21" s="1504" t="s">
        <v>9086</v>
      </c>
      <c r="I21" s="1590" t="s">
        <v>9030</v>
      </c>
      <c r="J21" s="1504" t="s">
        <v>1422</v>
      </c>
      <c r="K21" s="1504" t="s">
        <v>5172</v>
      </c>
      <c r="L21" s="1504" t="s">
        <v>9087</v>
      </c>
      <c r="M21" s="1504" t="s">
        <v>9088</v>
      </c>
      <c r="N21" s="1504" t="s">
        <v>9089</v>
      </c>
      <c r="O21" s="1504" t="s">
        <v>9090</v>
      </c>
      <c r="P21" s="1504" t="s">
        <v>6785</v>
      </c>
      <c r="Q21" s="1504" t="s">
        <v>4609</v>
      </c>
      <c r="R21" s="1540" t="s">
        <v>9091</v>
      </c>
      <c r="S21" s="1504" t="s">
        <v>4003</v>
      </c>
      <c r="T21" s="1504" t="s">
        <v>8867</v>
      </c>
      <c r="U21" s="1504" t="s">
        <v>9092</v>
      </c>
      <c r="V21" s="1504" t="s">
        <v>9093</v>
      </c>
      <c r="W21" s="1504" t="s">
        <v>9094</v>
      </c>
      <c r="X21" s="1504" t="s">
        <v>7911</v>
      </c>
      <c r="Y21" s="1504" t="s">
        <v>4338</v>
      </c>
      <c r="Z21" s="1504" t="s">
        <v>9095</v>
      </c>
      <c r="AA21" s="1504" t="s">
        <v>7911</v>
      </c>
      <c r="AB21" s="1504" t="s">
        <v>8862</v>
      </c>
      <c r="AC21" s="1504" t="s">
        <v>5590</v>
      </c>
      <c r="AD21" s="1504" t="s">
        <v>7951</v>
      </c>
      <c r="AE21" s="1504" t="s">
        <v>5863</v>
      </c>
      <c r="AF21" s="1504" t="s">
        <v>9096</v>
      </c>
      <c r="AG21" s="1504" t="s">
        <v>5039</v>
      </c>
      <c r="AH21" s="1504" t="s">
        <v>5191</v>
      </c>
      <c r="AI21" s="1504" t="s">
        <v>9097</v>
      </c>
      <c r="AJ21" s="1495" t="s">
        <v>8668</v>
      </c>
      <c r="AK21" s="1504" t="s">
        <v>2526</v>
      </c>
      <c r="AL21" s="1504" t="s">
        <v>9098</v>
      </c>
      <c r="AM21" s="1504" t="s">
        <v>8797</v>
      </c>
      <c r="AN21" s="1504" t="s">
        <v>558</v>
      </c>
      <c r="AO21" s="1504" t="s">
        <v>9099</v>
      </c>
      <c r="AP21" s="1504" t="s">
        <v>9100</v>
      </c>
      <c r="AQ21" s="1504" t="s">
        <v>4812</v>
      </c>
      <c r="AR21" s="1504" t="s">
        <v>6599</v>
      </c>
      <c r="AS21" s="1504" t="s">
        <v>9101</v>
      </c>
      <c r="AT21" s="1504" t="s">
        <v>3109</v>
      </c>
      <c r="AU21" s="1504" t="s">
        <v>9102</v>
      </c>
      <c r="AV21" s="1409" t="str">
        <f t="shared" si="1"/>
        <v>3:21</v>
      </c>
      <c r="AW21" s="1567" t="s">
        <v>9103</v>
      </c>
    </row>
    <row r="22" ht="15.75" customHeight="1">
      <c r="A22" s="1486" t="s">
        <v>9104</v>
      </c>
      <c r="B22" s="1487" t="s">
        <v>8649</v>
      </c>
      <c r="C22" s="1501">
        <v>0.049965277777777775</v>
      </c>
      <c r="D22" s="798" t="s">
        <v>9105</v>
      </c>
      <c r="E22" s="1504" t="s">
        <v>4361</v>
      </c>
      <c r="F22" s="1504" t="s">
        <v>9106</v>
      </c>
      <c r="G22" s="1504" t="s">
        <v>9107</v>
      </c>
      <c r="H22" s="1409" t="s">
        <v>2290</v>
      </c>
      <c r="I22" s="1504" t="s">
        <v>1390</v>
      </c>
      <c r="J22" s="1504" t="s">
        <v>382</v>
      </c>
      <c r="K22" s="1504" t="s">
        <v>9108</v>
      </c>
      <c r="L22" s="1504" t="s">
        <v>5372</v>
      </c>
      <c r="M22" s="1504" t="s">
        <v>6513</v>
      </c>
      <c r="N22" s="1504" t="s">
        <v>9109</v>
      </c>
      <c r="O22" s="1504" t="s">
        <v>2575</v>
      </c>
      <c r="P22" s="1409" t="s">
        <v>5401</v>
      </c>
      <c r="Q22" s="1504" t="s">
        <v>9110</v>
      </c>
      <c r="R22" s="1504" t="s">
        <v>3289</v>
      </c>
      <c r="S22" s="1504" t="s">
        <v>7799</v>
      </c>
      <c r="T22" s="1504" t="s">
        <v>8429</v>
      </c>
      <c r="U22" s="1504" t="s">
        <v>9111</v>
      </c>
      <c r="V22" s="1504" t="s">
        <v>5012</v>
      </c>
      <c r="W22" s="1504" t="s">
        <v>9112</v>
      </c>
      <c r="X22" s="1409" t="s">
        <v>6892</v>
      </c>
      <c r="Y22" s="1409" t="s">
        <v>5491</v>
      </c>
      <c r="Z22" s="1504" t="s">
        <v>9113</v>
      </c>
      <c r="AA22" s="1504" t="s">
        <v>2332</v>
      </c>
      <c r="AB22" s="1504" t="s">
        <v>9114</v>
      </c>
      <c r="AC22" s="1504" t="s">
        <v>786</v>
      </c>
      <c r="AD22" s="1504" t="s">
        <v>5411</v>
      </c>
      <c r="AE22" s="1504" t="s">
        <v>9115</v>
      </c>
      <c r="AF22" s="1504" t="s">
        <v>948</v>
      </c>
      <c r="AG22" s="1504" t="s">
        <v>9116</v>
      </c>
      <c r="AH22" s="1504" t="s">
        <v>6086</v>
      </c>
      <c r="AI22" s="1504" t="s">
        <v>691</v>
      </c>
      <c r="AJ22" s="1409" t="s">
        <v>9117</v>
      </c>
      <c r="AK22" s="1542" t="s">
        <v>7711</v>
      </c>
      <c r="AL22" s="1504" t="s">
        <v>4601</v>
      </c>
      <c r="AM22" s="1504" t="s">
        <v>3611</v>
      </c>
      <c r="AN22" s="1409" t="s">
        <v>6218</v>
      </c>
      <c r="AO22" s="1409" t="s">
        <v>6599</v>
      </c>
      <c r="AP22" s="1409" t="s">
        <v>9118</v>
      </c>
      <c r="AQ22" s="1409" t="s">
        <v>8757</v>
      </c>
      <c r="AR22" s="1409" t="s">
        <v>492</v>
      </c>
      <c r="AS22" s="1409" t="s">
        <v>5731</v>
      </c>
      <c r="AT22" s="1409" t="s">
        <v>8982</v>
      </c>
      <c r="AU22" s="1504" t="s">
        <v>9119</v>
      </c>
      <c r="AV22" s="1409" t="str">
        <f t="shared" si="1"/>
        <v>3:46</v>
      </c>
      <c r="AW22" s="1548" t="s">
        <v>8224</v>
      </c>
    </row>
    <row r="23" ht="15.75" customHeight="1">
      <c r="A23" s="1591" t="s">
        <v>6273</v>
      </c>
      <c r="B23" s="1487" t="s">
        <v>8649</v>
      </c>
      <c r="C23" s="1501">
        <v>0.05</v>
      </c>
      <c r="D23" s="798" t="s">
        <v>9120</v>
      </c>
      <c r="E23" s="1504" t="s">
        <v>8461</v>
      </c>
      <c r="F23" s="1504" t="s">
        <v>9084</v>
      </c>
      <c r="G23" s="1409" t="s">
        <v>9121</v>
      </c>
      <c r="H23" s="1504" t="s">
        <v>9122</v>
      </c>
      <c r="I23" s="1409" t="s">
        <v>1850</v>
      </c>
      <c r="J23" s="1504" t="s">
        <v>2837</v>
      </c>
      <c r="K23" s="1504" t="s">
        <v>9123</v>
      </c>
      <c r="L23" s="1504" t="s">
        <v>3309</v>
      </c>
      <c r="M23" s="1504" t="s">
        <v>9124</v>
      </c>
      <c r="N23" s="1504" t="s">
        <v>9125</v>
      </c>
      <c r="O23" s="1504" t="s">
        <v>9071</v>
      </c>
      <c r="P23" s="1409" t="s">
        <v>3950</v>
      </c>
      <c r="Q23" s="1504" t="s">
        <v>9126</v>
      </c>
      <c r="R23" s="1504" t="s">
        <v>6814</v>
      </c>
      <c r="S23" s="1504" t="s">
        <v>7065</v>
      </c>
      <c r="T23" s="1504" t="s">
        <v>7465</v>
      </c>
      <c r="U23" s="1504" t="s">
        <v>9127</v>
      </c>
      <c r="V23" s="1504" t="s">
        <v>9128</v>
      </c>
      <c r="W23" s="1504" t="s">
        <v>9129</v>
      </c>
      <c r="X23" s="1504" t="s">
        <v>8944</v>
      </c>
      <c r="Y23" s="1504" t="s">
        <v>9130</v>
      </c>
      <c r="Z23" s="1504" t="s">
        <v>9131</v>
      </c>
      <c r="AA23" s="1504" t="s">
        <v>8942</v>
      </c>
      <c r="AB23" s="1504" t="s">
        <v>9132</v>
      </c>
      <c r="AC23" s="1409" t="s">
        <v>4956</v>
      </c>
      <c r="AD23" s="1504" t="s">
        <v>9133</v>
      </c>
      <c r="AE23" s="1409" t="s">
        <v>5479</v>
      </c>
      <c r="AF23" s="1592" t="s">
        <v>8666</v>
      </c>
      <c r="AG23" s="1504" t="s">
        <v>608</v>
      </c>
      <c r="AH23" s="1504" t="s">
        <v>7050</v>
      </c>
      <c r="AI23" s="1504" t="s">
        <v>309</v>
      </c>
      <c r="AJ23" s="1409" t="s">
        <v>9134</v>
      </c>
      <c r="AK23" s="1504" t="s">
        <v>9135</v>
      </c>
      <c r="AL23" s="1409" t="s">
        <v>3194</v>
      </c>
      <c r="AM23" s="1504" t="s">
        <v>1990</v>
      </c>
      <c r="AN23" s="1409" t="s">
        <v>2593</v>
      </c>
      <c r="AO23" s="1504" t="s">
        <v>3521</v>
      </c>
      <c r="AP23" s="1504" t="s">
        <v>9136</v>
      </c>
      <c r="AQ23" s="1409" t="s">
        <v>9137</v>
      </c>
      <c r="AR23" s="1504" t="s">
        <v>1676</v>
      </c>
      <c r="AS23" s="1409" t="s">
        <v>8989</v>
      </c>
      <c r="AT23" s="1504" t="s">
        <v>9138</v>
      </c>
      <c r="AU23" s="1504" t="s">
        <v>9139</v>
      </c>
      <c r="AV23" s="1409" t="str">
        <f t="shared" si="1"/>
        <v>1:53</v>
      </c>
      <c r="AW23" s="1548"/>
    </row>
    <row r="24" ht="15.75" customHeight="1">
      <c r="A24" s="1533" t="s">
        <v>2609</v>
      </c>
      <c r="B24" s="1531" t="s">
        <v>8677</v>
      </c>
      <c r="C24" s="1501">
        <v>0.05008101851851852</v>
      </c>
      <c r="D24" s="798" t="s">
        <v>9140</v>
      </c>
      <c r="E24" s="798" t="s">
        <v>9141</v>
      </c>
      <c r="F24" s="798" t="s">
        <v>9050</v>
      </c>
      <c r="G24" s="798" t="s">
        <v>9142</v>
      </c>
      <c r="H24" s="798" t="s">
        <v>9143</v>
      </c>
      <c r="I24" s="798" t="s">
        <v>9144</v>
      </c>
      <c r="J24" s="1553" t="s">
        <v>1354</v>
      </c>
      <c r="K24" s="798" t="s">
        <v>1095</v>
      </c>
      <c r="L24" s="798" t="s">
        <v>9145</v>
      </c>
      <c r="M24" s="1538" t="s">
        <v>8976</v>
      </c>
      <c r="N24" s="1553" t="s">
        <v>2496</v>
      </c>
      <c r="O24" s="798" t="s">
        <v>9146</v>
      </c>
      <c r="P24" s="1553" t="s">
        <v>5479</v>
      </c>
      <c r="Q24" s="1553" t="s">
        <v>5836</v>
      </c>
      <c r="R24" s="798" t="s">
        <v>7405</v>
      </c>
      <c r="S24" s="1553" t="s">
        <v>336</v>
      </c>
      <c r="T24" s="1553" t="s">
        <v>8687</v>
      </c>
      <c r="U24" s="798" t="s">
        <v>9147</v>
      </c>
      <c r="V24" s="1553" t="s">
        <v>4106</v>
      </c>
      <c r="W24" s="798" t="s">
        <v>7342</v>
      </c>
      <c r="X24" s="798" t="s">
        <v>5740</v>
      </c>
      <c r="Y24" s="798" t="s">
        <v>5107</v>
      </c>
      <c r="Z24" s="798" t="s">
        <v>1133</v>
      </c>
      <c r="AA24" s="798" t="s">
        <v>9148</v>
      </c>
      <c r="AB24" s="798" t="s">
        <v>2514</v>
      </c>
      <c r="AC24" s="798" t="s">
        <v>1835</v>
      </c>
      <c r="AD24" s="798" t="s">
        <v>6232</v>
      </c>
      <c r="AE24" s="798" t="s">
        <v>3303</v>
      </c>
      <c r="AF24" s="798" t="s">
        <v>8693</v>
      </c>
      <c r="AG24" s="798" t="s">
        <v>9149</v>
      </c>
      <c r="AH24" s="798" t="s">
        <v>4980</v>
      </c>
      <c r="AI24" s="798" t="s">
        <v>3412</v>
      </c>
      <c r="AJ24" s="798" t="s">
        <v>9150</v>
      </c>
      <c r="AK24" s="798" t="s">
        <v>9151</v>
      </c>
      <c r="AL24" s="798" t="s">
        <v>9152</v>
      </c>
      <c r="AM24" s="798" t="s">
        <v>9153</v>
      </c>
      <c r="AN24" s="798" t="s">
        <v>4402</v>
      </c>
      <c r="AO24" s="798" t="s">
        <v>7489</v>
      </c>
      <c r="AP24" s="798" t="s">
        <v>9154</v>
      </c>
      <c r="AQ24" s="798" t="s">
        <v>9155</v>
      </c>
      <c r="AR24" s="798" t="s">
        <v>9156</v>
      </c>
      <c r="AS24" s="798" t="s">
        <v>4654</v>
      </c>
      <c r="AT24" s="798" t="s">
        <v>2938</v>
      </c>
      <c r="AU24" s="1542" t="s">
        <v>8699</v>
      </c>
      <c r="AV24" s="1409" t="str">
        <f t="shared" si="1"/>
        <v>2:51</v>
      </c>
      <c r="AW24" s="1593"/>
    </row>
    <row r="25">
      <c r="A25" s="1533" t="s">
        <v>6574</v>
      </c>
      <c r="B25" s="1528" t="s">
        <v>8677</v>
      </c>
      <c r="C25" s="1501">
        <v>0.05016203703703704</v>
      </c>
      <c r="D25" s="1511" t="s">
        <v>9157</v>
      </c>
      <c r="E25" s="1594" t="s">
        <v>7318</v>
      </c>
      <c r="F25" s="1511" t="s">
        <v>9158</v>
      </c>
      <c r="G25" s="1511" t="s">
        <v>9159</v>
      </c>
      <c r="H25" s="1511" t="s">
        <v>9160</v>
      </c>
      <c r="I25" s="1511" t="s">
        <v>5260</v>
      </c>
      <c r="J25" s="1511" t="s">
        <v>4086</v>
      </c>
      <c r="K25" s="1511" t="s">
        <v>9161</v>
      </c>
      <c r="L25" s="798" t="s">
        <v>5102</v>
      </c>
      <c r="M25" s="1553" t="s">
        <v>8684</v>
      </c>
      <c r="N25" s="1511" t="s">
        <v>9162</v>
      </c>
      <c r="O25" s="1511" t="s">
        <v>9163</v>
      </c>
      <c r="P25" s="1511" t="s">
        <v>5791</v>
      </c>
      <c r="Q25" s="1511" t="s">
        <v>2677</v>
      </c>
      <c r="R25" s="1511" t="s">
        <v>973</v>
      </c>
      <c r="S25" s="1511" t="s">
        <v>9164</v>
      </c>
      <c r="T25" s="1511" t="s">
        <v>1395</v>
      </c>
      <c r="U25" s="1511" t="s">
        <v>9165</v>
      </c>
      <c r="V25" s="1511" t="s">
        <v>9166</v>
      </c>
      <c r="W25" s="1511" t="s">
        <v>9167</v>
      </c>
      <c r="X25" s="1511" t="s">
        <v>1303</v>
      </c>
      <c r="Y25" s="1511" t="s">
        <v>1096</v>
      </c>
      <c r="Z25" s="1511" t="s">
        <v>9073</v>
      </c>
      <c r="AA25" s="1511" t="s">
        <v>9168</v>
      </c>
      <c r="AB25" s="1511" t="s">
        <v>9169</v>
      </c>
      <c r="AC25" s="1511" t="s">
        <v>4785</v>
      </c>
      <c r="AD25" s="1511" t="s">
        <v>9170</v>
      </c>
      <c r="AE25" s="1511" t="s">
        <v>9171</v>
      </c>
      <c r="AF25" s="1511" t="s">
        <v>5678</v>
      </c>
      <c r="AG25" s="1511" t="s">
        <v>9172</v>
      </c>
      <c r="AH25" s="1511" t="s">
        <v>4270</v>
      </c>
      <c r="AI25" s="1504" t="s">
        <v>4150</v>
      </c>
      <c r="AJ25" s="1511" t="s">
        <v>9173</v>
      </c>
      <c r="AK25" s="1511" t="s">
        <v>9174</v>
      </c>
      <c r="AL25" s="1511" t="s">
        <v>2509</v>
      </c>
      <c r="AM25" s="1511" t="s">
        <v>4008</v>
      </c>
      <c r="AN25" s="1511" t="s">
        <v>5998</v>
      </c>
      <c r="AO25" s="1511" t="s">
        <v>9175</v>
      </c>
      <c r="AP25" s="1511" t="s">
        <v>9176</v>
      </c>
      <c r="AQ25" s="1511" t="s">
        <v>3993</v>
      </c>
      <c r="AR25" s="1511" t="s">
        <v>2949</v>
      </c>
      <c r="AS25" s="1511" t="s">
        <v>755</v>
      </c>
      <c r="AT25" s="1511" t="s">
        <v>9177</v>
      </c>
      <c r="AU25" s="1504" t="s">
        <v>9178</v>
      </c>
      <c r="AV25" s="1409" t="str">
        <f t="shared" si="1"/>
        <v>3:20</v>
      </c>
      <c r="AW25" s="795"/>
    </row>
    <row r="26" ht="15.75" customHeight="1">
      <c r="A26" s="1500" t="s">
        <v>1418</v>
      </c>
      <c r="B26" s="1487" t="s">
        <v>8649</v>
      </c>
      <c r="C26" s="1501">
        <v>0.05025462962962963</v>
      </c>
      <c r="D26" s="798" t="s">
        <v>9179</v>
      </c>
      <c r="E26" s="1537" t="s">
        <v>9180</v>
      </c>
      <c r="F26" s="1576" t="s">
        <v>9181</v>
      </c>
      <c r="G26" s="1494" t="s">
        <v>9182</v>
      </c>
      <c r="H26" s="1167" t="s">
        <v>9183</v>
      </c>
      <c r="I26" s="1167" t="s">
        <v>1047</v>
      </c>
      <c r="J26" s="1538" t="s">
        <v>8791</v>
      </c>
      <c r="K26" s="1577" t="s">
        <v>7176</v>
      </c>
      <c r="L26" s="1577" t="s">
        <v>5151</v>
      </c>
      <c r="M26" s="1595" t="str">
        <f>HYPERLINK("https://youtu.be/teAIifUZjFw","1:14.18")</f>
        <v>1:14.18</v>
      </c>
      <c r="N26" s="1577" t="s">
        <v>3709</v>
      </c>
      <c r="O26" s="1577" t="s">
        <v>9184</v>
      </c>
      <c r="P26" s="1577" t="s">
        <v>2094</v>
      </c>
      <c r="Q26" s="1578" t="s">
        <v>9185</v>
      </c>
      <c r="R26" s="1540" t="s">
        <v>9186</v>
      </c>
      <c r="S26" s="1540" t="s">
        <v>5434</v>
      </c>
      <c r="T26" s="1596" t="str">
        <f>HYPERLINK("https://youtu.be/AiXricVH5ss","1:24.99")</f>
        <v>1:24.99</v>
      </c>
      <c r="U26" s="1597" t="str">
        <f>HYPERLINK("https://www.twitch.tv/videos/450151935","2:00.31")</f>
        <v>2:00.31</v>
      </c>
      <c r="V26" s="1540" t="s">
        <v>9187</v>
      </c>
      <c r="W26" s="1598" t="str">
        <f>HYPERLINK("https://youtu.be/eafNhBoXVWA","1:46.09")</f>
        <v>1:46.09</v>
      </c>
      <c r="X26" s="1579" t="s">
        <v>4462</v>
      </c>
      <c r="Y26" s="1579" t="s">
        <v>8883</v>
      </c>
      <c r="Z26" s="1579" t="s">
        <v>9188</v>
      </c>
      <c r="AA26" s="1541" t="s">
        <v>8823</v>
      </c>
      <c r="AB26" s="1579" t="s">
        <v>7178</v>
      </c>
      <c r="AC26" s="1579" t="s">
        <v>7764</v>
      </c>
      <c r="AD26" s="1599" t="str">
        <f>HYPERLINK("https://youtu.be/8FEcTKESSh0","1:49.80")</f>
        <v>1:49.80</v>
      </c>
      <c r="AE26" s="1537" t="s">
        <v>6517</v>
      </c>
      <c r="AF26" s="1580" t="s">
        <v>9189</v>
      </c>
      <c r="AG26" s="1580" t="s">
        <v>9190</v>
      </c>
      <c r="AH26" s="1580" t="s">
        <v>9191</v>
      </c>
      <c r="AI26" s="1580" t="s">
        <v>4009</v>
      </c>
      <c r="AJ26" s="1580" t="s">
        <v>9192</v>
      </c>
      <c r="AK26" s="1542" t="s">
        <v>9069</v>
      </c>
      <c r="AL26" s="1580" t="s">
        <v>9193</v>
      </c>
      <c r="AM26" s="1544" t="s">
        <v>9036</v>
      </c>
      <c r="AN26" s="1544" t="s">
        <v>8430</v>
      </c>
      <c r="AO26" s="1544" t="s">
        <v>9156</v>
      </c>
      <c r="AP26" s="1543" t="s">
        <v>9194</v>
      </c>
      <c r="AQ26" s="1543" t="s">
        <v>9195</v>
      </c>
      <c r="AR26" s="1544" t="s">
        <v>9196</v>
      </c>
      <c r="AS26" s="1543" t="s">
        <v>5536</v>
      </c>
      <c r="AT26" s="1595" t="str">
        <f>HYPERLINK("https://youtu.be/xDirVtS1AZ4?t=4416","2:27.45")</f>
        <v>2:27.45</v>
      </c>
      <c r="AU26" s="1581" t="s">
        <v>9197</v>
      </c>
      <c r="AV26" s="1409" t="str">
        <f t="shared" si="1"/>
        <v>2:34</v>
      </c>
      <c r="AW26" s="1527" t="s">
        <v>9198</v>
      </c>
    </row>
    <row r="27">
      <c r="A27" s="1533" t="s">
        <v>6561</v>
      </c>
      <c r="B27" s="1528" t="s">
        <v>8649</v>
      </c>
      <c r="C27" s="1501">
        <v>0.0502662037037037</v>
      </c>
      <c r="D27" s="798" t="s">
        <v>9199</v>
      </c>
      <c r="E27" s="1504" t="s">
        <v>8812</v>
      </c>
      <c r="F27" s="1504" t="s">
        <v>9200</v>
      </c>
      <c r="G27" s="1504" t="s">
        <v>9201</v>
      </c>
      <c r="H27" s="1504" t="s">
        <v>9202</v>
      </c>
      <c r="I27" s="798" t="s">
        <v>262</v>
      </c>
      <c r="J27" s="798" t="s">
        <v>6099</v>
      </c>
      <c r="K27" s="1504" t="s">
        <v>9123</v>
      </c>
      <c r="L27" s="1504" t="s">
        <v>4073</v>
      </c>
      <c r="M27" s="798" t="s">
        <v>2660</v>
      </c>
      <c r="N27" s="1504" t="s">
        <v>9203</v>
      </c>
      <c r="O27" s="1504" t="s">
        <v>9204</v>
      </c>
      <c r="P27" s="798" t="s">
        <v>9205</v>
      </c>
      <c r="Q27" s="1504" t="s">
        <v>9206</v>
      </c>
      <c r="R27" s="798" t="s">
        <v>9207</v>
      </c>
      <c r="S27" s="1504" t="s">
        <v>9208</v>
      </c>
      <c r="T27" s="798" t="s">
        <v>9209</v>
      </c>
      <c r="U27" s="1504" t="s">
        <v>1032</v>
      </c>
      <c r="V27" s="798" t="s">
        <v>5012</v>
      </c>
      <c r="W27" s="798" t="s">
        <v>7344</v>
      </c>
      <c r="X27" s="798" t="s">
        <v>6892</v>
      </c>
      <c r="Y27" s="798" t="s">
        <v>885</v>
      </c>
      <c r="Z27" s="798" t="s">
        <v>9210</v>
      </c>
      <c r="AA27" s="1504" t="s">
        <v>9211</v>
      </c>
      <c r="AB27" s="798" t="s">
        <v>7763</v>
      </c>
      <c r="AC27" s="1504" t="s">
        <v>9144</v>
      </c>
      <c r="AD27" s="798" t="s">
        <v>6258</v>
      </c>
      <c r="AE27" s="1504" t="s">
        <v>9212</v>
      </c>
      <c r="AF27" s="1504" t="s">
        <v>9213</v>
      </c>
      <c r="AG27" s="798" t="s">
        <v>2052</v>
      </c>
      <c r="AH27" s="798" t="s">
        <v>2600</v>
      </c>
      <c r="AI27" s="1504" t="s">
        <v>9214</v>
      </c>
      <c r="AJ27" s="798" t="s">
        <v>9215</v>
      </c>
      <c r="AK27" s="798" t="s">
        <v>8662</v>
      </c>
      <c r="AL27" s="798" t="s">
        <v>4601</v>
      </c>
      <c r="AM27" s="798" t="s">
        <v>9216</v>
      </c>
      <c r="AN27" s="798" t="s">
        <v>4601</v>
      </c>
      <c r="AO27" s="798" t="s">
        <v>1847</v>
      </c>
      <c r="AP27" s="1504" t="s">
        <v>9217</v>
      </c>
      <c r="AQ27" s="798" t="s">
        <v>2190</v>
      </c>
      <c r="AR27" s="1504" t="s">
        <v>8547</v>
      </c>
      <c r="AS27" s="798" t="s">
        <v>1905</v>
      </c>
      <c r="AT27" s="1504" t="s">
        <v>9218</v>
      </c>
      <c r="AU27" s="1504" t="s">
        <v>9219</v>
      </c>
      <c r="AV27" s="1409" t="str">
        <f t="shared" si="1"/>
        <v>2:28</v>
      </c>
      <c r="AW27" s="1529" t="s">
        <v>9220</v>
      </c>
    </row>
    <row r="28">
      <c r="A28" s="1533" t="s">
        <v>9221</v>
      </c>
      <c r="B28" s="1600" t="s">
        <v>8649</v>
      </c>
      <c r="C28" s="1501">
        <v>0.0503125</v>
      </c>
      <c r="D28" s="798" t="s">
        <v>9222</v>
      </c>
      <c r="E28" s="1537" t="s">
        <v>9223</v>
      </c>
      <c r="F28" s="1537" t="s">
        <v>9224</v>
      </c>
      <c r="G28" s="1537" t="s">
        <v>8259</v>
      </c>
      <c r="H28" s="1074" t="s">
        <v>9225</v>
      </c>
      <c r="I28" s="1074" t="s">
        <v>7148</v>
      </c>
      <c r="J28" s="1538" t="s">
        <v>1843</v>
      </c>
      <c r="K28" s="1538" t="s">
        <v>6018</v>
      </c>
      <c r="L28" s="1538" t="s">
        <v>3457</v>
      </c>
      <c r="M28" s="1538" t="s">
        <v>9226</v>
      </c>
      <c r="N28" s="1538" t="s">
        <v>9227</v>
      </c>
      <c r="O28" s="1538" t="s">
        <v>4135</v>
      </c>
      <c r="P28" s="1538" t="s">
        <v>4742</v>
      </c>
      <c r="Q28" s="1540" t="s">
        <v>9228</v>
      </c>
      <c r="R28" s="1540" t="s">
        <v>9229</v>
      </c>
      <c r="S28" s="1540" t="s">
        <v>550</v>
      </c>
      <c r="T28" s="1540" t="s">
        <v>9230</v>
      </c>
      <c r="U28" s="1540" t="s">
        <v>9231</v>
      </c>
      <c r="V28" s="1540" t="s">
        <v>9232</v>
      </c>
      <c r="W28" s="1541" t="s">
        <v>9233</v>
      </c>
      <c r="X28" s="1541" t="s">
        <v>4462</v>
      </c>
      <c r="Y28" s="1541" t="s">
        <v>1554</v>
      </c>
      <c r="Z28" s="1541" t="s">
        <v>2402</v>
      </c>
      <c r="AA28" s="1541" t="s">
        <v>9234</v>
      </c>
      <c r="AB28" s="1541" t="s">
        <v>3739</v>
      </c>
      <c r="AC28" s="1541" t="s">
        <v>9235</v>
      </c>
      <c r="AD28" s="1537" t="s">
        <v>9236</v>
      </c>
      <c r="AE28" s="1537" t="s">
        <v>5863</v>
      </c>
      <c r="AF28" s="1542" t="s">
        <v>9237</v>
      </c>
      <c r="AG28" s="1542" t="s">
        <v>7980</v>
      </c>
      <c r="AH28" s="1542" t="s">
        <v>9238</v>
      </c>
      <c r="AI28" s="1542" t="s">
        <v>5122</v>
      </c>
      <c r="AJ28" s="1542" t="s">
        <v>9239</v>
      </c>
      <c r="AK28" s="1542" t="s">
        <v>9240</v>
      </c>
      <c r="AL28" s="1542" t="s">
        <v>8874</v>
      </c>
      <c r="AM28" s="1544" t="s">
        <v>8919</v>
      </c>
      <c r="AN28" s="1544" t="s">
        <v>9241</v>
      </c>
      <c r="AO28" s="1544" t="s">
        <v>3238</v>
      </c>
      <c r="AP28" s="1544" t="s">
        <v>9242</v>
      </c>
      <c r="AQ28" s="1544" t="s">
        <v>9243</v>
      </c>
      <c r="AR28" s="1544" t="s">
        <v>3005</v>
      </c>
      <c r="AS28" s="1544" t="s">
        <v>301</v>
      </c>
      <c r="AT28" s="1538" t="s">
        <v>9244</v>
      </c>
      <c r="AU28" s="1526" t="s">
        <v>9245</v>
      </c>
      <c r="AV28" s="1409" t="str">
        <f t="shared" si="1"/>
        <v>2:59</v>
      </c>
      <c r="AW28" s="1532" t="s">
        <v>9246</v>
      </c>
    </row>
    <row r="29" ht="15.75" customHeight="1">
      <c r="A29" s="1486" t="s">
        <v>9247</v>
      </c>
      <c r="B29" s="1564" t="s">
        <v>8677</v>
      </c>
      <c r="C29" s="1501">
        <v>0.05042824074074074</v>
      </c>
      <c r="D29" s="798" t="s">
        <v>8969</v>
      </c>
      <c r="E29" s="1537" t="s">
        <v>6291</v>
      </c>
      <c r="F29" s="1537" t="s">
        <v>9248</v>
      </c>
      <c r="G29" s="1576" t="s">
        <v>9249</v>
      </c>
      <c r="H29" s="1167" t="s">
        <v>9250</v>
      </c>
      <c r="I29" s="1074" t="s">
        <v>3355</v>
      </c>
      <c r="J29" s="1538" t="s">
        <v>4845</v>
      </c>
      <c r="K29" s="1538" t="s">
        <v>9161</v>
      </c>
      <c r="L29" s="1538" t="s">
        <v>2471</v>
      </c>
      <c r="M29" s="1538" t="s">
        <v>2041</v>
      </c>
      <c r="N29" s="1538" t="s">
        <v>4181</v>
      </c>
      <c r="O29" s="1538" t="s">
        <v>9251</v>
      </c>
      <c r="P29" s="1577" t="s">
        <v>760</v>
      </c>
      <c r="Q29" s="1540" t="s">
        <v>9252</v>
      </c>
      <c r="R29" s="1540" t="s">
        <v>3427</v>
      </c>
      <c r="S29" s="1540" t="s">
        <v>7736</v>
      </c>
      <c r="T29" s="1578" t="s">
        <v>8845</v>
      </c>
      <c r="U29" s="1540" t="s">
        <v>8795</v>
      </c>
      <c r="V29" s="1578" t="s">
        <v>4994</v>
      </c>
      <c r="W29" s="1579" t="s">
        <v>7524</v>
      </c>
      <c r="X29" s="1541" t="s">
        <v>2572</v>
      </c>
      <c r="Y29" s="1579" t="s">
        <v>9253</v>
      </c>
      <c r="Z29" s="1541" t="s">
        <v>9254</v>
      </c>
      <c r="AA29" s="1579" t="s">
        <v>9255</v>
      </c>
      <c r="AB29" s="798" t="s">
        <v>7589</v>
      </c>
      <c r="AC29" s="1579" t="s">
        <v>3588</v>
      </c>
      <c r="AD29" s="1558" t="s">
        <v>8689</v>
      </c>
      <c r="AE29" s="1537" t="s">
        <v>3303</v>
      </c>
      <c r="AF29" s="1542" t="s">
        <v>9256</v>
      </c>
      <c r="AG29" s="1580" t="s">
        <v>3929</v>
      </c>
      <c r="AH29" s="1580" t="s">
        <v>6082</v>
      </c>
      <c r="AI29" s="1409" t="s">
        <v>9211</v>
      </c>
      <c r="AJ29" s="1580" t="s">
        <v>9257</v>
      </c>
      <c r="AK29" s="1601" t="s">
        <v>8694</v>
      </c>
      <c r="AL29" s="1580" t="s">
        <v>3593</v>
      </c>
      <c r="AM29" s="1544" t="s">
        <v>9258</v>
      </c>
      <c r="AN29" s="1544" t="s">
        <v>5090</v>
      </c>
      <c r="AO29" s="1544" t="s">
        <v>2076</v>
      </c>
      <c r="AP29" s="1544" t="s">
        <v>9259</v>
      </c>
      <c r="AQ29" s="1543" t="s">
        <v>9260</v>
      </c>
      <c r="AR29" s="1543" t="s">
        <v>3639</v>
      </c>
      <c r="AS29" s="1543" t="s">
        <v>5188</v>
      </c>
      <c r="AT29" s="1538" t="s">
        <v>9261</v>
      </c>
      <c r="AU29" s="1526" t="s">
        <v>9262</v>
      </c>
      <c r="AV29" s="1409" t="str">
        <f t="shared" si="1"/>
        <v>2:55</v>
      </c>
      <c r="AW29" s="1602"/>
    </row>
    <row r="30" ht="15.75" customHeight="1">
      <c r="A30" s="1486" t="s">
        <v>4330</v>
      </c>
      <c r="B30" s="1487" t="s">
        <v>8649</v>
      </c>
      <c r="C30" s="1603">
        <v>0.05043981481481481</v>
      </c>
      <c r="D30" s="798" t="s">
        <v>9263</v>
      </c>
      <c r="E30" s="1409" t="s">
        <v>7494</v>
      </c>
      <c r="F30" s="1409" t="s">
        <v>1581</v>
      </c>
      <c r="G30" s="1409" t="s">
        <v>9264</v>
      </c>
      <c r="H30" s="1409" t="s">
        <v>8836</v>
      </c>
      <c r="I30" s="1409" t="s">
        <v>839</v>
      </c>
      <c r="J30" s="1409" t="s">
        <v>4472</v>
      </c>
      <c r="K30" s="1409" t="s">
        <v>9108</v>
      </c>
      <c r="L30" s="1409" t="s">
        <v>3877</v>
      </c>
      <c r="M30" s="1409" t="s">
        <v>9265</v>
      </c>
      <c r="N30" s="1409" t="s">
        <v>8687</v>
      </c>
      <c r="O30" s="1409" t="s">
        <v>9266</v>
      </c>
      <c r="P30" s="1409" t="s">
        <v>5324</v>
      </c>
      <c r="Q30" s="1409" t="s">
        <v>9267</v>
      </c>
      <c r="R30" s="1409" t="s">
        <v>9268</v>
      </c>
      <c r="S30" s="1409" t="s">
        <v>9269</v>
      </c>
      <c r="T30" s="1409" t="s">
        <v>9270</v>
      </c>
      <c r="U30" s="1409" t="s">
        <v>9271</v>
      </c>
      <c r="V30" s="1409" t="s">
        <v>2286</v>
      </c>
      <c r="W30" s="1409" t="s">
        <v>9272</v>
      </c>
      <c r="X30" s="1409" t="s">
        <v>9273</v>
      </c>
      <c r="Y30" s="1409" t="s">
        <v>9130</v>
      </c>
      <c r="Z30" s="1409" t="s">
        <v>1133</v>
      </c>
      <c r="AA30" s="1409" t="s">
        <v>3412</v>
      </c>
      <c r="AB30" s="1409" t="s">
        <v>4845</v>
      </c>
      <c r="AC30" s="1409" t="s">
        <v>7764</v>
      </c>
      <c r="AD30" s="1409" t="s">
        <v>6232</v>
      </c>
      <c r="AE30" s="1409" t="s">
        <v>5505</v>
      </c>
      <c r="AF30" s="1409" t="s">
        <v>9274</v>
      </c>
      <c r="AG30" s="1409" t="s">
        <v>5853</v>
      </c>
      <c r="AH30" s="1409" t="s">
        <v>4035</v>
      </c>
      <c r="AI30" s="1409" t="s">
        <v>5122</v>
      </c>
      <c r="AJ30" s="1409" t="s">
        <v>9275</v>
      </c>
      <c r="AK30" s="1409" t="s">
        <v>9276</v>
      </c>
      <c r="AL30" s="1409" t="s">
        <v>5955</v>
      </c>
      <c r="AM30" s="1409" t="s">
        <v>1235</v>
      </c>
      <c r="AN30" s="1409" t="s">
        <v>4184</v>
      </c>
      <c r="AO30" s="1409" t="s">
        <v>9277</v>
      </c>
      <c r="AP30" s="1513" t="str">
        <f>HYPERLINK("https://www.twitch.tv/videos/511415405","2:00.79")</f>
        <v>2:00.79</v>
      </c>
      <c r="AQ30" s="1409" t="s">
        <v>9278</v>
      </c>
      <c r="AR30" s="1409" t="s">
        <v>7489</v>
      </c>
      <c r="AS30" s="1409" t="s">
        <v>9279</v>
      </c>
      <c r="AT30" s="1409" t="s">
        <v>9280</v>
      </c>
      <c r="AU30" s="1409" t="s">
        <v>9281</v>
      </c>
      <c r="AV30" s="1409" t="str">
        <f t="shared" si="1"/>
        <v>2:36</v>
      </c>
      <c r="AW30" s="1514" t="s">
        <v>6649</v>
      </c>
    </row>
    <row r="31">
      <c r="A31" s="1533" t="s">
        <v>1201</v>
      </c>
      <c r="B31" s="1531" t="s">
        <v>8649</v>
      </c>
      <c r="C31" s="1501">
        <v>0.050486111111111114</v>
      </c>
      <c r="D31" s="1537" t="s">
        <v>9282</v>
      </c>
      <c r="E31" s="1537" t="s">
        <v>4244</v>
      </c>
      <c r="F31" s="1537" t="s">
        <v>9283</v>
      </c>
      <c r="G31" s="1537" t="s">
        <v>9284</v>
      </c>
      <c r="H31" s="798" t="s">
        <v>9285</v>
      </c>
      <c r="I31" s="1074" t="s">
        <v>930</v>
      </c>
      <c r="J31" s="1538" t="s">
        <v>5769</v>
      </c>
      <c r="K31" s="1538" t="s">
        <v>7992</v>
      </c>
      <c r="L31" s="1538" t="s">
        <v>6471</v>
      </c>
      <c r="M31" s="1538" t="s">
        <v>5003</v>
      </c>
      <c r="N31" s="1538" t="s">
        <v>9286</v>
      </c>
      <c r="O31" s="1538" t="s">
        <v>9287</v>
      </c>
      <c r="P31" s="1538" t="s">
        <v>9030</v>
      </c>
      <c r="Q31" s="1540" t="s">
        <v>170</v>
      </c>
      <c r="R31" s="1540" t="s">
        <v>4794</v>
      </c>
      <c r="S31" s="1540" t="s">
        <v>9174</v>
      </c>
      <c r="T31" s="1540" t="s">
        <v>9288</v>
      </c>
      <c r="U31" s="1540" t="s">
        <v>9289</v>
      </c>
      <c r="V31" s="1540" t="s">
        <v>9290</v>
      </c>
      <c r="W31" s="1541" t="s">
        <v>9291</v>
      </c>
      <c r="X31" s="1541" t="s">
        <v>9292</v>
      </c>
      <c r="Y31" s="1541" t="s">
        <v>7110</v>
      </c>
      <c r="Z31" s="1541" t="s">
        <v>9293</v>
      </c>
      <c r="AA31" s="1504" t="s">
        <v>9294</v>
      </c>
      <c r="AB31" s="1541" t="s">
        <v>3394</v>
      </c>
      <c r="AC31" s="1541" t="s">
        <v>1047</v>
      </c>
      <c r="AD31" s="1537" t="s">
        <v>9295</v>
      </c>
      <c r="AE31" s="1537" t="s">
        <v>2186</v>
      </c>
      <c r="AF31" s="1542" t="s">
        <v>9296</v>
      </c>
      <c r="AG31" s="1542" t="s">
        <v>529</v>
      </c>
      <c r="AH31" s="1542" t="s">
        <v>9297</v>
      </c>
      <c r="AI31" s="1542" t="s">
        <v>2638</v>
      </c>
      <c r="AJ31" s="1542" t="s">
        <v>9298</v>
      </c>
      <c r="AK31" s="1542" t="s">
        <v>7564</v>
      </c>
      <c r="AL31" s="1542" t="s">
        <v>2714</v>
      </c>
      <c r="AM31" s="1544" t="s">
        <v>9299</v>
      </c>
      <c r="AN31" s="1544" t="s">
        <v>9145</v>
      </c>
      <c r="AO31" s="1544" t="s">
        <v>9300</v>
      </c>
      <c r="AP31" s="1544" t="s">
        <v>9301</v>
      </c>
      <c r="AQ31" s="1544" t="s">
        <v>9302</v>
      </c>
      <c r="AR31" s="1544" t="s">
        <v>1162</v>
      </c>
      <c r="AS31" s="1544" t="s">
        <v>1554</v>
      </c>
      <c r="AT31" s="1538" t="s">
        <v>9303</v>
      </c>
      <c r="AU31" s="1526" t="s">
        <v>9304</v>
      </c>
      <c r="AV31" s="1409" t="str">
        <f t="shared" si="1"/>
        <v>3:47</v>
      </c>
      <c r="AW31" s="1532"/>
    </row>
    <row r="32" ht="15.75" customHeight="1">
      <c r="A32" s="1533" t="s">
        <v>1639</v>
      </c>
      <c r="B32" s="1487" t="s">
        <v>8649</v>
      </c>
      <c r="C32" s="1501">
        <v>0.05049768518518519</v>
      </c>
      <c r="D32" s="798" t="s">
        <v>9305</v>
      </c>
      <c r="E32" s="1576" t="s">
        <v>9306</v>
      </c>
      <c r="F32" s="1599" t="str">
        <f>HYPERLINK("https://www.youtube.com/watch?v=rtR6KkKhM6I","1:59.91")</f>
        <v>1:59.91</v>
      </c>
      <c r="G32" s="1576" t="s">
        <v>9307</v>
      </c>
      <c r="H32" s="1604" t="str">
        <f>HYPERLINK("https://www.youtube.com/watch?v=cg-eipYsN1s","1:54.47")</f>
        <v>1:54.47</v>
      </c>
      <c r="I32" s="1167" t="s">
        <v>9253</v>
      </c>
      <c r="J32" s="1577" t="s">
        <v>6444</v>
      </c>
      <c r="K32" s="1538" t="s">
        <v>6597</v>
      </c>
      <c r="L32" s="1595" t="str">
        <f>HYPERLINK("https://www.youtube.com/watch?v=tJdjPKdAbw4","57.01")</f>
        <v>57.01</v>
      </c>
      <c r="M32" s="1577" t="s">
        <v>7438</v>
      </c>
      <c r="N32" s="1538" t="s">
        <v>2304</v>
      </c>
      <c r="O32" s="1577" t="s">
        <v>9308</v>
      </c>
      <c r="P32" s="1577" t="s">
        <v>279</v>
      </c>
      <c r="Q32" s="1578" t="s">
        <v>237</v>
      </c>
      <c r="R32" s="1578" t="s">
        <v>9309</v>
      </c>
      <c r="S32" s="1597" t="str">
        <f>HYPERLINK("https://www.youtube.com/watch?v=_3ms_ZhYFzo","1:18.01")</f>
        <v>1:18.01</v>
      </c>
      <c r="T32" s="1578" t="s">
        <v>9310</v>
      </c>
      <c r="U32" s="1597" t="str">
        <f>HYPERLINK("https://www.youtube.com/watch?v=ZOy_TI3Zw14","2:02.38")</f>
        <v>2:02.38</v>
      </c>
      <c r="V32" s="1578" t="s">
        <v>9290</v>
      </c>
      <c r="W32" s="1579" t="s">
        <v>3301</v>
      </c>
      <c r="X32" s="1579" t="s">
        <v>7564</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9030</v>
      </c>
      <c r="AF32" s="1580" t="s">
        <v>9311</v>
      </c>
      <c r="AG32" s="1605" t="str">
        <f>HYPERLINK("https://www.youtube.com/watch?v=KXwTRrVVluY","1:30.62")</f>
        <v>1:30.62</v>
      </c>
      <c r="AH32" s="1580" t="s">
        <v>3042</v>
      </c>
      <c r="AI32" s="1580" t="s">
        <v>9190</v>
      </c>
      <c r="AJ32" s="1580" t="s">
        <v>9312</v>
      </c>
      <c r="AK32" s="1542" t="s">
        <v>9313</v>
      </c>
      <c r="AL32" s="1580" t="s">
        <v>9314</v>
      </c>
      <c r="AM32" s="1606" t="str">
        <f>HYPERLINK("https://www.youtube.com/watch?v=BAoEwuQ0LoI","1:25.68")</f>
        <v>1:25.68</v>
      </c>
      <c r="AN32" s="1606" t="str">
        <f>HYPERLINK("https://www.youtube.com/watch?v=F-LtZeEZXek","56.36")</f>
        <v>56.36</v>
      </c>
      <c r="AO32" s="1543" t="s">
        <v>9315</v>
      </c>
      <c r="AP32" s="1543" t="s">
        <v>9316</v>
      </c>
      <c r="AQ32" s="1543" t="s">
        <v>9317</v>
      </c>
      <c r="AR32" s="1606" t="str">
        <f>HYPERLINK("https://www.youtube.com/watch?v=WSIIkWWbKgE","1:21.74")</f>
        <v>1:21.74</v>
      </c>
      <c r="AS32" s="1543" t="s">
        <v>5527</v>
      </c>
      <c r="AT32" s="1595" t="str">
        <f>HYPERLINK("https://www.youtube.com/watch?v=H67SXBLcISI","2:29.09")</f>
        <v>2:29.09</v>
      </c>
      <c r="AU32" s="1581" t="s">
        <v>9318</v>
      </c>
      <c r="AV32" s="1409" t="str">
        <f t="shared" si="1"/>
        <v>2:03</v>
      </c>
      <c r="AW32" s="1607" t="s">
        <v>9319</v>
      </c>
    </row>
    <row r="33">
      <c r="A33" s="1533" t="s">
        <v>3084</v>
      </c>
      <c r="B33" s="1531" t="s">
        <v>8677</v>
      </c>
      <c r="C33" s="1501">
        <v>0.050520833333333334</v>
      </c>
      <c r="D33" s="1537" t="s">
        <v>9320</v>
      </c>
      <c r="E33" s="1586" t="s">
        <v>4586</v>
      </c>
      <c r="F33" s="1586" t="s">
        <v>8696</v>
      </c>
      <c r="G33" s="1537" t="s">
        <v>9321</v>
      </c>
      <c r="H33" s="1586" t="s">
        <v>9322</v>
      </c>
      <c r="I33" s="1586" t="s">
        <v>3108</v>
      </c>
      <c r="J33" s="1538" t="s">
        <v>9323</v>
      </c>
      <c r="K33" s="1608" t="s">
        <v>9324</v>
      </c>
      <c r="L33" s="1538" t="s">
        <v>9325</v>
      </c>
      <c r="M33" s="1494" t="s">
        <v>5697</v>
      </c>
      <c r="N33" s="1538" t="s">
        <v>889</v>
      </c>
      <c r="O33" s="1538" t="s">
        <v>9184</v>
      </c>
      <c r="P33" s="1538" t="s">
        <v>412</v>
      </c>
      <c r="Q33" s="783" t="str">
        <f>HYPERLINK("https://www.twitch.tv/planktonsecretformula/v/1588460220?sr=a", "2:12.43")</f>
        <v>2:12.43</v>
      </c>
      <c r="R33" s="1540" t="s">
        <v>9268</v>
      </c>
      <c r="S33" s="1540" t="s">
        <v>9326</v>
      </c>
      <c r="T33" s="1609" t="s">
        <v>9327</v>
      </c>
      <c r="U33" s="1586" t="s">
        <v>9328</v>
      </c>
      <c r="V33" s="1586" t="s">
        <v>9329</v>
      </c>
      <c r="W33" s="1565" t="s">
        <v>9330</v>
      </c>
      <c r="X33" s="1541" t="s">
        <v>859</v>
      </c>
      <c r="Y33" s="1541" t="s">
        <v>6785</v>
      </c>
      <c r="Z33" s="1541" t="s">
        <v>8792</v>
      </c>
      <c r="AA33" s="1504" t="s">
        <v>9331</v>
      </c>
      <c r="AB33" s="1541" t="s">
        <v>4131</v>
      </c>
      <c r="AC33" s="1541" t="s">
        <v>945</v>
      </c>
      <c r="AD33" s="1537" t="s">
        <v>3857</v>
      </c>
      <c r="AE33" s="1537" t="s">
        <v>5791</v>
      </c>
      <c r="AF33" s="1542" t="s">
        <v>9332</v>
      </c>
      <c r="AG33" s="1586" t="s">
        <v>4623</v>
      </c>
      <c r="AH33" s="1542" t="s">
        <v>9333</v>
      </c>
      <c r="AI33" s="1542" t="s">
        <v>6887</v>
      </c>
      <c r="AJ33" s="1542" t="s">
        <v>9334</v>
      </c>
      <c r="AK33" s="1542" t="s">
        <v>9335</v>
      </c>
      <c r="AL33" s="1542" t="s">
        <v>9336</v>
      </c>
      <c r="AM33" s="1544" t="s">
        <v>8845</v>
      </c>
      <c r="AN33" s="1544" t="s">
        <v>9033</v>
      </c>
      <c r="AO33" s="1544" t="s">
        <v>3005</v>
      </c>
      <c r="AP33" s="1544" t="s">
        <v>9337</v>
      </c>
      <c r="AQ33" s="783" t="str">
        <f>HYPERLINK("https://www.twitch.tv/planktonsecretformula/v/1678454360?sr=a&amp;t=0s", "1:37.46")</f>
        <v>1:37.46</v>
      </c>
      <c r="AR33" s="1544" t="s">
        <v>9338</v>
      </c>
      <c r="AS33" s="1544" t="s">
        <v>719</v>
      </c>
      <c r="AT33" s="1538" t="s">
        <v>9339</v>
      </c>
      <c r="AU33" s="1526" t="s">
        <v>9340</v>
      </c>
      <c r="AV33" s="1409" t="str">
        <f t="shared" si="1"/>
        <v>4:40</v>
      </c>
      <c r="AW33" s="1532" t="s">
        <v>9341</v>
      </c>
    </row>
    <row r="34" ht="15.75" customHeight="1">
      <c r="A34" s="1591" t="s">
        <v>9342</v>
      </c>
      <c r="B34" s="1487" t="s">
        <v>8649</v>
      </c>
      <c r="C34" s="1501">
        <v>0.050555555555555555</v>
      </c>
      <c r="D34" s="798" t="s">
        <v>9343</v>
      </c>
      <c r="E34" s="1537" t="s">
        <v>9344</v>
      </c>
      <c r="F34" s="1537" t="s">
        <v>9345</v>
      </c>
      <c r="G34" s="1537" t="s">
        <v>9346</v>
      </c>
      <c r="H34" s="1074" t="s">
        <v>9347</v>
      </c>
      <c r="I34" s="1074" t="s">
        <v>9348</v>
      </c>
      <c r="J34" s="1538" t="s">
        <v>9349</v>
      </c>
      <c r="K34" s="1538" t="s">
        <v>9350</v>
      </c>
      <c r="L34" s="1538" t="s">
        <v>9351</v>
      </c>
      <c r="M34" s="1538" t="s">
        <v>3231</v>
      </c>
      <c r="N34" s="1538" t="s">
        <v>9352</v>
      </c>
      <c r="O34" s="1538" t="s">
        <v>9251</v>
      </c>
      <c r="P34" s="1538" t="s">
        <v>4889</v>
      </c>
      <c r="Q34" s="1540" t="s">
        <v>9353</v>
      </c>
      <c r="R34" s="1540" t="s">
        <v>2643</v>
      </c>
      <c r="S34" s="1540" t="s">
        <v>9354</v>
      </c>
      <c r="T34" s="1540" t="s">
        <v>9355</v>
      </c>
      <c r="U34" s="1540" t="s">
        <v>9356</v>
      </c>
      <c r="V34" s="1540" t="s">
        <v>9187</v>
      </c>
      <c r="W34" s="1541" t="s">
        <v>9357</v>
      </c>
      <c r="X34" s="1541" t="s">
        <v>9358</v>
      </c>
      <c r="Y34" s="1541" t="s">
        <v>9359</v>
      </c>
      <c r="Z34" s="1541" t="s">
        <v>1386</v>
      </c>
      <c r="AA34" s="1541" t="s">
        <v>9360</v>
      </c>
      <c r="AB34" s="1541" t="s">
        <v>6596</v>
      </c>
      <c r="AC34" s="1579" t="s">
        <v>2249</v>
      </c>
      <c r="AD34" s="1537" t="s">
        <v>9361</v>
      </c>
      <c r="AE34" s="1537" t="s">
        <v>9030</v>
      </c>
      <c r="AF34" s="1542" t="s">
        <v>9362</v>
      </c>
      <c r="AG34" s="1542" t="s">
        <v>9363</v>
      </c>
      <c r="AH34" s="1542" t="s">
        <v>5591</v>
      </c>
      <c r="AI34" s="1542" t="s">
        <v>9364</v>
      </c>
      <c r="AJ34" s="1542" t="s">
        <v>9365</v>
      </c>
      <c r="AK34" s="1542" t="s">
        <v>4462</v>
      </c>
      <c r="AL34" s="1542" t="s">
        <v>5641</v>
      </c>
      <c r="AM34" s="1544" t="s">
        <v>2064</v>
      </c>
      <c r="AN34" s="1544" t="s">
        <v>4608</v>
      </c>
      <c r="AO34" s="1544" t="s">
        <v>9366</v>
      </c>
      <c r="AP34" s="1544" t="s">
        <v>9367</v>
      </c>
      <c r="AQ34" s="1544" t="s">
        <v>9368</v>
      </c>
      <c r="AR34" s="1544" t="s">
        <v>9046</v>
      </c>
      <c r="AS34" s="1544" t="s">
        <v>885</v>
      </c>
      <c r="AT34" s="1538" t="s">
        <v>9369</v>
      </c>
      <c r="AU34" s="1526" t="s">
        <v>9370</v>
      </c>
      <c r="AV34" s="1409" t="str">
        <f t="shared" si="1"/>
        <v>2:07</v>
      </c>
      <c r="AW34" s="1602"/>
    </row>
    <row r="35">
      <c r="A35" s="1533" t="s">
        <v>646</v>
      </c>
      <c r="B35" s="1531" t="s">
        <v>8649</v>
      </c>
      <c r="C35" s="1501">
        <v>0.050555555555555555</v>
      </c>
      <c r="D35" s="798" t="s">
        <v>9371</v>
      </c>
      <c r="E35" s="798" t="s">
        <v>9372</v>
      </c>
      <c r="F35" s="798" t="s">
        <v>9373</v>
      </c>
      <c r="G35" s="798" t="s">
        <v>9374</v>
      </c>
      <c r="H35" s="798" t="s">
        <v>9375</v>
      </c>
      <c r="I35" s="798" t="s">
        <v>9376</v>
      </c>
      <c r="J35" s="798" t="s">
        <v>1304</v>
      </c>
      <c r="K35" s="798" t="s">
        <v>9377</v>
      </c>
      <c r="L35" s="798" t="s">
        <v>4238</v>
      </c>
      <c r="M35" s="798" t="s">
        <v>4161</v>
      </c>
      <c r="N35" s="798" t="s">
        <v>9378</v>
      </c>
      <c r="O35" s="798" t="s">
        <v>9379</v>
      </c>
      <c r="P35" s="798" t="s">
        <v>9380</v>
      </c>
      <c r="Q35" s="798" t="s">
        <v>9381</v>
      </c>
      <c r="R35" s="798" t="s">
        <v>2077</v>
      </c>
      <c r="S35" s="798" t="s">
        <v>9382</v>
      </c>
      <c r="T35" s="798" t="s">
        <v>9240</v>
      </c>
      <c r="U35" s="798" t="s">
        <v>9383</v>
      </c>
      <c r="V35" s="798" t="s">
        <v>9384</v>
      </c>
      <c r="W35" s="798" t="s">
        <v>4713</v>
      </c>
      <c r="X35" s="798" t="s">
        <v>9385</v>
      </c>
      <c r="Y35" s="798" t="s">
        <v>5107</v>
      </c>
      <c r="Z35" s="798" t="s">
        <v>9386</v>
      </c>
      <c r="AA35" s="798" t="s">
        <v>9387</v>
      </c>
      <c r="AB35" s="798" t="s">
        <v>9388</v>
      </c>
      <c r="AC35" s="798" t="s">
        <v>7764</v>
      </c>
      <c r="AD35" s="798" t="s">
        <v>9389</v>
      </c>
      <c r="AE35" s="798" t="s">
        <v>8821</v>
      </c>
      <c r="AF35" s="798" t="s">
        <v>9390</v>
      </c>
      <c r="AG35" s="798" t="s">
        <v>5103</v>
      </c>
      <c r="AH35" s="798" t="s">
        <v>4433</v>
      </c>
      <c r="AI35" s="798" t="s">
        <v>9391</v>
      </c>
      <c r="AJ35" s="798" t="s">
        <v>9392</v>
      </c>
      <c r="AK35" s="798" t="s">
        <v>1764</v>
      </c>
      <c r="AL35" s="798" t="s">
        <v>9393</v>
      </c>
      <c r="AM35" s="798" t="s">
        <v>3978</v>
      </c>
      <c r="AN35" s="798" t="s">
        <v>4015</v>
      </c>
      <c r="AO35" s="798" t="s">
        <v>6295</v>
      </c>
      <c r="AP35" s="798" t="s">
        <v>9394</v>
      </c>
      <c r="AQ35" s="798" t="s">
        <v>9395</v>
      </c>
      <c r="AR35" s="798" t="s">
        <v>8923</v>
      </c>
      <c r="AS35" s="798" t="s">
        <v>840</v>
      </c>
      <c r="AT35" s="798" t="s">
        <v>9396</v>
      </c>
      <c r="AU35" s="1526" t="s">
        <v>9281</v>
      </c>
      <c r="AV35" s="1409" t="str">
        <f t="shared" si="1"/>
        <v>2:26</v>
      </c>
      <c r="AW35" s="1532" t="s">
        <v>9397</v>
      </c>
    </row>
    <row r="36" ht="15.75" customHeight="1">
      <c r="A36" s="1486" t="s">
        <v>740</v>
      </c>
      <c r="B36" s="1564" t="s">
        <v>8677</v>
      </c>
      <c r="C36" s="1501">
        <v>0.05056712962962963</v>
      </c>
      <c r="D36" s="1553" t="s">
        <v>8678</v>
      </c>
      <c r="E36" s="1576" t="s">
        <v>9180</v>
      </c>
      <c r="F36" s="1594" t="s">
        <v>8679</v>
      </c>
      <c r="G36" s="1504" t="s">
        <v>9398</v>
      </c>
      <c r="H36" s="1504" t="s">
        <v>9399</v>
      </c>
      <c r="I36" s="1594" t="s">
        <v>8682</v>
      </c>
      <c r="J36" s="1504" t="s">
        <v>1107</v>
      </c>
      <c r="K36" s="1504" t="s">
        <v>4856</v>
      </c>
      <c r="L36" s="1504" t="s">
        <v>2292</v>
      </c>
      <c r="M36" s="1504" t="s">
        <v>2206</v>
      </c>
      <c r="N36" s="1504" t="s">
        <v>9135</v>
      </c>
      <c r="O36" s="1504" t="s">
        <v>9400</v>
      </c>
      <c r="P36" s="1504" t="s">
        <v>3950</v>
      </c>
      <c r="Q36" s="1504" t="s">
        <v>9401</v>
      </c>
      <c r="R36" s="1504" t="s">
        <v>3105</v>
      </c>
      <c r="S36" s="1504" t="s">
        <v>9402</v>
      </c>
      <c r="T36" s="1504" t="s">
        <v>2359</v>
      </c>
      <c r="U36" s="1504" t="s">
        <v>8880</v>
      </c>
      <c r="V36" s="1504" t="s">
        <v>2708</v>
      </c>
      <c r="W36" s="1504" t="s">
        <v>9403</v>
      </c>
      <c r="X36" s="1504" t="s">
        <v>9404</v>
      </c>
      <c r="Y36" s="1504" t="s">
        <v>864</v>
      </c>
      <c r="Z36" s="1504" t="s">
        <v>9052</v>
      </c>
      <c r="AA36" s="1504" t="s">
        <v>7564</v>
      </c>
      <c r="AB36" s="1504" t="s">
        <v>6095</v>
      </c>
      <c r="AC36" s="1409" t="s">
        <v>537</v>
      </c>
      <c r="AD36" s="1504" t="s">
        <v>9405</v>
      </c>
      <c r="AE36" s="1504" t="s">
        <v>9171</v>
      </c>
      <c r="AF36" s="1504" t="s">
        <v>9406</v>
      </c>
      <c r="AG36" s="1504" t="s">
        <v>9240</v>
      </c>
      <c r="AH36" s="1504" t="s">
        <v>2892</v>
      </c>
      <c r="AI36" s="1504" t="s">
        <v>9407</v>
      </c>
      <c r="AJ36" s="1504" t="s">
        <v>3249</v>
      </c>
      <c r="AK36" s="1504" t="s">
        <v>5298</v>
      </c>
      <c r="AL36" s="1504" t="s">
        <v>4184</v>
      </c>
      <c r="AM36" s="1504" t="s">
        <v>3311</v>
      </c>
      <c r="AN36" s="1504" t="s">
        <v>344</v>
      </c>
      <c r="AO36" s="1504" t="s">
        <v>9408</v>
      </c>
      <c r="AP36" s="1504" t="s">
        <v>9409</v>
      </c>
      <c r="AQ36" s="1504" t="s">
        <v>7506</v>
      </c>
      <c r="AR36" s="1504" t="s">
        <v>2628</v>
      </c>
      <c r="AS36" s="1504" t="s">
        <v>4028</v>
      </c>
      <c r="AT36" s="1504" t="s">
        <v>9410</v>
      </c>
      <c r="AU36" s="1504" t="s">
        <v>9081</v>
      </c>
      <c r="AV36" s="1409" t="str">
        <f t="shared" si="1"/>
        <v>3:34</v>
      </c>
      <c r="AW36" s="1529" t="s">
        <v>9411</v>
      </c>
    </row>
    <row r="37" ht="15.75" customHeight="1">
      <c r="A37" s="1533" t="s">
        <v>646</v>
      </c>
      <c r="B37" s="1564" t="s">
        <v>8677</v>
      </c>
      <c r="C37" s="1603">
        <v>0.05056712962962963</v>
      </c>
      <c r="D37" s="798" t="s">
        <v>9412</v>
      </c>
      <c r="E37" s="1409" t="s">
        <v>9413</v>
      </c>
      <c r="F37" s="1409" t="s">
        <v>9111</v>
      </c>
      <c r="G37" s="1409" t="s">
        <v>9414</v>
      </c>
      <c r="H37" s="1409" t="s">
        <v>4436</v>
      </c>
      <c r="I37" s="1409" t="s">
        <v>1186</v>
      </c>
      <c r="J37" s="1504" t="s">
        <v>3508</v>
      </c>
      <c r="K37" s="1504" t="s">
        <v>3508</v>
      </c>
      <c r="L37" s="1409" t="s">
        <v>9415</v>
      </c>
      <c r="M37" s="1409" t="s">
        <v>9416</v>
      </c>
      <c r="N37" s="1409" t="s">
        <v>9057</v>
      </c>
      <c r="O37" s="1594" t="s">
        <v>8685</v>
      </c>
      <c r="P37" s="1409" t="s">
        <v>7145</v>
      </c>
      <c r="Q37" s="1409" t="s">
        <v>787</v>
      </c>
      <c r="R37" s="1504" t="s">
        <v>3508</v>
      </c>
      <c r="S37" s="1409" t="s">
        <v>9417</v>
      </c>
      <c r="T37" s="1409" t="s">
        <v>155</v>
      </c>
      <c r="U37" s="1409" t="s">
        <v>9418</v>
      </c>
      <c r="V37" s="1409" t="s">
        <v>9419</v>
      </c>
      <c r="W37" s="1409" t="s">
        <v>9420</v>
      </c>
      <c r="X37" s="1409" t="s">
        <v>9234</v>
      </c>
      <c r="Y37" s="1409" t="s">
        <v>9235</v>
      </c>
      <c r="Z37" s="1409" t="s">
        <v>150</v>
      </c>
      <c r="AA37" s="1409" t="s">
        <v>9421</v>
      </c>
      <c r="AB37" s="1409" t="s">
        <v>8898</v>
      </c>
      <c r="AC37" s="1409" t="s">
        <v>4465</v>
      </c>
      <c r="AD37" s="1409" t="s">
        <v>2324</v>
      </c>
      <c r="AE37" s="1409" t="s">
        <v>9359</v>
      </c>
      <c r="AF37" s="1409" t="s">
        <v>9422</v>
      </c>
      <c r="AG37" s="1409" t="s">
        <v>9423</v>
      </c>
      <c r="AH37" s="1409" t="s">
        <v>4453</v>
      </c>
      <c r="AI37" s="1409" t="s">
        <v>3736</v>
      </c>
      <c r="AJ37" s="1409" t="s">
        <v>9424</v>
      </c>
      <c r="AK37" s="1409" t="s">
        <v>1165</v>
      </c>
      <c r="AL37" s="1409" t="s">
        <v>9238</v>
      </c>
      <c r="AM37" s="1409" t="s">
        <v>876</v>
      </c>
      <c r="AN37" s="1504" t="s">
        <v>9425</v>
      </c>
      <c r="AO37" s="1504" t="s">
        <v>3508</v>
      </c>
      <c r="AP37" s="1409" t="s">
        <v>5345</v>
      </c>
      <c r="AQ37" s="1409" t="s">
        <v>251</v>
      </c>
      <c r="AR37" s="1409" t="s">
        <v>4780</v>
      </c>
      <c r="AS37" s="1409" t="s">
        <v>9426</v>
      </c>
      <c r="AT37" s="1409" t="s">
        <v>9427</v>
      </c>
      <c r="AU37" s="1504" t="s">
        <v>9428</v>
      </c>
      <c r="AV37" s="1409" t="str">
        <f t="shared" si="1"/>
        <v>3:07</v>
      </c>
      <c r="AW37" s="1548" t="s">
        <v>9429</v>
      </c>
    </row>
    <row r="38" ht="15.75" customHeight="1">
      <c r="A38" s="1486" t="s">
        <v>4234</v>
      </c>
      <c r="B38" s="1487" t="s">
        <v>8649</v>
      </c>
      <c r="C38" s="1603">
        <v>0.05060185185185185</v>
      </c>
      <c r="D38" s="798" t="s">
        <v>9430</v>
      </c>
      <c r="E38" s="1576" t="s">
        <v>3287</v>
      </c>
      <c r="F38" s="1576" t="s">
        <v>6035</v>
      </c>
      <c r="G38" s="1576" t="s">
        <v>9431</v>
      </c>
      <c r="H38" s="1167" t="s">
        <v>9432</v>
      </c>
      <c r="I38" s="1167" t="s">
        <v>4768</v>
      </c>
      <c r="J38" s="1577" t="s">
        <v>8837</v>
      </c>
      <c r="K38" s="1577" t="s">
        <v>7992</v>
      </c>
      <c r="L38" s="1577" t="s">
        <v>5506</v>
      </c>
      <c r="M38" s="1577" t="s">
        <v>9433</v>
      </c>
      <c r="N38" s="1577" t="s">
        <v>5232</v>
      </c>
      <c r="O38" s="1577" t="s">
        <v>9434</v>
      </c>
      <c r="P38" s="1577" t="s">
        <v>5863</v>
      </c>
      <c r="Q38" s="1578" t="s">
        <v>9435</v>
      </c>
      <c r="R38" s="1578" t="s">
        <v>5452</v>
      </c>
      <c r="S38" s="1578" t="s">
        <v>6596</v>
      </c>
      <c r="T38" s="1578" t="s">
        <v>9436</v>
      </c>
      <c r="U38" s="1578" t="s">
        <v>6166</v>
      </c>
      <c r="V38" s="1578" t="s">
        <v>3820</v>
      </c>
      <c r="W38" s="1579" t="s">
        <v>9437</v>
      </c>
      <c r="X38" s="1579" t="s">
        <v>7983</v>
      </c>
      <c r="Y38" s="1579" t="s">
        <v>5065</v>
      </c>
      <c r="Z38" s="1579" t="s">
        <v>1843</v>
      </c>
      <c r="AA38" s="1579" t="s">
        <v>9438</v>
      </c>
      <c r="AB38" s="1579" t="s">
        <v>8898</v>
      </c>
      <c r="AC38" s="1579" t="s">
        <v>5507</v>
      </c>
      <c r="AD38" s="1576" t="s">
        <v>6496</v>
      </c>
      <c r="AE38" s="1576" t="s">
        <v>6785</v>
      </c>
      <c r="AF38" s="1580" t="s">
        <v>9439</v>
      </c>
      <c r="AG38" s="1580" t="s">
        <v>9363</v>
      </c>
      <c r="AH38" s="1580" t="s">
        <v>7229</v>
      </c>
      <c r="AI38" s="1580" t="s">
        <v>5502</v>
      </c>
      <c r="AJ38" s="1580" t="s">
        <v>9440</v>
      </c>
      <c r="AK38" s="1580" t="s">
        <v>9441</v>
      </c>
      <c r="AL38" s="1580" t="s">
        <v>9442</v>
      </c>
      <c r="AM38" s="1543" t="s">
        <v>9443</v>
      </c>
      <c r="AN38" s="1543" t="s">
        <v>9444</v>
      </c>
      <c r="AO38" s="1543" t="s">
        <v>9445</v>
      </c>
      <c r="AP38" s="1543" t="s">
        <v>9446</v>
      </c>
      <c r="AQ38" s="1543" t="s">
        <v>9302</v>
      </c>
      <c r="AR38" s="1543" t="s">
        <v>9447</v>
      </c>
      <c r="AS38" s="1543" t="s">
        <v>4379</v>
      </c>
      <c r="AT38" s="1577" t="s">
        <v>9448</v>
      </c>
      <c r="AU38" s="1581" t="s">
        <v>9449</v>
      </c>
      <c r="AV38" s="1409" t="str">
        <f t="shared" si="1"/>
        <v>1:56</v>
      </c>
      <c r="AW38" s="1602"/>
    </row>
    <row r="39" ht="15.75" customHeight="1">
      <c r="A39" s="1500" t="s">
        <v>902</v>
      </c>
      <c r="B39" s="1487" t="s">
        <v>8649</v>
      </c>
      <c r="C39" s="1501">
        <v>0.05061342592592592</v>
      </c>
      <c r="D39" s="798" t="s">
        <v>9450</v>
      </c>
      <c r="E39" s="1504" t="s">
        <v>8812</v>
      </c>
      <c r="F39" s="1504" t="s">
        <v>5385</v>
      </c>
      <c r="G39" s="1409" t="s">
        <v>9451</v>
      </c>
      <c r="H39" s="1504" t="s">
        <v>9452</v>
      </c>
      <c r="I39" s="1504" t="s">
        <v>388</v>
      </c>
      <c r="J39" s="1504" t="s">
        <v>6889</v>
      </c>
      <c r="K39" s="1409" t="s">
        <v>9108</v>
      </c>
      <c r="L39" s="1504" t="s">
        <v>9453</v>
      </c>
      <c r="M39" s="1504" t="s">
        <v>9454</v>
      </c>
      <c r="N39" s="1504" t="s">
        <v>4386</v>
      </c>
      <c r="O39" s="1504" t="s">
        <v>9455</v>
      </c>
      <c r="P39" s="1504" t="s">
        <v>1593</v>
      </c>
      <c r="Q39" s="1493" t="s">
        <v>9456</v>
      </c>
      <c r="R39" s="1504" t="s">
        <v>9457</v>
      </c>
      <c r="S39" s="1409" t="s">
        <v>9458</v>
      </c>
      <c r="T39" s="1504" t="s">
        <v>9216</v>
      </c>
      <c r="U39" s="1504" t="s">
        <v>7320</v>
      </c>
      <c r="V39" s="1504" t="s">
        <v>2476</v>
      </c>
      <c r="W39" s="1512" t="str">
        <f>HYPERLINK("https://www.youtube.com/watch?v=nn1ub1z3NYM","1:45.96")</f>
        <v>1:45.96</v>
      </c>
      <c r="X39" s="1504" t="s">
        <v>5639</v>
      </c>
      <c r="Y39" s="1409" t="s">
        <v>5491</v>
      </c>
      <c r="Z39" s="1504" t="s">
        <v>1507</v>
      </c>
      <c r="AA39" s="1504" t="s">
        <v>9459</v>
      </c>
      <c r="AB39" s="1504" t="s">
        <v>9460</v>
      </c>
      <c r="AC39" s="1504" t="s">
        <v>1047</v>
      </c>
      <c r="AD39" s="1504" t="s">
        <v>9461</v>
      </c>
      <c r="AE39" s="1493" t="s">
        <v>4606</v>
      </c>
      <c r="AF39" s="1409" t="s">
        <v>9462</v>
      </c>
      <c r="AG39" s="1504" t="s">
        <v>2075</v>
      </c>
      <c r="AH39" s="1504" t="s">
        <v>3042</v>
      </c>
      <c r="AI39" s="1504" t="s">
        <v>9463</v>
      </c>
      <c r="AJ39" s="1409" t="s">
        <v>8233</v>
      </c>
      <c r="AK39" s="1504" t="s">
        <v>9464</v>
      </c>
      <c r="AL39" s="1409" t="s">
        <v>4339</v>
      </c>
      <c r="AM39" s="1409" t="s">
        <v>9465</v>
      </c>
      <c r="AN39" s="1409" t="s">
        <v>2509</v>
      </c>
      <c r="AO39" s="1504" t="s">
        <v>5202</v>
      </c>
      <c r="AP39" s="1504" t="s">
        <v>9466</v>
      </c>
      <c r="AQ39" s="1504" t="s">
        <v>9467</v>
      </c>
      <c r="AR39" s="1504" t="s">
        <v>1304</v>
      </c>
      <c r="AS39" s="1504" t="s">
        <v>4737</v>
      </c>
      <c r="AT39" s="1504" t="s">
        <v>9468</v>
      </c>
      <c r="AU39" s="1504" t="s">
        <v>9469</v>
      </c>
      <c r="AV39" s="1409" t="str">
        <f t="shared" si="1"/>
        <v>2:25</v>
      </c>
      <c r="AW39" s="1529"/>
    </row>
    <row r="40">
      <c r="A40" s="1500" t="s">
        <v>9470</v>
      </c>
      <c r="B40" s="1528" t="s">
        <v>8649</v>
      </c>
      <c r="C40" s="1501">
        <v>0.050625</v>
      </c>
      <c r="D40" s="1610" t="s">
        <v>9471</v>
      </c>
      <c r="E40" s="1504" t="s">
        <v>4691</v>
      </c>
      <c r="F40" s="1504" t="s">
        <v>9472</v>
      </c>
      <c r="G40" s="1504" t="s">
        <v>9473</v>
      </c>
      <c r="H40" s="1504" t="s">
        <v>1662</v>
      </c>
      <c r="I40" s="1504" t="s">
        <v>1835</v>
      </c>
      <c r="J40" s="1504" t="s">
        <v>9474</v>
      </c>
      <c r="K40" s="1504" t="s">
        <v>3527</v>
      </c>
      <c r="L40" s="1504" t="s">
        <v>9475</v>
      </c>
      <c r="M40" s="1504" t="s">
        <v>9476</v>
      </c>
      <c r="N40" s="1504" t="s">
        <v>9477</v>
      </c>
      <c r="O40" s="1504" t="s">
        <v>9478</v>
      </c>
      <c r="P40" s="1504" t="s">
        <v>9359</v>
      </c>
      <c r="Q40" s="1504" t="s">
        <v>4628</v>
      </c>
      <c r="R40" s="1504" t="s">
        <v>3946</v>
      </c>
      <c r="S40" s="1504" t="s">
        <v>2612</v>
      </c>
      <c r="T40" s="1504" t="s">
        <v>2359</v>
      </c>
      <c r="U40" s="1504" t="s">
        <v>9479</v>
      </c>
      <c r="V40" s="1504" t="s">
        <v>2177</v>
      </c>
      <c r="W40" s="1504" t="s">
        <v>7816</v>
      </c>
      <c r="X40" s="1504" t="s">
        <v>9480</v>
      </c>
      <c r="Y40" s="1504" t="s">
        <v>9481</v>
      </c>
      <c r="Z40" s="1504" t="s">
        <v>9482</v>
      </c>
      <c r="AA40" s="1504" t="s">
        <v>9483</v>
      </c>
      <c r="AB40" s="1504"/>
      <c r="AC40" s="1504" t="s">
        <v>9484</v>
      </c>
      <c r="AD40" s="1504" t="s">
        <v>9485</v>
      </c>
      <c r="AE40" s="1504" t="s">
        <v>4937</v>
      </c>
      <c r="AF40" s="1504" t="s">
        <v>9486</v>
      </c>
      <c r="AG40" s="1504" t="s">
        <v>9487</v>
      </c>
      <c r="AH40" s="1504" t="s">
        <v>9488</v>
      </c>
      <c r="AI40" s="1504" t="s">
        <v>728</v>
      </c>
      <c r="AJ40" s="1504" t="s">
        <v>9489</v>
      </c>
      <c r="AK40" s="1504" t="s">
        <v>9490</v>
      </c>
      <c r="AL40" s="1504" t="s">
        <v>9007</v>
      </c>
      <c r="AM40" s="1504" t="s">
        <v>9491</v>
      </c>
      <c r="AN40" s="1504" t="s">
        <v>8726</v>
      </c>
      <c r="AO40" s="1504" t="s">
        <v>9492</v>
      </c>
      <c r="AP40" s="1504" t="s">
        <v>9493</v>
      </c>
      <c r="AQ40" s="1504" t="s">
        <v>9494</v>
      </c>
      <c r="AR40" s="1504" t="s">
        <v>6601</v>
      </c>
      <c r="AS40" s="1504" t="s">
        <v>5844</v>
      </c>
      <c r="AT40" s="1504" t="s">
        <v>8314</v>
      </c>
      <c r="AU40" s="1504" t="s">
        <v>9495</v>
      </c>
      <c r="AV40" s="1409" t="str">
        <f t="shared" si="1"/>
        <v>2:05</v>
      </c>
      <c r="AW40" s="1548"/>
    </row>
    <row r="41">
      <c r="A41" s="1500" t="s">
        <v>9496</v>
      </c>
      <c r="B41" s="1531" t="s">
        <v>8649</v>
      </c>
      <c r="C41" s="1501">
        <v>0.0506712962962963</v>
      </c>
      <c r="D41" s="1610" t="s">
        <v>9497</v>
      </c>
      <c r="E41" s="1537" t="s">
        <v>3287</v>
      </c>
      <c r="F41" s="1537" t="s">
        <v>8980</v>
      </c>
      <c r="G41" s="1537" t="s">
        <v>9498</v>
      </c>
      <c r="H41" s="1074" t="s">
        <v>9499</v>
      </c>
      <c r="I41" s="1074" t="s">
        <v>9500</v>
      </c>
      <c r="J41" s="1538" t="s">
        <v>9501</v>
      </c>
      <c r="K41" s="1538" t="s">
        <v>7184</v>
      </c>
      <c r="L41" s="1538" t="s">
        <v>4302</v>
      </c>
      <c r="M41" s="1538" t="s">
        <v>7185</v>
      </c>
      <c r="N41" s="1538" t="s">
        <v>9502</v>
      </c>
      <c r="O41" s="1538" t="s">
        <v>2210</v>
      </c>
      <c r="P41" s="1538" t="s">
        <v>7148</v>
      </c>
      <c r="Q41" s="1540" t="s">
        <v>7901</v>
      </c>
      <c r="R41" s="1540" t="s">
        <v>9503</v>
      </c>
      <c r="S41" s="1540" t="s">
        <v>9504</v>
      </c>
      <c r="T41" s="1540" t="s">
        <v>9505</v>
      </c>
      <c r="U41" s="1540" t="s">
        <v>9506</v>
      </c>
      <c r="V41" s="1540" t="s">
        <v>9507</v>
      </c>
      <c r="W41" s="1541" t="s">
        <v>9508</v>
      </c>
      <c r="X41" s="1541" t="s">
        <v>9509</v>
      </c>
      <c r="Y41" s="1541" t="s">
        <v>6221</v>
      </c>
      <c r="Z41" s="1541" t="s">
        <v>9510</v>
      </c>
      <c r="AA41" s="1504" t="s">
        <v>1769</v>
      </c>
      <c r="AB41" s="1541" t="s">
        <v>8999</v>
      </c>
      <c r="AC41" s="1541" t="s">
        <v>7764</v>
      </c>
      <c r="AD41" s="1537" t="s">
        <v>9511</v>
      </c>
      <c r="AE41" s="1537" t="s">
        <v>537</v>
      </c>
      <c r="AF41" s="1542" t="s">
        <v>9512</v>
      </c>
      <c r="AG41" s="1542" t="s">
        <v>3929</v>
      </c>
      <c r="AH41" s="1542" t="s">
        <v>5191</v>
      </c>
      <c r="AI41" s="1542" t="s">
        <v>9513</v>
      </c>
      <c r="AJ41" s="1542" t="s">
        <v>9514</v>
      </c>
      <c r="AK41" s="1542" t="s">
        <v>401</v>
      </c>
      <c r="AL41" s="1542" t="s">
        <v>2584</v>
      </c>
      <c r="AM41" s="1544" t="s">
        <v>8981</v>
      </c>
      <c r="AN41" s="1544" t="s">
        <v>8874</v>
      </c>
      <c r="AO41" s="1544" t="s">
        <v>9175</v>
      </c>
      <c r="AP41" s="1544" t="s">
        <v>9515</v>
      </c>
      <c r="AQ41" s="1544" t="s">
        <v>9516</v>
      </c>
      <c r="AR41" s="1544" t="s">
        <v>9517</v>
      </c>
      <c r="AS41" s="1544" t="s">
        <v>9518</v>
      </c>
      <c r="AT41" s="1538" t="s">
        <v>9519</v>
      </c>
      <c r="AU41" s="1526" t="s">
        <v>9304</v>
      </c>
      <c r="AV41" s="1409" t="str">
        <f t="shared" si="1"/>
        <v>3:31</v>
      </c>
      <c r="AW41" s="1602"/>
    </row>
    <row r="42" ht="15.75" customHeight="1">
      <c r="A42" s="1591" t="s">
        <v>9520</v>
      </c>
      <c r="B42" s="1487" t="s">
        <v>8649</v>
      </c>
      <c r="C42" s="1501">
        <v>0.05070601851851852</v>
      </c>
      <c r="D42" s="798" t="s">
        <v>9521</v>
      </c>
      <c r="E42" s="1576" t="s">
        <v>3223</v>
      </c>
      <c r="F42" s="1576" t="s">
        <v>8875</v>
      </c>
      <c r="G42" s="1576" t="s">
        <v>9522</v>
      </c>
      <c r="H42" s="1167" t="s">
        <v>9523</v>
      </c>
      <c r="I42" s="1167" t="s">
        <v>388</v>
      </c>
      <c r="J42" s="1577" t="s">
        <v>2072</v>
      </c>
      <c r="K42" s="1577" t="s">
        <v>3661</v>
      </c>
      <c r="L42" s="1577" t="s">
        <v>5394</v>
      </c>
      <c r="M42" s="1577" t="s">
        <v>9524</v>
      </c>
      <c r="N42" s="1577" t="s">
        <v>9355</v>
      </c>
      <c r="O42" s="1577" t="s">
        <v>9525</v>
      </c>
      <c r="P42" s="1577" t="s">
        <v>5470</v>
      </c>
      <c r="Q42" s="1578" t="s">
        <v>9526</v>
      </c>
      <c r="R42" s="1578" t="s">
        <v>732</v>
      </c>
      <c r="S42" s="1578" t="s">
        <v>9492</v>
      </c>
      <c r="T42" s="1578" t="s">
        <v>9358</v>
      </c>
      <c r="U42" s="1578" t="s">
        <v>9527</v>
      </c>
      <c r="V42" s="1578" t="s">
        <v>2476</v>
      </c>
      <c r="W42" s="1579" t="s">
        <v>9528</v>
      </c>
      <c r="X42" s="1579" t="s">
        <v>6096</v>
      </c>
      <c r="Y42" s="1579" t="s">
        <v>9529</v>
      </c>
      <c r="Z42" s="1579" t="s">
        <v>8739</v>
      </c>
      <c r="AA42" s="1579" t="s">
        <v>9530</v>
      </c>
      <c r="AB42" s="1579" t="s">
        <v>2603</v>
      </c>
      <c r="AC42" s="1579" t="s">
        <v>3101</v>
      </c>
      <c r="AD42" s="1576" t="s">
        <v>9531</v>
      </c>
      <c r="AE42" s="1576" t="s">
        <v>6223</v>
      </c>
      <c r="AF42" s="1580" t="s">
        <v>8777</v>
      </c>
      <c r="AG42" s="1580" t="s">
        <v>9532</v>
      </c>
      <c r="AH42" s="1580" t="s">
        <v>2220</v>
      </c>
      <c r="AI42" s="1580" t="s">
        <v>9533</v>
      </c>
      <c r="AJ42" s="1580" t="s">
        <v>9534</v>
      </c>
      <c r="AK42" s="1580" t="s">
        <v>9535</v>
      </c>
      <c r="AL42" s="1580" t="s">
        <v>5362</v>
      </c>
      <c r="AM42" s="1543" t="s">
        <v>9385</v>
      </c>
      <c r="AN42" s="1543" t="s">
        <v>5362</v>
      </c>
      <c r="AO42" s="1543" t="s">
        <v>2304</v>
      </c>
      <c r="AP42" s="1543" t="s">
        <v>9536</v>
      </c>
      <c r="AQ42" s="1543" t="s">
        <v>9537</v>
      </c>
      <c r="AR42" s="1543" t="s">
        <v>4674</v>
      </c>
      <c r="AS42" s="1543" t="s">
        <v>4382</v>
      </c>
      <c r="AT42" s="1577" t="s">
        <v>9538</v>
      </c>
      <c r="AU42" s="1581" t="s">
        <v>9539</v>
      </c>
      <c r="AV42" s="1409" t="str">
        <f t="shared" si="1"/>
        <v>2:54</v>
      </c>
      <c r="AW42" s="1602"/>
    </row>
    <row r="43">
      <c r="A43" s="1533" t="s">
        <v>2793</v>
      </c>
      <c r="B43" s="1528" t="s">
        <v>8649</v>
      </c>
      <c r="C43" s="1501">
        <v>0.050826388888888886</v>
      </c>
      <c r="D43" s="1504" t="s">
        <v>9540</v>
      </c>
      <c r="E43" s="1504" t="s">
        <v>9541</v>
      </c>
      <c r="F43" s="1537" t="s">
        <v>9542</v>
      </c>
      <c r="G43" s="1504" t="s">
        <v>9543</v>
      </c>
      <c r="H43" s="1504" t="s">
        <v>6481</v>
      </c>
      <c r="I43" s="1504" t="s">
        <v>1294</v>
      </c>
      <c r="J43" s="1504" t="s">
        <v>9544</v>
      </c>
      <c r="K43" s="1504" t="s">
        <v>3905</v>
      </c>
      <c r="L43" s="1504" t="s">
        <v>5851</v>
      </c>
      <c r="M43" s="1504" t="s">
        <v>9545</v>
      </c>
      <c r="N43" s="1504" t="s">
        <v>7395</v>
      </c>
      <c r="O43" s="1504" t="s">
        <v>9546</v>
      </c>
      <c r="P43" s="1504" t="s">
        <v>9115</v>
      </c>
      <c r="Q43" s="1504" t="s">
        <v>9547</v>
      </c>
      <c r="R43" s="1504" t="s">
        <v>9548</v>
      </c>
      <c r="S43" s="1504" t="s">
        <v>9549</v>
      </c>
      <c r="T43" s="1504" t="s">
        <v>1797</v>
      </c>
      <c r="U43" s="1504" t="s">
        <v>9550</v>
      </c>
      <c r="V43" s="1504" t="s">
        <v>7231</v>
      </c>
      <c r="W43" s="1504" t="s">
        <v>5451</v>
      </c>
      <c r="X43" s="1504" t="s">
        <v>9551</v>
      </c>
      <c r="Y43" s="1504" t="s">
        <v>7139</v>
      </c>
      <c r="Z43" s="1504" t="s">
        <v>9552</v>
      </c>
      <c r="AA43" s="1541" t="s">
        <v>9553</v>
      </c>
      <c r="AB43" s="1504" t="s">
        <v>1843</v>
      </c>
      <c r="AC43" s="1504" t="s">
        <v>7764</v>
      </c>
      <c r="AD43" s="1504" t="s">
        <v>9554</v>
      </c>
      <c r="AE43" s="1504" t="s">
        <v>4937</v>
      </c>
      <c r="AF43" s="1504" t="s">
        <v>9555</v>
      </c>
      <c r="AG43" s="1504" t="s">
        <v>1180</v>
      </c>
      <c r="AH43" s="1504" t="s">
        <v>3896</v>
      </c>
      <c r="AI43" s="1504" t="s">
        <v>9556</v>
      </c>
      <c r="AJ43" s="1504" t="s">
        <v>9557</v>
      </c>
      <c r="AK43" s="1504" t="s">
        <v>9464</v>
      </c>
      <c r="AL43" s="1504" t="s">
        <v>4344</v>
      </c>
      <c r="AM43" s="1504" t="s">
        <v>9464</v>
      </c>
      <c r="AN43" s="1504" t="s">
        <v>8726</v>
      </c>
      <c r="AO43" s="1504" t="s">
        <v>7489</v>
      </c>
      <c r="AP43" s="1504" t="s">
        <v>9558</v>
      </c>
      <c r="AQ43" s="1504" t="s">
        <v>9559</v>
      </c>
      <c r="AR43" s="1504" t="s">
        <v>5129</v>
      </c>
      <c r="AS43" s="1504" t="s">
        <v>6145</v>
      </c>
      <c r="AT43" s="1504" t="s">
        <v>9560</v>
      </c>
      <c r="AU43" s="1504" t="s">
        <v>9561</v>
      </c>
      <c r="AV43" s="1409" t="str">
        <f t="shared" si="1"/>
        <v>2:25</v>
      </c>
      <c r="AW43" s="1548"/>
    </row>
    <row r="44" ht="15.75" customHeight="1">
      <c r="A44" s="1533" t="s">
        <v>4629</v>
      </c>
      <c r="B44" s="1487" t="s">
        <v>8649</v>
      </c>
      <c r="C44" s="1603">
        <v>0.050868055555555555</v>
      </c>
      <c r="D44" s="798" t="s">
        <v>9562</v>
      </c>
      <c r="E44" s="1409" t="s">
        <v>7714</v>
      </c>
      <c r="F44" s="1409" t="s">
        <v>9563</v>
      </c>
      <c r="G44" s="1409" t="s">
        <v>9564</v>
      </c>
      <c r="H44" s="1409" t="s">
        <v>9399</v>
      </c>
      <c r="I44" s="1409" t="s">
        <v>1294</v>
      </c>
      <c r="J44" s="1409" t="s">
        <v>9517</v>
      </c>
      <c r="K44" s="1409" t="s">
        <v>9123</v>
      </c>
      <c r="L44" s="1409" t="s">
        <v>8983</v>
      </c>
      <c r="M44" s="1409" t="s">
        <v>5322</v>
      </c>
      <c r="N44" s="1409" t="s">
        <v>8193</v>
      </c>
      <c r="O44" s="1409" t="s">
        <v>9565</v>
      </c>
      <c r="P44" s="1409" t="s">
        <v>4269</v>
      </c>
      <c r="Q44" s="1409" t="s">
        <v>9566</v>
      </c>
      <c r="R44" s="1409" t="s">
        <v>7471</v>
      </c>
      <c r="S44" s="1409" t="s">
        <v>8926</v>
      </c>
      <c r="T44" s="1409" t="s">
        <v>4595</v>
      </c>
      <c r="U44" s="1409" t="s">
        <v>9567</v>
      </c>
      <c r="V44" s="1409" t="s">
        <v>9166</v>
      </c>
      <c r="W44" s="1409" t="s">
        <v>9568</v>
      </c>
      <c r="X44" s="1409" t="s">
        <v>9172</v>
      </c>
      <c r="Y44" s="1409" t="s">
        <v>3534</v>
      </c>
      <c r="Z44" s="1409" t="s">
        <v>9569</v>
      </c>
      <c r="AA44" s="1409" t="s">
        <v>9570</v>
      </c>
      <c r="AB44" s="1409" t="s">
        <v>193</v>
      </c>
      <c r="AC44" s="1409" t="s">
        <v>3004</v>
      </c>
      <c r="AD44" s="1409" t="s">
        <v>9571</v>
      </c>
      <c r="AE44" s="1409" t="s">
        <v>619</v>
      </c>
      <c r="AF44" s="1409" t="s">
        <v>9572</v>
      </c>
      <c r="AG44" s="1409" t="s">
        <v>5963</v>
      </c>
      <c r="AH44" s="1409" t="s">
        <v>9573</v>
      </c>
      <c r="AI44" s="1409" t="s">
        <v>7585</v>
      </c>
      <c r="AJ44" s="1409" t="s">
        <v>9574</v>
      </c>
      <c r="AK44" s="1409" t="s">
        <v>5350</v>
      </c>
      <c r="AL44" s="1409" t="s">
        <v>9575</v>
      </c>
      <c r="AM44" s="1409" t="s">
        <v>9576</v>
      </c>
      <c r="AN44" s="1409" t="s">
        <v>3331</v>
      </c>
      <c r="AO44" s="1409" t="s">
        <v>9108</v>
      </c>
      <c r="AP44" s="1409" t="s">
        <v>9577</v>
      </c>
      <c r="AQ44" s="1409" t="s">
        <v>9578</v>
      </c>
      <c r="AR44" s="1409" t="s">
        <v>8974</v>
      </c>
      <c r="AS44" s="1409" t="s">
        <v>5093</v>
      </c>
      <c r="AT44" s="1409" t="s">
        <v>9579</v>
      </c>
      <c r="AU44" s="1409" t="s">
        <v>9580</v>
      </c>
      <c r="AV44" s="1409" t="str">
        <f t="shared" si="1"/>
        <v>2:44</v>
      </c>
      <c r="AW44" s="1514"/>
    </row>
    <row r="45" ht="15.75" customHeight="1">
      <c r="A45" s="1533" t="s">
        <v>1812</v>
      </c>
      <c r="B45" s="1611" t="s">
        <v>8701</v>
      </c>
      <c r="C45" s="1612">
        <v>0.05092592592592592</v>
      </c>
      <c r="D45" s="1613" t="s">
        <v>8702</v>
      </c>
      <c r="E45" s="1614" t="s">
        <v>8703</v>
      </c>
      <c r="F45" s="1613" t="s">
        <v>8704</v>
      </c>
      <c r="G45" s="1504" t="s">
        <v>9581</v>
      </c>
      <c r="H45" s="1613" t="s">
        <v>8706</v>
      </c>
      <c r="I45" s="1409" t="s">
        <v>1413</v>
      </c>
      <c r="J45" s="1576" t="s">
        <v>9582</v>
      </c>
      <c r="K45" s="1409" t="s">
        <v>9355</v>
      </c>
      <c r="L45" s="1576" t="s">
        <v>2330</v>
      </c>
      <c r="M45" s="1409" t="s">
        <v>2643</v>
      </c>
      <c r="N45" s="1613" t="s">
        <v>8670</v>
      </c>
      <c r="O45" s="1409" t="s">
        <v>9583</v>
      </c>
      <c r="P45" s="1576" t="s">
        <v>638</v>
      </c>
      <c r="Q45" s="1614" t="s">
        <v>8711</v>
      </c>
      <c r="R45" s="1613" t="s">
        <v>8712</v>
      </c>
      <c r="S45" s="1409" t="s">
        <v>1165</v>
      </c>
      <c r="T45" s="1576" t="s">
        <v>7820</v>
      </c>
      <c r="U45" s="1614" t="s">
        <v>8714</v>
      </c>
      <c r="V45" s="1613" t="s">
        <v>4264</v>
      </c>
      <c r="W45" s="1409" t="s">
        <v>9584</v>
      </c>
      <c r="X45" s="1613" t="s">
        <v>8716</v>
      </c>
      <c r="Y45" s="1409" t="s">
        <v>5575</v>
      </c>
      <c r="Z45" s="1537" t="s">
        <v>9585</v>
      </c>
      <c r="AA45" s="1409" t="s">
        <v>2306</v>
      </c>
      <c r="AB45" s="1576" t="s">
        <v>9586</v>
      </c>
      <c r="AC45" s="1504" t="s">
        <v>9587</v>
      </c>
      <c r="AD45" s="1576" t="s">
        <v>9588</v>
      </c>
      <c r="AE45" s="1504" t="s">
        <v>9589</v>
      </c>
      <c r="AF45" s="1576" t="s">
        <v>9590</v>
      </c>
      <c r="AG45" s="1409" t="s">
        <v>7055</v>
      </c>
      <c r="AH45" s="1537" t="s">
        <v>9475</v>
      </c>
      <c r="AI45" s="1614" t="s">
        <v>8722</v>
      </c>
      <c r="AJ45" s="1576" t="s">
        <v>9591</v>
      </c>
      <c r="AK45" s="1409" t="s">
        <v>5776</v>
      </c>
      <c r="AL45" s="1613" t="s">
        <v>8724</v>
      </c>
      <c r="AM45" s="1409" t="s">
        <v>9074</v>
      </c>
      <c r="AN45" s="1576" t="s">
        <v>3815</v>
      </c>
      <c r="AO45" s="1504" t="s">
        <v>4865</v>
      </c>
      <c r="AP45" s="1537" t="s">
        <v>9592</v>
      </c>
      <c r="AQ45" s="1504" t="s">
        <v>9593</v>
      </c>
      <c r="AR45" s="1537" t="s">
        <v>9594</v>
      </c>
      <c r="AS45" s="1409" t="s">
        <v>977</v>
      </c>
      <c r="AT45" s="1613" t="s">
        <v>8730</v>
      </c>
      <c r="AU45" s="1614" t="s">
        <v>8731</v>
      </c>
      <c r="AV45" s="1409" t="str">
        <f t="shared" si="1"/>
        <v>2:24</v>
      </c>
      <c r="AW45" s="1529"/>
    </row>
    <row r="46">
      <c r="A46" s="1533" t="s">
        <v>2540</v>
      </c>
      <c r="B46" s="1549" t="s">
        <v>8677</v>
      </c>
      <c r="C46" s="1501">
        <v>0.05092592592592592</v>
      </c>
      <c r="D46" s="798" t="s">
        <v>9595</v>
      </c>
      <c r="E46" s="1537" t="s">
        <v>9596</v>
      </c>
      <c r="F46" s="1537" t="s">
        <v>9597</v>
      </c>
      <c r="G46" s="1537" t="s">
        <v>9598</v>
      </c>
      <c r="H46" s="1074" t="s">
        <v>9599</v>
      </c>
      <c r="I46" s="1074" t="s">
        <v>2890</v>
      </c>
      <c r="J46" s="1538" t="s">
        <v>8794</v>
      </c>
      <c r="K46" s="1538" t="s">
        <v>3884</v>
      </c>
      <c r="L46" s="1538" t="s">
        <v>5689</v>
      </c>
      <c r="M46" s="1538" t="s">
        <v>3119</v>
      </c>
      <c r="N46" s="1538" t="s">
        <v>876</v>
      </c>
      <c r="O46" s="1538" t="s">
        <v>9600</v>
      </c>
      <c r="P46" s="1538" t="s">
        <v>774</v>
      </c>
      <c r="Q46" s="1540" t="s">
        <v>7790</v>
      </c>
      <c r="R46" s="1540" t="s">
        <v>7517</v>
      </c>
      <c r="S46" s="1540" t="s">
        <v>6597</v>
      </c>
      <c r="T46" s="1540" t="s">
        <v>9601</v>
      </c>
      <c r="U46" s="1615" t="s">
        <v>7968</v>
      </c>
      <c r="V46" s="1540" t="s">
        <v>9602</v>
      </c>
      <c r="W46" s="1541" t="s">
        <v>6809</v>
      </c>
      <c r="X46" s="1541" t="s">
        <v>9603</v>
      </c>
      <c r="Y46" s="1541" t="s">
        <v>9604</v>
      </c>
      <c r="Z46" s="1541" t="s">
        <v>7736</v>
      </c>
      <c r="AA46" s="1541" t="s">
        <v>1869</v>
      </c>
      <c r="AB46" s="1541" t="s">
        <v>9605</v>
      </c>
      <c r="AC46" s="1541" t="s">
        <v>161</v>
      </c>
      <c r="AD46" s="1537" t="s">
        <v>9606</v>
      </c>
      <c r="AE46" s="1537" t="s">
        <v>5197</v>
      </c>
      <c r="AF46" s="1542" t="s">
        <v>9607</v>
      </c>
      <c r="AG46" s="1542" t="s">
        <v>5296</v>
      </c>
      <c r="AH46" s="1542" t="s">
        <v>4453</v>
      </c>
      <c r="AI46" s="1542" t="s">
        <v>9608</v>
      </c>
      <c r="AJ46" s="1560" t="s">
        <v>8693</v>
      </c>
      <c r="AK46" s="1542" t="s">
        <v>193</v>
      </c>
      <c r="AL46" s="1542" t="s">
        <v>5777</v>
      </c>
      <c r="AM46" s="1544" t="s">
        <v>4009</v>
      </c>
      <c r="AN46" s="1544" t="s">
        <v>3630</v>
      </c>
      <c r="AO46" s="1544" t="s">
        <v>2400</v>
      </c>
      <c r="AP46" s="1544" t="s">
        <v>9609</v>
      </c>
      <c r="AQ46" s="1544" t="s">
        <v>4285</v>
      </c>
      <c r="AR46" s="1544" t="s">
        <v>7780</v>
      </c>
      <c r="AS46" s="1544" t="s">
        <v>6501</v>
      </c>
      <c r="AT46" s="1538" t="s">
        <v>9610</v>
      </c>
      <c r="AU46" s="746" t="s">
        <v>9611</v>
      </c>
      <c r="AV46" s="1409" t="str">
        <f t="shared" si="1"/>
        <v>4:25</v>
      </c>
      <c r="AW46" s="1527"/>
    </row>
    <row r="47" ht="15.75" customHeight="1">
      <c r="A47" s="1486" t="s">
        <v>4482</v>
      </c>
      <c r="B47" s="1564" t="s">
        <v>8677</v>
      </c>
      <c r="C47" s="1501">
        <v>0.05100810185185185</v>
      </c>
      <c r="D47" s="798" t="s">
        <v>9612</v>
      </c>
      <c r="E47" s="1537" t="s">
        <v>9613</v>
      </c>
      <c r="F47" s="1537" t="s">
        <v>9614</v>
      </c>
      <c r="G47" s="1576" t="s">
        <v>9615</v>
      </c>
      <c r="H47" s="1074" t="s">
        <v>9616</v>
      </c>
      <c r="I47" s="1074" t="s">
        <v>1413</v>
      </c>
      <c r="J47" s="1538" t="s">
        <v>5129</v>
      </c>
      <c r="K47" s="1538" t="s">
        <v>9352</v>
      </c>
      <c r="L47" s="1538" t="s">
        <v>4398</v>
      </c>
      <c r="M47" s="1538" t="s">
        <v>1456</v>
      </c>
      <c r="N47" s="1538" t="s">
        <v>9617</v>
      </c>
      <c r="O47" s="1538" t="s">
        <v>8817</v>
      </c>
      <c r="P47" s="1538" t="s">
        <v>9618</v>
      </c>
      <c r="Q47" s="1540" t="s">
        <v>9619</v>
      </c>
      <c r="R47" s="1540" t="s">
        <v>3427</v>
      </c>
      <c r="S47" s="1540" t="s">
        <v>7178</v>
      </c>
      <c r="T47" s="1540" t="s">
        <v>9620</v>
      </c>
      <c r="U47" s="1540" t="s">
        <v>9621</v>
      </c>
      <c r="V47" s="1578" t="s">
        <v>1367</v>
      </c>
      <c r="W47" s="1541" t="s">
        <v>9622</v>
      </c>
      <c r="X47" s="1541" t="s">
        <v>9407</v>
      </c>
      <c r="Y47" s="1541" t="s">
        <v>3950</v>
      </c>
      <c r="Z47" s="1541" t="s">
        <v>7756</v>
      </c>
      <c r="AA47" s="1541" t="s">
        <v>1025</v>
      </c>
      <c r="AB47" s="1541" t="s">
        <v>3846</v>
      </c>
      <c r="AC47" s="1579" t="s">
        <v>6753</v>
      </c>
      <c r="AD47" s="1537" t="s">
        <v>9623</v>
      </c>
      <c r="AE47" s="1576" t="s">
        <v>4925</v>
      </c>
      <c r="AF47" s="1542" t="s">
        <v>9624</v>
      </c>
      <c r="AG47" s="1542" t="s">
        <v>9625</v>
      </c>
      <c r="AH47" s="1542" t="s">
        <v>9626</v>
      </c>
      <c r="AI47" s="1542" t="s">
        <v>9055</v>
      </c>
      <c r="AJ47" s="1542" t="s">
        <v>9627</v>
      </c>
      <c r="AK47" s="1542" t="s">
        <v>9628</v>
      </c>
      <c r="AL47" s="1542" t="s">
        <v>4513</v>
      </c>
      <c r="AM47" s="1544" t="s">
        <v>9629</v>
      </c>
      <c r="AN47" s="1544" t="s">
        <v>3402</v>
      </c>
      <c r="AO47" s="1544" t="s">
        <v>9630</v>
      </c>
      <c r="AP47" s="1544" t="s">
        <v>9631</v>
      </c>
      <c r="AQ47" s="1544" t="s">
        <v>4285</v>
      </c>
      <c r="AR47" s="1544" t="s">
        <v>9632</v>
      </c>
      <c r="AS47" s="1544" t="s">
        <v>4535</v>
      </c>
      <c r="AT47" s="1538" t="s">
        <v>9633</v>
      </c>
      <c r="AU47" s="1526" t="s">
        <v>9634</v>
      </c>
      <c r="AV47" s="1409" t="str">
        <f t="shared" si="1"/>
        <v>3:17</v>
      </c>
      <c r="AW47" s="1532" t="s">
        <v>9635</v>
      </c>
    </row>
    <row r="48" ht="15.75" customHeight="1">
      <c r="A48" s="1533" t="s">
        <v>985</v>
      </c>
      <c r="B48" s="1531" t="s">
        <v>8677</v>
      </c>
      <c r="C48" s="1501">
        <v>0.05112268518518519</v>
      </c>
      <c r="D48" s="1537" t="s">
        <v>9636</v>
      </c>
      <c r="E48" s="1537" t="s">
        <v>4640</v>
      </c>
      <c r="F48" s="1537" t="s">
        <v>9637</v>
      </c>
      <c r="G48" s="1537" t="s">
        <v>9638</v>
      </c>
      <c r="H48" s="798" t="s">
        <v>9639</v>
      </c>
      <c r="I48" s="1074" t="s">
        <v>5260</v>
      </c>
      <c r="J48" s="1538" t="s">
        <v>4012</v>
      </c>
      <c r="K48" s="1538" t="s">
        <v>9640</v>
      </c>
      <c r="L48" s="1494" t="s">
        <v>3549</v>
      </c>
      <c r="M48" s="1538" t="s">
        <v>4437</v>
      </c>
      <c r="N48" s="1538" t="s">
        <v>9385</v>
      </c>
      <c r="O48" s="1538" t="s">
        <v>9641</v>
      </c>
      <c r="P48" s="1538" t="s">
        <v>1531</v>
      </c>
      <c r="Q48" s="1540" t="s">
        <v>9642</v>
      </c>
      <c r="R48" s="1616" t="s">
        <v>6154</v>
      </c>
      <c r="S48" s="1540" t="s">
        <v>416</v>
      </c>
      <c r="T48" s="1540" t="s">
        <v>9643</v>
      </c>
      <c r="U48" s="1540" t="s">
        <v>9644</v>
      </c>
      <c r="V48" s="1540" t="s">
        <v>9645</v>
      </c>
      <c r="W48" s="1541" t="s">
        <v>7328</v>
      </c>
      <c r="X48" s="1541" t="s">
        <v>9646</v>
      </c>
      <c r="Y48" s="1617" t="s">
        <v>977</v>
      </c>
      <c r="Z48" s="1541" t="s">
        <v>9647</v>
      </c>
      <c r="AA48" s="1504" t="s">
        <v>9648</v>
      </c>
      <c r="AB48" s="1541" t="s">
        <v>2816</v>
      </c>
      <c r="AC48" s="1541" t="s">
        <v>5030</v>
      </c>
      <c r="AD48" s="1537" t="s">
        <v>9649</v>
      </c>
      <c r="AE48" s="1537" t="s">
        <v>8721</v>
      </c>
      <c r="AF48" s="1542" t="s">
        <v>8835</v>
      </c>
      <c r="AG48" s="1542" t="s">
        <v>273</v>
      </c>
      <c r="AH48" s="1542" t="s">
        <v>465</v>
      </c>
      <c r="AI48" s="1542" t="s">
        <v>9650</v>
      </c>
      <c r="AJ48" s="1542" t="s">
        <v>9651</v>
      </c>
      <c r="AK48" s="1542" t="s">
        <v>4134</v>
      </c>
      <c r="AL48" s="1542" t="s">
        <v>9652</v>
      </c>
      <c r="AM48" s="1544" t="s">
        <v>9653</v>
      </c>
      <c r="AN48" s="1562" t="s">
        <v>3240</v>
      </c>
      <c r="AO48" s="1544" t="s">
        <v>7184</v>
      </c>
      <c r="AP48" s="1544" t="s">
        <v>9654</v>
      </c>
      <c r="AQ48" s="1544" t="s">
        <v>9655</v>
      </c>
      <c r="AR48" s="1544" t="s">
        <v>9656</v>
      </c>
      <c r="AS48" s="1544" t="s">
        <v>8605</v>
      </c>
      <c r="AT48" s="1538" t="s">
        <v>9657</v>
      </c>
      <c r="AU48" s="1526" t="s">
        <v>9658</v>
      </c>
      <c r="AV48" s="1409" t="str">
        <f t="shared" si="1"/>
        <v>4:57</v>
      </c>
      <c r="AW48" s="1602"/>
    </row>
    <row r="49">
      <c r="A49" s="1533" t="s">
        <v>2373</v>
      </c>
      <c r="B49" s="1528" t="s">
        <v>8677</v>
      </c>
      <c r="C49" s="1501">
        <v>0.05112268518518519</v>
      </c>
      <c r="D49" s="1504" t="s">
        <v>9659</v>
      </c>
      <c r="E49" s="1504" t="s">
        <v>4501</v>
      </c>
      <c r="F49" s="1504" t="s">
        <v>6156</v>
      </c>
      <c r="G49" s="1594" t="s">
        <v>8680</v>
      </c>
      <c r="H49" s="798" t="s">
        <v>9660</v>
      </c>
      <c r="I49" s="1504" t="s">
        <v>766</v>
      </c>
      <c r="J49" s="1504" t="s">
        <v>6600</v>
      </c>
      <c r="K49" s="1504" t="s">
        <v>2497</v>
      </c>
      <c r="L49" s="1504" t="s">
        <v>1367</v>
      </c>
      <c r="M49" s="1504" t="s">
        <v>9661</v>
      </c>
      <c r="N49" s="1504" t="s">
        <v>9153</v>
      </c>
      <c r="O49" s="1504" t="s">
        <v>9662</v>
      </c>
      <c r="P49" s="1504" t="s">
        <v>3534</v>
      </c>
      <c r="Q49" s="1504" t="s">
        <v>9663</v>
      </c>
      <c r="R49" s="1504" t="s">
        <v>9664</v>
      </c>
      <c r="S49" s="1504" t="s">
        <v>3712</v>
      </c>
      <c r="T49" s="1504" t="s">
        <v>7983</v>
      </c>
      <c r="U49" s="1540" t="s">
        <v>9080</v>
      </c>
      <c r="V49" s="1504" t="s">
        <v>9665</v>
      </c>
      <c r="W49" s="1504" t="s">
        <v>9666</v>
      </c>
      <c r="X49" s="1504" t="s">
        <v>1491</v>
      </c>
      <c r="Y49" s="1504" t="s">
        <v>7145</v>
      </c>
      <c r="Z49" s="1504" t="s">
        <v>8884</v>
      </c>
      <c r="AA49" s="1541" t="s">
        <v>614</v>
      </c>
      <c r="AB49" s="1504" t="s">
        <v>9667</v>
      </c>
      <c r="AC49" s="1504" t="s">
        <v>5197</v>
      </c>
      <c r="AD49" s="1504" t="s">
        <v>9668</v>
      </c>
      <c r="AE49" s="1504" t="s">
        <v>3534</v>
      </c>
      <c r="AF49" s="1504" t="s">
        <v>9669</v>
      </c>
      <c r="AG49" s="1504" t="s">
        <v>9670</v>
      </c>
      <c r="AH49" s="1504" t="s">
        <v>2521</v>
      </c>
      <c r="AI49" s="1504" t="s">
        <v>6063</v>
      </c>
      <c r="AJ49" s="1504" t="s">
        <v>9671</v>
      </c>
      <c r="AK49" s="1504" t="s">
        <v>9175</v>
      </c>
      <c r="AL49" s="1504" t="s">
        <v>9672</v>
      </c>
      <c r="AM49" s="1504" t="s">
        <v>2638</v>
      </c>
      <c r="AN49" s="1504" t="s">
        <v>9673</v>
      </c>
      <c r="AO49" s="1504" t="s">
        <v>8791</v>
      </c>
      <c r="AP49" s="1504" t="s">
        <v>9674</v>
      </c>
      <c r="AQ49" s="1504" t="s">
        <v>9675</v>
      </c>
      <c r="AR49" s="1504" t="s">
        <v>2219</v>
      </c>
      <c r="AS49" s="1504" t="s">
        <v>7139</v>
      </c>
      <c r="AT49" s="1504" t="s">
        <v>9676</v>
      </c>
      <c r="AU49" s="1504" t="s">
        <v>9677</v>
      </c>
      <c r="AV49" s="1409" t="str">
        <f t="shared" si="1"/>
        <v>3:15</v>
      </c>
      <c r="AW49" s="756"/>
    </row>
    <row r="50">
      <c r="A50" s="1533" t="s">
        <v>2922</v>
      </c>
      <c r="B50" s="1528" t="s">
        <v>8649</v>
      </c>
      <c r="C50" s="1501">
        <v>0.051145833333333335</v>
      </c>
      <c r="D50" s="798" t="s">
        <v>9678</v>
      </c>
      <c r="E50" s="1590" t="s">
        <v>4120</v>
      </c>
      <c r="F50" s="1590" t="s">
        <v>1774</v>
      </c>
      <c r="G50" s="1590" t="s">
        <v>9679</v>
      </c>
      <c r="H50" s="798" t="s">
        <v>9680</v>
      </c>
      <c r="I50" s="1590" t="s">
        <v>9587</v>
      </c>
      <c r="J50" s="1590" t="s">
        <v>9681</v>
      </c>
      <c r="K50" s="1590" t="s">
        <v>9681</v>
      </c>
      <c r="L50" s="1590" t="s">
        <v>4124</v>
      </c>
      <c r="M50" s="1590" t="s">
        <v>3497</v>
      </c>
      <c r="N50" s="1590" t="s">
        <v>9682</v>
      </c>
      <c r="O50" s="1590" t="s">
        <v>9683</v>
      </c>
      <c r="P50" s="1590" t="s">
        <v>6787</v>
      </c>
      <c r="Q50" s="1590" t="s">
        <v>9684</v>
      </c>
      <c r="R50" s="1590" t="s">
        <v>9685</v>
      </c>
      <c r="S50" s="1490" t="s">
        <v>7412</v>
      </c>
      <c r="T50" s="1590" t="s">
        <v>9686</v>
      </c>
      <c r="U50" s="1590" t="s">
        <v>229</v>
      </c>
      <c r="V50" s="1590" t="s">
        <v>9687</v>
      </c>
      <c r="W50" s="1590" t="s">
        <v>9688</v>
      </c>
      <c r="X50" s="1590" t="s">
        <v>9689</v>
      </c>
      <c r="Y50" s="1590" t="s">
        <v>597</v>
      </c>
      <c r="Z50" s="1590" t="s">
        <v>9690</v>
      </c>
      <c r="AA50" s="1590" t="s">
        <v>9421</v>
      </c>
      <c r="AB50" s="1590" t="s">
        <v>5769</v>
      </c>
      <c r="AC50" s="1590" t="s">
        <v>1237</v>
      </c>
      <c r="AD50" s="1590" t="s">
        <v>9691</v>
      </c>
      <c r="AE50" s="1590" t="s">
        <v>9115</v>
      </c>
      <c r="AF50" s="1590" t="s">
        <v>9692</v>
      </c>
      <c r="AG50" s="1590" t="s">
        <v>9693</v>
      </c>
      <c r="AH50" s="1590" t="s">
        <v>3693</v>
      </c>
      <c r="AI50" s="1590" t="s">
        <v>9694</v>
      </c>
      <c r="AJ50" s="1590" t="s">
        <v>9695</v>
      </c>
      <c r="AK50" s="1590" t="s">
        <v>9696</v>
      </c>
      <c r="AL50" s="1590" t="s">
        <v>4946</v>
      </c>
      <c r="AM50" s="1590" t="s">
        <v>9697</v>
      </c>
      <c r="AN50" s="1590" t="s">
        <v>5532</v>
      </c>
      <c r="AO50" s="1590" t="s">
        <v>5129</v>
      </c>
      <c r="AP50" s="1590" t="s">
        <v>9698</v>
      </c>
      <c r="AQ50" s="1590" t="s">
        <v>3358</v>
      </c>
      <c r="AR50" s="1590" t="s">
        <v>9699</v>
      </c>
      <c r="AS50" s="1590" t="s">
        <v>1401</v>
      </c>
      <c r="AT50" s="1590" t="s">
        <v>700</v>
      </c>
      <c r="AU50" s="1590" t="s">
        <v>9700</v>
      </c>
      <c r="AV50" s="1409" t="str">
        <f t="shared" si="1"/>
        <v>3:47</v>
      </c>
      <c r="AW50" s="1618" t="s">
        <v>9701</v>
      </c>
    </row>
    <row r="51" ht="15.75" customHeight="1">
      <c r="A51" s="1486" t="s">
        <v>9702</v>
      </c>
      <c r="B51" s="1619" t="s">
        <v>8649</v>
      </c>
      <c r="C51" s="1501">
        <v>0.051180555555555556</v>
      </c>
      <c r="D51" s="798" t="s">
        <v>9703</v>
      </c>
      <c r="E51" s="1504" t="s">
        <v>9704</v>
      </c>
      <c r="F51" s="1504" t="s">
        <v>4136</v>
      </c>
      <c r="G51" s="1504" t="s">
        <v>8385</v>
      </c>
      <c r="H51" s="1504" t="s">
        <v>9705</v>
      </c>
      <c r="I51" s="1504" t="s">
        <v>1601</v>
      </c>
      <c r="J51" s="1504" t="s">
        <v>889</v>
      </c>
      <c r="K51" s="1504" t="s">
        <v>9227</v>
      </c>
      <c r="L51" s="1504" t="s">
        <v>8824</v>
      </c>
      <c r="M51" s="1504" t="s">
        <v>5865</v>
      </c>
      <c r="N51" s="1504" t="s">
        <v>9706</v>
      </c>
      <c r="O51" s="1504" t="s">
        <v>9707</v>
      </c>
      <c r="P51" s="1504" t="s">
        <v>5490</v>
      </c>
      <c r="Q51" s="1504" t="s">
        <v>7383</v>
      </c>
      <c r="R51" s="1504" t="s">
        <v>9708</v>
      </c>
      <c r="S51" s="1504" t="s">
        <v>8547</v>
      </c>
      <c r="T51" s="1409" t="s">
        <v>4182</v>
      </c>
      <c r="U51" s="1409" t="s">
        <v>9709</v>
      </c>
      <c r="V51" s="1504" t="s">
        <v>1899</v>
      </c>
      <c r="W51" s="1504" t="s">
        <v>9710</v>
      </c>
      <c r="X51" s="1504" t="s">
        <v>9711</v>
      </c>
      <c r="Y51" s="1504" t="s">
        <v>9115</v>
      </c>
      <c r="Z51" s="1504" t="s">
        <v>9712</v>
      </c>
      <c r="AA51" s="1504" t="s">
        <v>9713</v>
      </c>
      <c r="AB51" s="1504" t="s">
        <v>9714</v>
      </c>
      <c r="AC51" s="1504" t="s">
        <v>850</v>
      </c>
      <c r="AD51" s="1504" t="s">
        <v>9623</v>
      </c>
      <c r="AE51" s="1504" t="s">
        <v>3237</v>
      </c>
      <c r="AF51" s="1409" t="s">
        <v>9715</v>
      </c>
      <c r="AG51" s="1504" t="s">
        <v>387</v>
      </c>
      <c r="AH51" s="1504" t="s">
        <v>9716</v>
      </c>
      <c r="AI51" s="1504" t="s">
        <v>9717</v>
      </c>
      <c r="AJ51" s="1504" t="s">
        <v>9718</v>
      </c>
      <c r="AK51" s="1504" t="s">
        <v>9719</v>
      </c>
      <c r="AL51" s="1504" t="s">
        <v>9720</v>
      </c>
      <c r="AM51" s="1504" t="s">
        <v>7486</v>
      </c>
      <c r="AN51" s="1504" t="s">
        <v>9314</v>
      </c>
      <c r="AO51" s="1512" t="str">
        <f>HYPERLINK("https://clips.twitch.tv/AltruisticEmpathicManateeDoritosChip","1:20.90")</f>
        <v>1:20.90</v>
      </c>
      <c r="AP51" s="1504" t="s">
        <v>9721</v>
      </c>
      <c r="AQ51" s="1504" t="s">
        <v>9722</v>
      </c>
      <c r="AR51" s="1504" t="s">
        <v>9723</v>
      </c>
      <c r="AS51" s="1504" t="s">
        <v>9279</v>
      </c>
      <c r="AT51" s="1504" t="s">
        <v>9724</v>
      </c>
      <c r="AU51" s="1504" t="s">
        <v>9725</v>
      </c>
      <c r="AV51" s="1409" t="str">
        <f t="shared" si="1"/>
        <v>2:40</v>
      </c>
      <c r="AW51" s="1548" t="s">
        <v>9726</v>
      </c>
    </row>
    <row r="52" ht="15.75" customHeight="1">
      <c r="A52" s="1533" t="s">
        <v>3681</v>
      </c>
      <c r="B52" s="1611" t="s">
        <v>8649</v>
      </c>
      <c r="C52" s="1620">
        <v>0.05123738425925926</v>
      </c>
      <c r="D52" s="1537" t="s">
        <v>9727</v>
      </c>
      <c r="E52" s="1537" t="s">
        <v>3806</v>
      </c>
      <c r="F52" s="1537" t="s">
        <v>9728</v>
      </c>
      <c r="G52" s="1537" t="s">
        <v>9134</v>
      </c>
      <c r="H52" s="1074" t="s">
        <v>9729</v>
      </c>
      <c r="I52" s="1074" t="s">
        <v>9376</v>
      </c>
      <c r="J52" s="1538" t="s">
        <v>9352</v>
      </c>
      <c r="K52" s="1538" t="s">
        <v>7171</v>
      </c>
      <c r="L52" s="1538" t="s">
        <v>9730</v>
      </c>
      <c r="M52" s="1538" t="s">
        <v>9091</v>
      </c>
      <c r="N52" s="1621" t="s">
        <v>1164</v>
      </c>
      <c r="O52" s="1538" t="s">
        <v>3490</v>
      </c>
      <c r="P52" s="1538" t="s">
        <v>8776</v>
      </c>
      <c r="Q52" s="1540" t="s">
        <v>9731</v>
      </c>
      <c r="R52" s="1540" t="s">
        <v>9309</v>
      </c>
      <c r="S52" s="1540" t="s">
        <v>9732</v>
      </c>
      <c r="T52" s="1540" t="s">
        <v>9733</v>
      </c>
      <c r="U52" s="1540" t="s">
        <v>9734</v>
      </c>
      <c r="V52" s="1540" t="s">
        <v>4208</v>
      </c>
      <c r="W52" s="1541" t="s">
        <v>9735</v>
      </c>
      <c r="X52" s="1541" t="s">
        <v>9736</v>
      </c>
      <c r="Y52" s="1541" t="s">
        <v>9737</v>
      </c>
      <c r="Z52" s="1541" t="s">
        <v>1354</v>
      </c>
      <c r="AA52" s="1541" t="s">
        <v>9055</v>
      </c>
      <c r="AB52" s="1541" t="s">
        <v>9458</v>
      </c>
      <c r="AC52" s="1541" t="s">
        <v>484</v>
      </c>
      <c r="AD52" s="1537" t="s">
        <v>9738</v>
      </c>
      <c r="AE52" s="1537" t="s">
        <v>6517</v>
      </c>
      <c r="AF52" s="1542" t="s">
        <v>9739</v>
      </c>
      <c r="AG52" s="1542" t="s">
        <v>9740</v>
      </c>
      <c r="AH52" s="1542" t="s">
        <v>9741</v>
      </c>
      <c r="AI52" s="1542" t="s">
        <v>312</v>
      </c>
      <c r="AJ52" s="1542" t="s">
        <v>9742</v>
      </c>
      <c r="AK52" s="1492" t="s">
        <v>9214</v>
      </c>
      <c r="AL52" s="1542" t="s">
        <v>9145</v>
      </c>
      <c r="AM52" s="1544" t="s">
        <v>9743</v>
      </c>
      <c r="AN52" s="1544" t="s">
        <v>571</v>
      </c>
      <c r="AO52" s="1544" t="s">
        <v>9744</v>
      </c>
      <c r="AP52" s="1544" t="s">
        <v>9745</v>
      </c>
      <c r="AQ52" s="798" t="s">
        <v>9746</v>
      </c>
      <c r="AR52" s="1622" t="s">
        <v>9747</v>
      </c>
      <c r="AS52" s="1544" t="s">
        <v>9748</v>
      </c>
      <c r="AT52" s="1538" t="s">
        <v>9749</v>
      </c>
      <c r="AU52" s="1526" t="s">
        <v>9750</v>
      </c>
      <c r="AV52" s="1409" t="str">
        <f t="shared" si="1"/>
        <v>4:25</v>
      </c>
      <c r="AW52" s="1532" t="s">
        <v>9751</v>
      </c>
    </row>
    <row r="53" ht="15.75" customHeight="1">
      <c r="A53" s="1533" t="s">
        <v>1639</v>
      </c>
      <c r="B53" s="1623" t="s">
        <v>8701</v>
      </c>
      <c r="C53" s="1603">
        <v>0.051319444444444445</v>
      </c>
      <c r="D53" s="798" t="s">
        <v>9752</v>
      </c>
      <c r="E53" s="1409" t="s">
        <v>9753</v>
      </c>
      <c r="F53" s="1409" t="s">
        <v>9754</v>
      </c>
      <c r="G53" s="1409" t="s">
        <v>9755</v>
      </c>
      <c r="H53" s="1409" t="s">
        <v>5044</v>
      </c>
      <c r="I53" s="1409" t="s">
        <v>6516</v>
      </c>
      <c r="J53" s="1409" t="s">
        <v>9756</v>
      </c>
      <c r="K53" s="1409" t="s">
        <v>8797</v>
      </c>
      <c r="L53" s="1409" t="s">
        <v>3897</v>
      </c>
      <c r="M53" s="1409" t="s">
        <v>9503</v>
      </c>
      <c r="N53" s="1409" t="s">
        <v>9292</v>
      </c>
      <c r="O53" s="1409" t="s">
        <v>9757</v>
      </c>
      <c r="P53" s="1624" t="s">
        <v>8710</v>
      </c>
      <c r="Q53" s="1409" t="s">
        <v>9758</v>
      </c>
      <c r="R53" s="1409" t="s">
        <v>5854</v>
      </c>
      <c r="S53" s="1409" t="s">
        <v>1162</v>
      </c>
      <c r="T53" s="1409" t="s">
        <v>9759</v>
      </c>
      <c r="U53" s="1409" t="s">
        <v>1007</v>
      </c>
      <c r="V53" s="1409" t="s">
        <v>453</v>
      </c>
      <c r="W53" s="1409" t="s">
        <v>9760</v>
      </c>
      <c r="X53" s="1409" t="s">
        <v>309</v>
      </c>
      <c r="Y53" s="1409" t="s">
        <v>9761</v>
      </c>
      <c r="Z53" s="1409" t="s">
        <v>7491</v>
      </c>
      <c r="AA53" s="1409" t="s">
        <v>9533</v>
      </c>
      <c r="AB53" s="1409" t="s">
        <v>4495</v>
      </c>
      <c r="AC53" s="1409" t="s">
        <v>6146</v>
      </c>
      <c r="AD53" s="1409" t="s">
        <v>9762</v>
      </c>
      <c r="AE53" s="1624" t="s">
        <v>8721</v>
      </c>
      <c r="AF53" s="1624" t="s">
        <v>2675</v>
      </c>
      <c r="AG53" s="1409" t="s">
        <v>4575</v>
      </c>
      <c r="AH53" s="1409" t="s">
        <v>9763</v>
      </c>
      <c r="AI53" s="1409" t="s">
        <v>9764</v>
      </c>
      <c r="AJ53" s="1409" t="s">
        <v>9765</v>
      </c>
      <c r="AK53" s="1409" t="s">
        <v>6018</v>
      </c>
      <c r="AL53" s="1409" t="s">
        <v>6245</v>
      </c>
      <c r="AM53" s="1624" t="s">
        <v>8725</v>
      </c>
      <c r="AN53" s="1504" t="s">
        <v>2471</v>
      </c>
      <c r="AO53" s="1409" t="s">
        <v>4922</v>
      </c>
      <c r="AP53" s="1409" t="s">
        <v>9766</v>
      </c>
      <c r="AQ53" s="1409" t="s">
        <v>9767</v>
      </c>
      <c r="AR53" s="1409" t="s">
        <v>7176</v>
      </c>
      <c r="AS53" s="1409" t="s">
        <v>4426</v>
      </c>
      <c r="AT53" s="1409" t="s">
        <v>9768</v>
      </c>
      <c r="AU53" s="1409" t="s">
        <v>9769</v>
      </c>
      <c r="AV53" s="1409" t="str">
        <f t="shared" si="1"/>
        <v>3:15</v>
      </c>
      <c r="AW53" s="1548" t="s">
        <v>9770</v>
      </c>
    </row>
    <row r="54">
      <c r="A54" s="1533" t="s">
        <v>1880</v>
      </c>
      <c r="B54" s="1531" t="s">
        <v>8649</v>
      </c>
      <c r="C54" s="1501">
        <v>0.05133101851851852</v>
      </c>
      <c r="D54" s="1610" t="s">
        <v>9771</v>
      </c>
      <c r="E54" s="1537" t="s">
        <v>9772</v>
      </c>
      <c r="F54" s="1537" t="s">
        <v>9773</v>
      </c>
      <c r="G54" s="1537" t="s">
        <v>9774</v>
      </c>
      <c r="H54" s="1074" t="s">
        <v>9775</v>
      </c>
      <c r="I54" s="1074" t="s">
        <v>3101</v>
      </c>
      <c r="J54" s="1538" t="s">
        <v>1867</v>
      </c>
      <c r="K54" s="1538" t="s">
        <v>9776</v>
      </c>
      <c r="L54" s="1538" t="s">
        <v>4170</v>
      </c>
      <c r="M54" s="1538" t="s">
        <v>9777</v>
      </c>
      <c r="N54" s="1538" t="s">
        <v>8891</v>
      </c>
      <c r="O54" s="1538" t="s">
        <v>9778</v>
      </c>
      <c r="P54" s="1538" t="s">
        <v>8821</v>
      </c>
      <c r="Q54" s="1540" t="s">
        <v>9779</v>
      </c>
      <c r="R54" s="1540" t="s">
        <v>9548</v>
      </c>
      <c r="S54" s="1540" t="s">
        <v>9780</v>
      </c>
      <c r="T54" s="1540" t="s">
        <v>9553</v>
      </c>
      <c r="U54" s="1540" t="s">
        <v>9781</v>
      </c>
      <c r="V54" s="1540" t="s">
        <v>9329</v>
      </c>
      <c r="W54" s="1541" t="s">
        <v>9782</v>
      </c>
      <c r="X54" s="1541" t="s">
        <v>9783</v>
      </c>
      <c r="Y54" s="1541" t="s">
        <v>5455</v>
      </c>
      <c r="Z54" s="1541" t="s">
        <v>1507</v>
      </c>
      <c r="AA54" s="1541" t="s">
        <v>9784</v>
      </c>
      <c r="AB54" s="1541" t="s">
        <v>6312</v>
      </c>
      <c r="AC54" s="1541" t="s">
        <v>262</v>
      </c>
      <c r="AD54" s="1537" t="s">
        <v>9122</v>
      </c>
      <c r="AE54" s="1537" t="s">
        <v>5455</v>
      </c>
      <c r="AF54" s="1542" t="s">
        <v>9785</v>
      </c>
      <c r="AG54" s="1542" t="s">
        <v>5738</v>
      </c>
      <c r="AH54" s="1542" t="s">
        <v>3998</v>
      </c>
      <c r="AI54" s="1542" t="s">
        <v>9786</v>
      </c>
      <c r="AJ54" s="1542" t="s">
        <v>9787</v>
      </c>
      <c r="AK54" s="1542" t="s">
        <v>9711</v>
      </c>
      <c r="AL54" s="1542" t="s">
        <v>4001</v>
      </c>
      <c r="AM54" s="1544" t="s">
        <v>9149</v>
      </c>
      <c r="AN54" s="1544" t="s">
        <v>4007</v>
      </c>
      <c r="AO54" s="1544" t="s">
        <v>9788</v>
      </c>
      <c r="AP54" s="1544" t="s">
        <v>9789</v>
      </c>
      <c r="AQ54" s="1544" t="s">
        <v>9368</v>
      </c>
      <c r="AR54" s="1544" t="s">
        <v>9790</v>
      </c>
      <c r="AS54" s="1544" t="s">
        <v>9791</v>
      </c>
      <c r="AT54" s="1538" t="s">
        <v>9792</v>
      </c>
      <c r="AU54" s="1526" t="s">
        <v>9793</v>
      </c>
      <c r="AV54" s="1409" t="str">
        <f t="shared" si="1"/>
        <v>1:34</v>
      </c>
      <c r="AW54" s="1602"/>
    </row>
    <row r="55">
      <c r="A55" s="1533" t="s">
        <v>2979</v>
      </c>
      <c r="B55" s="1531" t="s">
        <v>8649</v>
      </c>
      <c r="C55" s="1501">
        <v>0.05134259259259259</v>
      </c>
      <c r="D55" s="1537" t="s">
        <v>9794</v>
      </c>
      <c r="E55" s="1537" t="s">
        <v>6513</v>
      </c>
      <c r="F55" s="1537" t="s">
        <v>9795</v>
      </c>
      <c r="G55" s="1537" t="s">
        <v>9796</v>
      </c>
      <c r="H55" s="1537" t="s">
        <v>9797</v>
      </c>
      <c r="I55" s="1537" t="s">
        <v>1294</v>
      </c>
      <c r="J55" s="1538" t="s">
        <v>5000</v>
      </c>
      <c r="K55" s="1538" t="s">
        <v>7378</v>
      </c>
      <c r="L55" s="1538" t="s">
        <v>4870</v>
      </c>
      <c r="M55" s="1538" t="s">
        <v>3541</v>
      </c>
      <c r="N55" s="1538" t="s">
        <v>2009</v>
      </c>
      <c r="O55" s="1538" t="s">
        <v>9798</v>
      </c>
      <c r="P55" s="1538" t="s">
        <v>4533</v>
      </c>
      <c r="Q55" s="1540" t="s">
        <v>9799</v>
      </c>
      <c r="R55" s="1540" t="s">
        <v>2559</v>
      </c>
      <c r="S55" s="1540" t="s">
        <v>9800</v>
      </c>
      <c r="T55" s="1540" t="s">
        <v>9801</v>
      </c>
      <c r="U55" s="1540" t="s">
        <v>9644</v>
      </c>
      <c r="V55" s="1540" t="s">
        <v>8962</v>
      </c>
      <c r="W55" s="1541" t="s">
        <v>9802</v>
      </c>
      <c r="X55" s="1541" t="s">
        <v>8722</v>
      </c>
      <c r="Y55" s="1541" t="s">
        <v>9380</v>
      </c>
      <c r="Z55" s="1541" t="s">
        <v>3025</v>
      </c>
      <c r="AA55" s="1504" t="s">
        <v>592</v>
      </c>
      <c r="AB55" s="1541" t="s">
        <v>8951</v>
      </c>
      <c r="AC55" s="1541" t="s">
        <v>9253</v>
      </c>
      <c r="AD55" s="1537" t="s">
        <v>9803</v>
      </c>
      <c r="AE55" s="1537" t="s">
        <v>9804</v>
      </c>
      <c r="AF55" s="1542" t="s">
        <v>9805</v>
      </c>
      <c r="AG55" s="1542" t="s">
        <v>9806</v>
      </c>
      <c r="AH55" s="1542" t="s">
        <v>1906</v>
      </c>
      <c r="AI55" s="1542" t="s">
        <v>420</v>
      </c>
      <c r="AJ55" s="1542" t="s">
        <v>9807</v>
      </c>
      <c r="AK55" s="1542" t="s">
        <v>9808</v>
      </c>
      <c r="AL55" s="1542" t="s">
        <v>5601</v>
      </c>
      <c r="AM55" s="1544" t="s">
        <v>9809</v>
      </c>
      <c r="AN55" s="1544" t="s">
        <v>6471</v>
      </c>
      <c r="AO55" s="1544" t="s">
        <v>9810</v>
      </c>
      <c r="AP55" s="1544" t="s">
        <v>9811</v>
      </c>
      <c r="AQ55" s="1544" t="s">
        <v>9368</v>
      </c>
      <c r="AR55" s="1544" t="s">
        <v>9812</v>
      </c>
      <c r="AS55" s="1544" t="s">
        <v>1905</v>
      </c>
      <c r="AT55" s="1538" t="s">
        <v>9813</v>
      </c>
      <c r="AU55" s="1526" t="s">
        <v>9677</v>
      </c>
      <c r="AV55" s="1409" t="str">
        <f t="shared" si="1"/>
        <v>2:56</v>
      </c>
      <c r="AW55" s="1532" t="s">
        <v>9814</v>
      </c>
    </row>
    <row r="56" ht="15.75" customHeight="1">
      <c r="A56" s="1500" t="s">
        <v>1418</v>
      </c>
      <c r="B56" s="1623" t="s">
        <v>8701</v>
      </c>
      <c r="C56" s="1603">
        <v>0.05134259259259259</v>
      </c>
      <c r="D56" s="798" t="s">
        <v>9815</v>
      </c>
      <c r="E56" s="1576" t="s">
        <v>5951</v>
      </c>
      <c r="F56" s="1576" t="s">
        <v>9795</v>
      </c>
      <c r="G56" s="1576" t="s">
        <v>9816</v>
      </c>
      <c r="H56" s="1167" t="s">
        <v>9817</v>
      </c>
      <c r="I56" s="1625" t="s">
        <v>350</v>
      </c>
      <c r="J56" s="1577" t="s">
        <v>9818</v>
      </c>
      <c r="K56" s="1577" t="s">
        <v>3978</v>
      </c>
      <c r="L56" s="1626" t="s">
        <v>3741</v>
      </c>
      <c r="M56" s="1577" t="s">
        <v>5571</v>
      </c>
      <c r="N56" s="1577" t="s">
        <v>9819</v>
      </c>
      <c r="O56" s="1626" t="s">
        <v>8709</v>
      </c>
      <c r="P56" s="1577" t="s">
        <v>388</v>
      </c>
      <c r="Q56" s="1578" t="s">
        <v>9820</v>
      </c>
      <c r="R56" s="1578" t="s">
        <v>1630</v>
      </c>
      <c r="S56" s="1578" t="s">
        <v>9821</v>
      </c>
      <c r="T56" s="1627" t="s">
        <v>8713</v>
      </c>
      <c r="U56" s="1578" t="s">
        <v>9822</v>
      </c>
      <c r="V56" s="1578" t="s">
        <v>4000</v>
      </c>
      <c r="W56" s="1628" t="s">
        <v>8715</v>
      </c>
      <c r="X56" s="1579" t="s">
        <v>4353</v>
      </c>
      <c r="Y56" s="1579" t="s">
        <v>6516</v>
      </c>
      <c r="Z56" s="1579" t="s">
        <v>7747</v>
      </c>
      <c r="AA56" s="1579" t="s">
        <v>9214</v>
      </c>
      <c r="AB56" s="1628" t="s">
        <v>8719</v>
      </c>
      <c r="AC56" s="1579" t="s">
        <v>6612</v>
      </c>
      <c r="AD56" s="1544" t="s">
        <v>9823</v>
      </c>
      <c r="AE56" s="1576" t="s">
        <v>9824</v>
      </c>
      <c r="AF56" s="1580" t="s">
        <v>9825</v>
      </c>
      <c r="AG56" s="1580" t="s">
        <v>9826</v>
      </c>
      <c r="AH56" s="1580" t="s">
        <v>9827</v>
      </c>
      <c r="AI56" s="1580" t="s">
        <v>9828</v>
      </c>
      <c r="AJ56" s="1580" t="s">
        <v>9829</v>
      </c>
      <c r="AK56" s="1629" t="s">
        <v>888</v>
      </c>
      <c r="AL56" s="1580" t="s">
        <v>1571</v>
      </c>
      <c r="AM56" s="1543" t="s">
        <v>9670</v>
      </c>
      <c r="AN56" s="1544" t="s">
        <v>4108</v>
      </c>
      <c r="AO56" s="1543" t="s">
        <v>9830</v>
      </c>
      <c r="AP56" s="1543" t="s">
        <v>9831</v>
      </c>
      <c r="AQ56" s="1543" t="s">
        <v>9832</v>
      </c>
      <c r="AR56" s="1543" t="s">
        <v>9833</v>
      </c>
      <c r="AS56" s="1543" t="s">
        <v>4606</v>
      </c>
      <c r="AT56" s="1577" t="s">
        <v>9834</v>
      </c>
      <c r="AU56" s="1581" t="s">
        <v>9835</v>
      </c>
      <c r="AV56" s="1409" t="str">
        <f t="shared" si="1"/>
        <v>1:58</v>
      </c>
      <c r="AW56" s="1602"/>
    </row>
    <row r="57" ht="15.75" customHeight="1">
      <c r="A57" s="1486" t="s">
        <v>3367</v>
      </c>
      <c r="B57" s="1487" t="s">
        <v>8649</v>
      </c>
      <c r="C57" s="1603">
        <v>0.05134259259259259</v>
      </c>
      <c r="D57" s="798" t="s">
        <v>9836</v>
      </c>
      <c r="E57" s="1409" t="s">
        <v>9837</v>
      </c>
      <c r="F57" s="1409" t="s">
        <v>9838</v>
      </c>
      <c r="G57" s="1409" t="s">
        <v>7776</v>
      </c>
      <c r="H57" s="1409" t="s">
        <v>8880</v>
      </c>
      <c r="I57" s="1409" t="s">
        <v>6248</v>
      </c>
      <c r="J57" s="1409" t="s">
        <v>9839</v>
      </c>
      <c r="K57" s="1409" t="s">
        <v>3905</v>
      </c>
      <c r="L57" s="1409" t="s">
        <v>9840</v>
      </c>
      <c r="M57" s="1409" t="s">
        <v>9841</v>
      </c>
      <c r="N57" s="1409" t="s">
        <v>2754</v>
      </c>
      <c r="O57" s="1409" t="s">
        <v>9842</v>
      </c>
      <c r="P57" s="1409" t="s">
        <v>1086</v>
      </c>
      <c r="Q57" s="1409" t="s">
        <v>2462</v>
      </c>
      <c r="R57" s="1409" t="s">
        <v>9548</v>
      </c>
      <c r="S57" s="1409" t="s">
        <v>9417</v>
      </c>
      <c r="T57" s="1409" t="s">
        <v>9843</v>
      </c>
      <c r="U57" s="1409" t="s">
        <v>9844</v>
      </c>
      <c r="V57" s="1409" t="s">
        <v>4106</v>
      </c>
      <c r="W57" s="1409" t="s">
        <v>9845</v>
      </c>
      <c r="X57" s="1409" t="s">
        <v>9846</v>
      </c>
      <c r="Y57" s="1409" t="s">
        <v>388</v>
      </c>
      <c r="Z57" s="1409" t="s">
        <v>7178</v>
      </c>
      <c r="AA57" s="1409" t="s">
        <v>9363</v>
      </c>
      <c r="AB57" s="1409" t="s">
        <v>8758</v>
      </c>
      <c r="AC57" s="1409" t="s">
        <v>850</v>
      </c>
      <c r="AD57" s="1409" t="s">
        <v>9847</v>
      </c>
      <c r="AE57" s="1409" t="s">
        <v>388</v>
      </c>
      <c r="AF57" s="1409" t="s">
        <v>9848</v>
      </c>
      <c r="AG57" s="1409" t="s">
        <v>9849</v>
      </c>
      <c r="AH57" s="1409" t="s">
        <v>5183</v>
      </c>
      <c r="AI57" s="1409" t="s">
        <v>9850</v>
      </c>
      <c r="AJ57" s="1409" t="s">
        <v>9787</v>
      </c>
      <c r="AK57" s="1409" t="s">
        <v>7513</v>
      </c>
      <c r="AL57" s="1409" t="s">
        <v>3305</v>
      </c>
      <c r="AM57" s="1409" t="s">
        <v>4132</v>
      </c>
      <c r="AN57" s="1409" t="s">
        <v>5808</v>
      </c>
      <c r="AO57" s="1409" t="s">
        <v>6441</v>
      </c>
      <c r="AP57" s="1409" t="s">
        <v>9851</v>
      </c>
      <c r="AQ57" s="1409" t="s">
        <v>9852</v>
      </c>
      <c r="AR57" s="1409" t="s">
        <v>9853</v>
      </c>
      <c r="AS57" s="1543" t="s">
        <v>4414</v>
      </c>
      <c r="AT57" s="1409" t="s">
        <v>9854</v>
      </c>
      <c r="AU57" s="1409" t="s">
        <v>9081</v>
      </c>
      <c r="AV57" s="1409" t="str">
        <f t="shared" si="1"/>
        <v>2:27</v>
      </c>
      <c r="AW57" s="1548"/>
    </row>
    <row r="58" ht="15.75" customHeight="1">
      <c r="A58" s="1533" t="s">
        <v>1349</v>
      </c>
      <c r="B58" s="1528" t="s">
        <v>8701</v>
      </c>
      <c r="C58" s="1501">
        <v>0.05140046296296296</v>
      </c>
      <c r="D58" s="1504" t="s">
        <v>9855</v>
      </c>
      <c r="E58" s="1504" t="s">
        <v>1663</v>
      </c>
      <c r="F58" s="1504" t="s">
        <v>9856</v>
      </c>
      <c r="G58" s="1614" t="s">
        <v>8705</v>
      </c>
      <c r="H58" s="798" t="s">
        <v>9857</v>
      </c>
      <c r="I58" s="1504" t="s">
        <v>1762</v>
      </c>
      <c r="J58" s="1614" t="s">
        <v>8707</v>
      </c>
      <c r="K58" s="1504" t="s">
        <v>9858</v>
      </c>
      <c r="L58" s="1504" t="s">
        <v>9859</v>
      </c>
      <c r="M58" s="1614" t="s">
        <v>8708</v>
      </c>
      <c r="N58" s="1504" t="s">
        <v>9860</v>
      </c>
      <c r="O58" s="1504" t="s">
        <v>9861</v>
      </c>
      <c r="P58" s="1504" t="s">
        <v>1047</v>
      </c>
      <c r="Q58" s="1504" t="s">
        <v>9642</v>
      </c>
      <c r="R58" s="1504" t="s">
        <v>9862</v>
      </c>
      <c r="S58" s="1504" t="s">
        <v>9863</v>
      </c>
      <c r="T58" s="1504" t="s">
        <v>3239</v>
      </c>
      <c r="U58" s="1504" t="s">
        <v>9563</v>
      </c>
      <c r="V58" s="1504" t="s">
        <v>5811</v>
      </c>
      <c r="W58" s="1504" t="s">
        <v>9864</v>
      </c>
      <c r="X58" s="1504" t="s">
        <v>629</v>
      </c>
      <c r="Y58" s="1504" t="s">
        <v>9865</v>
      </c>
      <c r="Z58" s="1504" t="s">
        <v>9866</v>
      </c>
      <c r="AA58" s="1630" t="s">
        <v>8718</v>
      </c>
      <c r="AB58" s="1504" t="s">
        <v>5992</v>
      </c>
      <c r="AC58" s="1504" t="s">
        <v>9867</v>
      </c>
      <c r="AD58" s="1504" t="s">
        <v>9065</v>
      </c>
      <c r="AE58" s="1504" t="s">
        <v>2565</v>
      </c>
      <c r="AF58" s="1504" t="s">
        <v>9868</v>
      </c>
      <c r="AG58" s="1614" t="s">
        <v>4590</v>
      </c>
      <c r="AH58" s="1614" t="s">
        <v>5206</v>
      </c>
      <c r="AI58" s="1504" t="s">
        <v>9869</v>
      </c>
      <c r="AJ58" s="1504" t="s">
        <v>9870</v>
      </c>
      <c r="AK58" s="1504" t="s">
        <v>7711</v>
      </c>
      <c r="AL58" s="1504" t="s">
        <v>3896</v>
      </c>
      <c r="AM58" s="1504" t="s">
        <v>9871</v>
      </c>
      <c r="AN58" s="1504" t="s">
        <v>3752</v>
      </c>
      <c r="AO58" s="1614" t="s">
        <v>8727</v>
      </c>
      <c r="AP58" s="1631" t="s">
        <v>8728</v>
      </c>
      <c r="AQ58" s="1504" t="s">
        <v>3264</v>
      </c>
      <c r="AR58" s="1504" t="s">
        <v>1626</v>
      </c>
      <c r="AS58" s="1504" t="s">
        <v>4742</v>
      </c>
      <c r="AT58" s="1504" t="s">
        <v>9872</v>
      </c>
      <c r="AU58" s="1504" t="s">
        <v>9081</v>
      </c>
      <c r="AV58" s="1409" t="str">
        <f t="shared" si="1"/>
        <v>2:22</v>
      </c>
      <c r="AW58" s="1529" t="s">
        <v>9873</v>
      </c>
    </row>
    <row r="59" ht="15.75" customHeight="1">
      <c r="A59" s="1533" t="s">
        <v>3984</v>
      </c>
      <c r="B59" s="1531" t="s">
        <v>8649</v>
      </c>
      <c r="C59" s="1501">
        <v>0.05153935185185185</v>
      </c>
      <c r="D59" s="1590" t="s">
        <v>9874</v>
      </c>
      <c r="E59" s="1590" t="s">
        <v>6815</v>
      </c>
      <c r="F59" s="1590" t="s">
        <v>9875</v>
      </c>
      <c r="G59" s="1590" t="s">
        <v>4930</v>
      </c>
      <c r="H59" s="798" t="s">
        <v>9876</v>
      </c>
      <c r="I59" s="1590" t="s">
        <v>1294</v>
      </c>
      <c r="J59" s="1590" t="s">
        <v>9877</v>
      </c>
      <c r="K59" s="1590" t="s">
        <v>3575</v>
      </c>
      <c r="L59" s="1590" t="s">
        <v>4208</v>
      </c>
      <c r="M59" s="1590" t="s">
        <v>7335</v>
      </c>
      <c r="N59" s="1590" t="s">
        <v>9878</v>
      </c>
      <c r="O59" s="1590" t="s">
        <v>3734</v>
      </c>
      <c r="P59" s="1590" t="s">
        <v>7145</v>
      </c>
      <c r="Q59" s="1590" t="s">
        <v>9879</v>
      </c>
      <c r="R59" s="1590" t="s">
        <v>3427</v>
      </c>
      <c r="S59" s="1632" t="s">
        <v>9501</v>
      </c>
      <c r="T59" s="1590" t="s">
        <v>9313</v>
      </c>
      <c r="U59" s="1590" t="s">
        <v>9880</v>
      </c>
      <c r="V59" s="1590" t="s">
        <v>1794</v>
      </c>
      <c r="W59" s="1590" t="s">
        <v>9881</v>
      </c>
      <c r="X59" s="1590" t="s">
        <v>1681</v>
      </c>
      <c r="Y59" s="1590" t="s">
        <v>3588</v>
      </c>
      <c r="Z59" s="1590" t="s">
        <v>7482</v>
      </c>
      <c r="AA59" s="1590" t="s">
        <v>967</v>
      </c>
      <c r="AB59" s="1590" t="s">
        <v>9882</v>
      </c>
      <c r="AC59" s="1590" t="s">
        <v>9867</v>
      </c>
      <c r="AD59" s="1590" t="s">
        <v>9883</v>
      </c>
      <c r="AE59" s="1590" t="s">
        <v>4937</v>
      </c>
      <c r="AF59" s="1494" t="s">
        <v>9884</v>
      </c>
      <c r="AG59" s="1590" t="s">
        <v>9885</v>
      </c>
      <c r="AH59" s="1590" t="s">
        <v>9886</v>
      </c>
      <c r="AI59" s="1590" t="s">
        <v>9887</v>
      </c>
      <c r="AJ59" s="1590" t="s">
        <v>9888</v>
      </c>
      <c r="AK59" s="1590" t="s">
        <v>5103</v>
      </c>
      <c r="AL59" s="1590" t="s">
        <v>9672</v>
      </c>
      <c r="AM59" s="1590" t="s">
        <v>9869</v>
      </c>
      <c r="AN59" s="1590" t="s">
        <v>2554</v>
      </c>
      <c r="AO59" s="1590" t="s">
        <v>5649</v>
      </c>
      <c r="AP59" s="1632" t="s">
        <v>9609</v>
      </c>
      <c r="AQ59" s="1590" t="s">
        <v>9889</v>
      </c>
      <c r="AR59" s="1590" t="s">
        <v>5000</v>
      </c>
      <c r="AS59" s="1590" t="s">
        <v>9279</v>
      </c>
      <c r="AT59" s="1590" t="s">
        <v>9890</v>
      </c>
      <c r="AU59" s="1590" t="s">
        <v>9891</v>
      </c>
      <c r="AV59" s="1409" t="str">
        <f t="shared" si="1"/>
        <v>2:41</v>
      </c>
      <c r="AW59" s="1633" t="s">
        <v>9892</v>
      </c>
    </row>
    <row r="60" ht="15.75" customHeight="1">
      <c r="A60" s="1486" t="s">
        <v>1959</v>
      </c>
      <c r="B60" s="1487" t="s">
        <v>8649</v>
      </c>
      <c r="C60" s="1501">
        <v>0.05157407407407407</v>
      </c>
      <c r="D60" s="798" t="s">
        <v>9893</v>
      </c>
      <c r="E60" s="1537" t="s">
        <v>9894</v>
      </c>
      <c r="F60" s="1537" t="s">
        <v>9895</v>
      </c>
      <c r="G60" s="1576" t="s">
        <v>9374</v>
      </c>
      <c r="H60" s="1167" t="s">
        <v>9896</v>
      </c>
      <c r="I60" s="1167" t="s">
        <v>2097</v>
      </c>
      <c r="J60" s="1577" t="s">
        <v>5425</v>
      </c>
      <c r="K60" s="1577" t="s">
        <v>3661</v>
      </c>
      <c r="L60" s="1577" t="s">
        <v>9897</v>
      </c>
      <c r="M60" s="1577" t="s">
        <v>9545</v>
      </c>
      <c r="N60" s="1577" t="s">
        <v>1233</v>
      </c>
      <c r="O60" s="1577" t="s">
        <v>9864</v>
      </c>
      <c r="P60" s="1577" t="s">
        <v>8868</v>
      </c>
      <c r="Q60" s="1578" t="s">
        <v>9898</v>
      </c>
      <c r="R60" s="1578" t="s">
        <v>9899</v>
      </c>
      <c r="S60" s="1578" t="s">
        <v>9900</v>
      </c>
      <c r="T60" s="1578" t="s">
        <v>7486</v>
      </c>
      <c r="U60" s="1578" t="s">
        <v>2956</v>
      </c>
      <c r="V60" s="1578" t="s">
        <v>5073</v>
      </c>
      <c r="W60" s="1579" t="s">
        <v>9901</v>
      </c>
      <c r="X60" s="1579" t="s">
        <v>9902</v>
      </c>
      <c r="Y60" s="1579" t="s">
        <v>9761</v>
      </c>
      <c r="Z60" s="1579" t="s">
        <v>8719</v>
      </c>
      <c r="AA60" s="1579" t="s">
        <v>6063</v>
      </c>
      <c r="AB60" s="1579" t="s">
        <v>5769</v>
      </c>
      <c r="AC60" s="1579" t="s">
        <v>6391</v>
      </c>
      <c r="AD60" s="1537" t="s">
        <v>9903</v>
      </c>
      <c r="AE60" s="1576" t="s">
        <v>5479</v>
      </c>
      <c r="AF60" s="1580" t="s">
        <v>9904</v>
      </c>
      <c r="AG60" s="1580" t="s">
        <v>9905</v>
      </c>
      <c r="AH60" s="1580" t="s">
        <v>9906</v>
      </c>
      <c r="AI60" s="1580" t="s">
        <v>1038</v>
      </c>
      <c r="AJ60" s="1580" t="s">
        <v>9907</v>
      </c>
      <c r="AK60" s="1542" t="s">
        <v>629</v>
      </c>
      <c r="AL60" s="1542" t="s">
        <v>9908</v>
      </c>
      <c r="AM60" s="1543" t="s">
        <v>3629</v>
      </c>
      <c r="AN60" s="1543" t="s">
        <v>9909</v>
      </c>
      <c r="AO60" s="1543" t="s">
        <v>9910</v>
      </c>
      <c r="AP60" s="1543" t="s">
        <v>9911</v>
      </c>
      <c r="AQ60" s="1543" t="s">
        <v>9912</v>
      </c>
      <c r="AR60" s="1544" t="s">
        <v>7992</v>
      </c>
      <c r="AS60" s="1543" t="s">
        <v>4414</v>
      </c>
      <c r="AT60" s="1577" t="s">
        <v>9913</v>
      </c>
      <c r="AU60" s="1581" t="s">
        <v>9914</v>
      </c>
      <c r="AV60" s="1409" t="str">
        <f t="shared" si="1"/>
        <v>4:40</v>
      </c>
      <c r="AW60" s="1602" t="s">
        <v>9915</v>
      </c>
    </row>
    <row r="61" ht="15.75" customHeight="1">
      <c r="A61" s="1533" t="s">
        <v>9916</v>
      </c>
      <c r="B61" s="1531" t="s">
        <v>8649</v>
      </c>
      <c r="C61" s="1501">
        <v>0.051631944444444446</v>
      </c>
      <c r="D61" s="1537" t="s">
        <v>9917</v>
      </c>
      <c r="E61" s="1537" t="s">
        <v>6667</v>
      </c>
      <c r="F61" s="1537" t="s">
        <v>8875</v>
      </c>
      <c r="G61" s="1537" t="s">
        <v>9918</v>
      </c>
      <c r="H61" s="1074" t="s">
        <v>9919</v>
      </c>
      <c r="I61" s="1074" t="s">
        <v>9920</v>
      </c>
      <c r="J61" s="1538" t="s">
        <v>9921</v>
      </c>
      <c r="K61" s="1538" t="s">
        <v>7711</v>
      </c>
      <c r="L61" s="1538" t="s">
        <v>4445</v>
      </c>
      <c r="M61" s="1538" t="s">
        <v>9922</v>
      </c>
      <c r="N61" s="1538" t="s">
        <v>9310</v>
      </c>
      <c r="O61" s="1538" t="s">
        <v>9923</v>
      </c>
      <c r="P61" s="1538" t="s">
        <v>2249</v>
      </c>
      <c r="Q61" s="1540" t="s">
        <v>9924</v>
      </c>
      <c r="R61" s="1540" t="s">
        <v>5854</v>
      </c>
      <c r="S61" s="1540" t="s">
        <v>5584</v>
      </c>
      <c r="T61" s="1540" t="s">
        <v>6227</v>
      </c>
      <c r="U61" s="1540" t="s">
        <v>9925</v>
      </c>
      <c r="V61" s="1540" t="s">
        <v>9926</v>
      </c>
      <c r="W61" s="1541" t="s">
        <v>9927</v>
      </c>
      <c r="X61" s="1541" t="s">
        <v>629</v>
      </c>
      <c r="Y61" s="1541" t="s">
        <v>5063</v>
      </c>
      <c r="Z61" s="1541" t="s">
        <v>9928</v>
      </c>
      <c r="AA61" s="1504" t="s">
        <v>9929</v>
      </c>
      <c r="AB61" s="1541" t="s">
        <v>8999</v>
      </c>
      <c r="AC61" s="1541" t="s">
        <v>839</v>
      </c>
      <c r="AD61" s="1537" t="s">
        <v>9930</v>
      </c>
      <c r="AE61" s="1537" t="s">
        <v>9205</v>
      </c>
      <c r="AF61" s="1634" t="s">
        <v>9931</v>
      </c>
      <c r="AG61" s="1542" t="s">
        <v>6782</v>
      </c>
      <c r="AH61" s="1542" t="s">
        <v>9906</v>
      </c>
      <c r="AI61" s="1542" t="s">
        <v>4053</v>
      </c>
      <c r="AJ61" s="1542" t="s">
        <v>9932</v>
      </c>
      <c r="AK61" s="1542" t="s">
        <v>1528</v>
      </c>
      <c r="AL61" s="1542" t="s">
        <v>3517</v>
      </c>
      <c r="AM61" s="1544" t="s">
        <v>6063</v>
      </c>
      <c r="AN61" s="1544" t="s">
        <v>5601</v>
      </c>
      <c r="AO61" s="1544" t="s">
        <v>6599</v>
      </c>
      <c r="AP61" s="1544" t="s">
        <v>9933</v>
      </c>
      <c r="AQ61" s="1544" t="s">
        <v>3669</v>
      </c>
      <c r="AR61" s="1544" t="s">
        <v>9477</v>
      </c>
      <c r="AS61" s="1544" t="s">
        <v>4028</v>
      </c>
      <c r="AT61" s="1538" t="s">
        <v>9934</v>
      </c>
      <c r="AU61" s="1526" t="s">
        <v>9935</v>
      </c>
      <c r="AV61" s="1409" t="str">
        <f t="shared" si="1"/>
        <v>2:25</v>
      </c>
      <c r="AW61" s="1593" t="s">
        <v>9936</v>
      </c>
    </row>
    <row r="62" ht="15.75" customHeight="1">
      <c r="A62" s="1591" t="s">
        <v>9937</v>
      </c>
      <c r="B62" s="1487" t="s">
        <v>8649</v>
      </c>
      <c r="C62" s="1603">
        <v>0.051631944444444446</v>
      </c>
      <c r="D62" s="798" t="s">
        <v>9938</v>
      </c>
      <c r="E62" s="360" t="s">
        <v>9939</v>
      </c>
      <c r="F62" s="360" t="s">
        <v>8728</v>
      </c>
      <c r="G62" s="360" t="s">
        <v>9940</v>
      </c>
      <c r="H62" s="360" t="s">
        <v>9941</v>
      </c>
      <c r="I62" s="360" t="s">
        <v>9867</v>
      </c>
      <c r="J62" s="360" t="s">
        <v>3662</v>
      </c>
      <c r="K62" s="360" t="s">
        <v>9942</v>
      </c>
      <c r="L62" s="360" t="s">
        <v>5295</v>
      </c>
      <c r="M62" s="360" t="s">
        <v>713</v>
      </c>
      <c r="N62" s="360" t="s">
        <v>9943</v>
      </c>
      <c r="O62" s="360" t="s">
        <v>4713</v>
      </c>
      <c r="P62" s="360" t="s">
        <v>8682</v>
      </c>
      <c r="Q62" s="360" t="s">
        <v>2969</v>
      </c>
      <c r="R62" s="360" t="s">
        <v>9944</v>
      </c>
      <c r="S62" s="360" t="s">
        <v>9723</v>
      </c>
      <c r="T62" s="360" t="s">
        <v>9149</v>
      </c>
      <c r="U62" s="360" t="s">
        <v>9945</v>
      </c>
      <c r="V62" s="360" t="s">
        <v>9946</v>
      </c>
      <c r="W62" s="360" t="s">
        <v>9947</v>
      </c>
      <c r="X62" s="360" t="s">
        <v>9869</v>
      </c>
      <c r="Y62" s="360" t="s">
        <v>839</v>
      </c>
      <c r="Z62" s="360" t="s">
        <v>7413</v>
      </c>
      <c r="AA62" s="360" t="s">
        <v>5853</v>
      </c>
      <c r="AB62" s="360" t="s">
        <v>9948</v>
      </c>
      <c r="AC62" s="360" t="s">
        <v>388</v>
      </c>
      <c r="AD62" s="360" t="s">
        <v>6049</v>
      </c>
      <c r="AE62" s="360" t="s">
        <v>3101</v>
      </c>
      <c r="AF62" s="360" t="s">
        <v>9615</v>
      </c>
      <c r="AG62" s="360" t="s">
        <v>9949</v>
      </c>
      <c r="AH62" s="360" t="s">
        <v>5364</v>
      </c>
      <c r="AI62" s="360" t="s">
        <v>4074</v>
      </c>
      <c r="AJ62" s="360" t="s">
        <v>9950</v>
      </c>
      <c r="AK62" s="360" t="s">
        <v>9784</v>
      </c>
      <c r="AL62" s="360" t="s">
        <v>5176</v>
      </c>
      <c r="AM62" s="360" t="s">
        <v>9951</v>
      </c>
      <c r="AN62" s="360" t="s">
        <v>8509</v>
      </c>
      <c r="AO62" s="360" t="s">
        <v>5115</v>
      </c>
      <c r="AP62" s="360" t="s">
        <v>9952</v>
      </c>
      <c r="AQ62" s="360" t="s">
        <v>3594</v>
      </c>
      <c r="AR62" s="360" t="s">
        <v>9294</v>
      </c>
      <c r="AS62" s="360" t="s">
        <v>4692</v>
      </c>
      <c r="AT62" s="360" t="s">
        <v>9953</v>
      </c>
      <c r="AU62" s="1635" t="str">
        <f>HYPERLINK("https://splits.io/pc9","1:16:48")</f>
        <v>1:16:48</v>
      </c>
      <c r="AV62" s="1409" t="str">
        <f t="shared" si="1"/>
        <v>2:27</v>
      </c>
      <c r="AW62" s="1636" t="s">
        <v>9954</v>
      </c>
    </row>
    <row r="63" ht="15.75" customHeight="1">
      <c r="A63" s="1486" t="s">
        <v>5766</v>
      </c>
      <c r="B63" s="1487" t="s">
        <v>8649</v>
      </c>
      <c r="C63" s="1603">
        <v>0.051631944444444446</v>
      </c>
      <c r="D63" s="798" t="s">
        <v>9955</v>
      </c>
      <c r="E63" s="360" t="s">
        <v>6815</v>
      </c>
      <c r="F63" s="360" t="s">
        <v>9956</v>
      </c>
      <c r="G63" s="360" t="s">
        <v>5264</v>
      </c>
      <c r="H63" s="360" t="s">
        <v>9523</v>
      </c>
      <c r="I63" s="360" t="s">
        <v>839</v>
      </c>
      <c r="J63" s="360" t="s">
        <v>8865</v>
      </c>
      <c r="K63" s="360" t="s">
        <v>8544</v>
      </c>
      <c r="L63" s="360" t="s">
        <v>5752</v>
      </c>
      <c r="M63" s="360" t="s">
        <v>941</v>
      </c>
      <c r="N63" s="360" t="s">
        <v>9957</v>
      </c>
      <c r="O63" s="360" t="s">
        <v>9757</v>
      </c>
      <c r="P63" s="360" t="s">
        <v>9618</v>
      </c>
      <c r="Q63" s="360" t="s">
        <v>9958</v>
      </c>
      <c r="R63" s="360" t="s">
        <v>9899</v>
      </c>
      <c r="S63" s="360" t="s">
        <v>7369</v>
      </c>
      <c r="T63" s="360" t="s">
        <v>9959</v>
      </c>
      <c r="U63" s="360" t="s">
        <v>9960</v>
      </c>
      <c r="V63" s="360" t="s">
        <v>9961</v>
      </c>
      <c r="W63" s="360" t="s">
        <v>9962</v>
      </c>
      <c r="X63" s="360" t="s">
        <v>9963</v>
      </c>
      <c r="Y63" s="360" t="s">
        <v>1168</v>
      </c>
      <c r="Z63" s="360" t="s">
        <v>4845</v>
      </c>
      <c r="AA63" s="360" t="s">
        <v>9964</v>
      </c>
      <c r="AB63" s="360" t="s">
        <v>7440</v>
      </c>
      <c r="AC63" s="360" t="s">
        <v>9965</v>
      </c>
      <c r="AD63" s="360" t="s">
        <v>9966</v>
      </c>
      <c r="AE63" s="1590" t="s">
        <v>5455</v>
      </c>
      <c r="AF63" s="360" t="s">
        <v>9967</v>
      </c>
      <c r="AG63" s="360" t="s">
        <v>9968</v>
      </c>
      <c r="AH63" s="360" t="s">
        <v>2216</v>
      </c>
      <c r="AI63" s="360" t="s">
        <v>5207</v>
      </c>
      <c r="AJ63" s="360" t="s">
        <v>8309</v>
      </c>
      <c r="AK63" s="360" t="s">
        <v>1711</v>
      </c>
      <c r="AL63" s="360" t="s">
        <v>5601</v>
      </c>
      <c r="AM63" s="360" t="s">
        <v>9969</v>
      </c>
      <c r="AN63" s="360" t="s">
        <v>9970</v>
      </c>
      <c r="AO63" s="360" t="s">
        <v>8913</v>
      </c>
      <c r="AP63" s="360" t="s">
        <v>9971</v>
      </c>
      <c r="AQ63" s="360" t="s">
        <v>9972</v>
      </c>
      <c r="AR63" s="360" t="s">
        <v>4832</v>
      </c>
      <c r="AS63" s="360" t="s">
        <v>3029</v>
      </c>
      <c r="AT63" s="360" t="s">
        <v>9973</v>
      </c>
      <c r="AU63" s="360" t="s">
        <v>9974</v>
      </c>
      <c r="AV63" s="1409" t="str">
        <f t="shared" si="1"/>
        <v>3:33</v>
      </c>
      <c r="AW63" s="1636"/>
    </row>
    <row r="64" ht="15.75" customHeight="1">
      <c r="A64" s="1486" t="s">
        <v>4213</v>
      </c>
      <c r="B64" s="1487" t="s">
        <v>8649</v>
      </c>
      <c r="C64" s="1603">
        <v>0.05164351851851852</v>
      </c>
      <c r="D64" s="798" t="s">
        <v>9975</v>
      </c>
      <c r="E64" s="360" t="s">
        <v>8812</v>
      </c>
      <c r="F64" s="360" t="s">
        <v>9976</v>
      </c>
      <c r="G64" s="360" t="s">
        <v>8705</v>
      </c>
      <c r="H64" s="360" t="s">
        <v>9977</v>
      </c>
      <c r="I64" s="360" t="s">
        <v>1294</v>
      </c>
      <c r="J64" s="360" t="s">
        <v>805</v>
      </c>
      <c r="K64" s="360" t="s">
        <v>7359</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7747</v>
      </c>
      <c r="AA64" s="360" t="s">
        <v>5588</v>
      </c>
      <c r="AB64" s="360" t="s">
        <v>6600</v>
      </c>
      <c r="AC64" s="360" t="s">
        <v>6753</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09" t="str">
        <f t="shared" si="1"/>
        <v>3:13</v>
      </c>
      <c r="AW64" s="1636" t="s">
        <v>9995</v>
      </c>
    </row>
    <row r="65" ht="15.75" customHeight="1">
      <c r="A65" s="1500" t="s">
        <v>902</v>
      </c>
      <c r="B65" s="1623" t="s">
        <v>8701</v>
      </c>
      <c r="C65" s="1603">
        <v>0.05167824074074074</v>
      </c>
      <c r="D65" s="798" t="s">
        <v>9996</v>
      </c>
      <c r="E65" s="360" t="s">
        <v>9997</v>
      </c>
      <c r="F65" s="360" t="s">
        <v>5859</v>
      </c>
      <c r="G65" s="360" t="s">
        <v>9998</v>
      </c>
      <c r="H65" s="360" t="s">
        <v>9999</v>
      </c>
      <c r="I65" s="360" t="s">
        <v>1839</v>
      </c>
      <c r="J65" s="360" t="s">
        <v>9860</v>
      </c>
      <c r="K65" s="360" t="s">
        <v>8985</v>
      </c>
      <c r="L65" s="360" t="s">
        <v>1899</v>
      </c>
      <c r="M65" s="360" t="s">
        <v>7471</v>
      </c>
      <c r="N65" s="360" t="s">
        <v>10000</v>
      </c>
      <c r="O65" s="360" t="s">
        <v>10001</v>
      </c>
      <c r="P65" s="360" t="s">
        <v>2383</v>
      </c>
      <c r="Q65" s="360" t="s">
        <v>721</v>
      </c>
      <c r="R65" s="360" t="s">
        <v>10002</v>
      </c>
      <c r="S65" s="360" t="s">
        <v>10003</v>
      </c>
      <c r="T65" s="360" t="s">
        <v>10004</v>
      </c>
      <c r="U65" s="360" t="s">
        <v>9577</v>
      </c>
      <c r="V65" s="360" t="s">
        <v>489</v>
      </c>
      <c r="W65" s="360" t="s">
        <v>5894</v>
      </c>
      <c r="X65" s="360" t="s">
        <v>10005</v>
      </c>
      <c r="Y65" s="360" t="s">
        <v>945</v>
      </c>
      <c r="Z65" s="360" t="s">
        <v>3846</v>
      </c>
      <c r="AA65" s="360" t="s">
        <v>1627</v>
      </c>
      <c r="AB65" s="360" t="s">
        <v>10006</v>
      </c>
      <c r="AC65" s="360" t="s">
        <v>10007</v>
      </c>
      <c r="AD65" s="1590" t="s">
        <v>10008</v>
      </c>
      <c r="AE65" s="360" t="s">
        <v>1863</v>
      </c>
      <c r="AF65" s="360" t="s">
        <v>9462</v>
      </c>
      <c r="AG65" s="360" t="s">
        <v>6896</v>
      </c>
      <c r="AH65" s="360" t="s">
        <v>4445</v>
      </c>
      <c r="AI65" s="360" t="s">
        <v>6349</v>
      </c>
      <c r="AJ65" s="360" t="s">
        <v>10009</v>
      </c>
      <c r="AK65" s="360" t="s">
        <v>8771</v>
      </c>
      <c r="AL65" s="360" t="s">
        <v>5206</v>
      </c>
      <c r="AM65" s="360" t="s">
        <v>10010</v>
      </c>
      <c r="AN65" s="360" t="s">
        <v>10011</v>
      </c>
      <c r="AO65" s="360" t="s">
        <v>10012</v>
      </c>
      <c r="AP65" s="360" t="s">
        <v>10013</v>
      </c>
      <c r="AQ65" s="360" t="s">
        <v>10014</v>
      </c>
      <c r="AR65" s="360" t="s">
        <v>10015</v>
      </c>
      <c r="AS65" s="360" t="s">
        <v>2787</v>
      </c>
      <c r="AT65" s="360" t="s">
        <v>10016</v>
      </c>
      <c r="AU65" s="360" t="s">
        <v>10017</v>
      </c>
      <c r="AV65" s="1409" t="str">
        <f t="shared" si="1"/>
        <v>2:51</v>
      </c>
      <c r="AW65" s="1637"/>
    </row>
    <row r="66" ht="15.75" customHeight="1">
      <c r="A66" s="1533" t="s">
        <v>4629</v>
      </c>
      <c r="B66" s="1564" t="s">
        <v>8677</v>
      </c>
      <c r="C66" s="1603">
        <v>0.05170138888888889</v>
      </c>
      <c r="D66" s="798" t="s">
        <v>10018</v>
      </c>
      <c r="E66" s="360" t="s">
        <v>4250</v>
      </c>
      <c r="F66" s="360" t="s">
        <v>9567</v>
      </c>
      <c r="G66" s="360" t="s">
        <v>9473</v>
      </c>
      <c r="H66" s="360" t="s">
        <v>10019</v>
      </c>
      <c r="I66" s="360" t="s">
        <v>10020</v>
      </c>
      <c r="J66" s="360" t="s">
        <v>9582</v>
      </c>
      <c r="K66" s="360" t="s">
        <v>8913</v>
      </c>
      <c r="L66" s="360" t="s">
        <v>4031</v>
      </c>
      <c r="M66" s="360" t="s">
        <v>7667</v>
      </c>
      <c r="N66" s="360" t="s">
        <v>6104</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6501</v>
      </c>
      <c r="AT66" s="360" t="s">
        <v>10034</v>
      </c>
      <c r="AU66" s="360" t="s">
        <v>10035</v>
      </c>
      <c r="AV66" s="1409" t="str">
        <f t="shared" si="1"/>
        <v>2:37</v>
      </c>
      <c r="AW66" s="1637" t="s">
        <v>10036</v>
      </c>
    </row>
    <row r="67" ht="15.75" customHeight="1">
      <c r="A67" s="1533" t="s">
        <v>5078</v>
      </c>
      <c r="B67" s="1528" t="s">
        <v>8677</v>
      </c>
      <c r="C67" s="1501">
        <v>0.05171296296296296</v>
      </c>
      <c r="D67" s="1610" t="s">
        <v>10037</v>
      </c>
      <c r="E67" s="1590" t="s">
        <v>10038</v>
      </c>
      <c r="F67" s="1590" t="s">
        <v>1472</v>
      </c>
      <c r="G67" s="1590" t="s">
        <v>10039</v>
      </c>
      <c r="H67" s="1590" t="s">
        <v>9003</v>
      </c>
      <c r="I67" s="1590" t="s">
        <v>10040</v>
      </c>
      <c r="J67" s="1590" t="s">
        <v>889</v>
      </c>
      <c r="K67" s="1590" t="s">
        <v>4856</v>
      </c>
      <c r="L67" s="1590" t="s">
        <v>1889</v>
      </c>
      <c r="M67" s="1638" t="s">
        <v>10041</v>
      </c>
      <c r="N67" s="1590" t="s">
        <v>10042</v>
      </c>
      <c r="O67" s="1590" t="s">
        <v>1787</v>
      </c>
      <c r="P67" s="1590" t="s">
        <v>5063</v>
      </c>
      <c r="Q67" s="1590" t="s">
        <v>191</v>
      </c>
      <c r="R67" s="1590" t="s">
        <v>10043</v>
      </c>
      <c r="S67" s="1590" t="s">
        <v>8755</v>
      </c>
      <c r="T67" s="1590" t="s">
        <v>10044</v>
      </c>
      <c r="U67" s="1590" t="s">
        <v>9838</v>
      </c>
      <c r="V67" s="1638" t="s">
        <v>10045</v>
      </c>
      <c r="W67" s="1638" t="s">
        <v>10046</v>
      </c>
      <c r="X67" s="1590" t="s">
        <v>9713</v>
      </c>
      <c r="Y67" s="798" t="s">
        <v>9376</v>
      </c>
      <c r="Z67" s="1590" t="s">
        <v>1526</v>
      </c>
      <c r="AA67" s="1590" t="s">
        <v>199</v>
      </c>
      <c r="AB67" s="1638" t="s">
        <v>10047</v>
      </c>
      <c r="AC67" s="1590" t="s">
        <v>1850</v>
      </c>
      <c r="AD67" s="1590" t="s">
        <v>10048</v>
      </c>
      <c r="AE67" s="1590" t="s">
        <v>3785</v>
      </c>
      <c r="AF67" s="1590" t="s">
        <v>10049</v>
      </c>
      <c r="AG67" s="1590" t="s">
        <v>528</v>
      </c>
      <c r="AH67" s="1590" t="s">
        <v>10050</v>
      </c>
      <c r="AI67" s="1590" t="s">
        <v>5391</v>
      </c>
      <c r="AJ67" s="1590" t="s">
        <v>10051</v>
      </c>
      <c r="AK67" s="1590" t="s">
        <v>10052</v>
      </c>
      <c r="AL67" s="1590" t="s">
        <v>1666</v>
      </c>
      <c r="AM67" s="1590" t="s">
        <v>9878</v>
      </c>
      <c r="AN67" s="1590" t="s">
        <v>10053</v>
      </c>
      <c r="AO67" s="1590" t="s">
        <v>2727</v>
      </c>
      <c r="AP67" s="1590" t="s">
        <v>2007</v>
      </c>
      <c r="AQ67" s="1590" t="s">
        <v>758</v>
      </c>
      <c r="AR67" s="1590" t="s">
        <v>9656</v>
      </c>
      <c r="AS67" s="1590" t="s">
        <v>7149</v>
      </c>
      <c r="AT67" s="1590" t="s">
        <v>10054</v>
      </c>
      <c r="AU67" s="1590" t="s">
        <v>10055</v>
      </c>
      <c r="AV67" s="1409" t="str">
        <f t="shared" si="1"/>
        <v>4:14</v>
      </c>
      <c r="AW67" s="1633" t="s">
        <v>10056</v>
      </c>
    </row>
    <row r="68" ht="15.75" customHeight="1">
      <c r="A68" s="1533" t="s">
        <v>2151</v>
      </c>
      <c r="B68" s="1619" t="s">
        <v>8677</v>
      </c>
      <c r="C68" s="1501">
        <v>0.05173611111111111</v>
      </c>
      <c r="D68" s="798" t="s">
        <v>10057</v>
      </c>
      <c r="E68" s="1590" t="s">
        <v>10058</v>
      </c>
      <c r="F68" s="1590" t="s">
        <v>10059</v>
      </c>
      <c r="G68" s="1590" t="s">
        <v>10060</v>
      </c>
      <c r="H68" s="1590" t="s">
        <v>7603</v>
      </c>
      <c r="I68" s="1590" t="s">
        <v>497</v>
      </c>
      <c r="J68" s="1590" t="s">
        <v>9069</v>
      </c>
      <c r="K68" s="1590" t="s">
        <v>10061</v>
      </c>
      <c r="L68" s="1590" t="s">
        <v>7227</v>
      </c>
      <c r="M68" s="1590" t="s">
        <v>3544</v>
      </c>
      <c r="N68" s="1590" t="s">
        <v>10062</v>
      </c>
      <c r="O68" s="1590" t="s">
        <v>10063</v>
      </c>
      <c r="P68" s="1590" t="s">
        <v>3688</v>
      </c>
      <c r="Q68" s="1590" t="s">
        <v>10064</v>
      </c>
      <c r="R68" s="1590" t="s">
        <v>10002</v>
      </c>
      <c r="S68" s="1590" t="s">
        <v>5525</v>
      </c>
      <c r="T68" s="1590" t="s">
        <v>10065</v>
      </c>
      <c r="U68" s="1590" t="s">
        <v>10066</v>
      </c>
      <c r="V68" s="1590" t="s">
        <v>360</v>
      </c>
      <c r="W68" s="1590" t="s">
        <v>5592</v>
      </c>
      <c r="X68" s="1590" t="s">
        <v>9905</v>
      </c>
      <c r="Y68" s="1590" t="s">
        <v>1168</v>
      </c>
      <c r="Z68" s="1590" t="s">
        <v>10067</v>
      </c>
      <c r="AA68" s="1590" t="s">
        <v>5853</v>
      </c>
      <c r="AB68" s="1590" t="s">
        <v>6598</v>
      </c>
      <c r="AC68" s="1590" t="s">
        <v>1601</v>
      </c>
      <c r="AD68" s="1590" t="s">
        <v>9930</v>
      </c>
      <c r="AE68" s="1590" t="s">
        <v>9348</v>
      </c>
      <c r="AF68" s="1590" t="s">
        <v>9362</v>
      </c>
      <c r="AG68" s="1590" t="s">
        <v>10068</v>
      </c>
      <c r="AH68" s="1590" t="s">
        <v>10069</v>
      </c>
      <c r="AI68" s="1590" t="s">
        <v>10070</v>
      </c>
      <c r="AJ68" s="1590" t="s">
        <v>6080</v>
      </c>
      <c r="AK68" s="1590" t="s">
        <v>7690</v>
      </c>
      <c r="AL68" s="1590" t="s">
        <v>10071</v>
      </c>
      <c r="AM68" s="1590" t="s">
        <v>2911</v>
      </c>
      <c r="AN68" s="1590" t="s">
        <v>5158</v>
      </c>
      <c r="AO68" s="1590" t="s">
        <v>9830</v>
      </c>
      <c r="AP68" s="1590" t="s">
        <v>10072</v>
      </c>
      <c r="AQ68" s="1590" t="s">
        <v>10073</v>
      </c>
      <c r="AR68" s="1590" t="s">
        <v>196</v>
      </c>
      <c r="AS68" s="1590" t="s">
        <v>10074</v>
      </c>
      <c r="AT68" s="1590" t="s">
        <v>10075</v>
      </c>
      <c r="AU68" s="1590" t="s">
        <v>10076</v>
      </c>
      <c r="AV68" s="1409" t="str">
        <f t="shared" si="1"/>
        <v>3:51</v>
      </c>
      <c r="AW68" s="1633" t="s">
        <v>10077</v>
      </c>
    </row>
    <row r="69" ht="15.75" customHeight="1">
      <c r="A69" s="1533" t="s">
        <v>8030</v>
      </c>
      <c r="B69" s="1531" t="s">
        <v>8701</v>
      </c>
      <c r="C69" s="1501">
        <v>0.051805555555555556</v>
      </c>
      <c r="D69" s="1590" t="s">
        <v>10078</v>
      </c>
      <c r="E69" s="1590" t="s">
        <v>10079</v>
      </c>
      <c r="F69" s="798" t="s">
        <v>10080</v>
      </c>
      <c r="G69" s="1590" t="s">
        <v>10081</v>
      </c>
      <c r="H69" s="1507" t="s">
        <v>10082</v>
      </c>
      <c r="I69" s="1507">
        <v>49.81</v>
      </c>
      <c r="J69" s="1507" t="s">
        <v>10083</v>
      </c>
      <c r="K69" s="1507" t="s">
        <v>6247</v>
      </c>
      <c r="L69" s="1507">
        <v>59.57</v>
      </c>
      <c r="M69" s="1507" t="s">
        <v>10084</v>
      </c>
      <c r="N69" s="1507" t="s">
        <v>10085</v>
      </c>
      <c r="O69" s="1506" t="s">
        <v>7524</v>
      </c>
      <c r="P69" s="1506" t="s">
        <v>10086</v>
      </c>
      <c r="Q69" s="1506" t="s">
        <v>10087</v>
      </c>
      <c r="R69" s="1507" t="s">
        <v>10088</v>
      </c>
      <c r="S69" s="1507" t="s">
        <v>9723</v>
      </c>
      <c r="T69" s="1507" t="s">
        <v>10089</v>
      </c>
      <c r="U69" s="1507" t="s">
        <v>10090</v>
      </c>
      <c r="V69" s="1507" t="s">
        <v>4298</v>
      </c>
      <c r="W69" s="1507" t="s">
        <v>10091</v>
      </c>
      <c r="X69" s="1507" t="s">
        <v>10092</v>
      </c>
      <c r="Y69" s="1506" t="s">
        <v>9587</v>
      </c>
      <c r="Z69" s="1639" t="s">
        <v>8717</v>
      </c>
      <c r="AA69" s="1507" t="s">
        <v>970</v>
      </c>
      <c r="AB69" s="1506" t="s">
        <v>4332</v>
      </c>
      <c r="AC69" s="1507">
        <v>49.53</v>
      </c>
      <c r="AD69" s="1507" t="s">
        <v>1938</v>
      </c>
      <c r="AE69" s="1506" t="s">
        <v>10093</v>
      </c>
      <c r="AF69" s="1507" t="s">
        <v>8872</v>
      </c>
      <c r="AG69" s="1507" t="s">
        <v>10094</v>
      </c>
      <c r="AH69" s="1507">
        <v>59.93</v>
      </c>
      <c r="AI69" s="1507" t="s">
        <v>10095</v>
      </c>
      <c r="AJ69" s="1507" t="s">
        <v>10096</v>
      </c>
      <c r="AK69" s="1507" t="s">
        <v>5883</v>
      </c>
      <c r="AL69" s="1507">
        <v>59.13</v>
      </c>
      <c r="AM69" s="1507" t="s">
        <v>10033</v>
      </c>
      <c r="AN69" s="1507">
        <v>57.86</v>
      </c>
      <c r="AO69" s="1507" t="s">
        <v>7819</v>
      </c>
      <c r="AP69" s="1507" t="s">
        <v>10097</v>
      </c>
      <c r="AQ69" s="1507" t="s">
        <v>9593</v>
      </c>
      <c r="AR69" s="1507" t="s">
        <v>6173</v>
      </c>
      <c r="AS69" s="1507">
        <v>47.67</v>
      </c>
      <c r="AT69" s="1590" t="s">
        <v>10098</v>
      </c>
      <c r="AU69" s="1590" t="s">
        <v>10099</v>
      </c>
      <c r="AV69" s="1409" t="str">
        <f t="shared" si="1"/>
        <v>2:57</v>
      </c>
      <c r="AW69" s="1618" t="s">
        <v>10100</v>
      </c>
    </row>
    <row r="70">
      <c r="A70" s="1228" t="s">
        <v>1259</v>
      </c>
      <c r="B70" s="1528" t="s">
        <v>8677</v>
      </c>
      <c r="C70" s="1640">
        <v>0.05181712962962963</v>
      </c>
      <c r="D70" s="1494" t="s">
        <v>10101</v>
      </c>
      <c r="E70" s="1494" t="s">
        <v>6672</v>
      </c>
      <c r="F70" s="1494" t="s">
        <v>10102</v>
      </c>
      <c r="G70" s="1494" t="s">
        <v>10103</v>
      </c>
      <c r="H70" s="1494" t="s">
        <v>10104</v>
      </c>
      <c r="I70" s="1494" t="s">
        <v>5021</v>
      </c>
      <c r="J70" s="1494" t="s">
        <v>9053</v>
      </c>
      <c r="K70" s="1494" t="s">
        <v>8687</v>
      </c>
      <c r="L70" s="1494" t="s">
        <v>10069</v>
      </c>
      <c r="M70" s="1494" t="s">
        <v>1457</v>
      </c>
      <c r="N70" s="1494" t="s">
        <v>9556</v>
      </c>
      <c r="O70" s="1494" t="s">
        <v>7576</v>
      </c>
      <c r="P70" s="1494" t="s">
        <v>9144</v>
      </c>
      <c r="Q70" s="1494" t="s">
        <v>10105</v>
      </c>
      <c r="R70" s="1494" t="s">
        <v>2864</v>
      </c>
      <c r="S70" s="1494" t="s">
        <v>4919</v>
      </c>
      <c r="T70" s="1494" t="s">
        <v>10106</v>
      </c>
      <c r="U70" s="1494" t="s">
        <v>10107</v>
      </c>
      <c r="V70" s="1494" t="s">
        <v>10023</v>
      </c>
      <c r="W70" s="1494" t="s">
        <v>10108</v>
      </c>
      <c r="X70" s="1494" t="s">
        <v>9646</v>
      </c>
      <c r="Y70" s="1494" t="s">
        <v>10109</v>
      </c>
      <c r="Z70" s="1595" t="s">
        <v>6330</v>
      </c>
      <c r="AA70" s="1494" t="s">
        <v>960</v>
      </c>
      <c r="AB70" s="1494" t="s">
        <v>10110</v>
      </c>
      <c r="AC70" s="1494" t="s">
        <v>2097</v>
      </c>
      <c r="AD70" s="1494" t="s">
        <v>10111</v>
      </c>
      <c r="AE70" s="1494" t="s">
        <v>2249</v>
      </c>
      <c r="AF70" s="1494" t="s">
        <v>9785</v>
      </c>
      <c r="AG70" s="1494" t="s">
        <v>401</v>
      </c>
      <c r="AH70" s="1494" t="s">
        <v>10112</v>
      </c>
      <c r="AI70" s="1494" t="s">
        <v>245</v>
      </c>
      <c r="AJ70" s="1494" t="s">
        <v>10113</v>
      </c>
      <c r="AK70" s="1494" t="s">
        <v>9366</v>
      </c>
      <c r="AL70" s="1494" t="s">
        <v>4719</v>
      </c>
      <c r="AM70" s="1494" t="s">
        <v>10114</v>
      </c>
      <c r="AN70" s="1494" t="s">
        <v>9415</v>
      </c>
      <c r="AO70" s="1494" t="s">
        <v>10115</v>
      </c>
      <c r="AP70" s="1494" t="s">
        <v>10116</v>
      </c>
      <c r="AQ70" s="1494" t="s">
        <v>10117</v>
      </c>
      <c r="AR70" s="1494" t="s">
        <v>10118</v>
      </c>
      <c r="AS70" s="1494" t="s">
        <v>353</v>
      </c>
      <c r="AT70" s="1494" t="s">
        <v>10119</v>
      </c>
      <c r="AU70" s="1504" t="s">
        <v>10120</v>
      </c>
      <c r="AV70" s="1409" t="str">
        <f t="shared" si="1"/>
        <v>3:49</v>
      </c>
      <c r="AW70" s="1641" t="s">
        <v>10121</v>
      </c>
    </row>
    <row r="71" ht="15.75" customHeight="1">
      <c r="A71" s="1486" t="s">
        <v>3120</v>
      </c>
      <c r="B71" s="1564" t="s">
        <v>8677</v>
      </c>
      <c r="C71" s="1603">
        <v>0.051863425925925924</v>
      </c>
      <c r="D71" s="798" t="s">
        <v>10122</v>
      </c>
      <c r="E71" s="360" t="s">
        <v>6488</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8547</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8867</v>
      </c>
      <c r="AP71" s="360" t="s">
        <v>10140</v>
      </c>
      <c r="AQ71" s="360" t="s">
        <v>10141</v>
      </c>
      <c r="AR71" s="360" t="s">
        <v>2191</v>
      </c>
      <c r="AS71" s="360" t="s">
        <v>4824</v>
      </c>
      <c r="AT71" s="360" t="s">
        <v>10142</v>
      </c>
      <c r="AU71" s="360" t="s">
        <v>10143</v>
      </c>
      <c r="AV71" s="1409" t="str">
        <f t="shared" si="1"/>
        <v>2:06</v>
      </c>
      <c r="AW71" s="1633" t="s">
        <v>10144</v>
      </c>
    </row>
    <row r="72" ht="15.75" customHeight="1">
      <c r="A72" s="1486" t="s">
        <v>1129</v>
      </c>
      <c r="B72" s="1487" t="s">
        <v>8649</v>
      </c>
      <c r="C72" s="1603">
        <v>0.051875</v>
      </c>
      <c r="D72" s="798" t="s">
        <v>10145</v>
      </c>
      <c r="E72" s="360" t="s">
        <v>3232</v>
      </c>
      <c r="F72" s="360" t="s">
        <v>10146</v>
      </c>
      <c r="G72" s="360" t="s">
        <v>10147</v>
      </c>
      <c r="H72" s="360" t="s">
        <v>10148</v>
      </c>
      <c r="I72" s="360" t="s">
        <v>10149</v>
      </c>
      <c r="J72" s="360" t="s">
        <v>2526</v>
      </c>
      <c r="K72" s="360" t="s">
        <v>10150</v>
      </c>
      <c r="L72" s="360" t="s">
        <v>8888</v>
      </c>
      <c r="M72" s="360" t="s">
        <v>7685</v>
      </c>
      <c r="N72" s="360" t="s">
        <v>9149</v>
      </c>
      <c r="O72" s="360" t="s">
        <v>4459</v>
      </c>
      <c r="P72" s="360" t="s">
        <v>1531</v>
      </c>
      <c r="Q72" s="360" t="s">
        <v>10151</v>
      </c>
      <c r="R72" s="360" t="s">
        <v>2077</v>
      </c>
      <c r="S72" s="360" t="s">
        <v>4424</v>
      </c>
      <c r="T72" s="360" t="s">
        <v>10152</v>
      </c>
      <c r="U72" s="360" t="s">
        <v>9945</v>
      </c>
      <c r="V72" s="360" t="s">
        <v>6497</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6317</v>
      </c>
      <c r="AO72" s="1590" t="s">
        <v>9747</v>
      </c>
      <c r="AP72" s="360" t="s">
        <v>10161</v>
      </c>
      <c r="AQ72" s="360" t="s">
        <v>10162</v>
      </c>
      <c r="AR72" s="360" t="s">
        <v>9404</v>
      </c>
      <c r="AS72" s="360" t="s">
        <v>4737</v>
      </c>
      <c r="AT72" s="360" t="s">
        <v>10163</v>
      </c>
      <c r="AU72" s="1590" t="s">
        <v>10164</v>
      </c>
      <c r="AV72" s="1409" t="str">
        <f t="shared" si="1"/>
        <v>0:37</v>
      </c>
      <c r="AW72" s="1637" t="s">
        <v>10165</v>
      </c>
    </row>
    <row r="73">
      <c r="A73" s="1533" t="s">
        <v>8000</v>
      </c>
      <c r="B73" s="1528" t="s">
        <v>8649</v>
      </c>
      <c r="C73" s="1501">
        <v>0.05188657407407407</v>
      </c>
      <c r="D73" s="1590" t="s">
        <v>10166</v>
      </c>
      <c r="E73" s="798" t="s">
        <v>938</v>
      </c>
      <c r="F73" s="798" t="s">
        <v>10167</v>
      </c>
      <c r="G73" s="798" t="s">
        <v>10168</v>
      </c>
      <c r="H73" s="798" t="s">
        <v>10169</v>
      </c>
      <c r="I73" s="798" t="s">
        <v>680</v>
      </c>
      <c r="J73" s="798" t="s">
        <v>4134</v>
      </c>
      <c r="K73" s="798" t="s">
        <v>9377</v>
      </c>
      <c r="L73" s="798" t="s">
        <v>2707</v>
      </c>
      <c r="M73" s="798" t="s">
        <v>10170</v>
      </c>
      <c r="N73" s="798" t="s">
        <v>4009</v>
      </c>
      <c r="O73" s="798" t="s">
        <v>10171</v>
      </c>
      <c r="P73" s="798" t="s">
        <v>5162</v>
      </c>
      <c r="Q73" s="798" t="s">
        <v>10172</v>
      </c>
      <c r="R73" s="798" t="s">
        <v>5508</v>
      </c>
      <c r="S73" s="798" t="s">
        <v>10173</v>
      </c>
      <c r="T73" s="798" t="s">
        <v>8722</v>
      </c>
      <c r="U73" s="798" t="s">
        <v>10174</v>
      </c>
      <c r="V73" s="798" t="s">
        <v>5415</v>
      </c>
      <c r="W73" s="798" t="s">
        <v>10175</v>
      </c>
      <c r="X73" s="798" t="s">
        <v>10176</v>
      </c>
      <c r="Y73" s="798" t="s">
        <v>10177</v>
      </c>
      <c r="Z73" s="798" t="s">
        <v>9388</v>
      </c>
      <c r="AA73" s="798" t="s">
        <v>5122</v>
      </c>
      <c r="AB73" s="798" t="s">
        <v>689</v>
      </c>
      <c r="AC73" s="798" t="s">
        <v>6373</v>
      </c>
      <c r="AD73" s="798" t="s">
        <v>2940</v>
      </c>
      <c r="AE73" s="798" t="s">
        <v>5791</v>
      </c>
      <c r="AF73" s="798" t="s">
        <v>10178</v>
      </c>
      <c r="AG73" s="798" t="s">
        <v>2413</v>
      </c>
      <c r="AH73" s="798" t="s">
        <v>2707</v>
      </c>
      <c r="AI73" s="798" t="s">
        <v>198</v>
      </c>
      <c r="AJ73" s="798" t="s">
        <v>10179</v>
      </c>
      <c r="AK73" s="798" t="s">
        <v>9395</v>
      </c>
      <c r="AL73" s="798" t="s">
        <v>9859</v>
      </c>
      <c r="AM73" s="798" t="s">
        <v>9364</v>
      </c>
      <c r="AN73" s="798" t="s">
        <v>3538</v>
      </c>
      <c r="AO73" s="798" t="s">
        <v>10180</v>
      </c>
      <c r="AP73" s="798" t="s">
        <v>9811</v>
      </c>
      <c r="AQ73" s="798" t="s">
        <v>10162</v>
      </c>
      <c r="AR73" s="798" t="s">
        <v>10181</v>
      </c>
      <c r="AS73" s="798" t="s">
        <v>6501</v>
      </c>
      <c r="AT73" s="798" t="s">
        <v>8958</v>
      </c>
      <c r="AU73" s="1590" t="s">
        <v>10182</v>
      </c>
      <c r="AV73" s="1409" t="str">
        <f t="shared" si="1"/>
        <v>4:21</v>
      </c>
      <c r="AW73" s="1633" t="s">
        <v>10183</v>
      </c>
    </row>
    <row r="74">
      <c r="A74" s="1533" t="s">
        <v>8592</v>
      </c>
      <c r="B74" s="1531" t="s">
        <v>8649</v>
      </c>
      <c r="C74" s="1501">
        <v>0.05193287037037037</v>
      </c>
      <c r="D74" s="1610" t="s">
        <v>10184</v>
      </c>
      <c r="E74" s="1590" t="s">
        <v>7714</v>
      </c>
      <c r="F74" s="1590" t="s">
        <v>10185</v>
      </c>
      <c r="G74" s="1590" t="s">
        <v>10186</v>
      </c>
      <c r="H74" s="1590" t="s">
        <v>10187</v>
      </c>
      <c r="I74" s="1590" t="s">
        <v>2383</v>
      </c>
      <c r="J74" s="1590" t="s">
        <v>4233</v>
      </c>
      <c r="K74" s="1590" t="s">
        <v>9315</v>
      </c>
      <c r="L74" s="1590"/>
      <c r="M74" s="1590" t="s">
        <v>7365</v>
      </c>
      <c r="N74" s="1590" t="s">
        <v>4674</v>
      </c>
      <c r="O74" s="1590" t="s">
        <v>8715</v>
      </c>
      <c r="P74" s="1590" t="s">
        <v>9804</v>
      </c>
      <c r="Q74" s="1590" t="s">
        <v>10188</v>
      </c>
      <c r="R74" s="1590" t="s">
        <v>10189</v>
      </c>
      <c r="S74" s="1590" t="s">
        <v>8951</v>
      </c>
      <c r="T74" s="1590" t="s">
        <v>9331</v>
      </c>
      <c r="U74" s="1590" t="s">
        <v>2271</v>
      </c>
      <c r="V74" s="1590" t="s">
        <v>9166</v>
      </c>
      <c r="W74" s="1590" t="s">
        <v>5888</v>
      </c>
      <c r="X74" s="1590" t="s">
        <v>629</v>
      </c>
      <c r="Y74" s="1590" t="s">
        <v>9130</v>
      </c>
      <c r="Z74" s="1590" t="s">
        <v>8739</v>
      </c>
      <c r="AA74" s="1590" t="s">
        <v>7832</v>
      </c>
      <c r="AB74" s="1590" t="s">
        <v>9812</v>
      </c>
      <c r="AC74" s="1590" t="s">
        <v>3004</v>
      </c>
      <c r="AD74" s="1590" t="s">
        <v>10190</v>
      </c>
      <c r="AE74" s="1590" t="s">
        <v>10191</v>
      </c>
      <c r="AF74" s="1590" t="s">
        <v>10192</v>
      </c>
      <c r="AG74" s="1590" t="s">
        <v>9949</v>
      </c>
      <c r="AH74" s="1590" t="s">
        <v>10193</v>
      </c>
      <c r="AI74" s="1590" t="s">
        <v>10194</v>
      </c>
      <c r="AJ74" s="1590" t="s">
        <v>10195</v>
      </c>
      <c r="AK74" s="1590" t="s">
        <v>9012</v>
      </c>
      <c r="AL74" s="1590" t="s">
        <v>3351</v>
      </c>
      <c r="AM74" s="1590" t="s">
        <v>10196</v>
      </c>
      <c r="AN74" s="1590" t="s">
        <v>3549</v>
      </c>
      <c r="AO74" s="1590" t="s">
        <v>10197</v>
      </c>
      <c r="AP74" s="1590" t="s">
        <v>10198</v>
      </c>
      <c r="AQ74" s="1590" t="s">
        <v>10199</v>
      </c>
      <c r="AR74" s="1590" t="s">
        <v>10200</v>
      </c>
      <c r="AS74" s="1590" t="s">
        <v>3729</v>
      </c>
      <c r="AT74" s="1590" t="s">
        <v>10201</v>
      </c>
      <c r="AU74" s="1590" t="s">
        <v>10202</v>
      </c>
      <c r="AV74" s="1409" t="str">
        <f t="shared" si="1"/>
        <v>4:12</v>
      </c>
      <c r="AW74" s="1637"/>
    </row>
    <row r="75" ht="15.75" customHeight="1">
      <c r="A75" s="1591" t="s">
        <v>10203</v>
      </c>
      <c r="B75" s="1487" t="s">
        <v>8649</v>
      </c>
      <c r="C75" s="1603">
        <v>0.05199074074074074</v>
      </c>
      <c r="D75" s="798" t="s">
        <v>10204</v>
      </c>
      <c r="E75" s="360" t="s">
        <v>10205</v>
      </c>
      <c r="F75" s="360" t="s">
        <v>10206</v>
      </c>
      <c r="G75" s="360" t="s">
        <v>10207</v>
      </c>
      <c r="H75" s="360" t="s">
        <v>7629</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6497</v>
      </c>
      <c r="W75" s="360" t="s">
        <v>8008</v>
      </c>
      <c r="X75" s="360" t="s">
        <v>10214</v>
      </c>
      <c r="Y75" s="360" t="s">
        <v>2097</v>
      </c>
      <c r="Z75" s="360" t="s">
        <v>10215</v>
      </c>
      <c r="AA75" s="360" t="s">
        <v>9902</v>
      </c>
      <c r="AB75" s="360" t="s">
        <v>10216</v>
      </c>
      <c r="AC75" s="360" t="s">
        <v>8721</v>
      </c>
      <c r="AD75" s="360" t="s">
        <v>10217</v>
      </c>
      <c r="AE75" s="360" t="s">
        <v>6753</v>
      </c>
      <c r="AF75" s="360" t="s">
        <v>10218</v>
      </c>
      <c r="AG75" s="360" t="s">
        <v>10159</v>
      </c>
      <c r="AH75" s="360" t="s">
        <v>10219</v>
      </c>
      <c r="AI75" s="360" t="s">
        <v>10220</v>
      </c>
      <c r="AJ75" s="360" t="s">
        <v>10221</v>
      </c>
      <c r="AK75" s="360" t="s">
        <v>810</v>
      </c>
      <c r="AL75" s="360" t="s">
        <v>3331</v>
      </c>
      <c r="AM75" s="360" t="s">
        <v>9650</v>
      </c>
      <c r="AN75" s="360" t="s">
        <v>10222</v>
      </c>
      <c r="AO75" s="1590" t="s">
        <v>7590</v>
      </c>
      <c r="AP75" s="1590" t="s">
        <v>10223</v>
      </c>
      <c r="AQ75" s="360" t="s">
        <v>5326</v>
      </c>
      <c r="AR75" s="360" t="s">
        <v>9686</v>
      </c>
      <c r="AS75" s="360" t="s">
        <v>1090</v>
      </c>
      <c r="AT75" s="360" t="s">
        <v>9805</v>
      </c>
      <c r="AU75" s="1635" t="str">
        <f>HYPERLINK("https://splits.io/m3t","1:18:40")</f>
        <v>1:18:40</v>
      </c>
      <c r="AV75" s="1409" t="str">
        <f t="shared" si="1"/>
        <v>3:48</v>
      </c>
      <c r="AW75" s="1636" t="s">
        <v>10224</v>
      </c>
    </row>
    <row r="76" ht="15.75" customHeight="1">
      <c r="A76" s="1591" t="s">
        <v>10225</v>
      </c>
      <c r="B76" s="1487" t="s">
        <v>8649</v>
      </c>
      <c r="C76" s="1603">
        <v>0.052002314814814814</v>
      </c>
      <c r="D76" s="798"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6086</v>
      </c>
      <c r="AM76" s="360" t="s">
        <v>1462</v>
      </c>
      <c r="AN76" s="360" t="s">
        <v>8816</v>
      </c>
      <c r="AO76" s="360" t="s">
        <v>9161</v>
      </c>
      <c r="AP76" s="360" t="s">
        <v>4669</v>
      </c>
      <c r="AQ76" s="360" t="s">
        <v>10238</v>
      </c>
      <c r="AR76" s="360" t="s">
        <v>10239</v>
      </c>
      <c r="AS76" s="360" t="s">
        <v>10240</v>
      </c>
      <c r="AT76" s="360" t="s">
        <v>10241</v>
      </c>
      <c r="AU76" s="360" t="s">
        <v>10242</v>
      </c>
      <c r="AV76" s="1409" t="str">
        <f t="shared" si="1"/>
        <v>3:32</v>
      </c>
      <c r="AW76" s="1636" t="s">
        <v>10243</v>
      </c>
    </row>
    <row r="77" ht="15.75" customHeight="1">
      <c r="A77" s="1591" t="s">
        <v>10244</v>
      </c>
      <c r="B77" s="1564" t="s">
        <v>8677</v>
      </c>
      <c r="C77" s="1603">
        <v>0.05201388888888889</v>
      </c>
      <c r="D77" s="798" t="s">
        <v>10245</v>
      </c>
      <c r="E77" s="1590"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7517</v>
      </c>
      <c r="S77" s="360" t="s">
        <v>10256</v>
      </c>
      <c r="T77" s="360" t="s">
        <v>10257</v>
      </c>
      <c r="U77" s="360" t="s">
        <v>10258</v>
      </c>
      <c r="V77" s="360" t="s">
        <v>8266</v>
      </c>
      <c r="W77" s="360" t="s">
        <v>10259</v>
      </c>
      <c r="X77" s="360" t="s">
        <v>9717</v>
      </c>
      <c r="Y77" s="360" t="s">
        <v>302</v>
      </c>
      <c r="Z77" s="360" t="s">
        <v>2377</v>
      </c>
      <c r="AA77" s="360" t="s">
        <v>5779</v>
      </c>
      <c r="AB77" s="360" t="s">
        <v>9021</v>
      </c>
      <c r="AC77" s="360" t="s">
        <v>930</v>
      </c>
      <c r="AD77" s="360" t="s">
        <v>10260</v>
      </c>
      <c r="AE77" s="360" t="s">
        <v>1168</v>
      </c>
      <c r="AF77" s="360" t="s">
        <v>10261</v>
      </c>
      <c r="AG77" s="360" t="s">
        <v>2911</v>
      </c>
      <c r="AH77" s="360" t="s">
        <v>6107</v>
      </c>
      <c r="AI77" s="360" t="s">
        <v>1577</v>
      </c>
      <c r="AJ77" s="360" t="s">
        <v>10262</v>
      </c>
      <c r="AK77" s="360" t="s">
        <v>3527</v>
      </c>
      <c r="AL77" s="360" t="s">
        <v>3897</v>
      </c>
      <c r="AM77" s="360" t="s">
        <v>842</v>
      </c>
      <c r="AN77" s="360" t="s">
        <v>10030</v>
      </c>
      <c r="AO77" s="360" t="s">
        <v>2219</v>
      </c>
      <c r="AP77" s="360" t="s">
        <v>10263</v>
      </c>
      <c r="AQ77" s="360" t="s">
        <v>1004</v>
      </c>
      <c r="AR77" s="360" t="s">
        <v>8716</v>
      </c>
      <c r="AS77" s="360" t="s">
        <v>9791</v>
      </c>
      <c r="AT77" s="360" t="s">
        <v>10264</v>
      </c>
      <c r="AU77" s="360" t="s">
        <v>10265</v>
      </c>
      <c r="AV77" s="1409" t="str">
        <f t="shared" si="1"/>
        <v>2:58</v>
      </c>
      <c r="AW77" s="1637" t="s">
        <v>10266</v>
      </c>
    </row>
    <row r="78" ht="15.75" customHeight="1">
      <c r="A78" s="1486" t="s">
        <v>6570</v>
      </c>
      <c r="B78" s="1564" t="s">
        <v>8677</v>
      </c>
      <c r="C78" s="1603">
        <v>0.05207175925925926</v>
      </c>
      <c r="D78" s="798"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6059</v>
      </c>
      <c r="T78" s="360" t="s">
        <v>5738</v>
      </c>
      <c r="U78" s="360" t="s">
        <v>10275</v>
      </c>
      <c r="V78" s="360" t="s">
        <v>2419</v>
      </c>
      <c r="W78" s="360" t="s">
        <v>8720</v>
      </c>
      <c r="X78" s="360" t="s">
        <v>10276</v>
      </c>
      <c r="Y78" s="360" t="s">
        <v>1413</v>
      </c>
      <c r="Z78" s="360" t="s">
        <v>7462</v>
      </c>
      <c r="AA78" s="360" t="s">
        <v>1490</v>
      </c>
      <c r="AB78" s="360" t="s">
        <v>10277</v>
      </c>
      <c r="AC78" s="360" t="s">
        <v>238</v>
      </c>
      <c r="AD78" s="360" t="s">
        <v>4240</v>
      </c>
      <c r="AE78" s="360" t="s">
        <v>6146</v>
      </c>
      <c r="AF78" s="360" t="s">
        <v>10278</v>
      </c>
      <c r="AG78" s="360" t="s">
        <v>9717</v>
      </c>
      <c r="AH78" s="360" t="s">
        <v>7230</v>
      </c>
      <c r="AI78" s="360" t="s">
        <v>10070</v>
      </c>
      <c r="AJ78" s="360" t="s">
        <v>10279</v>
      </c>
      <c r="AK78" s="360" t="s">
        <v>10280</v>
      </c>
      <c r="AL78" s="360" t="s">
        <v>4346</v>
      </c>
      <c r="AM78" s="360" t="s">
        <v>9828</v>
      </c>
      <c r="AN78" s="360" t="s">
        <v>3897</v>
      </c>
      <c r="AO78" s="360" t="s">
        <v>4203</v>
      </c>
      <c r="AP78" s="360" t="s">
        <v>9547</v>
      </c>
      <c r="AQ78" s="360" t="s">
        <v>10281</v>
      </c>
      <c r="AR78" s="360" t="s">
        <v>1489</v>
      </c>
      <c r="AS78" s="360" t="s">
        <v>6221</v>
      </c>
      <c r="AT78" s="360" t="s">
        <v>7776</v>
      </c>
      <c r="AU78" s="360" t="s">
        <v>10282</v>
      </c>
      <c r="AV78" s="1409" t="str">
        <f t="shared" si="1"/>
        <v>3:10</v>
      </c>
      <c r="AW78" s="1637" t="s">
        <v>10283</v>
      </c>
    </row>
    <row r="79">
      <c r="A79" s="1228" t="s">
        <v>3801</v>
      </c>
      <c r="B79" s="1623" t="s">
        <v>8701</v>
      </c>
      <c r="C79" s="1642">
        <v>0.052141203703703703</v>
      </c>
      <c r="D79" s="798" t="s">
        <v>10284</v>
      </c>
      <c r="E79" s="1537" t="s">
        <v>2996</v>
      </c>
      <c r="F79" s="1537" t="s">
        <v>10285</v>
      </c>
      <c r="G79" s="1586" t="s">
        <v>10286</v>
      </c>
      <c r="H79" s="1586" t="s">
        <v>10287</v>
      </c>
      <c r="I79" s="1586" t="s">
        <v>2431</v>
      </c>
      <c r="J79" s="1586" t="s">
        <v>7061</v>
      </c>
      <c r="K79" s="1643" t="s">
        <v>6254</v>
      </c>
      <c r="L79" s="1644" t="s">
        <v>7227</v>
      </c>
      <c r="M79" s="1586" t="s">
        <v>5898</v>
      </c>
      <c r="N79" s="1586" t="s">
        <v>5738</v>
      </c>
      <c r="O79" s="1586" t="s">
        <v>5511</v>
      </c>
      <c r="P79" s="1586" t="s">
        <v>1850</v>
      </c>
      <c r="Q79" s="1586" t="s">
        <v>10288</v>
      </c>
      <c r="R79" s="1586" t="s">
        <v>10289</v>
      </c>
      <c r="S79" s="1645" t="s">
        <v>2269</v>
      </c>
      <c r="T79" s="1586" t="s">
        <v>8942</v>
      </c>
      <c r="U79" s="1586" t="s">
        <v>3453</v>
      </c>
      <c r="V79" s="1586" t="s">
        <v>10290</v>
      </c>
      <c r="W79" s="1586" t="s">
        <v>10291</v>
      </c>
      <c r="X79" s="1586" t="s">
        <v>4448</v>
      </c>
      <c r="Y79" s="1586" t="s">
        <v>3588</v>
      </c>
      <c r="Z79" s="1586" t="s">
        <v>4173</v>
      </c>
      <c r="AA79" s="1586" t="s">
        <v>401</v>
      </c>
      <c r="AB79" s="1586" t="s">
        <v>626</v>
      </c>
      <c r="AC79" s="1586" t="s">
        <v>6146</v>
      </c>
      <c r="AD79" s="1494" t="s">
        <v>9086</v>
      </c>
      <c r="AE79" s="1586" t="s">
        <v>480</v>
      </c>
      <c r="AF79" s="1586" t="s">
        <v>10292</v>
      </c>
      <c r="AG79" s="1586" t="s">
        <v>10293</v>
      </c>
      <c r="AH79" s="1586" t="s">
        <v>4562</v>
      </c>
      <c r="AI79" s="1586" t="s">
        <v>10294</v>
      </c>
      <c r="AJ79" s="1586" t="s">
        <v>10295</v>
      </c>
      <c r="AK79" s="1586" t="s">
        <v>10296</v>
      </c>
      <c r="AL79" s="1586" t="s">
        <v>5083</v>
      </c>
      <c r="AM79" s="1586" t="s">
        <v>9951</v>
      </c>
      <c r="AN79" s="1586" t="s">
        <v>4302</v>
      </c>
      <c r="AO79" s="1586" t="s">
        <v>9069</v>
      </c>
      <c r="AP79" s="1586" t="s">
        <v>10297</v>
      </c>
      <c r="AQ79" s="1643" t="s">
        <v>8729</v>
      </c>
      <c r="AR79" s="1586" t="s">
        <v>10298</v>
      </c>
      <c r="AS79" s="1646" t="s">
        <v>755</v>
      </c>
      <c r="AT79" s="1586" t="s">
        <v>10299</v>
      </c>
      <c r="AU79" s="1526" t="s">
        <v>10300</v>
      </c>
      <c r="AV79" s="1409" t="str">
        <f t="shared" si="1"/>
        <v>4:08</v>
      </c>
      <c r="AW79" s="1647" t="s">
        <v>10301</v>
      </c>
    </row>
    <row r="80">
      <c r="A80" s="1533" t="s">
        <v>3902</v>
      </c>
      <c r="B80" s="1531" t="s">
        <v>8649</v>
      </c>
      <c r="C80" s="1501">
        <v>0.0522337962962963</v>
      </c>
      <c r="D80" s="1610" t="s">
        <v>10302</v>
      </c>
      <c r="E80" s="1590" t="s">
        <v>10303</v>
      </c>
      <c r="F80" s="1590" t="s">
        <v>10304</v>
      </c>
      <c r="G80" s="1590" t="s">
        <v>10305</v>
      </c>
      <c r="H80" s="1590" t="s">
        <v>10306</v>
      </c>
      <c r="I80" s="1590" t="s">
        <v>142</v>
      </c>
      <c r="J80" s="1590" t="s">
        <v>8325</v>
      </c>
      <c r="K80" s="1590" t="s">
        <v>4424</v>
      </c>
      <c r="L80" s="1590" t="s">
        <v>6267</v>
      </c>
      <c r="M80" s="1590" t="s">
        <v>10307</v>
      </c>
      <c r="N80" s="1590" t="s">
        <v>9694</v>
      </c>
      <c r="O80" s="1590" t="s">
        <v>10308</v>
      </c>
      <c r="P80" s="1590" t="s">
        <v>5162</v>
      </c>
      <c r="Q80" s="1590" t="s">
        <v>10309</v>
      </c>
      <c r="R80" s="1590" t="s">
        <v>6252</v>
      </c>
      <c r="S80" s="1590" t="s">
        <v>608</v>
      </c>
      <c r="T80" s="1590" t="s">
        <v>10114</v>
      </c>
      <c r="U80" s="1590" t="s">
        <v>9110</v>
      </c>
      <c r="V80" s="1590" t="s">
        <v>10310</v>
      </c>
      <c r="W80" s="1590" t="s">
        <v>10311</v>
      </c>
      <c r="X80" s="1590" t="s">
        <v>2952</v>
      </c>
      <c r="Y80" s="1590" t="s">
        <v>760</v>
      </c>
      <c r="Z80" s="1590" t="s">
        <v>10312</v>
      </c>
      <c r="AA80" s="798" t="s">
        <v>10313</v>
      </c>
      <c r="AB80" s="1590" t="s">
        <v>7171</v>
      </c>
      <c r="AC80" s="1590" t="s">
        <v>10093</v>
      </c>
      <c r="AD80" s="1590" t="s">
        <v>7626</v>
      </c>
      <c r="AE80" s="1590" t="s">
        <v>4925</v>
      </c>
      <c r="AF80" s="1285" t="s">
        <v>10314</v>
      </c>
      <c r="AG80" s="1590" t="s">
        <v>10315</v>
      </c>
      <c r="AH80" s="1590" t="s">
        <v>5038</v>
      </c>
      <c r="AI80" s="1590" t="s">
        <v>6776</v>
      </c>
      <c r="AJ80" s="1590" t="s">
        <v>10316</v>
      </c>
      <c r="AK80" s="1590" t="s">
        <v>10317</v>
      </c>
      <c r="AL80" s="1590" t="s">
        <v>10031</v>
      </c>
      <c r="AM80" s="1590" t="s">
        <v>9696</v>
      </c>
      <c r="AN80" s="1590" t="s">
        <v>1080</v>
      </c>
      <c r="AO80" s="1590" t="s">
        <v>6427</v>
      </c>
      <c r="AP80" s="1590" t="s">
        <v>5594</v>
      </c>
      <c r="AQ80" s="1590" t="s">
        <v>10318</v>
      </c>
      <c r="AR80" s="1590" t="s">
        <v>692</v>
      </c>
      <c r="AS80" s="1285" t="s">
        <v>2798</v>
      </c>
      <c r="AT80" s="1590" t="s">
        <v>10319</v>
      </c>
      <c r="AU80" s="1590" t="s">
        <v>10320</v>
      </c>
      <c r="AV80" s="1409" t="str">
        <f t="shared" si="1"/>
        <v>4:32</v>
      </c>
      <c r="AW80" s="1633" t="s">
        <v>10321</v>
      </c>
    </row>
    <row r="81">
      <c r="A81" s="1533" t="s">
        <v>5170</v>
      </c>
      <c r="B81" s="1528" t="s">
        <v>8677</v>
      </c>
      <c r="C81" s="1501">
        <v>0.05232638888888889</v>
      </c>
      <c r="D81" s="1610" t="s">
        <v>10322</v>
      </c>
      <c r="E81" s="1590" t="s">
        <v>1234</v>
      </c>
      <c r="F81" s="1590" t="s">
        <v>10323</v>
      </c>
      <c r="G81" s="1590" t="s">
        <v>10324</v>
      </c>
      <c r="H81" s="1590" t="s">
        <v>10325</v>
      </c>
      <c r="I81" s="1590" t="s">
        <v>1353</v>
      </c>
      <c r="J81" s="1590" t="s">
        <v>7934</v>
      </c>
      <c r="K81" s="1590" t="s">
        <v>9921</v>
      </c>
      <c r="L81" s="1590" t="s">
        <v>10326</v>
      </c>
      <c r="M81" s="1590" t="s">
        <v>7653</v>
      </c>
      <c r="N81" s="1590" t="s">
        <v>10327</v>
      </c>
      <c r="O81" s="1590" t="s">
        <v>10328</v>
      </c>
      <c r="P81" s="1590" t="s">
        <v>521</v>
      </c>
      <c r="Q81" s="1590" t="s">
        <v>9758</v>
      </c>
      <c r="R81" s="1590" t="s">
        <v>5292</v>
      </c>
      <c r="S81" s="1590" t="s">
        <v>9556</v>
      </c>
      <c r="T81" s="1590" t="s">
        <v>10329</v>
      </c>
      <c r="U81" s="1590" t="s">
        <v>10330</v>
      </c>
      <c r="V81" s="1590" t="s">
        <v>10331</v>
      </c>
      <c r="W81" s="1590" t="s">
        <v>6338</v>
      </c>
      <c r="X81" s="1590" t="s">
        <v>312</v>
      </c>
      <c r="Y81" s="1590" t="s">
        <v>6613</v>
      </c>
      <c r="Z81" s="1590" t="s">
        <v>782</v>
      </c>
      <c r="AA81" s="360" t="s">
        <v>9556</v>
      </c>
      <c r="AB81" s="1590" t="s">
        <v>10332</v>
      </c>
      <c r="AC81" s="1590" t="s">
        <v>6248</v>
      </c>
      <c r="AD81" s="1590" t="s">
        <v>10333</v>
      </c>
      <c r="AE81" s="1590" t="s">
        <v>224</v>
      </c>
      <c r="AF81" s="1590" t="s">
        <v>8259</v>
      </c>
      <c r="AG81" s="1590" t="s">
        <v>4014</v>
      </c>
      <c r="AH81" s="1590" t="s">
        <v>1889</v>
      </c>
      <c r="AI81" s="1590" t="s">
        <v>419</v>
      </c>
      <c r="AJ81" s="1590" t="s">
        <v>10334</v>
      </c>
      <c r="AK81" s="1590" t="s">
        <v>10335</v>
      </c>
      <c r="AL81" s="1590" t="s">
        <v>10071</v>
      </c>
      <c r="AM81" s="1590" t="s">
        <v>2911</v>
      </c>
      <c r="AN81" s="1590" t="s">
        <v>5979</v>
      </c>
      <c r="AO81" s="1590" t="s">
        <v>3622</v>
      </c>
      <c r="AP81" s="1590" t="s">
        <v>10336</v>
      </c>
      <c r="AQ81" s="1590" t="s">
        <v>7652</v>
      </c>
      <c r="AR81" s="1590" t="s">
        <v>6247</v>
      </c>
      <c r="AS81" s="1590" t="s">
        <v>10337</v>
      </c>
      <c r="AT81" s="1590" t="s">
        <v>10338</v>
      </c>
      <c r="AU81" s="1590" t="s">
        <v>10339</v>
      </c>
      <c r="AV81" s="1409" t="str">
        <f t="shared" si="1"/>
        <v>3:48</v>
      </c>
      <c r="AW81" s="1637"/>
    </row>
    <row r="82" ht="15.75" customHeight="1">
      <c r="A82" s="1486" t="s">
        <v>10340</v>
      </c>
      <c r="B82" s="1487" t="s">
        <v>8649</v>
      </c>
      <c r="C82" s="1603">
        <v>0.05240740740740741</v>
      </c>
      <c r="D82" s="798" t="s">
        <v>10341</v>
      </c>
      <c r="E82" s="360" t="s">
        <v>1663</v>
      </c>
      <c r="F82" s="360" t="s">
        <v>7924</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6516</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7172</v>
      </c>
      <c r="AL82" s="360" t="s">
        <v>10356</v>
      </c>
      <c r="AM82" s="360" t="s">
        <v>1193</v>
      </c>
      <c r="AN82" s="360" t="s">
        <v>2997</v>
      </c>
      <c r="AO82" s="360" t="s">
        <v>10357</v>
      </c>
      <c r="AP82" s="360" t="s">
        <v>3558</v>
      </c>
      <c r="AQ82" s="360" t="s">
        <v>10358</v>
      </c>
      <c r="AR82" s="360" t="s">
        <v>10359</v>
      </c>
      <c r="AS82" s="360" t="s">
        <v>9279</v>
      </c>
      <c r="AT82" s="360" t="s">
        <v>9365</v>
      </c>
      <c r="AU82" s="360" t="s">
        <v>10360</v>
      </c>
      <c r="AV82" s="1409" t="str">
        <f t="shared" si="1"/>
        <v>3:40</v>
      </c>
      <c r="AW82" s="1636" t="s">
        <v>10361</v>
      </c>
    </row>
    <row r="83" ht="15.75" customHeight="1">
      <c r="A83" s="1591" t="s">
        <v>10362</v>
      </c>
      <c r="B83" s="1487" t="s">
        <v>8649</v>
      </c>
      <c r="C83" s="1603">
        <v>0.05263888888888889</v>
      </c>
      <c r="D83" s="798" t="s">
        <v>10363</v>
      </c>
      <c r="E83" s="360" t="s">
        <v>6672</v>
      </c>
      <c r="F83" s="360" t="s">
        <v>10364</v>
      </c>
      <c r="G83" s="360" t="s">
        <v>10365</v>
      </c>
      <c r="H83" s="360" t="s">
        <v>10366</v>
      </c>
      <c r="I83" s="360" t="s">
        <v>10367</v>
      </c>
      <c r="J83" s="360" t="s">
        <v>10368</v>
      </c>
      <c r="K83" s="360" t="s">
        <v>4134</v>
      </c>
      <c r="L83" s="360" t="s">
        <v>4208</v>
      </c>
      <c r="M83" s="360" t="s">
        <v>9386</v>
      </c>
      <c r="N83" s="360" t="s">
        <v>10369</v>
      </c>
      <c r="O83" s="360" t="s">
        <v>8689</v>
      </c>
      <c r="P83" s="360" t="s">
        <v>484</v>
      </c>
      <c r="Q83" s="360" t="s">
        <v>10370</v>
      </c>
      <c r="R83" s="360" t="s">
        <v>5508</v>
      </c>
      <c r="S83" s="360" t="s">
        <v>6466</v>
      </c>
      <c r="T83" s="360" t="s">
        <v>10371</v>
      </c>
      <c r="U83" s="360" t="s">
        <v>10372</v>
      </c>
      <c r="V83" s="360" t="s">
        <v>10373</v>
      </c>
      <c r="W83" s="360" t="s">
        <v>10374</v>
      </c>
      <c r="X83" s="360" t="s">
        <v>5733</v>
      </c>
      <c r="Y83" s="360" t="s">
        <v>1545</v>
      </c>
      <c r="Z83" s="360" t="s">
        <v>6600</v>
      </c>
      <c r="AA83" s="1590" t="s">
        <v>6423</v>
      </c>
      <c r="AB83" s="360" t="s">
        <v>9277</v>
      </c>
      <c r="AC83" s="360" t="s">
        <v>10109</v>
      </c>
      <c r="AD83" s="360" t="s">
        <v>3034</v>
      </c>
      <c r="AE83" s="360" t="s">
        <v>4768</v>
      </c>
      <c r="AF83" s="360" t="s">
        <v>10375</v>
      </c>
      <c r="AG83" s="360" t="s">
        <v>2715</v>
      </c>
      <c r="AH83" s="360" t="s">
        <v>6771</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09" t="str">
        <f t="shared" si="1"/>
        <v>4:28</v>
      </c>
      <c r="AW83" s="1636" t="s">
        <v>10384</v>
      </c>
    </row>
    <row r="84">
      <c r="A84" s="1533" t="s">
        <v>3523</v>
      </c>
      <c r="B84" s="1611" t="s">
        <v>8701</v>
      </c>
      <c r="C84" s="1501">
        <v>0.052662037037037035</v>
      </c>
      <c r="D84" s="798" t="s">
        <v>10385</v>
      </c>
      <c r="E84" s="798" t="s">
        <v>533</v>
      </c>
      <c r="F84" s="798" t="s">
        <v>10386</v>
      </c>
      <c r="G84" s="798" t="s">
        <v>10387</v>
      </c>
      <c r="H84" s="798" t="s">
        <v>8887</v>
      </c>
      <c r="I84" s="798" t="s">
        <v>10388</v>
      </c>
      <c r="J84" s="798" t="s">
        <v>157</v>
      </c>
      <c r="K84" s="798" t="s">
        <v>10389</v>
      </c>
      <c r="L84" s="798" t="s">
        <v>2708</v>
      </c>
      <c r="M84" s="798" t="s">
        <v>269</v>
      </c>
      <c r="N84" s="798" t="s">
        <v>9195</v>
      </c>
      <c r="O84" s="798" t="s">
        <v>10390</v>
      </c>
      <c r="P84" s="798" t="s">
        <v>2055</v>
      </c>
      <c r="Q84" s="798" t="s">
        <v>3505</v>
      </c>
      <c r="R84" s="798" t="s">
        <v>10391</v>
      </c>
      <c r="S84" s="798" t="s">
        <v>6143</v>
      </c>
      <c r="T84" s="798" t="s">
        <v>10392</v>
      </c>
      <c r="U84" s="798" t="s">
        <v>10393</v>
      </c>
      <c r="V84" s="798" t="s">
        <v>10394</v>
      </c>
      <c r="W84" s="798" t="s">
        <v>10395</v>
      </c>
      <c r="X84" s="798" t="s">
        <v>2679</v>
      </c>
      <c r="Y84" s="798" t="s">
        <v>2811</v>
      </c>
      <c r="Z84" s="798" t="s">
        <v>6343</v>
      </c>
      <c r="AA84" s="1590" t="s">
        <v>10396</v>
      </c>
      <c r="AB84" s="798" t="s">
        <v>10397</v>
      </c>
      <c r="AC84" s="798" t="s">
        <v>6612</v>
      </c>
      <c r="AD84" s="1648" t="s">
        <v>8720</v>
      </c>
      <c r="AE84" s="798" t="s">
        <v>335</v>
      </c>
      <c r="AF84" s="798" t="s">
        <v>10398</v>
      </c>
      <c r="AG84" s="798" t="s">
        <v>7578</v>
      </c>
      <c r="AH84" s="798" t="s">
        <v>3762</v>
      </c>
      <c r="AI84" s="798" t="s">
        <v>10399</v>
      </c>
      <c r="AJ84" s="798" t="s">
        <v>10400</v>
      </c>
      <c r="AK84" s="798" t="s">
        <v>10401</v>
      </c>
      <c r="AL84" s="798" t="s">
        <v>4589</v>
      </c>
      <c r="AM84" s="798" t="s">
        <v>5653</v>
      </c>
      <c r="AN84" s="1648" t="s">
        <v>8726</v>
      </c>
      <c r="AO84" s="798" t="s">
        <v>10402</v>
      </c>
      <c r="AP84" s="798" t="s">
        <v>10403</v>
      </c>
      <c r="AQ84" s="798" t="s">
        <v>10404</v>
      </c>
      <c r="AR84" s="798" t="s">
        <v>6018</v>
      </c>
      <c r="AS84" s="798" t="s">
        <v>7110</v>
      </c>
      <c r="AT84" s="798" t="s">
        <v>10405</v>
      </c>
      <c r="AU84" s="1649" t="s">
        <v>10406</v>
      </c>
      <c r="AV84" s="1409" t="str">
        <f t="shared" si="1"/>
        <v>4:43</v>
      </c>
      <c r="AW84" s="1618" t="s">
        <v>10407</v>
      </c>
    </row>
    <row r="85" ht="15.75" customHeight="1">
      <c r="A85" s="1533" t="s">
        <v>10408</v>
      </c>
      <c r="B85" s="1528" t="s">
        <v>8649</v>
      </c>
      <c r="C85" s="1501">
        <v>0.05267361111111111</v>
      </c>
      <c r="D85" s="1610" t="s">
        <v>9794</v>
      </c>
      <c r="E85" s="1590" t="s">
        <v>938</v>
      </c>
      <c r="F85" s="1590" t="s">
        <v>7602</v>
      </c>
      <c r="G85" s="1590" t="s">
        <v>10409</v>
      </c>
      <c r="H85" s="1590" t="s">
        <v>10410</v>
      </c>
      <c r="I85" s="1590" t="s">
        <v>5587</v>
      </c>
      <c r="J85" s="798" t="s">
        <v>10411</v>
      </c>
      <c r="K85" s="1590" t="s">
        <v>10412</v>
      </c>
      <c r="L85" s="1590" t="s">
        <v>3762</v>
      </c>
      <c r="M85" s="1590" t="s">
        <v>7560</v>
      </c>
      <c r="N85" s="1590" t="s">
        <v>10413</v>
      </c>
      <c r="O85" s="1590" t="s">
        <v>10414</v>
      </c>
      <c r="P85" s="1590" t="s">
        <v>9761</v>
      </c>
      <c r="Q85" s="1590" t="s">
        <v>10415</v>
      </c>
      <c r="R85" s="1590" t="s">
        <v>5555</v>
      </c>
      <c r="S85" s="1590" t="s">
        <v>7595</v>
      </c>
      <c r="T85" s="1590" t="s">
        <v>10416</v>
      </c>
      <c r="U85" s="1590" t="s">
        <v>10417</v>
      </c>
      <c r="V85" s="1590" t="s">
        <v>3820</v>
      </c>
      <c r="W85" s="1590" t="s">
        <v>10418</v>
      </c>
      <c r="X85" s="1590" t="s">
        <v>2413</v>
      </c>
      <c r="Y85" s="1590" t="s">
        <v>9348</v>
      </c>
      <c r="Z85" s="1590" t="s">
        <v>8837</v>
      </c>
      <c r="AA85" s="1590" t="s">
        <v>10419</v>
      </c>
      <c r="AB85" s="1590" t="s">
        <v>9980</v>
      </c>
      <c r="AC85" s="1590" t="s">
        <v>9235</v>
      </c>
      <c r="AD85" s="1590" t="s">
        <v>10420</v>
      </c>
      <c r="AE85" s="1590" t="s">
        <v>2383</v>
      </c>
      <c r="AF85" s="1590" t="s">
        <v>10421</v>
      </c>
      <c r="AG85" s="1590" t="s">
        <v>10422</v>
      </c>
      <c r="AH85" s="1590" t="s">
        <v>4208</v>
      </c>
      <c r="AI85" s="1590" t="s">
        <v>10423</v>
      </c>
      <c r="AJ85" s="1590" t="s">
        <v>10424</v>
      </c>
      <c r="AK85" s="1590" t="s">
        <v>1693</v>
      </c>
      <c r="AL85" s="1590" t="s">
        <v>2569</v>
      </c>
      <c r="AM85" s="1590" t="s">
        <v>1693</v>
      </c>
      <c r="AN85" s="1590" t="s">
        <v>2569</v>
      </c>
      <c r="AO85" s="1590" t="s">
        <v>6173</v>
      </c>
      <c r="AP85" s="1590" t="s">
        <v>10425</v>
      </c>
      <c r="AQ85" s="1590" t="s">
        <v>2169</v>
      </c>
      <c r="AR85" s="1590" t="s">
        <v>10238</v>
      </c>
      <c r="AS85" s="1590" t="s">
        <v>7024</v>
      </c>
      <c r="AT85" s="1590" t="s">
        <v>10426</v>
      </c>
      <c r="AU85" s="1590" t="s">
        <v>10427</v>
      </c>
      <c r="AV85" s="1409" t="str">
        <f t="shared" si="1"/>
        <v>5:58</v>
      </c>
      <c r="AW85" s="1633" t="s">
        <v>10428</v>
      </c>
    </row>
    <row r="86" ht="15.75" customHeight="1">
      <c r="A86" s="1486" t="s">
        <v>6050</v>
      </c>
      <c r="B86" s="1564" t="s">
        <v>8677</v>
      </c>
      <c r="C86" s="1603">
        <v>0.05275462962962963</v>
      </c>
      <c r="D86" s="798" t="s">
        <v>10429</v>
      </c>
      <c r="E86" s="360" t="s">
        <v>5951</v>
      </c>
      <c r="F86" s="360" t="s">
        <v>10430</v>
      </c>
      <c r="G86" s="360" t="s">
        <v>8872</v>
      </c>
      <c r="H86" s="360" t="s">
        <v>7435</v>
      </c>
      <c r="I86" s="360" t="s">
        <v>2285</v>
      </c>
      <c r="J86" s="360" t="s">
        <v>4150</v>
      </c>
      <c r="K86" s="360" t="s">
        <v>10129</v>
      </c>
      <c r="L86" s="360" t="s">
        <v>5235</v>
      </c>
      <c r="M86" s="360" t="s">
        <v>4133</v>
      </c>
      <c r="N86" s="360" t="s">
        <v>10431</v>
      </c>
      <c r="O86" s="360" t="s">
        <v>10432</v>
      </c>
      <c r="P86" s="360" t="s">
        <v>6299</v>
      </c>
      <c r="Q86" s="360" t="s">
        <v>10433</v>
      </c>
      <c r="R86" s="360" t="s">
        <v>10434</v>
      </c>
      <c r="S86" s="360" t="s">
        <v>8667</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7056</v>
      </c>
      <c r="AH86" s="360" t="s">
        <v>724</v>
      </c>
      <c r="AI86" s="360" t="s">
        <v>5263</v>
      </c>
      <c r="AJ86" s="360" t="s">
        <v>10440</v>
      </c>
      <c r="AK86" s="360" t="s">
        <v>8950</v>
      </c>
      <c r="AL86" s="360" t="s">
        <v>5302</v>
      </c>
      <c r="AM86" s="360" t="s">
        <v>2936</v>
      </c>
      <c r="AN86" s="360" t="s">
        <v>6479</v>
      </c>
      <c r="AO86" s="360" t="s">
        <v>6198</v>
      </c>
      <c r="AP86" s="360" t="s">
        <v>10441</v>
      </c>
      <c r="AQ86" s="360" t="s">
        <v>10442</v>
      </c>
      <c r="AR86" s="360" t="s">
        <v>10065</v>
      </c>
      <c r="AS86" s="360" t="s">
        <v>9030</v>
      </c>
      <c r="AT86" s="360" t="s">
        <v>10443</v>
      </c>
      <c r="AU86" s="360" t="s">
        <v>10444</v>
      </c>
      <c r="AV86" s="1409" t="str">
        <f t="shared" si="1"/>
        <v>3:59</v>
      </c>
      <c r="AW86" s="1637" t="s">
        <v>10445</v>
      </c>
    </row>
    <row r="87" ht="15.75" customHeight="1">
      <c r="A87" s="1591" t="s">
        <v>10446</v>
      </c>
      <c r="B87" s="1623" t="s">
        <v>8701</v>
      </c>
      <c r="C87" s="1603">
        <v>0.05291666666666667</v>
      </c>
      <c r="D87" s="798" t="s">
        <v>10447</v>
      </c>
      <c r="E87" s="360" t="s">
        <v>10448</v>
      </c>
      <c r="F87" s="360" t="s">
        <v>5782</v>
      </c>
      <c r="G87" s="360" t="s">
        <v>9651</v>
      </c>
      <c r="H87" s="360" t="s">
        <v>9999</v>
      </c>
      <c r="I87" s="360" t="s">
        <v>3108</v>
      </c>
      <c r="J87" s="360" t="s">
        <v>10449</v>
      </c>
      <c r="K87" s="360" t="s">
        <v>5393</v>
      </c>
      <c r="L87" s="360" t="s">
        <v>7899</v>
      </c>
      <c r="M87" s="360" t="s">
        <v>10450</v>
      </c>
      <c r="N87" s="360" t="s">
        <v>10451</v>
      </c>
      <c r="O87" s="360" t="s">
        <v>10452</v>
      </c>
      <c r="P87" s="360" t="s">
        <v>9867</v>
      </c>
      <c r="Q87" s="360" t="s">
        <v>10453</v>
      </c>
      <c r="R87" s="360" t="s">
        <v>5854</v>
      </c>
      <c r="S87" s="360" t="s">
        <v>4572</v>
      </c>
      <c r="T87" s="360" t="s">
        <v>8871</v>
      </c>
      <c r="U87" s="360" t="s">
        <v>5466</v>
      </c>
      <c r="V87" s="360" t="s">
        <v>1150</v>
      </c>
      <c r="W87" s="360" t="s">
        <v>1833</v>
      </c>
      <c r="X87" s="360" t="s">
        <v>3352</v>
      </c>
      <c r="Y87" s="360" t="s">
        <v>660</v>
      </c>
      <c r="Z87" s="360" t="s">
        <v>10454</v>
      </c>
      <c r="AA87" s="1590" t="s">
        <v>7827</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8498</v>
      </c>
      <c r="AQ87" s="360" t="s">
        <v>10464</v>
      </c>
      <c r="AR87" s="360" t="s">
        <v>10371</v>
      </c>
      <c r="AS87" s="360" t="s">
        <v>4354</v>
      </c>
      <c r="AT87" s="360" t="s">
        <v>10465</v>
      </c>
      <c r="AU87" s="360" t="s">
        <v>10466</v>
      </c>
      <c r="AV87" s="1409" t="str">
        <f t="shared" si="1"/>
        <v>2:38</v>
      </c>
      <c r="AW87" s="1637"/>
    </row>
    <row r="88" ht="15.75" customHeight="1">
      <c r="A88" s="1533" t="s">
        <v>6366</v>
      </c>
      <c r="B88" s="1531" t="s">
        <v>8649</v>
      </c>
      <c r="C88" s="1501">
        <v>0.05324074074074074</v>
      </c>
      <c r="D88" s="798" t="s">
        <v>10467</v>
      </c>
      <c r="E88" s="798" t="s">
        <v>10468</v>
      </c>
      <c r="F88" s="798" t="s">
        <v>10469</v>
      </c>
      <c r="G88" s="798" t="s">
        <v>9392</v>
      </c>
      <c r="H88" s="798" t="s">
        <v>10470</v>
      </c>
      <c r="I88" s="798" t="s">
        <v>6146</v>
      </c>
      <c r="J88" s="798" t="s">
        <v>1797</v>
      </c>
      <c r="K88" s="798" t="s">
        <v>4258</v>
      </c>
      <c r="L88" s="798" t="s">
        <v>10471</v>
      </c>
      <c r="M88" s="798" t="s">
        <v>10472</v>
      </c>
      <c r="N88" s="798" t="s">
        <v>10473</v>
      </c>
      <c r="O88" s="798" t="s">
        <v>10474</v>
      </c>
      <c r="P88" s="798" t="s">
        <v>10475</v>
      </c>
      <c r="Q88" s="798" t="s">
        <v>10476</v>
      </c>
      <c r="R88" s="798" t="s">
        <v>8663</v>
      </c>
      <c r="S88" s="798" t="s">
        <v>10351</v>
      </c>
      <c r="T88" s="798" t="s">
        <v>10477</v>
      </c>
      <c r="U88" s="798" t="s">
        <v>10478</v>
      </c>
      <c r="V88" s="798" t="s">
        <v>2729</v>
      </c>
      <c r="W88" s="798" t="s">
        <v>10479</v>
      </c>
      <c r="X88" s="798" t="s">
        <v>10480</v>
      </c>
      <c r="Y88" s="798" t="s">
        <v>5587</v>
      </c>
      <c r="Z88" s="798" t="s">
        <v>4066</v>
      </c>
      <c r="AA88" s="1590" t="s">
        <v>10481</v>
      </c>
      <c r="AB88" s="798" t="s">
        <v>9800</v>
      </c>
      <c r="AC88" s="798" t="s">
        <v>5507</v>
      </c>
      <c r="AD88" s="798" t="s">
        <v>10482</v>
      </c>
      <c r="AE88" s="798" t="s">
        <v>9589</v>
      </c>
      <c r="AF88" s="798" t="s">
        <v>10483</v>
      </c>
      <c r="AG88" s="798" t="s">
        <v>10293</v>
      </c>
      <c r="AH88" s="798" t="s">
        <v>5656</v>
      </c>
      <c r="AI88" s="798" t="s">
        <v>10484</v>
      </c>
      <c r="AJ88" s="798" t="s">
        <v>10485</v>
      </c>
      <c r="AK88" s="1590" t="s">
        <v>10486</v>
      </c>
      <c r="AL88" s="798" t="s">
        <v>10112</v>
      </c>
      <c r="AM88" s="798" t="s">
        <v>10487</v>
      </c>
      <c r="AN88" s="798" t="s">
        <v>9946</v>
      </c>
      <c r="AO88" s="798" t="s">
        <v>4522</v>
      </c>
      <c r="AP88" s="798" t="s">
        <v>10488</v>
      </c>
      <c r="AQ88" s="798" t="s">
        <v>10489</v>
      </c>
      <c r="AR88" s="1590" t="s">
        <v>3761</v>
      </c>
      <c r="AS88" s="798" t="s">
        <v>10490</v>
      </c>
      <c r="AT88" s="798" t="s">
        <v>10491</v>
      </c>
      <c r="AU88" s="1590" t="s">
        <v>10406</v>
      </c>
      <c r="AV88" s="1409" t="str">
        <f t="shared" si="1"/>
        <v>3:53</v>
      </c>
      <c r="AW88" s="1633" t="s">
        <v>10492</v>
      </c>
    </row>
    <row r="89">
      <c r="A89" s="1533" t="s">
        <v>4782</v>
      </c>
      <c r="B89" s="1528" t="s">
        <v>8701</v>
      </c>
      <c r="C89" s="1501">
        <v>0.05331018518518518</v>
      </c>
      <c r="D89" s="1590" t="s">
        <v>10493</v>
      </c>
      <c r="E89" s="1590" t="s">
        <v>7993</v>
      </c>
      <c r="F89" s="1590" t="s">
        <v>10269</v>
      </c>
      <c r="G89" s="1590" t="s">
        <v>10494</v>
      </c>
      <c r="H89" s="798" t="s">
        <v>10495</v>
      </c>
      <c r="I89" s="1590" t="s">
        <v>10496</v>
      </c>
      <c r="J89" s="1590" t="s">
        <v>10042</v>
      </c>
      <c r="K89" s="1590" t="s">
        <v>8867</v>
      </c>
      <c r="L89" s="1590" t="s">
        <v>4099</v>
      </c>
      <c r="M89" s="1590" t="s">
        <v>10497</v>
      </c>
      <c r="N89" s="1590" t="s">
        <v>9828</v>
      </c>
      <c r="O89" s="1590" t="s">
        <v>10498</v>
      </c>
      <c r="P89" s="1590" t="s">
        <v>6248</v>
      </c>
      <c r="Q89" s="1590" t="s">
        <v>10499</v>
      </c>
      <c r="R89" s="1590" t="s">
        <v>2149</v>
      </c>
      <c r="S89" s="1590" t="s">
        <v>7863</v>
      </c>
      <c r="T89" s="1590" t="s">
        <v>7417</v>
      </c>
      <c r="U89" s="1590" t="s">
        <v>10500</v>
      </c>
      <c r="V89" s="1590" t="s">
        <v>10023</v>
      </c>
      <c r="W89" s="1590" t="s">
        <v>10501</v>
      </c>
      <c r="X89" s="1590" t="s">
        <v>7057</v>
      </c>
      <c r="Y89" s="1590" t="s">
        <v>5435</v>
      </c>
      <c r="Z89" s="1590" t="s">
        <v>9830</v>
      </c>
      <c r="AA89" s="1590" t="s">
        <v>10502</v>
      </c>
      <c r="AB89" s="1590" t="s">
        <v>3470</v>
      </c>
      <c r="AC89" s="1590" t="s">
        <v>10503</v>
      </c>
      <c r="AD89" s="1590" t="s">
        <v>10504</v>
      </c>
      <c r="AE89" s="1590" t="s">
        <v>5683</v>
      </c>
      <c r="AF89" s="1590" t="s">
        <v>10505</v>
      </c>
      <c r="AG89" s="1590" t="s">
        <v>9155</v>
      </c>
      <c r="AH89" s="1590" t="s">
        <v>10506</v>
      </c>
      <c r="AI89" s="1590" t="s">
        <v>10507</v>
      </c>
      <c r="AJ89" s="1590" t="s">
        <v>10508</v>
      </c>
      <c r="AK89" s="1590" t="s">
        <v>2191</v>
      </c>
      <c r="AL89" s="1590" t="s">
        <v>2160</v>
      </c>
      <c r="AM89" s="1590" t="s">
        <v>10509</v>
      </c>
      <c r="AN89" s="1590" t="s">
        <v>4664</v>
      </c>
      <c r="AO89" s="1590" t="s">
        <v>10510</v>
      </c>
      <c r="AP89" s="1590" t="s">
        <v>2685</v>
      </c>
      <c r="AQ89" s="1590" t="s">
        <v>10511</v>
      </c>
      <c r="AR89" s="1590" t="s">
        <v>1680</v>
      </c>
      <c r="AS89" s="1590" t="s">
        <v>977</v>
      </c>
      <c r="AT89" s="1590" t="s">
        <v>10512</v>
      </c>
      <c r="AU89" s="1590" t="s">
        <v>10513</v>
      </c>
      <c r="AV89" s="1409" t="str">
        <f t="shared" si="1"/>
        <v>4:18</v>
      </c>
      <c r="AW89" s="1637"/>
    </row>
    <row r="90" ht="15.75" customHeight="1">
      <c r="A90" s="1591" t="s">
        <v>10514</v>
      </c>
      <c r="B90" s="1623" t="s">
        <v>8701</v>
      </c>
      <c r="C90" s="1501">
        <v>0.05348379629629629</v>
      </c>
      <c r="D90" s="798" t="s">
        <v>10515</v>
      </c>
      <c r="E90" s="360" t="s">
        <v>10303</v>
      </c>
      <c r="F90" s="360" t="s">
        <v>6478</v>
      </c>
      <c r="G90" s="360" t="s">
        <v>10516</v>
      </c>
      <c r="H90" s="360" t="s">
        <v>10517</v>
      </c>
      <c r="I90" s="360" t="s">
        <v>2350</v>
      </c>
      <c r="J90" s="360" t="s">
        <v>9209</v>
      </c>
      <c r="K90" s="360" t="s">
        <v>8713</v>
      </c>
      <c r="L90" s="360" t="s">
        <v>4840</v>
      </c>
      <c r="M90" s="360" t="s">
        <v>10518</v>
      </c>
      <c r="N90" s="360" t="s">
        <v>10519</v>
      </c>
      <c r="O90" s="360" t="s">
        <v>4304</v>
      </c>
      <c r="P90" s="360" t="s">
        <v>930</v>
      </c>
      <c r="Q90" s="1590" t="s">
        <v>10520</v>
      </c>
      <c r="R90" s="360" t="s">
        <v>10088</v>
      </c>
      <c r="S90" s="360" t="s">
        <v>9423</v>
      </c>
      <c r="T90" s="360" t="s">
        <v>10276</v>
      </c>
      <c r="U90" s="360" t="s">
        <v>10521</v>
      </c>
      <c r="V90" s="360" t="s">
        <v>3250</v>
      </c>
      <c r="W90" s="360" t="s">
        <v>2972</v>
      </c>
      <c r="X90" s="360" t="s">
        <v>3133</v>
      </c>
      <c r="Y90" s="360" t="s">
        <v>1431</v>
      </c>
      <c r="Z90" s="360" t="s">
        <v>9108</v>
      </c>
      <c r="AA90" s="1590" t="s">
        <v>10522</v>
      </c>
      <c r="AB90" s="360" t="s">
        <v>9839</v>
      </c>
      <c r="AC90" s="360" t="s">
        <v>1157</v>
      </c>
      <c r="AD90" s="360" t="s">
        <v>10523</v>
      </c>
      <c r="AE90" s="360" t="s">
        <v>586</v>
      </c>
      <c r="AF90" s="1590" t="s">
        <v>10524</v>
      </c>
      <c r="AG90" s="360" t="s">
        <v>5702</v>
      </c>
      <c r="AH90" s="360" t="s">
        <v>9290</v>
      </c>
      <c r="AI90" s="360" t="s">
        <v>2599</v>
      </c>
      <c r="AJ90" s="360" t="s">
        <v>10525</v>
      </c>
      <c r="AK90" s="360" t="s">
        <v>9123</v>
      </c>
      <c r="AL90" s="360" t="s">
        <v>10526</v>
      </c>
      <c r="AM90" s="360" t="s">
        <v>8851</v>
      </c>
      <c r="AN90" s="360" t="s">
        <v>10112</v>
      </c>
      <c r="AO90" s="360" t="s">
        <v>8797</v>
      </c>
      <c r="AP90" s="360" t="s">
        <v>10527</v>
      </c>
      <c r="AQ90" s="360" t="s">
        <v>4450</v>
      </c>
      <c r="AR90" s="360" t="s">
        <v>1385</v>
      </c>
      <c r="AS90" s="360" t="s">
        <v>8883</v>
      </c>
      <c r="AT90" s="360" t="s">
        <v>4693</v>
      </c>
      <c r="AU90" s="360" t="s">
        <v>10528</v>
      </c>
      <c r="AV90" s="1409" t="str">
        <f t="shared" si="1"/>
        <v>3:27</v>
      </c>
      <c r="AW90" s="1633" t="s">
        <v>10529</v>
      </c>
    </row>
    <row r="91">
      <c r="A91" s="1533" t="s">
        <v>5347</v>
      </c>
      <c r="B91" s="1531" t="s">
        <v>8649</v>
      </c>
      <c r="C91" s="1501">
        <v>0.05376157407407407</v>
      </c>
      <c r="D91" s="1590" t="s">
        <v>10530</v>
      </c>
      <c r="E91" s="1590" t="s">
        <v>5716</v>
      </c>
      <c r="F91" s="1590" t="s">
        <v>10531</v>
      </c>
      <c r="G91" s="1590" t="s">
        <v>10532</v>
      </c>
      <c r="H91" s="1650" t="s">
        <v>10533</v>
      </c>
      <c r="I91" s="798" t="s">
        <v>238</v>
      </c>
      <c r="J91" s="1590" t="s">
        <v>9713</v>
      </c>
      <c r="K91" s="1590" t="s">
        <v>10534</v>
      </c>
      <c r="L91" s="1590" t="s">
        <v>2515</v>
      </c>
      <c r="M91" s="1590" t="s">
        <v>1263</v>
      </c>
      <c r="N91" s="1590" t="s">
        <v>10535</v>
      </c>
      <c r="O91" s="1590" t="s">
        <v>10536</v>
      </c>
      <c r="P91" s="1590" t="s">
        <v>864</v>
      </c>
      <c r="Q91" s="1590" t="s">
        <v>4391</v>
      </c>
      <c r="R91" s="1590" t="s">
        <v>10537</v>
      </c>
      <c r="S91" s="1651" t="s">
        <v>10538</v>
      </c>
      <c r="T91" s="1651" t="s">
        <v>9255</v>
      </c>
      <c r="U91" s="1590" t="s">
        <v>10539</v>
      </c>
      <c r="V91" s="1590" t="s">
        <v>10540</v>
      </c>
      <c r="W91" s="1590" t="s">
        <v>7811</v>
      </c>
      <c r="X91" s="1590" t="s">
        <v>10541</v>
      </c>
      <c r="Y91" s="1590" t="s">
        <v>2123</v>
      </c>
      <c r="Z91" s="1590" t="s">
        <v>9839</v>
      </c>
      <c r="AA91" s="1590" t="s">
        <v>10542</v>
      </c>
      <c r="AB91" s="1590" t="s">
        <v>10543</v>
      </c>
      <c r="AC91" s="1590" t="s">
        <v>7764</v>
      </c>
      <c r="AD91" s="1590" t="s">
        <v>6009</v>
      </c>
      <c r="AE91" s="1590" t="s">
        <v>161</v>
      </c>
      <c r="AF91" s="1590" t="s">
        <v>10544</v>
      </c>
      <c r="AG91" s="1590" t="s">
        <v>10545</v>
      </c>
      <c r="AH91" s="1590" t="s">
        <v>4994</v>
      </c>
      <c r="AI91" s="1590" t="s">
        <v>7645</v>
      </c>
      <c r="AJ91" s="1590" t="s">
        <v>10546</v>
      </c>
      <c r="AK91" s="1590" t="s">
        <v>4832</v>
      </c>
      <c r="AL91" s="1590" t="s">
        <v>10547</v>
      </c>
      <c r="AM91" s="1590" t="s">
        <v>4843</v>
      </c>
      <c r="AN91" s="1590" t="s">
        <v>10548</v>
      </c>
      <c r="AO91" s="1590" t="s">
        <v>8662</v>
      </c>
      <c r="AP91" s="1590" t="s">
        <v>10549</v>
      </c>
      <c r="AQ91" s="1590" t="s">
        <v>10550</v>
      </c>
      <c r="AR91" s="1590" t="s">
        <v>5159</v>
      </c>
      <c r="AS91" s="1590" t="s">
        <v>8830</v>
      </c>
      <c r="AT91" s="1590" t="s">
        <v>10551</v>
      </c>
      <c r="AU91" s="1590" t="s">
        <v>10552</v>
      </c>
      <c r="AV91" s="1409" t="str">
        <f t="shared" si="1"/>
        <v>4:58</v>
      </c>
      <c r="AW91" s="1652"/>
    </row>
    <row r="92" ht="15.75" customHeight="1">
      <c r="A92" s="1591" t="s">
        <v>6518</v>
      </c>
      <c r="B92" s="1623" t="s">
        <v>8701</v>
      </c>
      <c r="C92" s="1603">
        <v>0.05386574074074074</v>
      </c>
      <c r="D92" s="360" t="s">
        <v>10553</v>
      </c>
      <c r="E92" s="360" t="s">
        <v>7399</v>
      </c>
      <c r="F92" s="360" t="s">
        <v>10554</v>
      </c>
      <c r="G92" s="360" t="s">
        <v>4266</v>
      </c>
      <c r="H92" s="360" t="s">
        <v>10555</v>
      </c>
      <c r="I92" s="360" t="s">
        <v>10496</v>
      </c>
      <c r="J92" s="360" t="s">
        <v>10556</v>
      </c>
      <c r="K92" s="360" t="s">
        <v>10557</v>
      </c>
      <c r="L92" s="360" t="s">
        <v>1438</v>
      </c>
      <c r="M92" s="360" t="s">
        <v>4543</v>
      </c>
      <c r="N92" s="360" t="s">
        <v>7552</v>
      </c>
      <c r="O92" s="360" t="s">
        <v>10558</v>
      </c>
      <c r="P92" s="360" t="s">
        <v>6248</v>
      </c>
      <c r="Q92" s="360" t="s">
        <v>10559</v>
      </c>
      <c r="R92" s="360" t="s">
        <v>10560</v>
      </c>
      <c r="S92" s="360" t="s">
        <v>10561</v>
      </c>
      <c r="T92" s="360" t="s">
        <v>9819</v>
      </c>
      <c r="U92" s="360" t="s">
        <v>10562</v>
      </c>
      <c r="V92" s="360" t="s">
        <v>10563</v>
      </c>
      <c r="W92" s="360" t="s">
        <v>10564</v>
      </c>
      <c r="X92" s="360" t="s">
        <v>1334</v>
      </c>
      <c r="Y92" s="360" t="s">
        <v>1884</v>
      </c>
      <c r="Z92" s="360" t="s">
        <v>8687</v>
      </c>
      <c r="AA92" s="798" t="s">
        <v>10565</v>
      </c>
      <c r="AB92" s="360" t="s">
        <v>10566</v>
      </c>
      <c r="AC92" s="360" t="s">
        <v>7140</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590" t="s">
        <v>9505</v>
      </c>
      <c r="AP92" s="360" t="s">
        <v>10573</v>
      </c>
      <c r="AQ92" s="360" t="s">
        <v>10574</v>
      </c>
      <c r="AR92" s="360" t="s">
        <v>10575</v>
      </c>
      <c r="AS92" s="360" t="s">
        <v>9115</v>
      </c>
      <c r="AT92" s="360" t="s">
        <v>10576</v>
      </c>
      <c r="AU92" s="360" t="s">
        <v>10513</v>
      </c>
      <c r="AV92" s="1409" t="str">
        <f t="shared" si="1"/>
        <v>3:30</v>
      </c>
      <c r="AW92" s="1637"/>
    </row>
    <row r="93">
      <c r="A93" s="1533" t="s">
        <v>5213</v>
      </c>
      <c r="B93" s="1531" t="s">
        <v>8701</v>
      </c>
      <c r="C93" s="1501">
        <v>0.05482638888888889</v>
      </c>
      <c r="D93" s="1610" t="s">
        <v>10577</v>
      </c>
      <c r="E93" s="1590" t="s">
        <v>9416</v>
      </c>
      <c r="F93" s="1590" t="s">
        <v>10578</v>
      </c>
      <c r="G93" s="1590" t="s">
        <v>10579</v>
      </c>
      <c r="H93" s="1590" t="s">
        <v>10580</v>
      </c>
      <c r="I93" s="1590" t="s">
        <v>10581</v>
      </c>
      <c r="J93" s="1590" t="s">
        <v>10582</v>
      </c>
      <c r="K93" s="1590" t="s">
        <v>9843</v>
      </c>
      <c r="L93" s="1590" t="s">
        <v>10583</v>
      </c>
      <c r="M93" s="1590" t="s">
        <v>1678</v>
      </c>
      <c r="N93" s="1590" t="s">
        <v>6432</v>
      </c>
      <c r="O93" s="1590" t="s">
        <v>10584</v>
      </c>
      <c r="P93" s="1590" t="s">
        <v>6516</v>
      </c>
      <c r="Q93" s="1590" t="s">
        <v>10585</v>
      </c>
      <c r="R93" s="1590" t="s">
        <v>9113</v>
      </c>
      <c r="S93" s="1590" t="s">
        <v>10586</v>
      </c>
      <c r="T93" s="1590" t="s">
        <v>10502</v>
      </c>
      <c r="U93" s="1590" t="s">
        <v>10587</v>
      </c>
      <c r="V93" s="1590" t="s">
        <v>843</v>
      </c>
      <c r="W93" s="1590" t="s">
        <v>10588</v>
      </c>
      <c r="X93" s="1590" t="s">
        <v>10589</v>
      </c>
      <c r="Y93" s="1590" t="s">
        <v>1770</v>
      </c>
      <c r="Z93" s="1590" t="s">
        <v>9860</v>
      </c>
      <c r="AA93" s="1590" t="s">
        <v>2389</v>
      </c>
      <c r="AB93" s="1590" t="s">
        <v>10590</v>
      </c>
      <c r="AC93" s="1590" t="s">
        <v>10591</v>
      </c>
      <c r="AD93" s="1590" t="s">
        <v>10592</v>
      </c>
      <c r="AE93" s="1590" t="s">
        <v>1545</v>
      </c>
      <c r="AF93" s="1590" t="s">
        <v>10593</v>
      </c>
      <c r="AG93" s="1590" t="s">
        <v>10594</v>
      </c>
      <c r="AH93" s="1590" t="s">
        <v>10595</v>
      </c>
      <c r="AI93" s="1590" t="s">
        <v>5833</v>
      </c>
      <c r="AJ93" s="1590" t="s">
        <v>10596</v>
      </c>
      <c r="AK93" s="1590" t="s">
        <v>245</v>
      </c>
      <c r="AL93" s="1590" t="s">
        <v>7227</v>
      </c>
      <c r="AM93" s="1590" t="s">
        <v>4271</v>
      </c>
      <c r="AN93" s="1590" t="s">
        <v>10597</v>
      </c>
      <c r="AO93" s="1590" t="s">
        <v>1797</v>
      </c>
      <c r="AP93" s="1590" t="s">
        <v>887</v>
      </c>
      <c r="AQ93" s="1590" t="s">
        <v>10598</v>
      </c>
      <c r="AR93" s="1590" t="s">
        <v>10599</v>
      </c>
      <c r="AS93" s="1590" t="s">
        <v>2186</v>
      </c>
      <c r="AT93" s="1590" t="s">
        <v>10600</v>
      </c>
      <c r="AU93" s="1590" t="s">
        <v>10601</v>
      </c>
      <c r="AV93" s="1409" t="str">
        <f t="shared" si="1"/>
        <v>3:40</v>
      </c>
      <c r="AW93" s="1633" t="s">
        <v>10602</v>
      </c>
    </row>
    <row r="94">
      <c r="A94" s="1533" t="s">
        <v>5396</v>
      </c>
      <c r="B94" s="1531" t="s">
        <v>8649</v>
      </c>
      <c r="C94" s="1501">
        <v>0.05482638888888889</v>
      </c>
      <c r="D94" s="1511" t="s">
        <v>10603</v>
      </c>
      <c r="E94" s="1511" t="s">
        <v>9265</v>
      </c>
      <c r="F94" s="1511" t="s">
        <v>10604</v>
      </c>
      <c r="G94" s="1511" t="s">
        <v>10605</v>
      </c>
      <c r="H94" s="1511" t="s">
        <v>10606</v>
      </c>
      <c r="I94" s="1511">
        <v>50.26</v>
      </c>
      <c r="J94" s="1511" t="s">
        <v>10582</v>
      </c>
      <c r="K94" s="1511" t="s">
        <v>10607</v>
      </c>
      <c r="L94" s="1511" t="s">
        <v>10608</v>
      </c>
      <c r="M94" s="1511" t="s">
        <v>2215</v>
      </c>
      <c r="N94" s="1511" t="s">
        <v>10609</v>
      </c>
      <c r="O94" s="1511" t="s">
        <v>10610</v>
      </c>
      <c r="P94" s="1511">
        <v>49.15</v>
      </c>
      <c r="Q94" s="1511" t="s">
        <v>10611</v>
      </c>
      <c r="R94" s="1511" t="s">
        <v>3390</v>
      </c>
      <c r="S94" s="1511" t="s">
        <v>10612</v>
      </c>
      <c r="T94" s="1511" t="s">
        <v>5039</v>
      </c>
      <c r="U94" s="1511" t="s">
        <v>3187</v>
      </c>
      <c r="V94" s="1511" t="s">
        <v>10613</v>
      </c>
      <c r="W94" s="1511" t="s">
        <v>10614</v>
      </c>
      <c r="X94" s="1511" t="s">
        <v>10615</v>
      </c>
      <c r="Y94" s="1511">
        <v>51.87</v>
      </c>
      <c r="Z94" s="1511" t="s">
        <v>6247</v>
      </c>
      <c r="AA94" s="1511" t="s">
        <v>6490</v>
      </c>
      <c r="AB94" s="1511" t="s">
        <v>6466</v>
      </c>
      <c r="AC94" s="1511">
        <v>49.75</v>
      </c>
      <c r="AD94" s="1511" t="s">
        <v>10616</v>
      </c>
      <c r="AE94" s="1511">
        <v>50.16</v>
      </c>
      <c r="AF94" s="1511" t="s">
        <v>10617</v>
      </c>
      <c r="AG94" s="1511" t="s">
        <v>10618</v>
      </c>
      <c r="AH94" s="1511" t="s">
        <v>6335</v>
      </c>
      <c r="AI94" s="1511" t="s">
        <v>7385</v>
      </c>
      <c r="AJ94" s="1511" t="s">
        <v>10619</v>
      </c>
      <c r="AK94" s="1511" t="s">
        <v>10535</v>
      </c>
      <c r="AL94" s="1511">
        <v>59.29</v>
      </c>
      <c r="AM94" s="1511" t="s">
        <v>4450</v>
      </c>
      <c r="AN94" s="1511" t="s">
        <v>624</v>
      </c>
      <c r="AO94" s="1511" t="s">
        <v>10620</v>
      </c>
      <c r="AP94" s="1511" t="s">
        <v>10621</v>
      </c>
      <c r="AQ94" s="1511" t="s">
        <v>10622</v>
      </c>
      <c r="AR94" s="1511" t="s">
        <v>7457</v>
      </c>
      <c r="AS94" s="1511">
        <v>47.7</v>
      </c>
      <c r="AT94" s="1511" t="s">
        <v>10623</v>
      </c>
      <c r="AU94" s="1515" t="s">
        <v>10624</v>
      </c>
      <c r="AV94" s="1409" t="str">
        <f t="shared" si="1"/>
        <v>5:51</v>
      </c>
      <c r="AW94" s="1618" t="s">
        <v>10625</v>
      </c>
    </row>
    <row r="95">
      <c r="A95" s="1533" t="s">
        <v>5467</v>
      </c>
      <c r="B95" s="1528" t="s">
        <v>8649</v>
      </c>
      <c r="C95" s="1501">
        <v>0.05559027777777778</v>
      </c>
      <c r="D95" s="1610" t="s">
        <v>10626</v>
      </c>
      <c r="E95" s="1590" t="s">
        <v>10627</v>
      </c>
      <c r="F95" s="1590" t="s">
        <v>10628</v>
      </c>
      <c r="G95" s="1590" t="s">
        <v>8382</v>
      </c>
      <c r="H95" s="1590" t="s">
        <v>5793</v>
      </c>
      <c r="I95" s="1590" t="s">
        <v>1848</v>
      </c>
      <c r="J95" s="1590" t="s">
        <v>10629</v>
      </c>
      <c r="K95" s="1590" t="s">
        <v>6251</v>
      </c>
      <c r="L95" s="1590" t="s">
        <v>8487</v>
      </c>
      <c r="M95" s="1590" t="s">
        <v>7462</v>
      </c>
      <c r="N95" s="1590" t="s">
        <v>10630</v>
      </c>
      <c r="O95" s="1590" t="s">
        <v>10631</v>
      </c>
      <c r="P95" s="1590" t="s">
        <v>189</v>
      </c>
      <c r="Q95" s="1590" t="s">
        <v>1761</v>
      </c>
      <c r="R95" s="1590" t="s">
        <v>10632</v>
      </c>
      <c r="S95" s="1590" t="s">
        <v>5192</v>
      </c>
      <c r="T95" s="1590" t="s">
        <v>10633</v>
      </c>
      <c r="U95" s="1590" t="s">
        <v>10634</v>
      </c>
      <c r="V95" s="1590" t="s">
        <v>6514</v>
      </c>
      <c r="W95" s="1590" t="s">
        <v>9399</v>
      </c>
      <c r="X95" s="1590" t="s">
        <v>4996</v>
      </c>
      <c r="Y95" s="1590" t="s">
        <v>100</v>
      </c>
      <c r="Z95" s="1590" t="s">
        <v>10635</v>
      </c>
      <c r="AA95" s="1590" t="s">
        <v>10399</v>
      </c>
      <c r="AB95" s="1590" t="s">
        <v>3661</v>
      </c>
      <c r="AC95" s="1590" t="s">
        <v>839</v>
      </c>
      <c r="AD95" s="1590" t="s">
        <v>6156</v>
      </c>
      <c r="AE95" s="1590" t="s">
        <v>861</v>
      </c>
      <c r="AF95" s="1590" t="s">
        <v>10636</v>
      </c>
      <c r="AG95" s="1590" t="s">
        <v>10637</v>
      </c>
      <c r="AH95" s="1590" t="s">
        <v>8358</v>
      </c>
      <c r="AI95" s="1590" t="s">
        <v>10638</v>
      </c>
      <c r="AJ95" s="1590" t="s">
        <v>10639</v>
      </c>
      <c r="AK95" s="1590" t="s">
        <v>4537</v>
      </c>
      <c r="AL95" s="1590" t="s">
        <v>126</v>
      </c>
      <c r="AM95" s="1590" t="s">
        <v>10640</v>
      </c>
      <c r="AN95" s="1590" t="s">
        <v>10641</v>
      </c>
      <c r="AO95" s="1590" t="s">
        <v>1038</v>
      </c>
      <c r="AP95" s="1590" t="s">
        <v>10642</v>
      </c>
      <c r="AQ95" s="1590" t="s">
        <v>10643</v>
      </c>
      <c r="AR95" s="1590" t="s">
        <v>10644</v>
      </c>
      <c r="AS95" s="1590" t="s">
        <v>831</v>
      </c>
      <c r="AT95" s="1590" t="s">
        <v>10645</v>
      </c>
      <c r="AU95" s="1590" t="s">
        <v>10646</v>
      </c>
      <c r="AV95" s="1409" t="str">
        <f t="shared" si="1"/>
        <v>5:05</v>
      </c>
      <c r="AW95" s="1633" t="s">
        <v>10647</v>
      </c>
    </row>
    <row r="96">
      <c r="A96" s="1533" t="s">
        <v>4917</v>
      </c>
      <c r="B96" s="1528" t="s">
        <v>8677</v>
      </c>
      <c r="C96" s="1546">
        <v>0.05565972222222222</v>
      </c>
      <c r="D96" s="1590" t="s">
        <v>10648</v>
      </c>
      <c r="E96" s="1590" t="s">
        <v>3231</v>
      </c>
      <c r="F96" s="1590" t="s">
        <v>10649</v>
      </c>
      <c r="G96" s="1590" t="s">
        <v>10650</v>
      </c>
      <c r="H96" s="798" t="s">
        <v>9176</v>
      </c>
      <c r="I96" s="1590" t="s">
        <v>3658</v>
      </c>
      <c r="J96" s="1590" t="s">
        <v>9407</v>
      </c>
      <c r="K96" s="1590" t="s">
        <v>805</v>
      </c>
      <c r="L96" s="1590" t="s">
        <v>10651</v>
      </c>
      <c r="M96" s="1590" t="s">
        <v>10652</v>
      </c>
      <c r="N96" s="1590" t="s">
        <v>6355</v>
      </c>
      <c r="O96" s="1590" t="s">
        <v>10653</v>
      </c>
      <c r="P96" s="1590" t="s">
        <v>10093</v>
      </c>
      <c r="Q96" s="1590" t="s">
        <v>10654</v>
      </c>
      <c r="R96" s="1590" t="s">
        <v>9862</v>
      </c>
      <c r="S96" s="1590" t="s">
        <v>419</v>
      </c>
      <c r="T96" s="1590" t="s">
        <v>10655</v>
      </c>
      <c r="U96" s="1590" t="s">
        <v>10656</v>
      </c>
      <c r="V96" s="1590" t="s">
        <v>10657</v>
      </c>
      <c r="W96" s="1590" t="s">
        <v>10658</v>
      </c>
      <c r="X96" s="1590" t="s">
        <v>10659</v>
      </c>
      <c r="Y96" s="1590" t="s">
        <v>161</v>
      </c>
      <c r="Z96" s="1590" t="s">
        <v>5281</v>
      </c>
      <c r="AA96" s="1590" t="s">
        <v>10028</v>
      </c>
      <c r="AB96" s="1590" t="s">
        <v>10345</v>
      </c>
      <c r="AC96" s="1590" t="s">
        <v>9867</v>
      </c>
      <c r="AD96" s="1590" t="s">
        <v>10660</v>
      </c>
      <c r="AE96" s="1590" t="s">
        <v>10661</v>
      </c>
      <c r="AF96" s="1590" t="s">
        <v>10662</v>
      </c>
      <c r="AG96" s="1590" t="s">
        <v>10663</v>
      </c>
      <c r="AH96" s="1590" t="s">
        <v>10664</v>
      </c>
      <c r="AI96" s="1590" t="s">
        <v>10665</v>
      </c>
      <c r="AJ96" s="1590" t="s">
        <v>10666</v>
      </c>
      <c r="AK96" s="1590" t="s">
        <v>7417</v>
      </c>
      <c r="AL96" s="1590" t="s">
        <v>3693</v>
      </c>
      <c r="AM96" s="1590" t="s">
        <v>4843</v>
      </c>
      <c r="AN96" s="1590" t="s">
        <v>10667</v>
      </c>
      <c r="AO96" s="1590" t="s">
        <v>1990</v>
      </c>
      <c r="AP96" s="1590" t="s">
        <v>10668</v>
      </c>
      <c r="AQ96" s="1590" t="s">
        <v>10669</v>
      </c>
      <c r="AR96" s="1590" t="s">
        <v>10670</v>
      </c>
      <c r="AS96" s="1590" t="s">
        <v>2247</v>
      </c>
      <c r="AT96" s="1590" t="s">
        <v>10671</v>
      </c>
      <c r="AU96" s="1590" t="s">
        <v>10672</v>
      </c>
      <c r="AV96" s="1409" t="str">
        <f t="shared" si="1"/>
        <v>8:24</v>
      </c>
      <c r="AW96" s="1633" t="s">
        <v>9726</v>
      </c>
    </row>
    <row r="97">
      <c r="A97" s="1591" t="s">
        <v>10673</v>
      </c>
      <c r="B97" s="1564" t="s">
        <v>8677</v>
      </c>
      <c r="C97" s="1603">
        <v>0.057881944444444444</v>
      </c>
      <c r="D97" s="1590" t="s">
        <v>10674</v>
      </c>
      <c r="E97" s="360" t="s">
        <v>10675</v>
      </c>
      <c r="F97" s="1590" t="s">
        <v>10676</v>
      </c>
      <c r="G97" s="1590" t="s">
        <v>10677</v>
      </c>
      <c r="H97" s="360" t="s">
        <v>10678</v>
      </c>
      <c r="I97" s="360" t="s">
        <v>1027</v>
      </c>
      <c r="J97" s="360" t="s">
        <v>10679</v>
      </c>
      <c r="K97" s="360" t="s">
        <v>3611</v>
      </c>
      <c r="L97" s="360" t="s">
        <v>10680</v>
      </c>
      <c r="M97" s="360" t="s">
        <v>6889</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590"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7434</v>
      </c>
      <c r="AR97" s="360" t="s">
        <v>10698</v>
      </c>
      <c r="AS97" s="360" t="s">
        <v>619</v>
      </c>
      <c r="AT97" s="360" t="s">
        <v>10699</v>
      </c>
      <c r="AU97" s="360" t="s">
        <v>10700</v>
      </c>
      <c r="AV97" s="1409" t="str">
        <f t="shared" si="1"/>
        <v>2:11</v>
      </c>
      <c r="AW97" s="1637" t="s">
        <v>10701</v>
      </c>
    </row>
    <row r="98">
      <c r="A98" s="1653" t="s">
        <v>6519</v>
      </c>
      <c r="B98" s="1654" t="s">
        <v>10702</v>
      </c>
      <c r="C98" s="1655">
        <v>0.06118055555555556</v>
      </c>
      <c r="D98" s="1656" t="s">
        <v>10703</v>
      </c>
      <c r="E98" s="1657" t="s">
        <v>6482</v>
      </c>
      <c r="F98" s="1657" t="s">
        <v>10704</v>
      </c>
      <c r="G98" s="1657" t="s">
        <v>10705</v>
      </c>
      <c r="H98" s="1656" t="s">
        <v>10706</v>
      </c>
      <c r="I98" s="1658" t="s">
        <v>10007</v>
      </c>
      <c r="J98" s="1659" t="s">
        <v>10707</v>
      </c>
      <c r="K98" s="1659" t="s">
        <v>1764</v>
      </c>
      <c r="L98" s="1659" t="s">
        <v>7533</v>
      </c>
      <c r="M98" s="1659" t="s">
        <v>10708</v>
      </c>
      <c r="N98" s="1659" t="s">
        <v>7523</v>
      </c>
      <c r="O98" s="1659" t="s">
        <v>10709</v>
      </c>
      <c r="P98" s="1659" t="s">
        <v>5381</v>
      </c>
      <c r="Q98" s="1660" t="s">
        <v>10710</v>
      </c>
      <c r="R98" s="1660" t="s">
        <v>10711</v>
      </c>
      <c r="S98" s="1660" t="s">
        <v>10712</v>
      </c>
      <c r="T98" s="1660" t="s">
        <v>10713</v>
      </c>
      <c r="U98" s="1660" t="s">
        <v>10714</v>
      </c>
      <c r="V98" s="1660" t="s">
        <v>10715</v>
      </c>
      <c r="W98" s="1661" t="s">
        <v>6362</v>
      </c>
      <c r="X98" s="1661" t="s">
        <v>10716</v>
      </c>
      <c r="Y98" s="1661" t="s">
        <v>10439</v>
      </c>
      <c r="Z98" s="1661" t="s">
        <v>7539</v>
      </c>
      <c r="AA98" s="1662" t="s">
        <v>1897</v>
      </c>
      <c r="AB98" s="1661" t="s">
        <v>10717</v>
      </c>
      <c r="AC98" s="1661" t="s">
        <v>8983</v>
      </c>
      <c r="AD98" s="1657" t="s">
        <v>10718</v>
      </c>
      <c r="AE98" s="1657" t="s">
        <v>1376</v>
      </c>
      <c r="AF98" s="1663" t="s">
        <v>10719</v>
      </c>
      <c r="AG98" s="1663" t="s">
        <v>10720</v>
      </c>
      <c r="AH98" s="1663" t="s">
        <v>10721</v>
      </c>
      <c r="AI98" s="1663" t="s">
        <v>7381</v>
      </c>
      <c r="AJ98" s="1663" t="s">
        <v>10722</v>
      </c>
      <c r="AK98" s="1663" t="s">
        <v>10176</v>
      </c>
      <c r="AL98" s="1663" t="s">
        <v>1890</v>
      </c>
      <c r="AM98" s="1664" t="s">
        <v>3222</v>
      </c>
      <c r="AN98" s="1664" t="s">
        <v>10723</v>
      </c>
      <c r="AO98" s="1664" t="s">
        <v>4470</v>
      </c>
      <c r="AP98" s="1664" t="s">
        <v>10724</v>
      </c>
      <c r="AQ98" s="1664" t="s">
        <v>6352</v>
      </c>
      <c r="AR98" s="1664" t="s">
        <v>10725</v>
      </c>
      <c r="AS98" s="1664" t="s">
        <v>9419</v>
      </c>
      <c r="AT98" s="1659" t="s">
        <v>10726</v>
      </c>
      <c r="AU98" s="1665" t="s">
        <v>10727</v>
      </c>
      <c r="AV98" s="1409" t="str">
        <f t="shared" si="1"/>
        <v>7:37</v>
      </c>
      <c r="AW98" s="1532" t="s">
        <v>10728</v>
      </c>
    </row>
    <row r="99" ht="15.75" customHeight="1">
      <c r="A99" s="1533" t="s">
        <v>6319</v>
      </c>
      <c r="B99" s="1564" t="s">
        <v>8677</v>
      </c>
      <c r="C99" s="1501">
        <v>0.06635416666666667</v>
      </c>
      <c r="D99" s="798" t="s">
        <v>10729</v>
      </c>
      <c r="E99" s="798" t="s">
        <v>8544</v>
      </c>
      <c r="F99" s="798" t="s">
        <v>10730</v>
      </c>
      <c r="G99" s="798" t="s">
        <v>10731</v>
      </c>
      <c r="H99" s="798" t="s">
        <v>10732</v>
      </c>
      <c r="I99" s="798" t="s">
        <v>3511</v>
      </c>
      <c r="J99" s="798" t="s">
        <v>10733</v>
      </c>
      <c r="K99" s="798" t="s">
        <v>3930</v>
      </c>
      <c r="L99" s="798" t="s">
        <v>7463</v>
      </c>
      <c r="M99" s="798" t="s">
        <v>940</v>
      </c>
      <c r="N99" s="798" t="s">
        <v>10734</v>
      </c>
      <c r="O99" s="798" t="s">
        <v>10735</v>
      </c>
      <c r="P99" s="798" t="s">
        <v>10736</v>
      </c>
      <c r="Q99" s="798" t="s">
        <v>10737</v>
      </c>
      <c r="R99" s="798" t="s">
        <v>4552</v>
      </c>
      <c r="S99" s="798" t="s">
        <v>10738</v>
      </c>
      <c r="T99" s="798" t="s">
        <v>10588</v>
      </c>
      <c r="U99" s="798" t="s">
        <v>10739</v>
      </c>
      <c r="V99" s="798" t="s">
        <v>7993</v>
      </c>
      <c r="W99" s="798" t="s">
        <v>10740</v>
      </c>
      <c r="X99" s="798" t="s">
        <v>10741</v>
      </c>
      <c r="Y99" s="798" t="s">
        <v>757</v>
      </c>
      <c r="Z99" s="798" t="s">
        <v>10742</v>
      </c>
      <c r="AA99" s="360"/>
      <c r="AB99" s="798" t="s">
        <v>10743</v>
      </c>
      <c r="AC99" s="798" t="s">
        <v>957</v>
      </c>
      <c r="AD99" s="798" t="s">
        <v>10744</v>
      </c>
      <c r="AE99" s="798" t="s">
        <v>10745</v>
      </c>
      <c r="AF99" s="798" t="s">
        <v>10746</v>
      </c>
      <c r="AG99" s="798" t="s">
        <v>10747</v>
      </c>
      <c r="AH99" s="798" t="s">
        <v>4110</v>
      </c>
      <c r="AI99" s="798" t="s">
        <v>10748</v>
      </c>
      <c r="AJ99" s="798" t="s">
        <v>10749</v>
      </c>
      <c r="AK99" s="798" t="s">
        <v>10750</v>
      </c>
      <c r="AL99" s="798" t="s">
        <v>10751</v>
      </c>
      <c r="AM99" s="798" t="s">
        <v>10752</v>
      </c>
      <c r="AN99" s="798" t="s">
        <v>9270</v>
      </c>
      <c r="AO99" s="798" t="s">
        <v>2331</v>
      </c>
      <c r="AP99" s="798" t="s">
        <v>10753</v>
      </c>
      <c r="AQ99" s="798" t="s">
        <v>130</v>
      </c>
      <c r="AR99" s="798" t="s">
        <v>10754</v>
      </c>
      <c r="AS99" s="798" t="s">
        <v>4015</v>
      </c>
      <c r="AT99" s="798" t="s">
        <v>10755</v>
      </c>
      <c r="AU99" s="1343" t="s">
        <v>10756</v>
      </c>
      <c r="AV99" s="1409" t="str">
        <f t="shared" si="1"/>
        <v>9:53</v>
      </c>
      <c r="AW99" s="1618" t="s">
        <v>10757</v>
      </c>
    </row>
    <row r="100">
      <c r="A100" s="1533" t="s">
        <v>6561</v>
      </c>
      <c r="B100" s="1528" t="s">
        <v>8677</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9167</v>
      </c>
      <c r="X100" s="1511"/>
      <c r="Y100" s="1511"/>
      <c r="Z100" s="1511"/>
      <c r="AA100" s="1511"/>
      <c r="AB100" s="1666" t="s">
        <v>2916</v>
      </c>
      <c r="AC100" s="1511"/>
      <c r="AD100" s="1511"/>
      <c r="AE100" s="1515"/>
      <c r="AF100" s="1511"/>
      <c r="AG100" s="1511"/>
      <c r="AH100" s="1511"/>
      <c r="AI100" s="1511"/>
      <c r="AJ100" s="1511"/>
      <c r="AK100" s="1511"/>
      <c r="AL100" s="1511"/>
      <c r="AM100" s="1518" t="s">
        <v>2400</v>
      </c>
      <c r="AN100" s="1511"/>
      <c r="AO100" s="1511"/>
      <c r="AP100" s="1511"/>
      <c r="AQ100" s="1511"/>
      <c r="AR100" s="1511"/>
      <c r="AS100" s="1511"/>
      <c r="AT100" s="1511"/>
      <c r="AU100" s="1409"/>
      <c r="AV100" s="1409"/>
      <c r="AW100" s="1548"/>
    </row>
    <row r="101">
      <c r="A101" s="1533" t="s">
        <v>4635</v>
      </c>
      <c r="B101" s="1531" t="s">
        <v>8677</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8690</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8611</v>
      </c>
      <c r="C1" s="1422" t="s">
        <v>8612</v>
      </c>
      <c r="D1" s="1675" t="s">
        <v>10758</v>
      </c>
      <c r="E1" s="1676" t="s">
        <v>6805</v>
      </c>
      <c r="F1" s="1677" t="s">
        <v>7106</v>
      </c>
      <c r="G1" s="1678" t="s">
        <v>38</v>
      </c>
      <c r="H1" s="1679" t="s">
        <v>36</v>
      </c>
      <c r="I1" s="1675" t="s">
        <v>10759</v>
      </c>
      <c r="J1" s="1680" t="s">
        <v>39</v>
      </c>
      <c r="K1" s="1681" t="s">
        <v>7046</v>
      </c>
      <c r="L1" s="1431" t="s">
        <v>8644</v>
      </c>
      <c r="M1" s="1432" t="s">
        <v>8645</v>
      </c>
      <c r="N1" s="1682" t="s">
        <v>8646</v>
      </c>
      <c r="O1" s="1683" t="s">
        <v>8647</v>
      </c>
    </row>
    <row r="2" ht="15.75" customHeight="1">
      <c r="A2" s="1684" t="s">
        <v>8648</v>
      </c>
      <c r="B2" s="1685" t="s">
        <v>8649</v>
      </c>
      <c r="C2" s="1686">
        <v>0.0496875</v>
      </c>
      <c r="D2" s="1687" t="s">
        <v>10760</v>
      </c>
      <c r="E2" s="1688" t="s">
        <v>10761</v>
      </c>
      <c r="F2" s="1689" t="s">
        <v>10762</v>
      </c>
      <c r="G2" s="1690" t="s">
        <v>10763</v>
      </c>
      <c r="H2" s="1691" t="s">
        <v>10764</v>
      </c>
      <c r="I2" s="1692" t="s">
        <v>10765</v>
      </c>
      <c r="J2" s="1693" t="s">
        <v>10766</v>
      </c>
      <c r="K2" s="1694" t="s">
        <v>10767</v>
      </c>
      <c r="L2" s="1689" t="s">
        <v>8674</v>
      </c>
      <c r="M2" s="1686">
        <v>0.05050925925925926</v>
      </c>
      <c r="N2" s="1695" t="str">
        <f t="shared" ref="N2:N40" si="1">TEXT(M2-C2, "m:ss")</f>
        <v>1:11</v>
      </c>
      <c r="O2" s="1696"/>
    </row>
    <row r="3" ht="15.75" customHeight="1">
      <c r="A3" s="1697" t="s">
        <v>8676</v>
      </c>
      <c r="B3" s="1698" t="s">
        <v>8677</v>
      </c>
      <c r="C3" s="1699">
        <v>0.051458333333333335</v>
      </c>
      <c r="D3" s="1458" t="s">
        <v>10768</v>
      </c>
      <c r="E3" s="1459" t="s">
        <v>5956</v>
      </c>
      <c r="F3" s="1460" t="s">
        <v>10769</v>
      </c>
      <c r="G3" s="1461" t="s">
        <v>10770</v>
      </c>
      <c r="H3" s="1464" t="s">
        <v>10771</v>
      </c>
      <c r="I3" s="1458" t="s">
        <v>10772</v>
      </c>
      <c r="J3" s="1466" t="s">
        <v>10773</v>
      </c>
      <c r="K3" s="1469" t="s">
        <v>10774</v>
      </c>
      <c r="L3" s="1460" t="s">
        <v>9261</v>
      </c>
      <c r="M3" s="1699">
        <v>0.05236111111111111</v>
      </c>
      <c r="N3" s="1700" t="str">
        <f t="shared" si="1"/>
        <v>1:18</v>
      </c>
      <c r="O3" s="1701"/>
    </row>
    <row r="4" ht="15.75" customHeight="1">
      <c r="A4" s="1702" t="s">
        <v>8700</v>
      </c>
      <c r="B4" s="1703" t="s">
        <v>8701</v>
      </c>
      <c r="C4" s="1704">
        <f>C25</f>
        <v>0.05158564815</v>
      </c>
      <c r="D4" s="1705" t="s">
        <v>10775</v>
      </c>
      <c r="E4" s="1706" t="s">
        <v>10776</v>
      </c>
      <c r="F4" s="1707" t="s">
        <v>10777</v>
      </c>
      <c r="G4" s="1708" t="s">
        <v>10778</v>
      </c>
      <c r="H4" s="1709" t="s">
        <v>10779</v>
      </c>
      <c r="I4" s="1705" t="s">
        <v>10780</v>
      </c>
      <c r="J4" s="1710" t="s">
        <v>10781</v>
      </c>
      <c r="K4" s="1711" t="s">
        <v>10782</v>
      </c>
      <c r="L4" s="1712" t="s">
        <v>8730</v>
      </c>
      <c r="M4" s="1713">
        <f>M25</f>
        <v>0.0521412037</v>
      </c>
      <c r="N4" s="1713" t="str">
        <f t="shared" si="1"/>
        <v>0:48</v>
      </c>
      <c r="O4" s="1696"/>
    </row>
    <row r="5" ht="15.75" customHeight="1">
      <c r="A5" s="1228" t="s">
        <v>1060</v>
      </c>
      <c r="B5" s="1619" t="s">
        <v>8649</v>
      </c>
      <c r="C5" s="1714">
        <v>0.04986111111111111</v>
      </c>
      <c r="D5" s="1715" t="s">
        <v>10760</v>
      </c>
      <c r="E5" s="1512" t="s">
        <v>10783</v>
      </c>
      <c r="F5" s="1715" t="s">
        <v>10762</v>
      </c>
      <c r="G5" s="1715" t="s">
        <v>10763</v>
      </c>
      <c r="H5" s="1715" t="s">
        <v>10764</v>
      </c>
      <c r="I5" s="1509" t="s">
        <v>10784</v>
      </c>
      <c r="J5" s="1716" t="s">
        <v>10785</v>
      </c>
      <c r="K5" s="1715" t="s">
        <v>10767</v>
      </c>
      <c r="L5" s="1490" t="s">
        <v>10786</v>
      </c>
      <c r="M5" s="1717">
        <v>0.05050925925925926</v>
      </c>
      <c r="N5" s="1718" t="str">
        <f t="shared" si="1"/>
        <v>0:56</v>
      </c>
      <c r="O5" s="1545" t="s">
        <v>10787</v>
      </c>
    </row>
    <row r="6" ht="15.75" customHeight="1">
      <c r="A6" s="1719" t="s">
        <v>436</v>
      </c>
      <c r="B6" s="1487" t="s">
        <v>8649</v>
      </c>
      <c r="C6" s="1720">
        <v>0.04998842592592593</v>
      </c>
      <c r="D6" s="1509" t="s">
        <v>10788</v>
      </c>
      <c r="E6" s="1721" t="s">
        <v>10761</v>
      </c>
      <c r="F6" s="1509" t="s">
        <v>10789</v>
      </c>
      <c r="G6" s="1509" t="s">
        <v>10790</v>
      </c>
      <c r="H6" s="1509" t="s">
        <v>10791</v>
      </c>
      <c r="I6" s="1509" t="s">
        <v>10792</v>
      </c>
      <c r="J6" s="1566" t="s">
        <v>10766</v>
      </c>
      <c r="K6" s="1509" t="s">
        <v>10793</v>
      </c>
      <c r="L6" s="1509" t="s">
        <v>8760</v>
      </c>
      <c r="M6" s="1722">
        <v>0.0508912037037037</v>
      </c>
      <c r="N6" s="1723" t="str">
        <f t="shared" si="1"/>
        <v>1:18</v>
      </c>
      <c r="O6" s="1545" t="s">
        <v>10794</v>
      </c>
    </row>
    <row r="7" ht="15.75" customHeight="1">
      <c r="A7" s="1667" t="s">
        <v>1812</v>
      </c>
      <c r="B7" s="1487" t="s">
        <v>8649</v>
      </c>
      <c r="C7" s="1724">
        <v>0.050150462962962966</v>
      </c>
      <c r="D7" s="1509" t="s">
        <v>10795</v>
      </c>
      <c r="E7" s="1509" t="s">
        <v>10796</v>
      </c>
      <c r="F7" s="1509" t="s">
        <v>10797</v>
      </c>
      <c r="G7" s="1509" t="s">
        <v>10798</v>
      </c>
      <c r="H7" s="1509" t="s">
        <v>10799</v>
      </c>
      <c r="I7" s="1509" t="s">
        <v>10800</v>
      </c>
      <c r="J7" s="1509" t="s">
        <v>10801</v>
      </c>
      <c r="K7" s="1509" t="s">
        <v>10802</v>
      </c>
      <c r="L7" s="1725" t="s">
        <v>8674</v>
      </c>
      <c r="M7" s="1722">
        <v>0.05056712962962963</v>
      </c>
      <c r="N7" s="1723" t="str">
        <f t="shared" si="1"/>
        <v>0:36</v>
      </c>
      <c r="O7" s="1545" t="s">
        <v>10794</v>
      </c>
    </row>
    <row r="8" ht="15.75" customHeight="1">
      <c r="A8" s="1719" t="s">
        <v>6509</v>
      </c>
      <c r="B8" s="1549" t="s">
        <v>8649</v>
      </c>
      <c r="C8" s="1724">
        <v>0.05025462962962963</v>
      </c>
      <c r="D8" s="1726" t="s">
        <v>10803</v>
      </c>
      <c r="E8" s="1510" t="s">
        <v>10804</v>
      </c>
      <c r="F8" s="1509" t="s">
        <v>10805</v>
      </c>
      <c r="G8" s="1509" t="s">
        <v>10806</v>
      </c>
      <c r="H8" s="1509" t="s">
        <v>10807</v>
      </c>
      <c r="I8" s="1509" t="s">
        <v>10559</v>
      </c>
      <c r="J8" s="1509" t="s">
        <v>10808</v>
      </c>
      <c r="K8" s="1509" t="s">
        <v>10809</v>
      </c>
      <c r="L8" s="1509" t="s">
        <v>8853</v>
      </c>
      <c r="M8" s="1722">
        <v>0.0506712962962963</v>
      </c>
      <c r="N8" s="1723" t="str">
        <f t="shared" si="1"/>
        <v>0:36</v>
      </c>
      <c r="O8" s="1545"/>
    </row>
    <row r="9" ht="15.75" customHeight="1">
      <c r="A9" s="1667" t="s">
        <v>6572</v>
      </c>
      <c r="B9" s="1487" t="s">
        <v>8649</v>
      </c>
      <c r="C9" s="1724">
        <v>0.050416666666666665</v>
      </c>
      <c r="D9" s="1509" t="s">
        <v>10810</v>
      </c>
      <c r="E9" s="1510" t="s">
        <v>10811</v>
      </c>
      <c r="F9" s="1512" t="s">
        <v>10812</v>
      </c>
      <c r="G9" s="1512" t="s">
        <v>10813</v>
      </c>
      <c r="H9" s="1509" t="s">
        <v>10814</v>
      </c>
      <c r="I9" s="1566" t="s">
        <v>10765</v>
      </c>
      <c r="J9" s="1509" t="s">
        <v>10815</v>
      </c>
      <c r="K9" s="1509" t="s">
        <v>10816</v>
      </c>
      <c r="L9" s="1512" t="s">
        <v>10817</v>
      </c>
      <c r="M9" s="1722">
        <v>0.0512037037037037</v>
      </c>
      <c r="N9" s="1723" t="str">
        <f t="shared" si="1"/>
        <v>1:08</v>
      </c>
      <c r="O9" s="1545" t="s">
        <v>10794</v>
      </c>
    </row>
    <row r="10">
      <c r="A10" s="1727" t="s">
        <v>827</v>
      </c>
      <c r="B10" s="1728" t="s">
        <v>8649</v>
      </c>
      <c r="C10" s="1724">
        <v>0.05047453703703704</v>
      </c>
      <c r="D10" s="795" t="s">
        <v>10818</v>
      </c>
      <c r="E10" s="1510" t="s">
        <v>10819</v>
      </c>
      <c r="F10" s="1716" t="s">
        <v>10820</v>
      </c>
      <c r="G10" s="1509" t="s">
        <v>10821</v>
      </c>
      <c r="H10" s="1509" t="s">
        <v>10822</v>
      </c>
      <c r="I10" s="1509" t="s">
        <v>10823</v>
      </c>
      <c r="J10" s="1509" t="s">
        <v>10824</v>
      </c>
      <c r="K10" s="1509" t="s">
        <v>10825</v>
      </c>
      <c r="L10" s="1509" t="s">
        <v>3573</v>
      </c>
      <c r="M10" s="1722">
        <v>0.051076388888888886</v>
      </c>
      <c r="N10" s="1723" t="str">
        <f t="shared" si="1"/>
        <v>0:52</v>
      </c>
      <c r="O10" s="1545" t="s">
        <v>10826</v>
      </c>
    </row>
    <row r="11">
      <c r="A11" s="1729" t="s">
        <v>2764</v>
      </c>
      <c r="B11" s="1730" t="s">
        <v>8649</v>
      </c>
      <c r="C11" s="1720">
        <v>0.05054456018518519</v>
      </c>
      <c r="D11" s="1731" t="s">
        <v>10827</v>
      </c>
      <c r="E11" s="1732" t="s">
        <v>5055</v>
      </c>
      <c r="F11" s="1716" t="s">
        <v>10828</v>
      </c>
      <c r="G11" s="1716" t="s">
        <v>10829</v>
      </c>
      <c r="H11" s="1716" t="s">
        <v>10830</v>
      </c>
      <c r="I11" s="1716" t="s">
        <v>10831</v>
      </c>
      <c r="J11" s="1716" t="s">
        <v>10832</v>
      </c>
      <c r="K11" s="1716" t="s">
        <v>10833</v>
      </c>
      <c r="L11" s="1716" t="s">
        <v>9013</v>
      </c>
      <c r="M11" s="1722">
        <v>0.051284722222222225</v>
      </c>
      <c r="N11" s="1722" t="str">
        <f t="shared" si="1"/>
        <v>1:04</v>
      </c>
      <c r="O11" s="1545"/>
    </row>
    <row r="12">
      <c r="A12" s="1653" t="s">
        <v>2021</v>
      </c>
      <c r="B12" s="1728" t="s">
        <v>8649</v>
      </c>
      <c r="C12" s="1720">
        <v>0.05059429398148148</v>
      </c>
      <c r="D12" s="1726" t="s">
        <v>10834</v>
      </c>
      <c r="E12" s="1510" t="s">
        <v>10835</v>
      </c>
      <c r="F12" s="1509" t="s">
        <v>10836</v>
      </c>
      <c r="G12" s="1509" t="s">
        <v>10837</v>
      </c>
      <c r="H12" s="1509" t="s">
        <v>10838</v>
      </c>
      <c r="I12" s="1509" t="s">
        <v>10839</v>
      </c>
      <c r="J12" s="1509" t="s">
        <v>10840</v>
      </c>
      <c r="K12" s="1509" t="s">
        <v>10841</v>
      </c>
      <c r="L12" s="1509" t="s">
        <v>10842</v>
      </c>
      <c r="M12" s="1722">
        <v>0.051319444444444445</v>
      </c>
      <c r="N12" s="1723" t="str">
        <f t="shared" si="1"/>
        <v>1:03</v>
      </c>
      <c r="O12" s="1545"/>
    </row>
    <row r="13" ht="15.75" customHeight="1">
      <c r="A13" s="1228" t="s">
        <v>1558</v>
      </c>
      <c r="B13" s="1733" t="s">
        <v>8649</v>
      </c>
      <c r="C13" s="1724">
        <v>0.05061342592592592</v>
      </c>
      <c r="D13" s="1734" t="s">
        <v>10843</v>
      </c>
      <c r="E13" s="1510" t="s">
        <v>10844</v>
      </c>
      <c r="F13" s="1735" t="s">
        <v>10845</v>
      </c>
      <c r="G13" s="1509" t="s">
        <v>10846</v>
      </c>
      <c r="H13" s="1735" t="s">
        <v>10847</v>
      </c>
      <c r="I13" s="1735" t="s">
        <v>10848</v>
      </c>
      <c r="J13" s="1509" t="s">
        <v>10849</v>
      </c>
      <c r="K13" s="1509" t="s">
        <v>10850</v>
      </c>
      <c r="L13" s="1509" t="s">
        <v>3668</v>
      </c>
      <c r="M13" s="1722">
        <v>0.05122685185185185</v>
      </c>
      <c r="N13" s="1723" t="str">
        <f t="shared" si="1"/>
        <v>0:53</v>
      </c>
      <c r="O13" s="1545" t="s">
        <v>10851</v>
      </c>
    </row>
    <row r="14" ht="15.75" customHeight="1">
      <c r="A14" s="1671" t="s">
        <v>2085</v>
      </c>
      <c r="B14" s="1487" t="s">
        <v>8649</v>
      </c>
      <c r="C14" s="1720">
        <v>0.05061342592592592</v>
      </c>
      <c r="D14" s="795" t="s">
        <v>10852</v>
      </c>
      <c r="E14" s="1736" t="s">
        <v>10853</v>
      </c>
      <c r="F14" s="1509" t="s">
        <v>10854</v>
      </c>
      <c r="G14" s="1509" t="s">
        <v>10855</v>
      </c>
      <c r="H14" s="1509" t="s">
        <v>10856</v>
      </c>
      <c r="I14" s="1509" t="s">
        <v>10857</v>
      </c>
      <c r="J14" s="1509" t="s">
        <v>10858</v>
      </c>
      <c r="K14" s="1509" t="s">
        <v>10859</v>
      </c>
      <c r="L14" s="1509" t="s">
        <v>6486</v>
      </c>
      <c r="M14" s="1722">
        <v>0.05153935185185185</v>
      </c>
      <c r="N14" s="1723" t="str">
        <f t="shared" si="1"/>
        <v>1:20</v>
      </c>
      <c r="O14" s="1545" t="s">
        <v>10794</v>
      </c>
    </row>
    <row r="15" ht="15.75" customHeight="1">
      <c r="A15" s="1719" t="s">
        <v>330</v>
      </c>
      <c r="B15" s="1487" t="s">
        <v>8649</v>
      </c>
      <c r="C15" s="1720">
        <v>0.05068287037037037</v>
      </c>
      <c r="D15" s="1509" t="s">
        <v>10860</v>
      </c>
      <c r="E15" s="1736" t="s">
        <v>10861</v>
      </c>
      <c r="F15" s="1509" t="s">
        <v>10862</v>
      </c>
      <c r="G15" s="1509" t="s">
        <v>10863</v>
      </c>
      <c r="H15" s="1509" t="s">
        <v>10864</v>
      </c>
      <c r="I15" s="1509" t="s">
        <v>6442</v>
      </c>
      <c r="J15" s="1509" t="s">
        <v>10865</v>
      </c>
      <c r="K15" s="1509" t="s">
        <v>10866</v>
      </c>
      <c r="L15" s="1509" t="s">
        <v>8831</v>
      </c>
      <c r="M15" s="1722">
        <v>0.05164351851851852</v>
      </c>
      <c r="N15" s="1723" t="str">
        <f t="shared" si="1"/>
        <v>1:23</v>
      </c>
      <c r="O15" s="1545" t="s">
        <v>10794</v>
      </c>
    </row>
    <row r="16" ht="15.75" customHeight="1">
      <c r="A16" s="1653" t="s">
        <v>2228</v>
      </c>
      <c r="B16" s="1619" t="s">
        <v>8677</v>
      </c>
      <c r="C16" s="1737">
        <v>0.05096064814814815</v>
      </c>
      <c r="D16" s="1726" t="s">
        <v>10867</v>
      </c>
      <c r="E16" s="1738" t="s">
        <v>10868</v>
      </c>
      <c r="F16" s="1738" t="s">
        <v>10869</v>
      </c>
      <c r="G16" s="1738" t="s">
        <v>10870</v>
      </c>
      <c r="H16" s="1738" t="s">
        <v>10871</v>
      </c>
      <c r="I16" s="1738" t="s">
        <v>10872</v>
      </c>
      <c r="J16" s="1738" t="s">
        <v>10873</v>
      </c>
      <c r="K16" s="1509" t="s">
        <v>10874</v>
      </c>
      <c r="L16" s="1739" t="s">
        <v>8698</v>
      </c>
      <c r="M16" s="1722">
        <v>0.0528125</v>
      </c>
      <c r="N16" s="1723" t="str">
        <f t="shared" si="1"/>
        <v>2:40</v>
      </c>
      <c r="O16" s="1545" t="s">
        <v>10794</v>
      </c>
    </row>
    <row r="17" ht="15.75" customHeight="1">
      <c r="A17" s="1740" t="s">
        <v>2644</v>
      </c>
      <c r="B17" s="1487" t="s">
        <v>8649</v>
      </c>
      <c r="C17" s="1741">
        <v>0.05103009259259259</v>
      </c>
      <c r="D17" s="1509" t="s">
        <v>10875</v>
      </c>
      <c r="E17" s="1736" t="s">
        <v>10375</v>
      </c>
      <c r="F17" s="1509" t="s">
        <v>10876</v>
      </c>
      <c r="G17" s="1509" t="s">
        <v>10877</v>
      </c>
      <c r="H17" s="1716" t="s">
        <v>10878</v>
      </c>
      <c r="I17" s="1509" t="s">
        <v>10879</v>
      </c>
      <c r="J17" s="1509" t="s">
        <v>10880</v>
      </c>
      <c r="K17" s="1509" t="s">
        <v>10881</v>
      </c>
      <c r="L17" s="1509" t="s">
        <v>10882</v>
      </c>
      <c r="M17" s="1722">
        <v>0.051909722222222225</v>
      </c>
      <c r="N17" s="1723" t="str">
        <f t="shared" si="1"/>
        <v>1:16</v>
      </c>
      <c r="O17" s="1545" t="s">
        <v>10794</v>
      </c>
    </row>
    <row r="18" ht="15.75" customHeight="1">
      <c r="A18" s="1653" t="s">
        <v>2266</v>
      </c>
      <c r="B18" s="1549" t="s">
        <v>8649</v>
      </c>
      <c r="C18" s="1720">
        <v>0.051145833333333335</v>
      </c>
      <c r="D18" s="795" t="s">
        <v>10883</v>
      </c>
      <c r="E18" s="1510" t="s">
        <v>10884</v>
      </c>
      <c r="F18" s="1509" t="s">
        <v>10885</v>
      </c>
      <c r="G18" s="1509" t="s">
        <v>10886</v>
      </c>
      <c r="H18" s="1509" t="s">
        <v>10887</v>
      </c>
      <c r="I18" s="1509" t="s">
        <v>10888</v>
      </c>
      <c r="J18" s="1509" t="s">
        <v>10889</v>
      </c>
      <c r="K18" s="1509" t="s">
        <v>10890</v>
      </c>
      <c r="L18" s="1509" t="s">
        <v>3109</v>
      </c>
      <c r="M18" s="1722">
        <v>0.05228009259259259</v>
      </c>
      <c r="N18" s="1723" t="str">
        <f t="shared" si="1"/>
        <v>1:38</v>
      </c>
      <c r="O18" s="1545" t="s">
        <v>10891</v>
      </c>
    </row>
    <row r="19" ht="15.75" customHeight="1">
      <c r="A19" s="1719" t="s">
        <v>1418</v>
      </c>
      <c r="B19" s="1487" t="s">
        <v>8649</v>
      </c>
      <c r="C19" s="1720">
        <v>0.05122685185185185</v>
      </c>
      <c r="D19" s="1509" t="s">
        <v>10892</v>
      </c>
      <c r="E19" s="1736" t="s">
        <v>8705</v>
      </c>
      <c r="F19" s="1509" t="s">
        <v>10893</v>
      </c>
      <c r="G19" s="1509" t="s">
        <v>10894</v>
      </c>
      <c r="H19" s="1509" t="s">
        <v>10763</v>
      </c>
      <c r="I19" s="1509" t="s">
        <v>10895</v>
      </c>
      <c r="J19" s="1509" t="s">
        <v>10896</v>
      </c>
      <c r="K19" s="1509" t="s">
        <v>10897</v>
      </c>
      <c r="L19" s="1509" t="s">
        <v>10898</v>
      </c>
      <c r="M19" s="1722">
        <v>0.052037037037037034</v>
      </c>
      <c r="N19" s="1723" t="str">
        <f t="shared" si="1"/>
        <v>1:10</v>
      </c>
      <c r="O19" s="1545" t="s">
        <v>10794</v>
      </c>
    </row>
    <row r="20" ht="15.75" customHeight="1">
      <c r="A20" s="1653" t="s">
        <v>1728</v>
      </c>
      <c r="B20" s="1549" t="s">
        <v>8649</v>
      </c>
      <c r="C20" s="1720">
        <v>0.05122685185185185</v>
      </c>
      <c r="D20" s="1726" t="s">
        <v>10899</v>
      </c>
      <c r="E20" s="1510" t="s">
        <v>10900</v>
      </c>
      <c r="F20" s="1509" t="s">
        <v>10901</v>
      </c>
      <c r="G20" s="1509" t="s">
        <v>10902</v>
      </c>
      <c r="H20" s="1509" t="s">
        <v>10903</v>
      </c>
      <c r="I20" s="1509" t="s">
        <v>10904</v>
      </c>
      <c r="J20" s="1509" t="s">
        <v>10905</v>
      </c>
      <c r="K20" s="1509" t="s">
        <v>10906</v>
      </c>
      <c r="L20" s="1509" t="s">
        <v>6031</v>
      </c>
      <c r="M20" s="1722">
        <v>0.05224537037037037</v>
      </c>
      <c r="N20" s="1723" t="str">
        <f t="shared" si="1"/>
        <v>1:28</v>
      </c>
      <c r="O20" s="1545" t="s">
        <v>10907</v>
      </c>
    </row>
    <row r="21" ht="15.75" customHeight="1">
      <c r="A21" s="1653" t="s">
        <v>6561</v>
      </c>
      <c r="B21" s="1549" t="s">
        <v>8649</v>
      </c>
      <c r="C21" s="1720">
        <v>0.05133101851851852</v>
      </c>
      <c r="D21" s="1509" t="s">
        <v>10908</v>
      </c>
      <c r="E21" s="1510" t="s">
        <v>10909</v>
      </c>
      <c r="F21" s="1509" t="s">
        <v>10910</v>
      </c>
      <c r="G21" s="1512" t="s">
        <v>10911</v>
      </c>
      <c r="H21" s="1512" t="s">
        <v>10912</v>
      </c>
      <c r="I21" s="1509" t="s">
        <v>10913</v>
      </c>
      <c r="J21" s="1509" t="s">
        <v>10914</v>
      </c>
      <c r="K21" s="1509" t="s">
        <v>10915</v>
      </c>
      <c r="L21" s="1509" t="s">
        <v>10916</v>
      </c>
      <c r="M21" s="1722">
        <v>0.05197916666666667</v>
      </c>
      <c r="N21" s="1723" t="str">
        <f t="shared" si="1"/>
        <v>0:56</v>
      </c>
      <c r="O21" s="1545" t="s">
        <v>10917</v>
      </c>
    </row>
    <row r="22" ht="15.75" customHeight="1">
      <c r="A22" s="1667" t="s">
        <v>9104</v>
      </c>
      <c r="B22" s="1487" t="s">
        <v>8649</v>
      </c>
      <c r="C22" s="1724">
        <v>0.05144675925925926</v>
      </c>
      <c r="D22" s="1509" t="s">
        <v>10918</v>
      </c>
      <c r="E22" s="1736" t="s">
        <v>10919</v>
      </c>
      <c r="F22" s="1509" t="s">
        <v>10920</v>
      </c>
      <c r="G22" s="1509" t="s">
        <v>10921</v>
      </c>
      <c r="H22" s="1509" t="s">
        <v>10922</v>
      </c>
      <c r="I22" s="1509" t="s">
        <v>10923</v>
      </c>
      <c r="J22" s="1509" t="s">
        <v>10924</v>
      </c>
      <c r="K22" s="1509" t="s">
        <v>10925</v>
      </c>
      <c r="L22" s="960" t="s">
        <v>8982</v>
      </c>
      <c r="M22" s="1722">
        <v>0.05258101851851852</v>
      </c>
      <c r="N22" s="1723" t="str">
        <f t="shared" si="1"/>
        <v>1:38</v>
      </c>
      <c r="O22" s="1545" t="s">
        <v>10794</v>
      </c>
    </row>
    <row r="23" ht="15.75" customHeight="1">
      <c r="A23" s="1653" t="s">
        <v>9247</v>
      </c>
      <c r="B23" s="1549" t="s">
        <v>8677</v>
      </c>
      <c r="C23" s="1720">
        <v>0.05146990740740741</v>
      </c>
      <c r="D23" s="1738" t="s">
        <v>10768</v>
      </c>
      <c r="E23" s="1510" t="s">
        <v>10207</v>
      </c>
      <c r="F23" s="1510" t="s">
        <v>10769</v>
      </c>
      <c r="G23" s="1510" t="s">
        <v>10770</v>
      </c>
      <c r="H23" s="1510" t="s">
        <v>10771</v>
      </c>
      <c r="I23" s="1509" t="s">
        <v>10926</v>
      </c>
      <c r="J23" s="795" t="s">
        <v>10773</v>
      </c>
      <c r="K23" s="1738" t="s">
        <v>10774</v>
      </c>
      <c r="L23" s="795" t="s">
        <v>9261</v>
      </c>
      <c r="M23" s="1742">
        <v>0.05236111111111111</v>
      </c>
      <c r="N23" s="1723" t="str">
        <f t="shared" si="1"/>
        <v>1:17</v>
      </c>
      <c r="O23" s="1545" t="s">
        <v>10794</v>
      </c>
    </row>
    <row r="24" ht="15.75" customHeight="1">
      <c r="A24" s="1719" t="s">
        <v>902</v>
      </c>
      <c r="B24" s="1487" t="s">
        <v>8649</v>
      </c>
      <c r="C24" s="1724">
        <v>0.051550925925925924</v>
      </c>
      <c r="D24" s="1509" t="s">
        <v>10927</v>
      </c>
      <c r="E24" s="1736" t="s">
        <v>10192</v>
      </c>
      <c r="F24" s="1509" t="s">
        <v>10928</v>
      </c>
      <c r="G24" s="1509" t="s">
        <v>10929</v>
      </c>
      <c r="H24" s="1509" t="s">
        <v>10930</v>
      </c>
      <c r="I24" s="1509" t="s">
        <v>10931</v>
      </c>
      <c r="J24" s="1509" t="s">
        <v>10932</v>
      </c>
      <c r="K24" s="1509" t="s">
        <v>10933</v>
      </c>
      <c r="L24" s="960" t="s">
        <v>10934</v>
      </c>
      <c r="M24" s="1722">
        <v>0.05229166666666667</v>
      </c>
      <c r="N24" s="1723" t="str">
        <f t="shared" si="1"/>
        <v>1:04</v>
      </c>
      <c r="O24" s="1545" t="s">
        <v>10794</v>
      </c>
    </row>
    <row r="25">
      <c r="A25" s="1729" t="s">
        <v>1812</v>
      </c>
      <c r="B25" s="1619" t="s">
        <v>8701</v>
      </c>
      <c r="C25" s="1743">
        <v>0.05158564814814815</v>
      </c>
      <c r="D25" s="1744" t="s">
        <v>10775</v>
      </c>
      <c r="E25" s="1745" t="s">
        <v>10776</v>
      </c>
      <c r="F25" s="1744" t="s">
        <v>10777</v>
      </c>
      <c r="G25" s="1744" t="s">
        <v>10778</v>
      </c>
      <c r="H25" s="1744" t="s">
        <v>10779</v>
      </c>
      <c r="I25" s="1744" t="s">
        <v>10780</v>
      </c>
      <c r="J25" s="1744" t="s">
        <v>10781</v>
      </c>
      <c r="K25" s="1744" t="s">
        <v>10782</v>
      </c>
      <c r="L25" s="1744" t="s">
        <v>8730</v>
      </c>
      <c r="M25" s="1746">
        <v>0.052141203703703703</v>
      </c>
      <c r="N25" s="1723" t="str">
        <f t="shared" si="1"/>
        <v>0:48</v>
      </c>
      <c r="O25" s="1545" t="s">
        <v>10935</v>
      </c>
    </row>
    <row r="26" ht="15.75" customHeight="1">
      <c r="A26" s="1228" t="s">
        <v>2793</v>
      </c>
      <c r="B26" s="1549" t="s">
        <v>8649</v>
      </c>
      <c r="C26" s="1724">
        <v>0.051706365740740744</v>
      </c>
      <c r="D26" s="795" t="s">
        <v>10936</v>
      </c>
      <c r="E26" s="1510" t="s">
        <v>10937</v>
      </c>
      <c r="F26" s="1509" t="s">
        <v>10938</v>
      </c>
      <c r="G26" s="1509" t="s">
        <v>10939</v>
      </c>
      <c r="H26" s="1509" t="s">
        <v>10940</v>
      </c>
      <c r="I26" s="1509" t="s">
        <v>10941</v>
      </c>
      <c r="J26" s="1509" t="s">
        <v>10942</v>
      </c>
      <c r="K26" s="1509" t="s">
        <v>10943</v>
      </c>
      <c r="L26" s="1509" t="s">
        <v>9560</v>
      </c>
      <c r="M26" s="1722">
        <v>0.0525</v>
      </c>
      <c r="N26" s="1722" t="str">
        <f t="shared" si="1"/>
        <v>1:09</v>
      </c>
      <c r="O26" s="1545"/>
    </row>
    <row r="27" ht="15.75" customHeight="1">
      <c r="A27" s="1747" t="s">
        <v>2103</v>
      </c>
      <c r="B27" s="1611" t="s">
        <v>8649</v>
      </c>
      <c r="C27" s="1724">
        <v>0.05171296296296296</v>
      </c>
      <c r="D27" s="1748" t="s">
        <v>10944</v>
      </c>
      <c r="E27" s="1748" t="s">
        <v>10945</v>
      </c>
      <c r="F27" s="1748" t="s">
        <v>10946</v>
      </c>
      <c r="G27" s="1748" t="s">
        <v>10947</v>
      </c>
      <c r="H27" s="795" t="s">
        <v>10948</v>
      </c>
      <c r="I27" s="1748" t="s">
        <v>10949</v>
      </c>
      <c r="J27" s="795" t="s">
        <v>10950</v>
      </c>
      <c r="K27" s="1748" t="s">
        <v>10951</v>
      </c>
      <c r="L27" s="795" t="s">
        <v>8148</v>
      </c>
      <c r="M27" s="1722">
        <v>0.054375</v>
      </c>
      <c r="N27" s="1723" t="str">
        <f t="shared" si="1"/>
        <v>3:50</v>
      </c>
      <c r="O27" s="1545" t="s">
        <v>10952</v>
      </c>
    </row>
    <row r="28" ht="15.75" customHeight="1">
      <c r="A28" s="1653" t="s">
        <v>3084</v>
      </c>
      <c r="B28" s="1549" t="s">
        <v>8649</v>
      </c>
      <c r="C28" s="1720">
        <v>0.05180160879629629</v>
      </c>
      <c r="D28" s="795" t="s">
        <v>10953</v>
      </c>
      <c r="E28" s="1510" t="s">
        <v>10954</v>
      </c>
      <c r="F28" s="1509" t="s">
        <v>10955</v>
      </c>
      <c r="G28" s="1509" t="s">
        <v>10956</v>
      </c>
      <c r="H28" s="1509" t="s">
        <v>10957</v>
      </c>
      <c r="I28" s="1509" t="s">
        <v>10958</v>
      </c>
      <c r="J28" s="1509" t="s">
        <v>10959</v>
      </c>
      <c r="K28" s="1509" t="s">
        <v>10960</v>
      </c>
      <c r="L28" s="1509" t="s">
        <v>10961</v>
      </c>
      <c r="M28" s="1722">
        <v>0.05303240740740741</v>
      </c>
      <c r="N28" s="1723" t="str">
        <f t="shared" si="1"/>
        <v>1:46</v>
      </c>
      <c r="O28" s="1545"/>
    </row>
    <row r="29" ht="15.75" customHeight="1">
      <c r="A29" s="1228" t="s">
        <v>1349</v>
      </c>
      <c r="B29" s="1619" t="s">
        <v>8701</v>
      </c>
      <c r="C29" s="1724">
        <v>0.052088194444444444</v>
      </c>
      <c r="D29" s="795" t="s">
        <v>10962</v>
      </c>
      <c r="E29" s="1510" t="s">
        <v>10963</v>
      </c>
      <c r="F29" s="1509" t="s">
        <v>10964</v>
      </c>
      <c r="G29" s="1509" t="s">
        <v>10965</v>
      </c>
      <c r="H29" s="1509" t="s">
        <v>10966</v>
      </c>
      <c r="I29" s="1509" t="s">
        <v>10967</v>
      </c>
      <c r="J29" s="1509" t="s">
        <v>10968</v>
      </c>
      <c r="K29" s="1509" t="s">
        <v>10969</v>
      </c>
      <c r="L29" s="1509" t="s">
        <v>9872</v>
      </c>
      <c r="M29" s="1722">
        <v>0.053043981481481484</v>
      </c>
      <c r="N29" s="1723" t="str">
        <f t="shared" si="1"/>
        <v>1:23</v>
      </c>
      <c r="O29" s="1545" t="s">
        <v>10794</v>
      </c>
    </row>
    <row r="30" ht="15.75" customHeight="1">
      <c r="A30" s="1228" t="s">
        <v>2540</v>
      </c>
      <c r="B30" s="1549" t="s">
        <v>8677</v>
      </c>
      <c r="C30" s="1724">
        <v>0.05215277777777778</v>
      </c>
      <c r="D30" s="1509" t="s">
        <v>10970</v>
      </c>
      <c r="E30" s="1509" t="s">
        <v>5956</v>
      </c>
      <c r="F30" s="1509" t="s">
        <v>10971</v>
      </c>
      <c r="G30" s="1509" t="s">
        <v>10972</v>
      </c>
      <c r="H30" s="1509" t="s">
        <v>10973</v>
      </c>
      <c r="I30" s="1509" t="s">
        <v>10844</v>
      </c>
      <c r="J30" s="1509" t="s">
        <v>10974</v>
      </c>
      <c r="K30" s="1509" t="s">
        <v>10975</v>
      </c>
      <c r="L30" s="1509" t="s">
        <v>9610</v>
      </c>
      <c r="M30" s="1722">
        <v>0.05399305555555556</v>
      </c>
      <c r="N30" s="1723" t="str">
        <f t="shared" si="1"/>
        <v>2:39</v>
      </c>
      <c r="O30" s="1545" t="s">
        <v>10976</v>
      </c>
    </row>
    <row r="31" ht="15.75" customHeight="1">
      <c r="A31" s="1653" t="s">
        <v>2979</v>
      </c>
      <c r="B31" s="1549" t="s">
        <v>8649</v>
      </c>
      <c r="C31" s="1720">
        <v>0.05216435185185185</v>
      </c>
      <c r="D31" s="1509" t="s">
        <v>10977</v>
      </c>
      <c r="E31" s="1510" t="s">
        <v>10978</v>
      </c>
      <c r="F31" s="1509" t="s">
        <v>10979</v>
      </c>
      <c r="G31" s="1509" t="s">
        <v>10980</v>
      </c>
      <c r="H31" s="1509" t="s">
        <v>10981</v>
      </c>
      <c r="I31" s="1509" t="s">
        <v>10982</v>
      </c>
      <c r="J31" s="1509" t="s">
        <v>10983</v>
      </c>
      <c r="K31" s="1509" t="s">
        <v>10984</v>
      </c>
      <c r="L31" s="1509" t="s">
        <v>10985</v>
      </c>
      <c r="M31" s="1722">
        <v>0.05337962962962963</v>
      </c>
      <c r="N31" s="1723" t="str">
        <f t="shared" si="1"/>
        <v>1:45</v>
      </c>
      <c r="O31" s="1545" t="s">
        <v>10986</v>
      </c>
    </row>
    <row r="32" ht="15.75" customHeight="1">
      <c r="A32" s="1228" t="s">
        <v>740</v>
      </c>
      <c r="B32" s="1549" t="s">
        <v>8677</v>
      </c>
      <c r="C32" s="1724">
        <v>0.05224537037037037</v>
      </c>
      <c r="D32" s="1509" t="s">
        <v>10987</v>
      </c>
      <c r="E32" s="1749" t="s">
        <v>10988</v>
      </c>
      <c r="F32" s="1509" t="s">
        <v>10989</v>
      </c>
      <c r="G32" s="1509" t="s">
        <v>10990</v>
      </c>
      <c r="H32" s="1509" t="s">
        <v>10991</v>
      </c>
      <c r="I32" s="1509" t="s">
        <v>10772</v>
      </c>
      <c r="J32" s="1509" t="s">
        <v>10992</v>
      </c>
      <c r="K32" s="1512" t="s">
        <v>10993</v>
      </c>
      <c r="L32" s="1509" t="s">
        <v>10994</v>
      </c>
      <c r="M32" s="1722">
        <v>0.053043981481481484</v>
      </c>
      <c r="N32" s="1723" t="str">
        <f t="shared" si="1"/>
        <v>1:09</v>
      </c>
      <c r="O32" s="1545" t="s">
        <v>10995</v>
      </c>
    </row>
    <row r="33" ht="15.75" customHeight="1">
      <c r="A33" s="1653" t="s">
        <v>3084</v>
      </c>
      <c r="B33" s="1619" t="s">
        <v>8677</v>
      </c>
      <c r="C33" s="1720">
        <v>0.052316898148148154</v>
      </c>
      <c r="D33" s="795" t="s">
        <v>10996</v>
      </c>
      <c r="E33" s="1510" t="s">
        <v>10997</v>
      </c>
      <c r="F33" s="1509" t="s">
        <v>10998</v>
      </c>
      <c r="G33" s="1509" t="s">
        <v>10999</v>
      </c>
      <c r="H33" s="1509" t="s">
        <v>11000</v>
      </c>
      <c r="I33" s="1509" t="s">
        <v>11001</v>
      </c>
      <c r="J33" s="1509" t="s">
        <v>11002</v>
      </c>
      <c r="K33" s="1509" t="s">
        <v>11003</v>
      </c>
      <c r="L33" s="1509" t="s">
        <v>9339</v>
      </c>
      <c r="M33" s="1722">
        <v>0.05376157407407407</v>
      </c>
      <c r="N33" s="1723" t="str">
        <f t="shared" si="1"/>
        <v>2:05</v>
      </c>
      <c r="O33" s="1545" t="s">
        <v>10794</v>
      </c>
    </row>
    <row r="34" ht="15.75" customHeight="1">
      <c r="A34" s="1228" t="s">
        <v>3984</v>
      </c>
      <c r="B34" s="1549" t="s">
        <v>8649</v>
      </c>
      <c r="C34" s="1724">
        <v>0.05238425925925926</v>
      </c>
      <c r="D34" s="1726" t="s">
        <v>11004</v>
      </c>
      <c r="E34" s="1510" t="s">
        <v>10978</v>
      </c>
      <c r="F34" s="1509" t="s">
        <v>11005</v>
      </c>
      <c r="G34" s="1750" t="s">
        <v>11006</v>
      </c>
      <c r="H34" s="1509" t="s">
        <v>11007</v>
      </c>
      <c r="I34" s="1509" t="s">
        <v>11008</v>
      </c>
      <c r="J34" s="1509" t="s">
        <v>11009</v>
      </c>
      <c r="K34" s="1509" t="s">
        <v>11010</v>
      </c>
      <c r="L34" s="1509" t="s">
        <v>9890</v>
      </c>
      <c r="M34" s="1722">
        <v>0.05340277777777778</v>
      </c>
      <c r="N34" s="1723" t="str">
        <f t="shared" si="1"/>
        <v>1:28</v>
      </c>
      <c r="O34" s="1545" t="s">
        <v>11011</v>
      </c>
    </row>
    <row r="35" ht="15.75" customHeight="1">
      <c r="A35" s="1228" t="s">
        <v>2922</v>
      </c>
      <c r="B35" s="1549" t="s">
        <v>8649</v>
      </c>
      <c r="C35" s="1724">
        <v>0.0525</v>
      </c>
      <c r="D35" s="795" t="s">
        <v>11012</v>
      </c>
      <c r="E35" s="1510" t="s">
        <v>11013</v>
      </c>
      <c r="F35" s="1509" t="s">
        <v>11014</v>
      </c>
      <c r="G35" s="1509" t="s">
        <v>11015</v>
      </c>
      <c r="H35" s="1509" t="s">
        <v>11016</v>
      </c>
      <c r="I35" s="1509" t="s">
        <v>11017</v>
      </c>
      <c r="J35" s="1509" t="s">
        <v>11018</v>
      </c>
      <c r="K35" s="1509" t="s">
        <v>11019</v>
      </c>
      <c r="L35" s="1509" t="s">
        <v>700</v>
      </c>
      <c r="M35" s="1722">
        <v>0.053773148148148146</v>
      </c>
      <c r="N35" s="1723" t="str">
        <f t="shared" si="1"/>
        <v>1:50</v>
      </c>
      <c r="O35" s="1545" t="s">
        <v>11020</v>
      </c>
    </row>
    <row r="36" ht="15.75" customHeight="1">
      <c r="A36" s="1653" t="s">
        <v>9916</v>
      </c>
      <c r="B36" s="1549" t="s">
        <v>8649</v>
      </c>
      <c r="C36" s="1720">
        <v>0.05268518518518518</v>
      </c>
      <c r="D36" s="795" t="s">
        <v>11021</v>
      </c>
      <c r="E36" s="1510" t="s">
        <v>11022</v>
      </c>
      <c r="F36" s="1509" t="s">
        <v>11023</v>
      </c>
      <c r="G36" s="1509" t="s">
        <v>11024</v>
      </c>
      <c r="H36" s="1509" t="s">
        <v>11025</v>
      </c>
      <c r="I36" s="1509" t="s">
        <v>7976</v>
      </c>
      <c r="J36" s="1509" t="s">
        <v>11026</v>
      </c>
      <c r="K36" s="1509" t="s">
        <v>11027</v>
      </c>
      <c r="L36" s="1509" t="s">
        <v>9934</v>
      </c>
      <c r="M36" s="1722">
        <v>0.05331018518518518</v>
      </c>
      <c r="N36" s="1723" t="str">
        <f t="shared" si="1"/>
        <v>0:54</v>
      </c>
      <c r="O36" s="1545" t="s">
        <v>11028</v>
      </c>
    </row>
    <row r="37" ht="15.75" customHeight="1">
      <c r="A37" s="1653" t="s">
        <v>3681</v>
      </c>
      <c r="B37" s="1728" t="s">
        <v>8649</v>
      </c>
      <c r="C37" s="1720">
        <v>0.05270034722222223</v>
      </c>
      <c r="D37" s="1726" t="s">
        <v>11029</v>
      </c>
      <c r="E37" s="1510" t="s">
        <v>11030</v>
      </c>
      <c r="F37" s="1509" t="s">
        <v>11031</v>
      </c>
      <c r="G37" s="1509" t="s">
        <v>11032</v>
      </c>
      <c r="H37" s="1509" t="s">
        <v>11033</v>
      </c>
      <c r="I37" s="1509" t="s">
        <v>11034</v>
      </c>
      <c r="J37" s="1509" t="s">
        <v>11035</v>
      </c>
      <c r="K37" s="1509" t="s">
        <v>11036</v>
      </c>
      <c r="L37" s="1509" t="s">
        <v>11037</v>
      </c>
      <c r="M37" s="1722">
        <v>0.05425925925925926</v>
      </c>
      <c r="N37" s="1723" t="str">
        <f t="shared" si="1"/>
        <v>2:15</v>
      </c>
      <c r="O37" s="1545" t="s">
        <v>10794</v>
      </c>
    </row>
    <row r="38">
      <c r="A38" s="1751" t="s">
        <v>3474</v>
      </c>
      <c r="B38" s="1728" t="s">
        <v>8649</v>
      </c>
      <c r="C38" s="1720">
        <v>0.053009259259259256</v>
      </c>
      <c r="D38" s="1726" t="s">
        <v>11038</v>
      </c>
      <c r="E38" s="1510" t="s">
        <v>11039</v>
      </c>
      <c r="F38" s="1509" t="s">
        <v>11040</v>
      </c>
      <c r="G38" s="1509" t="s">
        <v>11041</v>
      </c>
      <c r="H38" s="1509" t="s">
        <v>11042</v>
      </c>
      <c r="I38" s="1509" t="s">
        <v>11043</v>
      </c>
      <c r="J38" s="1509" t="s">
        <v>11044</v>
      </c>
      <c r="K38" s="1509" t="s">
        <v>11045</v>
      </c>
      <c r="L38" s="1509" t="s">
        <v>11046</v>
      </c>
      <c r="M38" s="1722">
        <v>0.05372685185185185</v>
      </c>
      <c r="N38" s="1723" t="str">
        <f t="shared" si="1"/>
        <v>1:02</v>
      </c>
      <c r="O38" s="1545" t="s">
        <v>10794</v>
      </c>
    </row>
    <row r="39" ht="15.75" customHeight="1">
      <c r="A39" s="1228" t="s">
        <v>985</v>
      </c>
      <c r="B39" s="1698" t="s">
        <v>8677</v>
      </c>
      <c r="C39" s="1724">
        <v>0.05378472222222222</v>
      </c>
      <c r="D39" s="795" t="s">
        <v>11047</v>
      </c>
      <c r="E39" s="1510" t="s">
        <v>11048</v>
      </c>
      <c r="F39" s="1509" t="s">
        <v>11049</v>
      </c>
      <c r="G39" s="1509" t="s">
        <v>11050</v>
      </c>
      <c r="H39" s="1509" t="s">
        <v>11051</v>
      </c>
      <c r="I39" s="1509" t="s">
        <v>8259</v>
      </c>
      <c r="J39" s="1509" t="s">
        <v>11052</v>
      </c>
      <c r="K39" s="1509" t="s">
        <v>11053</v>
      </c>
      <c r="L39" s="1509" t="s">
        <v>9657</v>
      </c>
      <c r="M39" s="1722">
        <v>0.054560185185185184</v>
      </c>
      <c r="N39" s="1723" t="str">
        <f t="shared" si="1"/>
        <v>1:07</v>
      </c>
      <c r="O39" s="1545"/>
    </row>
    <row r="40" ht="15.75" customHeight="1">
      <c r="A40" s="1228" t="s">
        <v>4917</v>
      </c>
      <c r="B40" s="1619" t="s">
        <v>8677</v>
      </c>
      <c r="C40" s="1724">
        <v>0.05748842592592593</v>
      </c>
      <c r="D40" s="795" t="s">
        <v>11054</v>
      </c>
      <c r="E40" s="1510" t="s">
        <v>11055</v>
      </c>
      <c r="F40" s="1509" t="s">
        <v>11056</v>
      </c>
      <c r="G40" s="1509" t="s">
        <v>11057</v>
      </c>
      <c r="H40" s="1509" t="s">
        <v>11058</v>
      </c>
      <c r="I40" s="1509" t="s">
        <v>11059</v>
      </c>
      <c r="J40" s="1509" t="s">
        <v>11060</v>
      </c>
      <c r="K40" s="1509" t="s">
        <v>11061</v>
      </c>
      <c r="L40" s="1509" t="s">
        <v>10671</v>
      </c>
      <c r="M40" s="1722">
        <v>0.06149305555555556</v>
      </c>
      <c r="N40" s="1723" t="str">
        <f t="shared" si="1"/>
        <v>5:46</v>
      </c>
      <c r="O40" s="1545" t="s">
        <v>10794</v>
      </c>
    </row>
    <row r="41" ht="15.75" customHeight="1">
      <c r="A41" s="1228" t="s">
        <v>6519</v>
      </c>
      <c r="B41" s="1654" t="s">
        <v>10702</v>
      </c>
      <c r="C41" s="1752">
        <v>0.06118055555555556</v>
      </c>
      <c r="D41" s="1662" t="s">
        <v>11062</v>
      </c>
      <c r="E41" s="1753" t="s">
        <v>8573</v>
      </c>
      <c r="F41" s="1753" t="s">
        <v>11063</v>
      </c>
      <c r="G41" s="1753" t="s">
        <v>11064</v>
      </c>
      <c r="H41" s="1753" t="s">
        <v>11065</v>
      </c>
      <c r="I41" s="1753" t="s">
        <v>8251</v>
      </c>
      <c r="J41" s="1753" t="s">
        <v>11066</v>
      </c>
      <c r="K41" s="1753" t="s">
        <v>11067</v>
      </c>
      <c r="L41" s="1753" t="s">
        <v>11068</v>
      </c>
      <c r="M41" s="1754">
        <v>0.06646990740740741</v>
      </c>
      <c r="N41" s="1753" t="s">
        <v>11069</v>
      </c>
      <c r="O41" s="1545" t="s">
        <v>11070</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8611</v>
      </c>
      <c r="C1" s="1780" t="s">
        <v>10758</v>
      </c>
      <c r="D1" s="1033" t="s">
        <v>6805</v>
      </c>
      <c r="E1" s="1781" t="s">
        <v>7106</v>
      </c>
      <c r="F1" s="1782" t="s">
        <v>38</v>
      </c>
      <c r="G1" s="1783" t="s">
        <v>36</v>
      </c>
      <c r="H1" s="1780" t="s">
        <v>10759</v>
      </c>
      <c r="I1" s="1784" t="s">
        <v>39</v>
      </c>
      <c r="J1" s="1037" t="s">
        <v>7046</v>
      </c>
      <c r="K1" s="1432" t="s">
        <v>8645</v>
      </c>
      <c r="L1" s="1683" t="s">
        <v>8647</v>
      </c>
    </row>
    <row r="2" ht="15.75" customHeight="1">
      <c r="A2" s="1684" t="s">
        <v>8648</v>
      </c>
      <c r="B2" s="1685" t="s">
        <v>8649</v>
      </c>
      <c r="C2" s="1785" t="s">
        <v>10760</v>
      </c>
      <c r="D2" s="1786" t="s">
        <v>11071</v>
      </c>
      <c r="E2" s="1787" t="s">
        <v>11072</v>
      </c>
      <c r="F2" s="1788" t="s">
        <v>11073</v>
      </c>
      <c r="G2" s="1789" t="s">
        <v>11074</v>
      </c>
      <c r="H2" s="1785" t="s">
        <v>11075</v>
      </c>
      <c r="I2" s="1790" t="s">
        <v>11076</v>
      </c>
      <c r="J2" s="1791" t="s">
        <v>11077</v>
      </c>
      <c r="K2" s="1792" t="s">
        <v>8675</v>
      </c>
      <c r="L2" s="1793"/>
    </row>
    <row r="3" ht="15.75" customHeight="1">
      <c r="A3" s="1697" t="s">
        <v>8676</v>
      </c>
      <c r="B3" s="1698" t="s">
        <v>8677</v>
      </c>
      <c r="C3" s="1458" t="s">
        <v>10970</v>
      </c>
      <c r="D3" s="1467" t="s">
        <v>11078</v>
      </c>
      <c r="E3" s="1460" t="s">
        <v>11079</v>
      </c>
      <c r="F3" s="1461" t="s">
        <v>11080</v>
      </c>
      <c r="G3" s="1464" t="s">
        <v>11081</v>
      </c>
      <c r="H3" s="1458" t="s">
        <v>11082</v>
      </c>
      <c r="I3" s="1466" t="s">
        <v>11083</v>
      </c>
      <c r="J3" s="1469" t="s">
        <v>11084</v>
      </c>
      <c r="K3" s="1699">
        <v>0.053043981481481484</v>
      </c>
      <c r="L3" s="1794"/>
    </row>
    <row r="4" ht="15.75" customHeight="1">
      <c r="A4" s="1702" t="s">
        <v>8700</v>
      </c>
      <c r="B4" s="1703" t="s">
        <v>8701</v>
      </c>
      <c r="C4" s="1795" t="s">
        <v>10962</v>
      </c>
      <c r="D4" s="1796" t="s">
        <v>11085</v>
      </c>
      <c r="E4" s="1797" t="s">
        <v>11086</v>
      </c>
      <c r="F4" s="1708" t="s">
        <v>11087</v>
      </c>
      <c r="G4" s="1798" t="s">
        <v>11088</v>
      </c>
      <c r="H4" s="1795" t="s">
        <v>11089</v>
      </c>
      <c r="I4" s="1710" t="s">
        <v>11090</v>
      </c>
      <c r="J4" s="1711" t="s">
        <v>11091</v>
      </c>
      <c r="K4" s="1704">
        <v>0.053043981481481484</v>
      </c>
      <c r="L4" s="1793"/>
    </row>
    <row r="5" ht="15.75" customHeight="1">
      <c r="A5" s="1228" t="s">
        <v>1060</v>
      </c>
      <c r="B5" s="1549" t="s">
        <v>8649</v>
      </c>
      <c r="C5" s="1715" t="s">
        <v>10760</v>
      </c>
      <c r="D5" s="1715" t="s">
        <v>11071</v>
      </c>
      <c r="E5" s="1715" t="s">
        <v>11072</v>
      </c>
      <c r="F5" s="1715" t="s">
        <v>11073</v>
      </c>
      <c r="G5" s="1799" t="s">
        <v>11092</v>
      </c>
      <c r="H5" s="1799" t="s">
        <v>11075</v>
      </c>
      <c r="I5" s="1799" t="s">
        <v>11076</v>
      </c>
      <c r="J5" s="1799" t="s">
        <v>11077</v>
      </c>
      <c r="K5" s="1800" t="s">
        <v>8675</v>
      </c>
      <c r="L5" s="1545" t="s">
        <v>11093</v>
      </c>
    </row>
    <row r="6" ht="15.75" customHeight="1">
      <c r="A6" s="1667" t="s">
        <v>1812</v>
      </c>
      <c r="B6" s="1801" t="s">
        <v>8649</v>
      </c>
      <c r="C6" s="1802" t="s">
        <v>10795</v>
      </c>
      <c r="D6" s="1803" t="s">
        <v>11094</v>
      </c>
      <c r="E6" s="1804" t="s">
        <v>11095</v>
      </c>
      <c r="F6" s="1805" t="s">
        <v>11096</v>
      </c>
      <c r="G6" s="1806" t="s">
        <v>11097</v>
      </c>
      <c r="H6" s="1807" t="s">
        <v>11098</v>
      </c>
      <c r="I6" s="1808" t="s">
        <v>11099</v>
      </c>
      <c r="J6" s="1809" t="s">
        <v>11100</v>
      </c>
      <c r="K6" s="1509" t="s">
        <v>8806</v>
      </c>
      <c r="L6" s="1810" t="s">
        <v>11101</v>
      </c>
    </row>
    <row r="7" ht="15.75" customHeight="1">
      <c r="A7" s="1811" t="s">
        <v>6509</v>
      </c>
      <c r="B7" s="1549" t="s">
        <v>8649</v>
      </c>
      <c r="C7" s="1644" t="s">
        <v>10803</v>
      </c>
      <c r="D7" s="1509" t="s">
        <v>11102</v>
      </c>
      <c r="E7" s="1509" t="s">
        <v>11103</v>
      </c>
      <c r="F7" s="1509" t="s">
        <v>11104</v>
      </c>
      <c r="G7" s="1812" t="s">
        <v>11105</v>
      </c>
      <c r="H7" s="1812" t="s">
        <v>11106</v>
      </c>
      <c r="I7" s="1812" t="s">
        <v>11107</v>
      </c>
      <c r="J7" s="1812" t="s">
        <v>11108</v>
      </c>
      <c r="K7" s="1509" t="s">
        <v>8854</v>
      </c>
      <c r="L7" s="1545"/>
    </row>
    <row r="8" ht="15.75" customHeight="1">
      <c r="A8" s="1719" t="s">
        <v>436</v>
      </c>
      <c r="B8" s="1487" t="s">
        <v>8649</v>
      </c>
      <c r="C8" s="1644" t="s">
        <v>10788</v>
      </c>
      <c r="D8" s="1509" t="s">
        <v>11109</v>
      </c>
      <c r="E8" s="1509" t="s">
        <v>11110</v>
      </c>
      <c r="F8" s="1509" t="s">
        <v>11111</v>
      </c>
      <c r="G8" s="1101" t="s">
        <v>11112</v>
      </c>
      <c r="H8" s="1802" t="s">
        <v>11113</v>
      </c>
      <c r="I8" s="1808" t="s">
        <v>11114</v>
      </c>
      <c r="J8" s="1809" t="s">
        <v>11115</v>
      </c>
      <c r="K8" s="1509" t="s">
        <v>8761</v>
      </c>
      <c r="L8" s="1545"/>
    </row>
    <row r="9" ht="15.75" customHeight="1">
      <c r="A9" s="1667" t="s">
        <v>6572</v>
      </c>
      <c r="B9" s="1487" t="s">
        <v>8649</v>
      </c>
      <c r="C9" s="1509" t="s">
        <v>11116</v>
      </c>
      <c r="D9" s="1509" t="s">
        <v>11117</v>
      </c>
      <c r="E9" s="1509" t="s">
        <v>11118</v>
      </c>
      <c r="F9" s="1512" t="s">
        <v>11119</v>
      </c>
      <c r="G9" s="1813" t="s">
        <v>11120</v>
      </c>
      <c r="H9" s="1814" t="s">
        <v>11121</v>
      </c>
      <c r="I9" s="1813" t="s">
        <v>11122</v>
      </c>
      <c r="J9" s="1813" t="s">
        <v>11123</v>
      </c>
      <c r="K9" s="1509" t="s">
        <v>8785</v>
      </c>
      <c r="L9" s="1545"/>
    </row>
    <row r="10" ht="15.75" customHeight="1">
      <c r="A10" s="1228" t="s">
        <v>1558</v>
      </c>
      <c r="B10" s="1549" t="s">
        <v>8649</v>
      </c>
      <c r="C10" s="1815" t="s">
        <v>10843</v>
      </c>
      <c r="D10" s="1735" t="s">
        <v>11124</v>
      </c>
      <c r="E10" s="1735" t="s">
        <v>11125</v>
      </c>
      <c r="F10" s="1509" t="s">
        <v>11126</v>
      </c>
      <c r="G10" s="1816" t="s">
        <v>11127</v>
      </c>
      <c r="H10" s="1817" t="s">
        <v>11128</v>
      </c>
      <c r="I10" s="1818" t="s">
        <v>11129</v>
      </c>
      <c r="J10" s="446" t="s">
        <v>11130</v>
      </c>
      <c r="K10" s="1750" t="s">
        <v>9060</v>
      </c>
      <c r="L10" s="1545" t="s">
        <v>11131</v>
      </c>
    </row>
    <row r="11" ht="15.75" customHeight="1">
      <c r="A11" s="1228" t="s">
        <v>2764</v>
      </c>
      <c r="B11" s="1549" t="s">
        <v>8649</v>
      </c>
      <c r="C11" s="1731" t="s">
        <v>10827</v>
      </c>
      <c r="D11" s="1716" t="s">
        <v>11132</v>
      </c>
      <c r="E11" s="1716" t="s">
        <v>11133</v>
      </c>
      <c r="F11" s="1716" t="s">
        <v>11134</v>
      </c>
      <c r="G11" s="1819" t="s">
        <v>11135</v>
      </c>
      <c r="H11" s="1819" t="s">
        <v>11136</v>
      </c>
      <c r="I11" s="1819" t="s">
        <v>11137</v>
      </c>
      <c r="J11" s="1819" t="s">
        <v>11138</v>
      </c>
      <c r="K11" s="1716" t="s">
        <v>9014</v>
      </c>
      <c r="L11" s="1545"/>
    </row>
    <row r="12" ht="15.75" customHeight="1">
      <c r="A12" s="1653" t="s">
        <v>827</v>
      </c>
      <c r="B12" s="1619" t="s">
        <v>8649</v>
      </c>
      <c r="C12" s="1820" t="s">
        <v>10818</v>
      </c>
      <c r="D12" s="1509" t="s">
        <v>11139</v>
      </c>
      <c r="E12" s="1509" t="s">
        <v>11140</v>
      </c>
      <c r="F12" s="1509" t="s">
        <v>11141</v>
      </c>
      <c r="G12" s="1101" t="s">
        <v>11142</v>
      </c>
      <c r="H12" s="1802" t="s">
        <v>11143</v>
      </c>
      <c r="I12" s="1808" t="s">
        <v>11144</v>
      </c>
      <c r="J12" s="1809" t="s">
        <v>11145</v>
      </c>
      <c r="K12" s="1509" t="s">
        <v>8877</v>
      </c>
      <c r="L12" s="1545" t="s">
        <v>11146</v>
      </c>
    </row>
    <row r="13" ht="15.75" customHeight="1">
      <c r="A13" s="1671" t="s">
        <v>2085</v>
      </c>
      <c r="B13" s="1487" t="s">
        <v>8649</v>
      </c>
      <c r="C13" s="1815" t="s">
        <v>10852</v>
      </c>
      <c r="D13" s="1509" t="s">
        <v>11147</v>
      </c>
      <c r="E13" s="1509" t="s">
        <v>11148</v>
      </c>
      <c r="F13" s="1509" t="s">
        <v>11149</v>
      </c>
      <c r="G13" s="1812" t="s">
        <v>11150</v>
      </c>
      <c r="H13" s="1812" t="s">
        <v>11151</v>
      </c>
      <c r="I13" s="1812" t="s">
        <v>11152</v>
      </c>
      <c r="J13" s="1812" t="s">
        <v>11153</v>
      </c>
      <c r="K13" s="1509" t="s">
        <v>9038</v>
      </c>
      <c r="L13" s="1545"/>
    </row>
    <row r="14" ht="15.75" customHeight="1">
      <c r="A14" s="1719" t="s">
        <v>330</v>
      </c>
      <c r="B14" s="1487" t="s">
        <v>8649</v>
      </c>
      <c r="C14" s="1509" t="s">
        <v>11154</v>
      </c>
      <c r="D14" s="1509" t="s">
        <v>11155</v>
      </c>
      <c r="E14" s="1509" t="s">
        <v>11156</v>
      </c>
      <c r="F14" s="1509" t="s">
        <v>11157</v>
      </c>
      <c r="G14" s="1101" t="s">
        <v>11158</v>
      </c>
      <c r="H14" s="1802" t="s">
        <v>11159</v>
      </c>
      <c r="I14" s="1808" t="s">
        <v>11160</v>
      </c>
      <c r="J14" s="1809" t="s">
        <v>11161</v>
      </c>
      <c r="K14" s="1509" t="s">
        <v>8832</v>
      </c>
      <c r="L14" s="1545"/>
    </row>
    <row r="15" ht="16.5" customHeight="1">
      <c r="A15" s="1740" t="s">
        <v>2644</v>
      </c>
      <c r="B15" s="1487" t="s">
        <v>8649</v>
      </c>
      <c r="C15" s="1509" t="s">
        <v>10875</v>
      </c>
      <c r="D15" s="1509" t="s">
        <v>11162</v>
      </c>
      <c r="E15" s="1509" t="s">
        <v>11163</v>
      </c>
      <c r="F15" s="1509" t="s">
        <v>11164</v>
      </c>
      <c r="G15" s="1812" t="s">
        <v>11165</v>
      </c>
      <c r="H15" s="1812" t="s">
        <v>11166</v>
      </c>
      <c r="I15" s="1812" t="s">
        <v>11167</v>
      </c>
      <c r="J15" s="1812" t="s">
        <v>11168</v>
      </c>
      <c r="K15" s="1509" t="s">
        <v>11169</v>
      </c>
      <c r="L15" s="1545" t="s">
        <v>11170</v>
      </c>
    </row>
    <row r="16" ht="15.0" customHeight="1">
      <c r="A16" s="1747" t="s">
        <v>1639</v>
      </c>
      <c r="B16" s="1611" t="s">
        <v>8649</v>
      </c>
      <c r="C16" s="1820" t="s">
        <v>11171</v>
      </c>
      <c r="D16" s="1509" t="s">
        <v>11172</v>
      </c>
      <c r="E16" s="1509" t="s">
        <v>11173</v>
      </c>
      <c r="F16" s="1509" t="s">
        <v>11174</v>
      </c>
      <c r="G16" s="1101" t="s">
        <v>11175</v>
      </c>
      <c r="H16" s="1802" t="s">
        <v>11176</v>
      </c>
      <c r="I16" s="1808" t="s">
        <v>11177</v>
      </c>
      <c r="J16" s="1809" t="s">
        <v>11178</v>
      </c>
      <c r="K16" s="1509" t="s">
        <v>9318</v>
      </c>
      <c r="L16" s="1545"/>
    </row>
    <row r="17" ht="15.75" customHeight="1">
      <c r="A17" s="1228" t="s">
        <v>6561</v>
      </c>
      <c r="B17" s="1487" t="s">
        <v>8649</v>
      </c>
      <c r="C17" s="1509" t="s">
        <v>10908</v>
      </c>
      <c r="D17" s="1509" t="s">
        <v>11179</v>
      </c>
      <c r="E17" s="1509" t="s">
        <v>11180</v>
      </c>
      <c r="F17" s="1509" t="s">
        <v>11181</v>
      </c>
      <c r="G17" s="1812" t="s">
        <v>11182</v>
      </c>
      <c r="H17" s="1812" t="s">
        <v>11183</v>
      </c>
      <c r="I17" s="1812" t="s">
        <v>11184</v>
      </c>
      <c r="J17" s="1812" t="s">
        <v>11185</v>
      </c>
      <c r="K17" s="1509" t="s">
        <v>9219</v>
      </c>
      <c r="L17" s="1545" t="s">
        <v>11186</v>
      </c>
    </row>
    <row r="18" ht="15.75" customHeight="1">
      <c r="A18" s="1719" t="s">
        <v>1418</v>
      </c>
      <c r="B18" s="1487" t="s">
        <v>8649</v>
      </c>
      <c r="C18" s="1509" t="s">
        <v>11187</v>
      </c>
      <c r="D18" s="1509" t="s">
        <v>11188</v>
      </c>
      <c r="E18" s="1509" t="s">
        <v>11189</v>
      </c>
      <c r="F18" s="1509" t="s">
        <v>11190</v>
      </c>
      <c r="G18" s="1101" t="s">
        <v>11191</v>
      </c>
      <c r="H18" s="1802" t="s">
        <v>11192</v>
      </c>
      <c r="I18" s="1808" t="s">
        <v>11193</v>
      </c>
      <c r="J18" s="1809" t="s">
        <v>11194</v>
      </c>
      <c r="K18" s="1509" t="s">
        <v>9197</v>
      </c>
      <c r="L18" s="1545"/>
    </row>
    <row r="19" ht="15.75" customHeight="1">
      <c r="A19" s="1228" t="s">
        <v>2266</v>
      </c>
      <c r="B19" s="1619" t="s">
        <v>8649</v>
      </c>
      <c r="C19" s="1820" t="s">
        <v>10883</v>
      </c>
      <c r="D19" s="1509" t="s">
        <v>11195</v>
      </c>
      <c r="E19" s="1509" t="s">
        <v>11196</v>
      </c>
      <c r="F19" s="1509" t="s">
        <v>11197</v>
      </c>
      <c r="G19" s="1812" t="s">
        <v>11198</v>
      </c>
      <c r="H19" s="1812" t="s">
        <v>11199</v>
      </c>
      <c r="I19" s="1812" t="s">
        <v>11200</v>
      </c>
      <c r="J19" s="1812" t="s">
        <v>11201</v>
      </c>
      <c r="K19" s="1509" t="s">
        <v>9102</v>
      </c>
      <c r="L19" s="1545" t="s">
        <v>11202</v>
      </c>
    </row>
    <row r="20" ht="15.75" customHeight="1">
      <c r="A20" s="1719" t="s">
        <v>902</v>
      </c>
      <c r="B20" s="1487" t="s">
        <v>8649</v>
      </c>
      <c r="C20" s="1509" t="s">
        <v>11203</v>
      </c>
      <c r="D20" s="1509" t="s">
        <v>11204</v>
      </c>
      <c r="E20" s="1509" t="s">
        <v>11205</v>
      </c>
      <c r="F20" s="1509" t="s">
        <v>11206</v>
      </c>
      <c r="G20" s="1101" t="s">
        <v>11207</v>
      </c>
      <c r="H20" s="1802" t="s">
        <v>11208</v>
      </c>
      <c r="I20" s="1808" t="s">
        <v>11209</v>
      </c>
      <c r="J20" s="1809" t="s">
        <v>11210</v>
      </c>
      <c r="K20" s="1509" t="s">
        <v>9469</v>
      </c>
      <c r="L20" s="1545"/>
    </row>
    <row r="21" ht="15.75" customHeight="1">
      <c r="A21" s="1228" t="s">
        <v>1728</v>
      </c>
      <c r="B21" s="1549" t="s">
        <v>8649</v>
      </c>
      <c r="C21" s="1509" t="s">
        <v>11211</v>
      </c>
      <c r="D21" s="1509" t="s">
        <v>11212</v>
      </c>
      <c r="E21" s="1750" t="s">
        <v>11213</v>
      </c>
      <c r="F21" s="1509" t="s">
        <v>11214</v>
      </c>
      <c r="G21" s="1812" t="s">
        <v>11215</v>
      </c>
      <c r="H21" s="1812" t="s">
        <v>11216</v>
      </c>
      <c r="I21" s="1812" t="s">
        <v>11217</v>
      </c>
      <c r="J21" s="1812" t="s">
        <v>11218</v>
      </c>
      <c r="K21" s="1509" t="s">
        <v>9245</v>
      </c>
      <c r="L21" s="1545"/>
    </row>
    <row r="22" ht="15.75" customHeight="1">
      <c r="A22" s="1667" t="s">
        <v>9104</v>
      </c>
      <c r="B22" s="1487" t="s">
        <v>8649</v>
      </c>
      <c r="C22" s="1509" t="s">
        <v>10918</v>
      </c>
      <c r="D22" s="1509" t="s">
        <v>11219</v>
      </c>
      <c r="E22" s="1509" t="s">
        <v>11220</v>
      </c>
      <c r="F22" s="1509" t="s">
        <v>11221</v>
      </c>
      <c r="G22" s="1101" t="s">
        <v>11222</v>
      </c>
      <c r="H22" s="1802" t="s">
        <v>11223</v>
      </c>
      <c r="I22" s="1808" t="s">
        <v>11224</v>
      </c>
      <c r="J22" s="1809" t="s">
        <v>11225</v>
      </c>
      <c r="K22" s="1509" t="s">
        <v>9119</v>
      </c>
      <c r="L22" s="1545"/>
    </row>
    <row r="23" ht="15.75" customHeight="1">
      <c r="A23" s="1228" t="s">
        <v>740</v>
      </c>
      <c r="B23" s="1549" t="s">
        <v>8677</v>
      </c>
      <c r="C23" s="1509" t="s">
        <v>11226</v>
      </c>
      <c r="D23" s="1738" t="s">
        <v>11078</v>
      </c>
      <c r="E23" s="1738" t="s">
        <v>11079</v>
      </c>
      <c r="F23" s="1738" t="s">
        <v>11080</v>
      </c>
      <c r="G23" s="1821" t="s">
        <v>11081</v>
      </c>
      <c r="H23" s="1821" t="s">
        <v>11082</v>
      </c>
      <c r="I23" s="1821" t="s">
        <v>11083</v>
      </c>
      <c r="J23" s="1821" t="s">
        <v>11084</v>
      </c>
      <c r="K23" s="1738" t="s">
        <v>9081</v>
      </c>
      <c r="L23" s="1545" t="s">
        <v>11227</v>
      </c>
    </row>
    <row r="24" ht="15.75" customHeight="1">
      <c r="A24" s="1653" t="s">
        <v>1349</v>
      </c>
      <c r="B24" s="1549" t="s">
        <v>8701</v>
      </c>
      <c r="C24" s="1613" t="s">
        <v>10962</v>
      </c>
      <c r="D24" s="1613" t="s">
        <v>11085</v>
      </c>
      <c r="E24" s="1613" t="s">
        <v>11086</v>
      </c>
      <c r="F24" s="1613" t="s">
        <v>11087</v>
      </c>
      <c r="G24" s="1822" t="s">
        <v>11088</v>
      </c>
      <c r="H24" s="1823" t="s">
        <v>11089</v>
      </c>
      <c r="I24" s="1824" t="s">
        <v>11090</v>
      </c>
      <c r="J24" s="1825" t="s">
        <v>11091</v>
      </c>
      <c r="K24" s="1613" t="s">
        <v>9081</v>
      </c>
      <c r="L24" s="1545"/>
    </row>
    <row r="25" ht="16.5" customHeight="1">
      <c r="A25" s="1653" t="s">
        <v>11228</v>
      </c>
      <c r="B25" s="1549" t="s">
        <v>8649</v>
      </c>
      <c r="C25" s="1748" t="s">
        <v>10944</v>
      </c>
      <c r="D25" s="1509" t="s">
        <v>11229</v>
      </c>
      <c r="E25" s="1509" t="s">
        <v>11230</v>
      </c>
      <c r="F25" s="1509" t="s">
        <v>11231</v>
      </c>
      <c r="G25" s="1812" t="s">
        <v>11222</v>
      </c>
      <c r="H25" s="1812" t="s">
        <v>11232</v>
      </c>
      <c r="I25" s="1812" t="s">
        <v>11233</v>
      </c>
      <c r="J25" s="1812" t="s">
        <v>11234</v>
      </c>
      <c r="K25" s="1509" t="s">
        <v>9634</v>
      </c>
      <c r="L25" s="1545"/>
    </row>
    <row r="26" ht="15.75" customHeight="1">
      <c r="A26" s="1653" t="s">
        <v>2979</v>
      </c>
      <c r="B26" s="1549" t="s">
        <v>8649</v>
      </c>
      <c r="C26" s="1509" t="s">
        <v>11235</v>
      </c>
      <c r="D26" s="1509" t="s">
        <v>11236</v>
      </c>
      <c r="E26" s="1509" t="s">
        <v>11237</v>
      </c>
      <c r="F26" s="1509" t="s">
        <v>11238</v>
      </c>
      <c r="G26" s="1101" t="s">
        <v>11239</v>
      </c>
      <c r="H26" s="1802" t="s">
        <v>11240</v>
      </c>
      <c r="I26" s="1808" t="s">
        <v>11241</v>
      </c>
      <c r="J26" s="1809" t="s">
        <v>11242</v>
      </c>
      <c r="K26" s="1509" t="s">
        <v>11243</v>
      </c>
      <c r="L26" s="1545" t="s">
        <v>11244</v>
      </c>
    </row>
    <row r="27">
      <c r="A27" s="1751" t="s">
        <v>3084</v>
      </c>
      <c r="B27" s="1728" t="s">
        <v>8677</v>
      </c>
      <c r="C27" s="1820" t="s">
        <v>11245</v>
      </c>
      <c r="D27" s="1509"/>
      <c r="E27" s="1509" t="s">
        <v>11246</v>
      </c>
      <c r="F27" s="1509" t="s">
        <v>11247</v>
      </c>
      <c r="G27" s="1812"/>
      <c r="H27" s="1812"/>
      <c r="I27" s="1812"/>
      <c r="J27" s="1812"/>
      <c r="K27" s="1509" t="s">
        <v>9769</v>
      </c>
      <c r="L27" s="1545"/>
    </row>
    <row r="28" ht="15.75" customHeight="1">
      <c r="A28" s="1653" t="s">
        <v>2922</v>
      </c>
      <c r="B28" s="1549" t="s">
        <v>8649</v>
      </c>
      <c r="C28" s="1820" t="s">
        <v>11248</v>
      </c>
      <c r="D28" s="1509" t="s">
        <v>11249</v>
      </c>
      <c r="E28" s="1509" t="s">
        <v>11250</v>
      </c>
      <c r="F28" s="1509" t="s">
        <v>11251</v>
      </c>
      <c r="G28" s="1101" t="s">
        <v>11252</v>
      </c>
      <c r="H28" s="1802" t="s">
        <v>11253</v>
      </c>
      <c r="I28" s="1808" t="s">
        <v>11254</v>
      </c>
      <c r="J28" s="1809" t="s">
        <v>11255</v>
      </c>
      <c r="K28" s="1509" t="s">
        <v>9700</v>
      </c>
      <c r="L28" s="1545" t="s">
        <v>11256</v>
      </c>
    </row>
    <row r="29">
      <c r="A29" s="1729" t="s">
        <v>2228</v>
      </c>
      <c r="B29" s="1619" t="s">
        <v>8677</v>
      </c>
      <c r="C29" s="1509" t="s">
        <v>11257</v>
      </c>
      <c r="D29" s="1509" t="s">
        <v>11258</v>
      </c>
      <c r="E29" s="1509" t="s">
        <v>11259</v>
      </c>
      <c r="F29" s="1509" t="s">
        <v>11260</v>
      </c>
      <c r="G29" s="1812" t="s">
        <v>11261</v>
      </c>
      <c r="H29" s="1812" t="s">
        <v>11262</v>
      </c>
      <c r="I29" s="1812" t="s">
        <v>11263</v>
      </c>
      <c r="J29" s="1812" t="s">
        <v>11264</v>
      </c>
      <c r="K29" s="1509" t="s">
        <v>11265</v>
      </c>
      <c r="L29" s="1545" t="s">
        <v>11266</v>
      </c>
    </row>
    <row r="30" ht="15.75" customHeight="1">
      <c r="A30" s="1228" t="s">
        <v>2540</v>
      </c>
      <c r="B30" s="1611" t="s">
        <v>8677</v>
      </c>
      <c r="C30" s="1738" t="s">
        <v>10970</v>
      </c>
      <c r="D30" s="1509" t="s">
        <v>11267</v>
      </c>
      <c r="E30" s="1509" t="s">
        <v>11268</v>
      </c>
      <c r="F30" s="1509" t="s">
        <v>11269</v>
      </c>
      <c r="G30" s="1101" t="s">
        <v>11270</v>
      </c>
      <c r="H30" s="1802" t="s">
        <v>11271</v>
      </c>
      <c r="I30" s="1808" t="s">
        <v>11272</v>
      </c>
      <c r="J30" s="1809" t="s">
        <v>11273</v>
      </c>
      <c r="K30" s="1509" t="s">
        <v>9611</v>
      </c>
      <c r="L30" s="1545"/>
    </row>
    <row r="31" ht="15.75" customHeight="1">
      <c r="A31" s="1653" t="s">
        <v>5396</v>
      </c>
      <c r="B31" s="1549" t="s">
        <v>8649</v>
      </c>
      <c r="C31" s="1820" t="s">
        <v>11274</v>
      </c>
      <c r="D31" s="1509" t="s">
        <v>11275</v>
      </c>
      <c r="E31" s="1509" t="s">
        <v>11276</v>
      </c>
      <c r="F31" s="1509" t="s">
        <v>11277</v>
      </c>
      <c r="G31" s="1812" t="s">
        <v>11278</v>
      </c>
      <c r="H31" s="1812" t="s">
        <v>11279</v>
      </c>
      <c r="I31" s="1812" t="s">
        <v>11280</v>
      </c>
      <c r="J31" s="1812" t="s">
        <v>11281</v>
      </c>
      <c r="K31" s="1509" t="s">
        <v>11282</v>
      </c>
      <c r="L31" s="1545" t="s">
        <v>11283</v>
      </c>
    </row>
    <row r="32" ht="15.75" customHeight="1">
      <c r="A32" s="1653" t="s">
        <v>4917</v>
      </c>
      <c r="B32" s="1549" t="s">
        <v>8677</v>
      </c>
      <c r="C32" s="1820" t="s">
        <v>11054</v>
      </c>
      <c r="D32" s="1509" t="s">
        <v>11284</v>
      </c>
      <c r="E32" s="1509" t="s">
        <v>11285</v>
      </c>
      <c r="F32" s="1509" t="s">
        <v>11286</v>
      </c>
      <c r="G32" s="1101" t="s">
        <v>11287</v>
      </c>
      <c r="H32" s="1802" t="s">
        <v>11288</v>
      </c>
      <c r="I32" s="1808" t="s">
        <v>11289</v>
      </c>
      <c r="J32" s="1809" t="s">
        <v>11290</v>
      </c>
      <c r="K32" s="1509" t="s">
        <v>10672</v>
      </c>
      <c r="L32" s="1545" t="s">
        <v>11291</v>
      </c>
    </row>
    <row r="33" ht="15.75" customHeight="1">
      <c r="A33" s="1228" t="s">
        <v>5799</v>
      </c>
      <c r="B33" s="1654" t="s">
        <v>10702</v>
      </c>
      <c r="C33" s="1826" t="s">
        <v>11292</v>
      </c>
      <c r="D33" s="1753" t="s">
        <v>11293</v>
      </c>
      <c r="E33" s="1753" t="s">
        <v>11294</v>
      </c>
      <c r="F33" s="1753" t="s">
        <v>11295</v>
      </c>
      <c r="G33" s="1827" t="s">
        <v>11296</v>
      </c>
      <c r="H33" s="1827" t="s">
        <v>11297</v>
      </c>
      <c r="I33" s="1827" t="s">
        <v>11298</v>
      </c>
      <c r="J33" s="1827" t="s">
        <v>11299</v>
      </c>
      <c r="K33" s="1753" t="s">
        <v>11300</v>
      </c>
      <c r="L33" s="1545" t="s">
        <v>11301</v>
      </c>
    </row>
    <row r="34" ht="15.75" customHeight="1">
      <c r="A34" s="1653" t="s">
        <v>6519</v>
      </c>
      <c r="B34" s="1654" t="s">
        <v>10702</v>
      </c>
      <c r="C34" s="1828" t="s">
        <v>11302</v>
      </c>
      <c r="D34" s="1829" t="s">
        <v>11303</v>
      </c>
      <c r="E34" s="1829" t="s">
        <v>11304</v>
      </c>
      <c r="F34" s="1829" t="s">
        <v>11305</v>
      </c>
      <c r="G34" s="1830" t="s">
        <v>11306</v>
      </c>
      <c r="K34" s="1829" t="s">
        <v>10727</v>
      </c>
      <c r="L34" s="1545" t="s">
        <v>11307</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11308</v>
      </c>
      <c r="C1" s="1841" t="s">
        <v>43</v>
      </c>
      <c r="D1" s="1842" t="s">
        <v>11309</v>
      </c>
      <c r="E1" s="1841" t="s">
        <v>11310</v>
      </c>
      <c r="F1" s="1843" t="s">
        <v>11311</v>
      </c>
    </row>
    <row r="2">
      <c r="A2" s="1844"/>
      <c r="B2" s="1845"/>
      <c r="C2" s="1845"/>
      <c r="D2" s="1845"/>
      <c r="E2" s="1845"/>
      <c r="F2" s="1845"/>
    </row>
    <row r="3">
      <c r="A3" s="1844"/>
      <c r="B3" s="1845"/>
      <c r="C3" s="1845"/>
      <c r="D3" s="1845"/>
      <c r="E3" s="1845"/>
      <c r="F3" s="1845"/>
    </row>
    <row r="4">
      <c r="A4" s="1846" t="s">
        <v>11312</v>
      </c>
      <c r="B4" s="1847" t="s">
        <v>11313</v>
      </c>
      <c r="C4" s="1848"/>
      <c r="D4" s="1848"/>
      <c r="E4" s="1848"/>
      <c r="F4" s="1849"/>
    </row>
    <row r="5">
      <c r="A5" s="1845"/>
      <c r="B5" s="1850"/>
      <c r="C5" s="1851"/>
      <c r="D5" s="1851"/>
      <c r="E5" s="1851"/>
      <c r="F5" s="1852"/>
    </row>
    <row r="6">
      <c r="A6" s="1853" t="s">
        <v>11313</v>
      </c>
      <c r="B6" s="1854" t="s">
        <v>11314</v>
      </c>
      <c r="C6" s="1855" t="s">
        <v>4330</v>
      </c>
      <c r="D6" s="1856" t="s">
        <v>11315</v>
      </c>
      <c r="E6" s="1855" t="s">
        <v>11316</v>
      </c>
      <c r="F6" s="1857">
        <v>44233.0</v>
      </c>
    </row>
    <row r="7">
      <c r="A7" s="1853" t="s">
        <v>11317</v>
      </c>
      <c r="B7" s="1858" t="s">
        <v>11318</v>
      </c>
      <c r="C7" s="1855" t="s">
        <v>902</v>
      </c>
      <c r="D7" s="1856" t="s">
        <v>11319</v>
      </c>
      <c r="E7" s="1855" t="s">
        <v>11316</v>
      </c>
      <c r="F7" s="1857">
        <v>43878.0</v>
      </c>
    </row>
    <row r="8">
      <c r="A8" s="1853" t="s">
        <v>11320</v>
      </c>
      <c r="B8" s="1859" t="s">
        <v>11321</v>
      </c>
      <c r="C8" s="1855" t="s">
        <v>330</v>
      </c>
      <c r="D8" s="1856" t="s">
        <v>11322</v>
      </c>
      <c r="E8" s="1855" t="s">
        <v>11316</v>
      </c>
      <c r="F8" s="1857">
        <v>43879.0</v>
      </c>
    </row>
    <row r="9">
      <c r="A9" s="1853" t="s">
        <v>11323</v>
      </c>
      <c r="B9" s="1860" t="s">
        <v>11324</v>
      </c>
      <c r="C9" s="1855" t="s">
        <v>3984</v>
      </c>
      <c r="D9" s="1856" t="s">
        <v>11325</v>
      </c>
      <c r="E9" s="1855" t="s">
        <v>11326</v>
      </c>
      <c r="F9" s="1857">
        <v>44084.0</v>
      </c>
    </row>
    <row r="10">
      <c r="A10" s="1853" t="s">
        <v>11327</v>
      </c>
      <c r="B10" s="1860" t="s">
        <v>11328</v>
      </c>
      <c r="C10" s="1861"/>
      <c r="D10" s="1862"/>
      <c r="E10" s="1861"/>
      <c r="F10" s="1861"/>
    </row>
    <row r="11">
      <c r="A11" s="1853" t="s">
        <v>11329</v>
      </c>
      <c r="B11" s="1847" t="s">
        <v>11317</v>
      </c>
      <c r="C11" s="1848"/>
      <c r="D11" s="1848"/>
      <c r="E11" s="1848"/>
      <c r="F11" s="1849"/>
    </row>
    <row r="12">
      <c r="A12" s="1853" t="s">
        <v>11330</v>
      </c>
      <c r="B12" s="1850"/>
      <c r="C12" s="1851"/>
      <c r="D12" s="1851"/>
      <c r="E12" s="1851"/>
      <c r="F12" s="1852"/>
    </row>
    <row r="13">
      <c r="A13" s="1853" t="s">
        <v>11331</v>
      </c>
      <c r="B13" s="1854" t="s">
        <v>11314</v>
      </c>
      <c r="C13" s="1855" t="s">
        <v>4330</v>
      </c>
      <c r="D13" s="1856" t="s">
        <v>11332</v>
      </c>
      <c r="E13" s="1855" t="s">
        <v>11316</v>
      </c>
      <c r="F13" s="1857">
        <v>44250.0</v>
      </c>
    </row>
    <row r="14" ht="15.75" customHeight="1">
      <c r="A14" s="1853" t="s">
        <v>11333</v>
      </c>
      <c r="B14" s="1858" t="s">
        <v>11318</v>
      </c>
      <c r="C14" s="1855" t="s">
        <v>4234</v>
      </c>
      <c r="D14" s="1856" t="s">
        <v>11334</v>
      </c>
      <c r="E14" s="1855" t="s">
        <v>11316</v>
      </c>
      <c r="F14" s="1857">
        <v>43364.0</v>
      </c>
    </row>
    <row r="15">
      <c r="A15" s="1853" t="s">
        <v>11335</v>
      </c>
      <c r="B15" s="1859" t="s">
        <v>11321</v>
      </c>
      <c r="C15" s="1855" t="s">
        <v>11336</v>
      </c>
      <c r="D15" s="1856" t="s">
        <v>11337</v>
      </c>
      <c r="E15" s="1855" t="s">
        <v>11326</v>
      </c>
      <c r="F15" s="1857">
        <v>43757.0</v>
      </c>
    </row>
    <row r="16">
      <c r="A16" s="1853" t="s">
        <v>11338</v>
      </c>
      <c r="B16" s="1860" t="s">
        <v>11324</v>
      </c>
      <c r="C16" s="1855" t="s">
        <v>11339</v>
      </c>
      <c r="D16" s="1856" t="s">
        <v>11340</v>
      </c>
      <c r="E16" s="1855" t="s">
        <v>11326</v>
      </c>
      <c r="F16" s="1857">
        <v>43438.0</v>
      </c>
    </row>
    <row r="17">
      <c r="A17" s="1853" t="s">
        <v>11341</v>
      </c>
      <c r="B17" s="1860" t="s">
        <v>11328</v>
      </c>
      <c r="C17" s="1861"/>
      <c r="D17" s="1862"/>
      <c r="E17" s="1861"/>
      <c r="F17" s="1861"/>
    </row>
    <row r="18">
      <c r="A18" s="1853" t="s">
        <v>11342</v>
      </c>
      <c r="B18" s="1863" t="s">
        <v>11320</v>
      </c>
      <c r="C18" s="1848"/>
      <c r="D18" s="1848"/>
      <c r="E18" s="1848"/>
      <c r="F18" s="1849"/>
    </row>
    <row r="19">
      <c r="A19" s="1853" t="s">
        <v>11343</v>
      </c>
      <c r="B19" s="1851"/>
      <c r="C19" s="1851"/>
      <c r="D19" s="1851"/>
      <c r="E19" s="1851"/>
      <c r="F19" s="1852"/>
    </row>
    <row r="20">
      <c r="A20" s="1864"/>
      <c r="B20" s="1854" t="s">
        <v>11314</v>
      </c>
      <c r="C20" s="1855" t="s">
        <v>11344</v>
      </c>
      <c r="D20" s="1856" t="s">
        <v>11345</v>
      </c>
      <c r="E20" s="1855" t="s">
        <v>11316</v>
      </c>
      <c r="F20" s="1857">
        <v>44021.0</v>
      </c>
    </row>
    <row r="21">
      <c r="A21" s="1864"/>
      <c r="B21" s="1858" t="s">
        <v>11318</v>
      </c>
      <c r="C21" s="1855" t="s">
        <v>5213</v>
      </c>
      <c r="D21" s="1856" t="s">
        <v>11346</v>
      </c>
      <c r="E21" s="1855" t="s">
        <v>11326</v>
      </c>
      <c r="F21" s="1857">
        <v>44022.0</v>
      </c>
    </row>
    <row r="22">
      <c r="A22" s="1865"/>
      <c r="B22" s="1859" t="s">
        <v>11321</v>
      </c>
      <c r="C22" s="1855" t="s">
        <v>11347</v>
      </c>
      <c r="D22" s="1856" t="s">
        <v>11348</v>
      </c>
      <c r="E22" s="1855" t="s">
        <v>11349</v>
      </c>
      <c r="F22" s="1857">
        <v>43884.0</v>
      </c>
    </row>
    <row r="23">
      <c r="A23" s="1865"/>
      <c r="B23" s="1860" t="s">
        <v>11324</v>
      </c>
      <c r="C23" s="1855" t="s">
        <v>5396</v>
      </c>
      <c r="D23" s="1856" t="s">
        <v>11350</v>
      </c>
      <c r="E23" s="1855" t="s">
        <v>11316</v>
      </c>
      <c r="F23" s="1857">
        <v>43892.0</v>
      </c>
    </row>
    <row r="24">
      <c r="A24" s="1865"/>
      <c r="B24" s="1860" t="s">
        <v>11328</v>
      </c>
      <c r="C24" s="1861"/>
      <c r="D24" s="1862"/>
      <c r="E24" s="1861"/>
      <c r="F24" s="1861"/>
    </row>
    <row r="25">
      <c r="A25" s="1865"/>
      <c r="B25" s="1847" t="s">
        <v>11323</v>
      </c>
      <c r="C25" s="1848"/>
      <c r="D25" s="1848"/>
      <c r="E25" s="1848"/>
      <c r="F25" s="1849"/>
    </row>
    <row r="26">
      <c r="A26" s="1865"/>
      <c r="B26" s="1850"/>
      <c r="C26" s="1851"/>
      <c r="D26" s="1851"/>
      <c r="E26" s="1851"/>
      <c r="F26" s="1852"/>
    </row>
    <row r="27">
      <c r="A27" s="1865"/>
      <c r="B27" s="1866" t="s">
        <v>11351</v>
      </c>
      <c r="C27" s="1848"/>
      <c r="D27" s="1848"/>
      <c r="E27" s="1848"/>
      <c r="F27" s="1849"/>
    </row>
    <row r="28">
      <c r="A28" s="1865"/>
      <c r="B28" s="1850"/>
      <c r="C28" s="1851"/>
      <c r="D28" s="1851"/>
      <c r="E28" s="1851"/>
      <c r="F28" s="1852"/>
    </row>
    <row r="29">
      <c r="A29" s="1865"/>
      <c r="B29" s="1854" t="s">
        <v>11314</v>
      </c>
      <c r="C29" s="1867" t="s">
        <v>436</v>
      </c>
      <c r="D29" s="1856" t="s">
        <v>11352</v>
      </c>
      <c r="E29" s="1855" t="s">
        <v>11316</v>
      </c>
      <c r="F29" s="1857">
        <v>43659.0</v>
      </c>
    </row>
    <row r="30">
      <c r="A30" s="1865"/>
      <c r="B30" s="1858" t="s">
        <v>11318</v>
      </c>
      <c r="C30" s="1855" t="s">
        <v>1639</v>
      </c>
      <c r="D30" s="1856" t="s">
        <v>11353</v>
      </c>
      <c r="E30" s="1855" t="s">
        <v>11316</v>
      </c>
      <c r="F30" s="1857">
        <v>43228.0</v>
      </c>
    </row>
    <row r="31">
      <c r="A31" s="1865"/>
      <c r="B31" s="1859" t="s">
        <v>11321</v>
      </c>
      <c r="C31" s="1861"/>
      <c r="D31" s="1868"/>
      <c r="E31" s="1861"/>
      <c r="F31" s="1861"/>
    </row>
    <row r="32">
      <c r="A32" s="1865"/>
      <c r="B32" s="1860" t="s">
        <v>11324</v>
      </c>
      <c r="C32" s="1861"/>
      <c r="D32" s="1868"/>
      <c r="E32" s="1861"/>
      <c r="F32" s="1861"/>
    </row>
    <row r="33">
      <c r="A33" s="1865"/>
      <c r="B33" s="1860" t="s">
        <v>11328</v>
      </c>
      <c r="C33" s="1861"/>
      <c r="D33" s="1868"/>
      <c r="E33" s="1861"/>
      <c r="F33" s="1861"/>
    </row>
    <row r="34">
      <c r="A34" s="1865"/>
      <c r="B34" s="1866" t="s">
        <v>11354</v>
      </c>
      <c r="C34" s="1848"/>
      <c r="D34" s="1848"/>
      <c r="E34" s="1848"/>
      <c r="F34" s="1849"/>
    </row>
    <row r="35">
      <c r="A35" s="1865"/>
      <c r="B35" s="1850"/>
      <c r="C35" s="1851"/>
      <c r="D35" s="1851"/>
      <c r="E35" s="1851"/>
      <c r="F35" s="1852"/>
    </row>
    <row r="36">
      <c r="A36" s="1865"/>
      <c r="B36" s="1854" t="s">
        <v>11314</v>
      </c>
      <c r="C36" s="1855" t="s">
        <v>1639</v>
      </c>
      <c r="D36" s="1856" t="s">
        <v>11355</v>
      </c>
      <c r="E36" s="1855" t="s">
        <v>11316</v>
      </c>
      <c r="F36" s="1857">
        <v>43352.0</v>
      </c>
    </row>
    <row r="37">
      <c r="A37" s="1865"/>
      <c r="B37" s="1858" t="s">
        <v>11318</v>
      </c>
      <c r="C37" s="1855" t="s">
        <v>11356</v>
      </c>
      <c r="D37" s="1856" t="s">
        <v>11357</v>
      </c>
      <c r="E37" s="1855" t="s">
        <v>11316</v>
      </c>
      <c r="F37" s="1857">
        <v>43799.0</v>
      </c>
    </row>
    <row r="38">
      <c r="A38" s="1865"/>
      <c r="B38" s="1859" t="s">
        <v>11321</v>
      </c>
      <c r="C38" s="1861"/>
      <c r="D38" s="1862"/>
      <c r="E38" s="1861"/>
      <c r="F38" s="1861"/>
    </row>
    <row r="39">
      <c r="A39" s="1865"/>
      <c r="B39" s="1860" t="s">
        <v>11324</v>
      </c>
      <c r="C39" s="1861"/>
      <c r="D39" s="1862"/>
      <c r="E39" s="1861"/>
      <c r="F39" s="1861"/>
    </row>
    <row r="40">
      <c r="A40" s="1865"/>
      <c r="B40" s="1860" t="s">
        <v>11328</v>
      </c>
      <c r="C40" s="1861"/>
      <c r="D40" s="1862"/>
      <c r="E40" s="1861"/>
      <c r="F40" s="1861"/>
    </row>
    <row r="41">
      <c r="A41" s="1865"/>
      <c r="B41" s="1847" t="s">
        <v>11327</v>
      </c>
      <c r="C41" s="1848"/>
      <c r="D41" s="1848"/>
      <c r="E41" s="1848"/>
      <c r="F41" s="1849"/>
    </row>
    <row r="42">
      <c r="A42" s="1865"/>
      <c r="B42" s="1850"/>
      <c r="C42" s="1851"/>
      <c r="D42" s="1851"/>
      <c r="E42" s="1851"/>
      <c r="F42" s="1852"/>
    </row>
    <row r="43">
      <c r="A43" s="1865"/>
      <c r="B43" s="1854" t="s">
        <v>11314</v>
      </c>
      <c r="C43" s="1855" t="s">
        <v>7308</v>
      </c>
      <c r="D43" s="1869" t="s">
        <v>11358</v>
      </c>
      <c r="E43" s="1855" t="s">
        <v>11316</v>
      </c>
      <c r="F43" s="1870">
        <v>44511.0</v>
      </c>
    </row>
    <row r="44">
      <c r="A44" s="1865"/>
      <c r="B44" s="1858" t="s">
        <v>11318</v>
      </c>
      <c r="C44" s="1855" t="s">
        <v>11356</v>
      </c>
      <c r="D44" s="1869" t="s">
        <v>11359</v>
      </c>
      <c r="E44" s="1855" t="s">
        <v>11316</v>
      </c>
      <c r="F44" s="1870">
        <v>43740.0</v>
      </c>
    </row>
    <row r="45">
      <c r="A45" s="1865"/>
      <c r="B45" s="1859" t="s">
        <v>11321</v>
      </c>
      <c r="C45" s="1855" t="s">
        <v>10362</v>
      </c>
      <c r="D45" s="1869" t="s">
        <v>11360</v>
      </c>
      <c r="E45" s="1855" t="s">
        <v>11316</v>
      </c>
      <c r="F45" s="1870">
        <v>42098.0</v>
      </c>
    </row>
    <row r="46">
      <c r="A46" s="1865"/>
      <c r="B46" s="1860" t="s">
        <v>11324</v>
      </c>
      <c r="C46" s="1855"/>
      <c r="D46" s="1869"/>
      <c r="E46" s="1855"/>
      <c r="F46" s="1870"/>
    </row>
    <row r="47">
      <c r="A47" s="1865"/>
      <c r="B47" s="1860" t="s">
        <v>11328</v>
      </c>
      <c r="C47" s="1861"/>
      <c r="D47" s="1871"/>
      <c r="E47" s="1861"/>
      <c r="F47" s="1865"/>
    </row>
    <row r="48">
      <c r="A48" s="1865"/>
      <c r="B48" s="1847" t="s">
        <v>11329</v>
      </c>
      <c r="C48" s="1848"/>
      <c r="D48" s="1848"/>
      <c r="E48" s="1848"/>
      <c r="F48" s="1849"/>
    </row>
    <row r="49">
      <c r="A49" s="1865"/>
      <c r="B49" s="1850"/>
      <c r="C49" s="1851"/>
      <c r="D49" s="1851"/>
      <c r="E49" s="1851"/>
      <c r="F49" s="1852"/>
    </row>
    <row r="50">
      <c r="A50" s="1865"/>
      <c r="B50" s="1854" t="s">
        <v>11314</v>
      </c>
      <c r="C50" s="1855" t="s">
        <v>11361</v>
      </c>
      <c r="D50" s="1869" t="s">
        <v>11362</v>
      </c>
      <c r="E50" s="1855" t="s">
        <v>11363</v>
      </c>
      <c r="F50" s="1870">
        <v>43395.0</v>
      </c>
    </row>
    <row r="51">
      <c r="A51" s="1865"/>
      <c r="B51" s="1858" t="s">
        <v>11318</v>
      </c>
      <c r="C51" s="1855" t="s">
        <v>2266</v>
      </c>
      <c r="D51" s="1869" t="s">
        <v>11364</v>
      </c>
      <c r="E51" s="1855" t="s">
        <v>11326</v>
      </c>
      <c r="F51" s="1870">
        <v>43376.0</v>
      </c>
    </row>
    <row r="52">
      <c r="A52" s="1865"/>
      <c r="B52" s="1859" t="s">
        <v>11321</v>
      </c>
      <c r="C52" s="1861"/>
      <c r="D52" s="1871"/>
      <c r="E52" s="1861"/>
      <c r="F52" s="1865"/>
    </row>
    <row r="53">
      <c r="A53" s="1865"/>
      <c r="B53" s="1860" t="s">
        <v>11324</v>
      </c>
      <c r="C53" s="1861"/>
      <c r="D53" s="1871"/>
      <c r="E53" s="1861"/>
      <c r="F53" s="1865"/>
    </row>
    <row r="54">
      <c r="A54" s="1865"/>
      <c r="B54" s="1860" t="s">
        <v>11328</v>
      </c>
      <c r="C54" s="1861"/>
      <c r="D54" s="1871"/>
      <c r="E54" s="1861"/>
      <c r="F54" s="1865"/>
    </row>
    <row r="55">
      <c r="A55" s="1865"/>
      <c r="B55" s="1847" t="s">
        <v>11330</v>
      </c>
      <c r="C55" s="1848"/>
      <c r="D55" s="1848"/>
      <c r="E55" s="1848"/>
      <c r="F55" s="1849"/>
    </row>
    <row r="56">
      <c r="A56" s="1865"/>
      <c r="B56" s="1850"/>
      <c r="C56" s="1851"/>
      <c r="D56" s="1851"/>
      <c r="E56" s="1851"/>
      <c r="F56" s="1852"/>
    </row>
    <row r="57">
      <c r="A57" s="1865"/>
      <c r="B57" s="1872" t="s">
        <v>11365</v>
      </c>
      <c r="C57" s="1848"/>
      <c r="D57" s="1848"/>
      <c r="E57" s="1848"/>
      <c r="F57" s="1849"/>
    </row>
    <row r="58">
      <c r="A58" s="1865"/>
      <c r="B58" s="1850"/>
      <c r="C58" s="1851"/>
      <c r="D58" s="1851"/>
      <c r="E58" s="1851"/>
      <c r="F58" s="1852"/>
    </row>
    <row r="59">
      <c r="A59" s="1865"/>
      <c r="B59" s="1854" t="s">
        <v>11314</v>
      </c>
      <c r="C59" s="1873" t="s">
        <v>436</v>
      </c>
      <c r="D59" s="1869" t="s">
        <v>11366</v>
      </c>
      <c r="E59" s="1855" t="s">
        <v>11316</v>
      </c>
      <c r="F59" s="1870">
        <v>43758.0</v>
      </c>
    </row>
    <row r="60">
      <c r="A60" s="1865"/>
      <c r="B60" s="1858" t="s">
        <v>11318</v>
      </c>
      <c r="C60" s="1861"/>
      <c r="D60" s="1871"/>
      <c r="E60" s="1861"/>
      <c r="F60" s="1865"/>
    </row>
    <row r="61">
      <c r="A61" s="1865"/>
      <c r="B61" s="1859" t="s">
        <v>11321</v>
      </c>
      <c r="C61" s="1861"/>
      <c r="D61" s="1871"/>
      <c r="E61" s="1861"/>
      <c r="F61" s="1865"/>
    </row>
    <row r="62">
      <c r="A62" s="1865"/>
      <c r="B62" s="1860" t="s">
        <v>11324</v>
      </c>
      <c r="C62" s="1861"/>
      <c r="D62" s="1871"/>
      <c r="E62" s="1861"/>
      <c r="F62" s="1865"/>
    </row>
    <row r="63">
      <c r="A63" s="1865"/>
      <c r="B63" s="1860" t="s">
        <v>11328</v>
      </c>
      <c r="C63" s="1861"/>
      <c r="D63" s="1871"/>
      <c r="E63" s="1861"/>
      <c r="F63" s="1865"/>
    </row>
    <row r="64">
      <c r="A64" s="1865"/>
      <c r="B64" s="1872" t="s">
        <v>11354</v>
      </c>
      <c r="C64" s="1848"/>
      <c r="D64" s="1848"/>
      <c r="E64" s="1848"/>
      <c r="F64" s="1849"/>
    </row>
    <row r="65">
      <c r="A65" s="1865"/>
      <c r="B65" s="1850"/>
      <c r="C65" s="1851"/>
      <c r="D65" s="1851"/>
      <c r="E65" s="1851"/>
      <c r="F65" s="1852"/>
    </row>
    <row r="66">
      <c r="A66" s="1865"/>
      <c r="B66" s="1854" t="s">
        <v>11314</v>
      </c>
      <c r="C66" s="1855" t="s">
        <v>11367</v>
      </c>
      <c r="D66" s="1874" t="s">
        <v>11368</v>
      </c>
      <c r="E66" s="1855" t="s">
        <v>11316</v>
      </c>
      <c r="F66" s="1870">
        <v>44805.0</v>
      </c>
    </row>
    <row r="67">
      <c r="A67" s="1865"/>
      <c r="B67" s="1858" t="s">
        <v>11318</v>
      </c>
      <c r="C67" s="1855" t="s">
        <v>11369</v>
      </c>
      <c r="D67" s="1869" t="s">
        <v>11370</v>
      </c>
      <c r="E67" s="1855" t="s">
        <v>11316</v>
      </c>
      <c r="F67" s="1870">
        <v>43307.0</v>
      </c>
    </row>
    <row r="68">
      <c r="A68" s="1865"/>
      <c r="B68" s="1859" t="s">
        <v>11321</v>
      </c>
      <c r="C68" s="1861"/>
      <c r="D68" s="1871"/>
      <c r="E68" s="1861"/>
      <c r="F68" s="1865"/>
    </row>
    <row r="69">
      <c r="A69" s="1865"/>
      <c r="B69" s="1860" t="s">
        <v>11324</v>
      </c>
      <c r="C69" s="1861"/>
      <c r="D69" s="1871"/>
      <c r="E69" s="1861"/>
      <c r="F69" s="1865"/>
    </row>
    <row r="70">
      <c r="A70" s="1865"/>
      <c r="B70" s="1860" t="s">
        <v>11328</v>
      </c>
      <c r="C70" s="1861"/>
      <c r="D70" s="1871"/>
      <c r="E70" s="1861"/>
      <c r="F70" s="1865"/>
    </row>
    <row r="71">
      <c r="A71" s="1865"/>
      <c r="B71" s="1847" t="s">
        <v>11331</v>
      </c>
      <c r="C71" s="1848"/>
      <c r="D71" s="1848"/>
      <c r="E71" s="1848"/>
      <c r="F71" s="1849"/>
    </row>
    <row r="72">
      <c r="A72" s="1865"/>
      <c r="B72" s="1850"/>
      <c r="C72" s="1851"/>
      <c r="D72" s="1851"/>
      <c r="E72" s="1851"/>
      <c r="F72" s="1852"/>
    </row>
    <row r="73">
      <c r="A73" s="1865"/>
      <c r="B73" s="1872" t="s">
        <v>11371</v>
      </c>
      <c r="C73" s="1848"/>
      <c r="D73" s="1848"/>
      <c r="E73" s="1848"/>
      <c r="F73" s="1849"/>
    </row>
    <row r="74">
      <c r="A74" s="1865"/>
      <c r="B74" s="1850"/>
      <c r="C74" s="1851"/>
      <c r="D74" s="1851"/>
      <c r="E74" s="1851"/>
      <c r="F74" s="1852"/>
    </row>
    <row r="75">
      <c r="A75" s="1865"/>
      <c r="B75" s="1854" t="s">
        <v>11314</v>
      </c>
      <c r="C75" s="1855" t="s">
        <v>4330</v>
      </c>
      <c r="D75" s="1869" t="s">
        <v>11372</v>
      </c>
      <c r="E75" s="1855" t="s">
        <v>11316</v>
      </c>
      <c r="F75" s="1870">
        <v>44246.0</v>
      </c>
    </row>
    <row r="76">
      <c r="A76" s="1865"/>
      <c r="B76" s="1858" t="s">
        <v>11318</v>
      </c>
      <c r="C76" s="1855" t="s">
        <v>11361</v>
      </c>
      <c r="D76" s="1869" t="s">
        <v>11373</v>
      </c>
      <c r="E76" s="1855" t="s">
        <v>11363</v>
      </c>
      <c r="F76" s="1870">
        <v>43637.0</v>
      </c>
    </row>
    <row r="77">
      <c r="A77" s="1865"/>
      <c r="B77" s="1859" t="s">
        <v>11321</v>
      </c>
      <c r="C77" s="1861"/>
      <c r="D77" s="1871"/>
      <c r="E77" s="1861"/>
      <c r="F77" s="1865"/>
    </row>
    <row r="78">
      <c r="A78" s="1865"/>
      <c r="B78" s="1860" t="s">
        <v>11324</v>
      </c>
      <c r="C78" s="1861"/>
      <c r="D78" s="1871"/>
      <c r="E78" s="1861"/>
      <c r="F78" s="1865"/>
    </row>
    <row r="79">
      <c r="A79" s="1865"/>
      <c r="B79" s="1860" t="s">
        <v>11328</v>
      </c>
      <c r="C79" s="1861"/>
      <c r="D79" s="1871"/>
      <c r="E79" s="1861"/>
      <c r="F79" s="1865"/>
    </row>
    <row r="80">
      <c r="A80" s="1865"/>
      <c r="B80" s="1872" t="s">
        <v>11374</v>
      </c>
      <c r="C80" s="1848"/>
      <c r="D80" s="1848"/>
      <c r="E80" s="1848"/>
      <c r="F80" s="1849"/>
    </row>
    <row r="81">
      <c r="A81" s="1865"/>
      <c r="B81" s="1850"/>
      <c r="C81" s="1851"/>
      <c r="D81" s="1851"/>
      <c r="E81" s="1851"/>
      <c r="F81" s="1852"/>
    </row>
    <row r="82">
      <c r="A82" s="1865"/>
      <c r="B82" s="1854" t="s">
        <v>11314</v>
      </c>
      <c r="C82" s="1855" t="s">
        <v>6356</v>
      </c>
      <c r="D82" s="1869" t="s">
        <v>11375</v>
      </c>
      <c r="E82" s="1855" t="s">
        <v>11316</v>
      </c>
      <c r="F82" s="1870">
        <v>43592.0</v>
      </c>
    </row>
    <row r="83">
      <c r="A83" s="1865"/>
      <c r="B83" s="1858" t="s">
        <v>11318</v>
      </c>
      <c r="C83" s="1855" t="s">
        <v>11376</v>
      </c>
      <c r="D83" s="1869" t="s">
        <v>11377</v>
      </c>
      <c r="E83" s="1855" t="s">
        <v>11316</v>
      </c>
      <c r="F83" s="1870">
        <v>43396.0</v>
      </c>
    </row>
    <row r="84">
      <c r="A84" s="1865"/>
      <c r="B84" s="1859" t="s">
        <v>11321</v>
      </c>
      <c r="C84" s="1861"/>
      <c r="D84" s="1871"/>
      <c r="E84" s="1861"/>
      <c r="F84" s="1865"/>
    </row>
    <row r="85">
      <c r="A85" s="1865"/>
      <c r="B85" s="1860" t="s">
        <v>11324</v>
      </c>
      <c r="C85" s="1861"/>
      <c r="D85" s="1871"/>
      <c r="E85" s="1861"/>
      <c r="F85" s="1865"/>
    </row>
    <row r="86">
      <c r="A86" s="1865"/>
      <c r="B86" s="1860" t="s">
        <v>11328</v>
      </c>
      <c r="C86" s="1861"/>
      <c r="D86" s="1871"/>
      <c r="E86" s="1861"/>
      <c r="F86" s="1865"/>
    </row>
    <row r="87">
      <c r="A87" s="1865"/>
      <c r="B87" s="1847" t="s">
        <v>11333</v>
      </c>
      <c r="C87" s="1848"/>
      <c r="D87" s="1848"/>
      <c r="E87" s="1848"/>
      <c r="F87" s="1849"/>
    </row>
    <row r="88">
      <c r="A88" s="1865"/>
      <c r="B88" s="1850"/>
      <c r="C88" s="1851"/>
      <c r="D88" s="1851"/>
      <c r="E88" s="1851"/>
      <c r="F88" s="1852"/>
    </row>
    <row r="89">
      <c r="A89" s="1865"/>
      <c r="B89" s="1854" t="s">
        <v>11314</v>
      </c>
      <c r="C89" s="1873" t="s">
        <v>436</v>
      </c>
      <c r="D89" s="1869" t="s">
        <v>11378</v>
      </c>
      <c r="E89" s="1855" t="s">
        <v>11316</v>
      </c>
      <c r="F89" s="1870">
        <v>43457.0</v>
      </c>
    </row>
    <row r="90">
      <c r="A90" s="1865"/>
      <c r="B90" s="1858" t="s">
        <v>11318</v>
      </c>
      <c r="C90" s="1855" t="s">
        <v>2457</v>
      </c>
      <c r="D90" s="1869" t="s">
        <v>11379</v>
      </c>
      <c r="E90" s="1855" t="s">
        <v>11316</v>
      </c>
      <c r="F90" s="1870">
        <v>43925.0</v>
      </c>
    </row>
    <row r="91">
      <c r="A91" s="1865"/>
      <c r="B91" s="1859" t="s">
        <v>11321</v>
      </c>
      <c r="C91" s="1855" t="s">
        <v>4782</v>
      </c>
      <c r="D91" s="1869" t="s">
        <v>11380</v>
      </c>
      <c r="E91" s="1855" t="s">
        <v>11349</v>
      </c>
      <c r="F91" s="1870">
        <v>43433.0</v>
      </c>
    </row>
    <row r="92">
      <c r="A92" s="1865"/>
      <c r="B92" s="1860" t="s">
        <v>11324</v>
      </c>
      <c r="C92" s="1861"/>
      <c r="D92" s="1871"/>
      <c r="E92" s="1861"/>
      <c r="F92" s="1865"/>
    </row>
    <row r="93">
      <c r="A93" s="1865"/>
      <c r="B93" s="1860" t="s">
        <v>11328</v>
      </c>
      <c r="C93" s="1861"/>
      <c r="D93" s="1871"/>
      <c r="E93" s="1861"/>
      <c r="F93" s="1865"/>
    </row>
    <row r="94">
      <c r="A94" s="1865"/>
      <c r="B94" s="1847" t="s">
        <v>11335</v>
      </c>
      <c r="C94" s="1848"/>
      <c r="D94" s="1848"/>
      <c r="E94" s="1848"/>
      <c r="F94" s="1849"/>
    </row>
    <row r="95">
      <c r="A95" s="1865"/>
      <c r="B95" s="1850"/>
      <c r="C95" s="1851"/>
      <c r="D95" s="1851"/>
      <c r="E95" s="1851"/>
      <c r="F95" s="1852"/>
    </row>
    <row r="96">
      <c r="A96" s="1865"/>
      <c r="B96" s="1872" t="s">
        <v>11381</v>
      </c>
      <c r="C96" s="1848"/>
      <c r="D96" s="1848"/>
      <c r="E96" s="1848"/>
      <c r="F96" s="1849"/>
    </row>
    <row r="97">
      <c r="A97" s="1865"/>
      <c r="B97" s="1850"/>
      <c r="C97" s="1851"/>
      <c r="D97" s="1851"/>
      <c r="E97" s="1851"/>
      <c r="F97" s="1852"/>
    </row>
    <row r="98">
      <c r="A98" s="1865"/>
      <c r="B98" s="1854" t="s">
        <v>11314</v>
      </c>
      <c r="C98" s="1855" t="s">
        <v>11356</v>
      </c>
      <c r="D98" s="1869" t="s">
        <v>11382</v>
      </c>
      <c r="E98" s="1855" t="s">
        <v>11316</v>
      </c>
      <c r="F98" s="1870">
        <v>43862.0</v>
      </c>
    </row>
    <row r="99">
      <c r="A99" s="1865"/>
      <c r="B99" s="1858" t="s">
        <v>11318</v>
      </c>
      <c r="C99" s="1861"/>
      <c r="D99" s="1871"/>
      <c r="E99" s="1861"/>
      <c r="F99" s="1865"/>
    </row>
    <row r="100">
      <c r="A100" s="1865"/>
      <c r="B100" s="1859" t="s">
        <v>11321</v>
      </c>
      <c r="C100" s="1861"/>
      <c r="D100" s="1871"/>
      <c r="E100" s="1861"/>
      <c r="F100" s="1865"/>
    </row>
    <row r="101">
      <c r="A101" s="1865"/>
      <c r="B101" s="1860" t="s">
        <v>11324</v>
      </c>
      <c r="C101" s="1861"/>
      <c r="D101" s="1871"/>
      <c r="E101" s="1861"/>
      <c r="F101" s="1865"/>
    </row>
    <row r="102">
      <c r="A102" s="1865"/>
      <c r="B102" s="1860" t="s">
        <v>11328</v>
      </c>
      <c r="C102" s="1861"/>
      <c r="D102" s="1871"/>
      <c r="E102" s="1861"/>
      <c r="F102" s="1865"/>
    </row>
    <row r="103">
      <c r="A103" s="1865"/>
      <c r="B103" s="1872" t="s">
        <v>11383</v>
      </c>
      <c r="C103" s="1848"/>
      <c r="D103" s="1848"/>
      <c r="E103" s="1848"/>
      <c r="F103" s="1849"/>
    </row>
    <row r="104">
      <c r="A104" s="1865"/>
      <c r="B104" s="1850"/>
      <c r="C104" s="1851"/>
      <c r="D104" s="1851"/>
      <c r="E104" s="1851"/>
      <c r="F104" s="1852"/>
    </row>
    <row r="105">
      <c r="A105" s="1865"/>
      <c r="B105" s="1854" t="s">
        <v>11314</v>
      </c>
      <c r="C105" s="1855" t="s">
        <v>11356</v>
      </c>
      <c r="D105" s="1869" t="s">
        <v>11384</v>
      </c>
      <c r="E105" s="1855" t="s">
        <v>11316</v>
      </c>
      <c r="F105" s="1870">
        <v>43862.0</v>
      </c>
    </row>
    <row r="106">
      <c r="A106" s="1865"/>
      <c r="B106" s="1858" t="s">
        <v>11318</v>
      </c>
      <c r="C106" s="1875" t="s">
        <v>6240</v>
      </c>
      <c r="D106" s="1869" t="s">
        <v>11385</v>
      </c>
      <c r="E106" s="1855" t="s">
        <v>11363</v>
      </c>
      <c r="F106" s="1870">
        <v>43630.0</v>
      </c>
    </row>
    <row r="107">
      <c r="A107" s="1865"/>
      <c r="B107" s="1859" t="s">
        <v>11321</v>
      </c>
      <c r="C107" s="1861"/>
      <c r="D107" s="1871"/>
      <c r="E107" s="1861"/>
      <c r="F107" s="1865"/>
    </row>
    <row r="108">
      <c r="A108" s="1865"/>
      <c r="B108" s="1860" t="s">
        <v>11324</v>
      </c>
      <c r="C108" s="1861"/>
      <c r="D108" s="1871"/>
      <c r="E108" s="1861"/>
      <c r="F108" s="1865"/>
    </row>
    <row r="109">
      <c r="A109" s="1865"/>
      <c r="B109" s="1860" t="s">
        <v>11328</v>
      </c>
      <c r="C109" s="1861"/>
      <c r="D109" s="1871"/>
      <c r="E109" s="1861"/>
      <c r="F109" s="1865"/>
    </row>
    <row r="110">
      <c r="A110" s="1865"/>
      <c r="B110" s="1847" t="s">
        <v>11338</v>
      </c>
      <c r="C110" s="1848"/>
      <c r="D110" s="1848"/>
      <c r="E110" s="1848"/>
      <c r="F110" s="1849"/>
    </row>
    <row r="111">
      <c r="A111" s="1865"/>
      <c r="B111" s="1850"/>
      <c r="C111" s="1851"/>
      <c r="D111" s="1851"/>
      <c r="E111" s="1851"/>
      <c r="F111" s="1852"/>
    </row>
    <row r="112">
      <c r="A112" s="1865"/>
      <c r="B112" s="1854" t="s">
        <v>11314</v>
      </c>
      <c r="C112" s="1855" t="s">
        <v>5213</v>
      </c>
      <c r="D112" s="1869" t="s">
        <v>11386</v>
      </c>
      <c r="E112" s="1855" t="s">
        <v>11326</v>
      </c>
      <c r="F112" s="1870">
        <v>44132.0</v>
      </c>
    </row>
    <row r="113">
      <c r="A113" s="1865"/>
      <c r="B113" s="1858" t="s">
        <v>11318</v>
      </c>
      <c r="C113" s="1861"/>
      <c r="D113" s="1871"/>
      <c r="E113" s="1861"/>
      <c r="F113" s="1865"/>
    </row>
    <row r="114">
      <c r="A114" s="1865"/>
      <c r="B114" s="1859" t="s">
        <v>11321</v>
      </c>
      <c r="C114" s="1861"/>
      <c r="D114" s="1871"/>
      <c r="E114" s="1861"/>
      <c r="F114" s="1865"/>
    </row>
    <row r="115">
      <c r="A115" s="1865"/>
      <c r="B115" s="1860" t="s">
        <v>11324</v>
      </c>
      <c r="C115" s="1861"/>
      <c r="D115" s="1871"/>
      <c r="E115" s="1861"/>
      <c r="F115" s="1865"/>
    </row>
    <row r="116">
      <c r="A116" s="1865"/>
      <c r="B116" s="1860" t="s">
        <v>11328</v>
      </c>
      <c r="C116" s="1861"/>
      <c r="D116" s="1871"/>
      <c r="E116" s="1861"/>
      <c r="F116" s="1865"/>
    </row>
    <row r="117">
      <c r="A117" s="1865"/>
      <c r="B117" s="1847" t="s">
        <v>11341</v>
      </c>
      <c r="C117" s="1848"/>
      <c r="D117" s="1848"/>
      <c r="E117" s="1848"/>
      <c r="F117" s="1849"/>
    </row>
    <row r="118">
      <c r="A118" s="1865"/>
      <c r="B118" s="1850"/>
      <c r="C118" s="1851"/>
      <c r="D118" s="1851"/>
      <c r="E118" s="1851"/>
      <c r="F118" s="1852"/>
    </row>
    <row r="119">
      <c r="A119" s="1865"/>
      <c r="B119" s="1854" t="s">
        <v>11314</v>
      </c>
      <c r="C119" s="1855" t="s">
        <v>6303</v>
      </c>
      <c r="D119" s="1869" t="s">
        <v>11387</v>
      </c>
      <c r="E119" s="1855" t="s">
        <v>11316</v>
      </c>
      <c r="F119" s="1870">
        <v>43741.0</v>
      </c>
    </row>
    <row r="120">
      <c r="A120" s="1865"/>
      <c r="B120" s="1858" t="s">
        <v>11318</v>
      </c>
      <c r="C120" s="1855" t="s">
        <v>11388</v>
      </c>
      <c r="D120" s="1869" t="s">
        <v>11389</v>
      </c>
      <c r="E120" s="1855" t="s">
        <v>11349</v>
      </c>
      <c r="F120" s="1870">
        <v>43748.0</v>
      </c>
    </row>
    <row r="121">
      <c r="A121" s="1865"/>
      <c r="B121" s="1859" t="s">
        <v>11321</v>
      </c>
      <c r="C121" s="1855" t="s">
        <v>2151</v>
      </c>
      <c r="D121" s="1869" t="s">
        <v>11390</v>
      </c>
      <c r="E121" s="1855" t="s">
        <v>11363</v>
      </c>
      <c r="F121" s="1870">
        <v>43729.0</v>
      </c>
    </row>
    <row r="122">
      <c r="A122" s="1865"/>
      <c r="B122" s="1860" t="s">
        <v>11324</v>
      </c>
      <c r="C122" s="1873" t="s">
        <v>436</v>
      </c>
      <c r="D122" s="1869" t="s">
        <v>11391</v>
      </c>
      <c r="E122" s="1855" t="s">
        <v>11316</v>
      </c>
      <c r="F122" s="1870">
        <v>44470.0</v>
      </c>
    </row>
    <row r="123">
      <c r="A123" s="1865"/>
      <c r="B123" s="1860" t="s">
        <v>11328</v>
      </c>
      <c r="C123" s="1855" t="s">
        <v>5213</v>
      </c>
      <c r="D123" s="1869" t="s">
        <v>11392</v>
      </c>
      <c r="E123" s="1855" t="s">
        <v>11326</v>
      </c>
      <c r="F123" s="1870">
        <v>44020.0</v>
      </c>
    </row>
    <row r="124">
      <c r="A124" s="1876" t="s">
        <v>11393</v>
      </c>
      <c r="B124" s="1847" t="s">
        <v>11342</v>
      </c>
      <c r="C124" s="1848"/>
      <c r="D124" s="1848"/>
      <c r="E124" s="1848"/>
      <c r="F124" s="1849"/>
    </row>
    <row r="125">
      <c r="A125" s="1876" t="s">
        <v>11394</v>
      </c>
      <c r="B125" s="1850"/>
      <c r="C125" s="1851"/>
      <c r="D125" s="1851"/>
      <c r="E125" s="1851"/>
      <c r="F125" s="1852"/>
    </row>
    <row r="126">
      <c r="A126" s="1877"/>
      <c r="B126" s="1854" t="s">
        <v>11314</v>
      </c>
      <c r="C126" s="1855" t="s">
        <v>985</v>
      </c>
      <c r="D126" s="1878">
        <v>0.06525462962962963</v>
      </c>
      <c r="E126" s="1855" t="s">
        <v>11326</v>
      </c>
      <c r="F126" s="1857">
        <v>44652.0</v>
      </c>
    </row>
    <row r="127">
      <c r="A127" s="1877"/>
      <c r="B127" s="1858" t="s">
        <v>11318</v>
      </c>
      <c r="C127" s="1855" t="s">
        <v>4115</v>
      </c>
      <c r="D127" s="1878">
        <v>0.06892361111111112</v>
      </c>
      <c r="E127" s="1855" t="s">
        <v>11326</v>
      </c>
      <c r="F127" s="1857">
        <v>44652.0</v>
      </c>
    </row>
    <row r="128">
      <c r="A128" s="1877"/>
      <c r="B128" s="1859" t="s">
        <v>11321</v>
      </c>
      <c r="C128" s="1864" t="s">
        <v>5347</v>
      </c>
      <c r="D128" s="1879">
        <v>0.07195601851851852</v>
      </c>
      <c r="E128" s="1864" t="s">
        <v>11326</v>
      </c>
      <c r="F128" s="1870">
        <v>44652.0</v>
      </c>
    </row>
    <row r="129">
      <c r="A129" s="1877"/>
      <c r="B129" s="1860" t="s">
        <v>11324</v>
      </c>
      <c r="C129" s="1861" t="s">
        <v>11395</v>
      </c>
      <c r="D129" s="1880">
        <v>0.07211805555555556</v>
      </c>
      <c r="E129" s="1881" t="s">
        <v>11396</v>
      </c>
      <c r="F129" s="1870">
        <v>44652.0</v>
      </c>
    </row>
    <row r="130">
      <c r="A130" s="1877"/>
      <c r="B130" s="1860" t="s">
        <v>11328</v>
      </c>
      <c r="C130" s="1861"/>
      <c r="D130" s="1861"/>
      <c r="E130" s="1861"/>
      <c r="F130" s="1861"/>
    </row>
    <row r="131">
      <c r="A131" s="1882" t="s">
        <v>11343</v>
      </c>
      <c r="B131" s="1847" t="s">
        <v>11343</v>
      </c>
      <c r="C131" s="1848"/>
      <c r="D131" s="1848"/>
      <c r="E131" s="1848"/>
      <c r="F131" s="1849"/>
    </row>
    <row r="132">
      <c r="A132" s="1877"/>
      <c r="B132" s="1850"/>
      <c r="C132" s="1851"/>
      <c r="D132" s="1851"/>
      <c r="E132" s="1851"/>
      <c r="F132" s="1852"/>
    </row>
    <row r="133">
      <c r="A133" s="1877"/>
      <c r="B133" s="1854" t="s">
        <v>11314</v>
      </c>
      <c r="C133" s="1855" t="s">
        <v>2457</v>
      </c>
      <c r="D133" s="1883" t="s">
        <v>11397</v>
      </c>
      <c r="E133" s="1855" t="s">
        <v>11316</v>
      </c>
      <c r="F133" s="1857">
        <v>45152.0</v>
      </c>
    </row>
    <row r="134">
      <c r="A134" s="1877"/>
      <c r="B134" s="1858" t="s">
        <v>11318</v>
      </c>
      <c r="C134" s="1855" t="s">
        <v>4234</v>
      </c>
      <c r="D134" s="1883" t="s">
        <v>11398</v>
      </c>
      <c r="E134" s="1855" t="s">
        <v>11316</v>
      </c>
      <c r="F134" s="1857">
        <v>44866.0</v>
      </c>
    </row>
    <row r="135">
      <c r="A135" s="1877"/>
      <c r="B135" s="1859" t="s">
        <v>11321</v>
      </c>
      <c r="C135" s="1861"/>
      <c r="D135" s="1880"/>
      <c r="E135" s="1881"/>
      <c r="F135" s="1870"/>
    </row>
    <row r="136">
      <c r="A136" s="1877"/>
      <c r="B136" s="1860" t="s">
        <v>11324</v>
      </c>
      <c r="C136" s="1861"/>
      <c r="D136" s="1880"/>
      <c r="E136" s="1881"/>
      <c r="F136" s="1870"/>
    </row>
    <row r="137">
      <c r="A137" s="1877"/>
      <c r="B137" s="1860" t="s">
        <v>11328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