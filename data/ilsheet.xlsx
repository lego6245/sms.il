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<sst xmlns="http://schemas.openxmlformats.org/spreadsheetml/2006/main" count="28176" uniqueCount="11771">
  <si>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</si>
  <si>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</si>
  <si>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</si>
  <si>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</si>
  <si>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</si>
  <si>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</si>
  <si>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</si>
  <si>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</si>
  <si>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</si>
  <si>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</si>
  <si>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</si>
  <si>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</si>
  <si>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</si>
  <si>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</si>
  <si>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</si>
  <si>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</si>
  <si>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</si>
  <si>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</si>
  <si>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</si>
  <si>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</si>
  <si>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</si>
  <si>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</si>
  <si>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</si>
  <si>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</si>
  <si>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</si>
  <si>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</si>
  <si>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</si>
  <si>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</si>
  <si>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</si>
  <si>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</si>
  <si>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</si>
  <si>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</si>
  <si>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</si>
  <si>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</si>
  <si>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</si>
  <si>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</si>
  <si>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</si>
  <si>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</si>
  <si>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</si>
  <si>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</si>
  <si>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</si>
  <si>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</si>
  <si>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</si>
  <si>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</si>
  <si>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</si>
  <si>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</si>
  <si>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</si>
  <si>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</si>
  <si>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</si>
  <si>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</si>
  <si>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</si>
  <si>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</si>
  <si>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</si>
  <si>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</si>
  <si>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</si>
  <si>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</si>
  <si>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</si>
  <si>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</si>
  <si>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</si>
  <si>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</si>
  <si>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</si>
  <si>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</si>
  <si>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</si>
  <si>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</si>
  <si>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</si>
  <si>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</si>
  <si>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</si>
  <si>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</si>
  <si>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</si>
  <si>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</si>
  <si>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</si>
  <si>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</si>
  <si>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</si>
  <si>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</si>
  <si>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</si>
  <si>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</si>
  <si>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</si>
  <si>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</si>
  <si>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</si>
  <si>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</si>
  <si>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</si>
  <si>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</si>
  <si>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</si>
  <si>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</si>
  <si>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</si>
  <si>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</si>
  <si>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</si>
  <si>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</si>
  <si>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</si>
  <si>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</si>
  <si>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</si>
  <si>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</si>
  <si>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</si>
  <si>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</si>
  <si>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</si>
  <si>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</si>
  <si>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</si>
  <si>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</si>
  <si>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</si>
  <si>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</si>
  <si>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</si>
  <si>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</si>
  <si>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</si>
  <si>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</si>
  <si>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</si>
  <si>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</si>
  <si>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</si>
  <si>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</si>
  <si>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</si>
  <si>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</si>
  <si>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</si>
  <si>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</si>
  <si>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</si>
  <si>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</si>
  <si>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</si>
  <si>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</si>
  <si>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</si>
  <si>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</si>
  <si>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</si>
  <si>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</si>
  <si>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</si>
  <si>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</si>
  <si>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</si>
  <si>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</si>
  <si>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</si>
  <si>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</si>
  <si>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</si>
  <si>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</si>
  <si>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</si>
  <si>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</si>
  <si>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</si>
  <si>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</si>
  <si>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</si>
  <si>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</si>
  <si>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</si>
  <si>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</si>
  <si>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</si>
  <si>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</si>
  <si>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</si>
  <si>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</si>
  <si>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</si>
  <si>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</si>
  <si>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</si>
  <si>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</si>
  <si>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</si>
  <si>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</si>
  <si>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</si>
  <si>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</si>
  <si>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</si>
  <si>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</si>
  <si>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</si>
  <si>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</si>
  <si>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</si>
  <si>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</si>
  <si>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</si>
  <si>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</si>
  <si>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</si>
  <si>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</si>
  <si>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</si>
  <si>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</si>
  <si>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</si>
  <si>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</si>
  <si>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</si>
  <si>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</si>
  <si>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</si>
  <si>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</si>
  <si>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</si>
  <si>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</si>
  <si>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</si>
  <si>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</si>
  <si>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</si>
  <si>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</si>
  <si>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</si>
  <si>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</si>
  <si>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</si>
  <si>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</si>
  <si>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</si>
  <si>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</si>
  <si>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</si>
  <si>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</si>
  <si>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</si>
  <si>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</si>
  <si>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</si>
  <si>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</si>
  <si>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</si>
  <si>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</si>
  <si>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</si>
  <si>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</si>
  <si>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</si>
  <si>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</si>
  <si>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</si>
  <si>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</si>
  <si>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</si>
  <si>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</si>
  <si>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</si>
  <si>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</si>
  <si>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</si>
  <si>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</si>
  <si>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</si>
  <si>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</si>
  <si>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</si>
  <si>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</si>
  <si>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</si>
  <si>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</si>
  <si>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</si>
  <si>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</si>
  <si>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</si>
  <si>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</si>
  <si>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</si>
  <si>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</si>
  <si>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</si>
  <si>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</si>
  <si>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</si>
  <si>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</si>
  <si>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</si>
  <si>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</si>
  <si>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</si>
  <si>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</si>
  <si>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</si>
  <si>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</si>
  <si>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</si>
  <si>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</si>
  <si>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</si>
  <si>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</si>
  <si>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</si>
  <si>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</si>
  <si>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</si>
  <si>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</si>
  <si>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</si>
  <si>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</si>
  <si>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</si>
  <si>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</si>
  <si>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</si>
  <si>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</si>
  <si>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</si>
  <si>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</si>
  <si>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</si>
  <si>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</si>
  <si>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</si>
  <si>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</si>
  <si>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</si>
  <si>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</si>
  <si>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</si>
  <si>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</si>
  <si>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</si>
  <si>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</si>
  <si>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</si>
  <si>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</si>
  <si>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</si>
  <si>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</si>
  <si>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</si>
  <si>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</si>
  <si>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</si>
  <si>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</si>
  <si>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</si>
  <si>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</si>
  <si>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</si>
  <si>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</si>
  <si>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</si>
  <si>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</si>
  <si>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</si>
  <si>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</si>
  <si>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</si>
  <si>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</si>
  <si>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</si>
  <si>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</si>
  <si>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</si>
  <si>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</si>
  <si>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</si>
  <si>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</si>
  <si>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</si>
  <si>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</si>
  <si>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</si>
  <si>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</si>
  <si>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</si>
  <si>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</si>
  <si>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</si>
  <si>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</si>
  <si>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</si>
  <si>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</si>
  <si>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</si>
  <si>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</si>
  <si>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</si>
  <si>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</si>
  <si>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</si>
  <si>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</si>
  <si>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</si>
  <si>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</si>
  <si>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</si>
  <si>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</si>
  <si>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</si>
  <si>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</si>
  <si>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</si>
  <si>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</si>
  <si>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</si>
  <si>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</si>
  <si>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</si>
  <si>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</si>
  <si>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</si>
  <si>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</si>
  <si>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</si>
  <si>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</si>
  <si>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</si>
  <si>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</si>
  <si>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</si>
  <si>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</si>
  <si>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</si>
  <si>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</si>
  <si>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</si>
  <si>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</si>
  <si>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</si>
  <si>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</si>
  <si>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</si>
  <si>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</si>
  <si>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</si>
  <si>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</si>
  <si>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</si>
  <si>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</si>
  <si>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</si>
  <si>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</si>
  <si>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</si>
  <si>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</si>
  <si>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</si>
  <si>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</si>
  <si>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</si>
  <si>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</si>
  <si>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</si>
  <si>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</si>
  <si>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</si>
  <si>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</si>
  <si>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</si>
  <si>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</si>
  <si>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</si>
  <si>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</si>
  <si>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</si>
  <si>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</si>
  <si>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</si>
  <si>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</si>
  <si>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</si>
  <si>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</si>
  <si>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</si>
  <si>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</si>
  <si>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</si>
  <si>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</si>
  <si>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</si>
  <si>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</si>
  <si>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</si>
  <si>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</si>
  <si>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</si>
  <si>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</si>
  <si>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</si>
  <si>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</si>
  <si>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</si>
  <si>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</si>
  <si>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</si>
  <si>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</si>
  <si>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</si>
  <si>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</si>
  <si>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</si>
  <si>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</si>
  <si>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</si>
  <si>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</si>
  <si>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</si>
  <si>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</si>
  <si>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</si>
  <si>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</si>
  <si>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</si>
  <si>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</si>
  <si>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</si>
  <si>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</si>
  <si>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</si>
  <si>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</si>
  <si>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</si>
  <si>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</si>
  <si>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</si>
  <si>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</si>
  <si>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</si>
  <si>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</si>
  <si>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</si>
  <si>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</si>
  <si>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</si>
  <si>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</si>
  <si>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</si>
  <si>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</si>
  <si>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</si>
  <si>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</si>
  <si>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</si>
  <si>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</si>
  <si>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</si>
  <si>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</si>
  <si>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</si>
  <si>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</si>
  <si>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</si>
  <si>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</si>
  <si>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</si>
  <si>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</si>
  <si>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</si>
  <si>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</si>
  <si>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</si>
  <si>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</si>
  <si>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</si>
  <si>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</si>
  <si>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</si>
  <si>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</si>
  <si>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</si>
  <si>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</si>
  <si>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</si>
  <si>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</si>
  <si>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</si>
  <si>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</si>
  <si>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</si>
  <si>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</si>
  <si>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</si>
  <si>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</si>
  <si>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</si>
  <si>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</si>
  <si>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</si>
  <si>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</si>
  <si>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</si>
  <si>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</si>
  <si>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</si>
  <si>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</si>
  <si>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</si>
  <si>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</si>
  <si>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</si>
  <si>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</si>
  <si>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</si>
  <si>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</si>
  <si>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</si>
  <si>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</si>
  <si>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</si>
  <si>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</si>
  <si>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</si>
  <si>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</si>
  <si>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</si>
  <si>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</si>
  <si>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</si>
  <si>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</si>
  <si>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</si>
  <si>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</si>
  <si>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</si>
  <si>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</si>
  <si>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</si>
  <si>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</si>
  <si>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</si>
  <si>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</si>
  <si>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</si>
  <si>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</si>
  <si>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</si>
  <si>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</si>
  <si>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</si>
  <si>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</si>
  <si>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</si>
  <si>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</si>
  <si>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</si>
  <si>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</si>
  <si>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</si>
  <si>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</si>
  <si>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</si>
  <si>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</si>
  <si>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</si>
  <si>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</si>
  <si>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</si>
  <si>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</si>
  <si>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</si>
  <si>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</si>
  <si>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</si>
  <si>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</si>
  <si>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</si>
  <si>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</si>
  <si>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</si>
  <si>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</si>
  <si>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</si>
  <si>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</si>
  <si>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</si>
  <si>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</si>
  <si>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</si>
  <si>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</si>
  <si>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</si>
  <si>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</si>
  <si>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</si>
  <si>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</si>
  <si>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</si>
  <si>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</si>
  <si>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</si>
  <si>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</si>
  <si>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</si>
  <si>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</si>
  <si>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</si>
  <si>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</si>
  <si>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</si>
  <si>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</si>
  <si>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</si>
  <si>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</si>
  <si>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</si>
  <si>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</si>
  <si>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</si>
  <si>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</si>
  <si>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</si>
  <si>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</si>
  <si>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</si>
  <si>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</si>
  <si>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</si>
  <si>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</si>
  <si>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</si>
  <si>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</si>
  <si>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</si>
  <si>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</si>
  <si>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</si>
  <si>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</si>
  <si>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</si>
  <si>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</si>
  <si>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</si>
  <si>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</si>
  <si>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</si>
  <si>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</si>
  <si>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</si>
  <si>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</si>
  <si>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</si>
  <si>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</si>
  <si>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</si>
  <si>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</si>
  <si>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</si>
  <si>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</si>
  <si>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</si>
  <si>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</si>
  <si>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</si>
  <si>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</si>
  <si>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</si>
  <si>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</si>
  <si>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</si>
  <si>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</si>
  <si>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</si>
  <si>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</si>
  <si>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</si>
  <si>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</si>
  <si>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</si>
  <si>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</si>
  <si>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</si>
  <si>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</si>
  <si>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</si>
  <si>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</si>
  <si>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</si>
  <si>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</si>
  <si>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</si>
  <si>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</si>
  <si>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</si>
  <si>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</si>
  <si>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</si>
  <si>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</si>
  <si>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</si>
  <si>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</si>
  <si>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</si>
  <si>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</si>
  <si>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</si>
  <si>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</si>
  <si>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</si>
  <si>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</si>
  <si>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</si>
  <si>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</si>
  <si>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</si>
  <si>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</si>
  <si>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</si>
  <si>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</si>
  <si>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</si>
  <si>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</si>
  <si>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</si>
  <si>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</si>
  <si>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</si>
  <si>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</si>
  <si>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</si>
  <si>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</si>
  <si>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</si>
  <si>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</si>
  <si>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</si>
  <si>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</si>
  <si>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</si>
  <si>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</si>
  <si>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</si>
  <si>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</si>
  <si>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</si>
  <si>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</si>
  <si>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</si>
  <si>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</si>
  <si>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</si>
  <si>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</si>
  <si>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</si>
  <si>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</si>
  <si>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</si>
  <si>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</si>
  <si>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</si>
  <si>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</si>
  <si>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</si>
  <si>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</si>
  <si>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</si>
  <si>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</si>
  <si>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</si>
  <si>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</si>
  <si>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</si>
  <si>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</si>
  <si>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</si>
  <si>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</si>
  <si>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</si>
  <si>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</si>
  <si>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</si>
  <si>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</si>
  <si>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</si>
  <si>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</si>
  <si>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</si>
  <si>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</si>
  <si>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</si>
  <si>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</si>
  <si>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</si>
  <si>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</si>
  <si>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</si>
  <si>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</si>
  <si>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</si>
  <si>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</si>
  <si>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</si>
  <si>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</si>
  <si>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</si>
  <si>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</si>
  <si>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</si>
  <si>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</si>
  <si>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</si>
  <si>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</si>
  <si>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</si>
  <si>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</si>
  <si>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</si>
  <si>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</si>
  <si>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</si>
  <si>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</si>
  <si>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</si>
  <si>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</si>
  <si>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</si>
  <si>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</si>
  <si>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</si>
  <si>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</si>
  <si>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</si>
  <si>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</si>
  <si>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</si>
  <si>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</si>
  <si>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</si>
  <si>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</si>
  <si>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</si>
  <si>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</si>
  <si>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</si>
  <si>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</si>
  <si>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</si>
  <si>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</si>
  <si>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</si>
  <si>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</si>
  <si>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</si>
  <si>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</si>
  <si>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</si>
  <si>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</si>
  <si>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</si>
  <si>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</si>
  <si>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</si>
  <si>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</si>
  <si>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</si>
  <si>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</si>
  <si>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</si>
  <si>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</si>
  <si>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</si>
  <si>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</si>
  <si>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</si>
  <si>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</si>
  <si>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</si>
  <si>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</si>
  <si>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</si>
  <si>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</si>
  <si>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</si>
  <si>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</si>
  <si>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</si>
  <si>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</si>
  <si>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</si>
  <si>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</si>
  <si>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</si>
  <si>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</si>
  <si>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</si>
  <si>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</si>
  <si>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</si>
  <si>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</si>
  <si>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</si>
  <si>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</si>
  <si>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</si>
  <si>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</si>
  <si>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</si>
  <si>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</si>
  <si>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</si>
  <si>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</si>
  <si>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</si>
  <si>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</si>
  <si>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</si>
  <si>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</si>
  <si>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</si>
  <si>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</si>
  <si>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</si>
  <si>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</si>
  <si>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</si>
  <si>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</si>
  <si>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</si>
  <si>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</si>
  <si>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</si>
  <si>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</si>
  <si>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</si>
  <si>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</si>
  <si>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</si>
  <si>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</si>
  <si>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</si>
  <si>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</si>
  <si>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</si>
  <si>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</si>
  <si>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</si>
  <si>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</si>
  <si>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</si>
  <si>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</si>
  <si>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</si>
  <si>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</si>
  <si>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</si>
  <si>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</si>
  <si>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</si>
  <si>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</si>
  <si>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</si>
  <si>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</si>
  <si>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</si>
  <si>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</si>
  <si>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</si>
  <si>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</si>
  <si>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</si>
  <si>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</si>
  <si>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</si>
  <si>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</si>
  <si>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</si>
  <si>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</si>
  <si>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</si>
  <si>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</si>
  <si>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</si>
  <si>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</si>
  <si>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</si>
  <si>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</si>
  <si>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</si>
  <si>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</si>
  <si>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</si>
  <si>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</si>
  <si>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</si>
  <si>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</si>
  <si>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</si>
  <si>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</si>
  <si>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</si>
  <si>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</si>
  <si>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</si>
  <si>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</si>
  <si>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</si>
  <si>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</si>
  <si>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</si>
  <si>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</si>
  <si>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</si>
  <si>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</si>
  <si>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</si>
  <si>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</si>
  <si>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</si>
  <si>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</si>
  <si>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</si>
  <si>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</si>
  <si>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</si>
  <si>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</si>
  <si>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</si>
  <si>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</si>
  <si>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</si>
  <si>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</si>
  <si>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</si>
  <si>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</si>
  <si>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</si>
  <si>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</si>
  <si>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</si>
  <si>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</si>
  <si>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</si>
  <si>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</si>
  <si>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</si>
  <si>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</si>
  <si>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</si>
  <si>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</si>
  <si>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</si>
  <si>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</si>
  <si>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</si>
  <si>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</si>
  <si>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</si>
  <si>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</si>
  <si>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</si>
  <si>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</si>
  <si>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</si>
  <si>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</si>
  <si>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</si>
  <si>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</si>
  <si>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</si>
  <si>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</si>
  <si>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</si>
  <si>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</si>
  <si>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</si>
  <si>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</si>
  <si>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</si>
  <si>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</si>
  <si>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</si>
  <si>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</si>
  <si>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</si>
  <si>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</si>
  <si>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</si>
  <si>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</si>
  <si>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</si>
  <si>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</si>
  <si>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</si>
  <si>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</si>
  <si>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</si>
  <si>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</si>
  <si>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</si>
  <si>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</si>
  <si>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</si>
  <si>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</si>
  <si>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</si>
  <si>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</si>
  <si>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</si>
  <si>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</si>
  <si>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</si>
  <si>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</si>
  <si>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</si>
  <si>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</si>
  <si>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</si>
  <si>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</si>
  <si>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</si>
  <si>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</si>
  <si>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</si>
  <si>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</si>
  <si>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</si>
  <si>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</si>
  <si>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</si>
  <si>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</si>
  <si>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</si>
  <si>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</si>
  <si>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</si>
  <si>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</si>
  <si>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</si>
  <si>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</si>
  <si>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</si>
  <si>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</si>
  <si>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</si>
  <si>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</si>
  <si>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</si>
  <si>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</si>
  <si>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</si>
  <si>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</si>
  <si>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</si>
  <si>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</si>
  <si>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</si>
  <si>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</si>
  <si>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</si>
  <si>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</si>
  <si>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</si>
  <si>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</si>
  <si>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</si>
  <si>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</si>
  <si>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</si>
  <si>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</si>
  <si>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</si>
  <si>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</si>
  <si>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</si>
  <si>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</si>
  <si>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</si>
  <si>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</si>
  <si>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</si>
  <si>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</si>
  <si>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</si>
  <si>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</si>
  <si>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</si>
  <si>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</si>
  <si>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</si>
  <si>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</si>
  <si>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</si>
  <si>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</si>
  <si>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</si>
  <si>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</si>
  <si>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</si>
  <si>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</si>
  <si>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</si>
  <si>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</si>
  <si>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</si>
  <si>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</si>
  <si>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</si>
  <si>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</si>
  <si>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</si>
  <si>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</si>
  <si>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</si>
  <si>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</si>
  <si>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</si>
  <si>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</si>
  <si>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</si>
  <si>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</si>
  <si>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</si>
  <si>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</si>
  <si>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</si>
  <si>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</si>
  <si>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</si>
  <si>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</si>
  <si>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</si>
  <si>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</si>
  <si>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</si>
  <si>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</si>
  <si>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</si>
  <si>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</si>
  <si>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</si>
  <si>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</si>
  <si>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</si>
  <si>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</si>
  <si>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</si>
  <si>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</si>
  <si>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</si>
  <si>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</si>
  <si>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</si>
  <si>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</si>
  <si>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</si>
  <si>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</si>
  <si>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</si>
  <si>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</si>
  <si>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</si>
  <si>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</si>
  <si>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</si>
  <si>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</si>
  <si>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</si>
  <si>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</si>
  <si>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</si>
  <si>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</si>
  <si>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</si>
  <si>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</si>
  <si>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</si>
  <si>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</si>
  <si>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</si>
  <si>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</si>
  <si>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</si>
  <si>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</si>
  <si>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</si>
  <si>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</si>
  <si>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</si>
  <si>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</si>
  <si>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</si>
  <si>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</si>
  <si>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</si>
  <si>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</si>
  <si>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</si>
  <si>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</si>
  <si>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</si>
  <si>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</si>
  <si>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</si>
  <si>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</si>
  <si>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</si>
  <si>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</si>
  <si>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</si>
  <si>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</si>
  <si>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</si>
  <si>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</si>
  <si>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</si>
  <si>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</si>
  <si>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</si>
  <si>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</si>
  <si>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</si>
  <si>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</si>
  <si>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</si>
  <si>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</si>
  <si>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</si>
  <si>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</si>
  <si>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</si>
  <si>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</si>
  <si>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</si>
  <si>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</si>
  <si>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</si>
  <si>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</si>
  <si>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</si>
  <si>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</si>
  <si>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</si>
  <si>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</si>
  <si>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</si>
  <si>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</si>
  <si>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</si>
  <si>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</si>
  <si>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</si>
  <si>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</si>
  <si>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</si>
  <si>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</si>
  <si>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</si>
  <si>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</si>
  <si>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</si>
  <si>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</si>
  <si>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</si>
  <si>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</si>
  <si>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</si>
  <si>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</si>
  <si>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</si>
  <si>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</si>
  <si>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</si>
  <si>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</si>
  <si>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</si>
  <si>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</si>
  <si>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</si>
  <si>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</si>
  <si>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</si>
  <si>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</si>
  <si>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</si>
  <si>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</si>
  <si>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</si>
  <si>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</si>
  <si>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</si>
  <si>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</si>
  <si>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</si>
  <si>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</si>
  <si>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</si>
  <si>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</si>
  <si>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</si>
  <si>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</si>
  <si>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</si>
  <si>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</si>
  <si>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</si>
  <si>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</si>
  <si>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</si>
  <si>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</si>
  <si>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</si>
  <si>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</si>
  <si>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</si>
  <si>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</si>
  <si>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</si>
  <si>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</si>
  <si>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</si>
  <si>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</si>
  <si>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</si>
  <si>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</si>
  <si>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</si>
  <si>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</si>
  <si>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</si>
  <si>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</si>
  <si>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</si>
  <si>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</si>
  <si>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</si>
  <si>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</si>
  <si>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</si>
  <si>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</si>
  <si>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</si>
  <si>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</si>
  <si>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</si>
  <si>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</si>
  <si>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</si>
  <si>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</si>
  <si>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</si>
  <si>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</si>
  <si>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</si>
  <si>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</si>
  <si>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</si>
  <si>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</si>
  <si>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</si>
  <si>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</si>
  <si>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</si>
  <si>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</si>
  <si>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</si>
  <si>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</si>
  <si>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</si>
  <si>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</si>
  <si>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</si>
  <si>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</si>
  <si>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</si>
  <si>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</si>
  <si>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</si>
  <si>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</si>
  <si>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</si>
  <si>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</si>
  <si>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</si>
  <si>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</si>
  <si>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</si>
  <si>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</si>
  <si>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</si>
  <si>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</si>
  <si>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</si>
  <si>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</si>
  <si>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</si>
  <si>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</si>
  <si>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</si>
  <si>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</si>
  <si>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</si>
  <si>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</si>
  <si>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</si>
  <si>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</si>
  <si>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</si>
  <si>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</si>
  <si>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</si>
  <si>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</si>
  <si>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</si>
  <si>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</si>
  <si>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</si>
  <si>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</si>
  <si>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</si>
  <si>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</si>
  <si>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</si>
  <si>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</si>
  <si>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</si>
  <si>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</si>
  <si>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</si>
  <si>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</si>
  <si>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</si>
  <si>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</si>
  <si>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</si>
  <si>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</si>
  <si>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</si>
  <si>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</si>
  <si>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</si>
  <si>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</si>
  <si>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</si>
  <si>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</si>
  <si>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</si>
  <si>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</si>
  <si>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</si>
  <si>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</si>
  <si>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</si>
  <si>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</si>
  <si>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</si>
  <si>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</si>
  <si>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</si>
  <si>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</si>
  <si>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</si>
  <si>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</si>
  <si>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</si>
  <si>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</si>
  <si>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</si>
  <si>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</si>
  <si>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</si>
  <si>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</si>
  <si>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</si>
  <si>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</si>
  <si>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</si>
  <si>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</si>
  <si>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</si>
  <si>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</si>
  <si>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</si>
  <si>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</si>
  <si>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</si>
  <si>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</si>
  <si>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</si>
  <si>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</si>
  <si>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</si>
  <si>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</si>
  <si>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</si>
  <si>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</si>
  <si>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</si>
  <si>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</si>
  <si>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</si>
  <si>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</si>
  <si>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</si>
  <si>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</si>
  <si>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</si>
  <si>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</si>
  <si>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</si>
  <si>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</si>
  <si>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</si>
  <si>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</si>
  <si>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</si>
  <si>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</si>
  <si>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</si>
  <si>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</si>
  <si>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</si>
  <si>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</si>
  <si>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</si>
  <si>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</si>
  <si>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</si>
  <si>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</si>
  <si>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</si>
  <si>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</si>
  <si>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</si>
  <si>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</si>
  <si>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</si>
  <si>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</si>
  <si>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</si>
  <si>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</si>
  <si>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</si>
  <si>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</si>
  <si>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</si>
  <si>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</si>
  <si>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</si>
  <si>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</si>
  <si>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</si>
  <si>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</si>
  <si>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</si>
  <si>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</si>
  <si>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</si>
  <si>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</si>
  <si>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</si>
  <si>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</si>
  <si>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</si>
  <si>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</si>
  <si>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</si>
  <si>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</si>
  <si>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</si>
  <si>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</si>
  <si>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</si>
  <si>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</si>
  <si>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</si>
  <si>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</si>
  <si>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</si>
  <si>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</si>
  <si>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</si>
  <si>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</si>
  <si>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</si>
  <si>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</si>
  <si>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</si>
  <si>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</si>
  <si>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</si>
  <si>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</si>
  <si>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</si>
  <si>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</si>
  <si>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</si>
  <si>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</si>
  <si>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</si>
  <si>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</si>
  <si>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</si>
  <si>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</si>
  <si>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</si>
  <si>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</si>
  <si>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</si>
  <si>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</si>
  <si>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</si>
  <si>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</si>
  <si>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</si>
  <si>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</si>
  <si>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</si>
  <si>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</si>
  <si>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</si>
  <si>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</si>
  <si>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</si>
  <si>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</si>
  <si>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</si>
  <si>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</si>
  <si>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</si>
  <si>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</si>
  <si>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</si>
  <si>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</si>
  <si>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</si>
  <si>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</si>
  <si>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</si>
  <si>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</si>
  <si>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</si>
  <si>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</si>
  <si>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</si>
  <si>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</si>
  <si>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</si>
  <si>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</si>
  <si>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</si>
  <si>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</si>
  <si>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</si>
  <si>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</si>
  <si>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</si>
  <si>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</si>
  <si>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</si>
  <si>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</si>
  <si>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</si>
  <si>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</si>
  <si>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</si>
  <si>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</si>
  <si>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</si>
  <si>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</si>
  <si>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</si>
  <si>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</si>
  <si>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</si>
  <si>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</si>
  <si>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</si>
  <si>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</si>
  <si>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</si>
  <si>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</si>
  <si>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</si>
  <si>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</si>
  <si>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</si>
  <si>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</si>
  <si>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</si>
  <si>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</si>
  <si>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</si>
  <si>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</si>
  <si>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</si>
  <si>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</si>
  <si>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</si>
  <si>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</si>
  <si>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</si>
  <si>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</si>
  <si>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</si>
  <si>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</si>
  <si>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</si>
  <si>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</si>
  <si>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</si>
  <si>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</si>
  <si>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</si>
  <si>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</si>
  <si>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</si>
  <si>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</si>
  <si>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</si>
  <si>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</si>
  <si>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</si>
  <si>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</si>
  <si>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</si>
  <si>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</si>
  <si>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</si>
  <si>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</si>
  <si>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</si>
  <si>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</si>
  <si>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</si>
  <si>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</si>
  <si>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</si>
  <si>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</si>
  <si>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</si>
  <si>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</si>
  <si>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</si>
  <si>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</si>
  <si>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</si>
  <si>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</si>
  <si>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</si>
  <si>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</si>
  <si>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</si>
  <si>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</si>
  <si>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</si>
  <si>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</si>
  <si>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</si>
  <si>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</si>
  <si>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</si>
  <si>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</si>
  <si>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</si>
  <si>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</si>
  <si>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</si>
  <si>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</si>
  <si>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</si>
  <si>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</si>
  <si>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</si>
  <si>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</si>
  <si>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</si>
  <si>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</si>
  <si>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</si>
  <si>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</si>
  <si>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</si>
  <si>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</si>
  <si>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</si>
  <si>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</si>
  <si>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</si>
  <si>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</si>
  <si>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</si>
  <si>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</si>
  <si>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</si>
  <si>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</si>
  <si>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</si>
  <si>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</si>
  <si>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</si>
  <si>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</si>
  <si>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</si>
  <si>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</si>
  <si>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</si>
  <si>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</si>
  <si>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</si>
  <si>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</si>
  <si>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</si>
  <si>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</si>
  <si>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</si>
  <si>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</si>
  <si>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</si>
  <si>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</si>
  <si>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</si>
  <si>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</si>
  <si>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</si>
  <si>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</si>
  <si>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</si>
  <si>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</si>
  <si>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</si>
  <si>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</si>
  <si>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</si>
  <si>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</si>
  <si>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</si>
  <si>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</si>
  <si>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</si>
  <si>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</si>
  <si>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</si>
  <si>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</si>
  <si>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</si>
  <si>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</si>
  <si>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</si>
  <si>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</si>
  <si>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</si>
  <si>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</si>
  <si>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</si>
  <si>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</si>
  <si>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</si>
  <si>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</si>
  <si>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</si>
  <si>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</si>
  <si>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</si>
  <si>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</si>
  <si>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</si>
  <si>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</si>
  <si>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</si>
  <si>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</si>
  <si>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</si>
  <si>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</si>
  <si>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</si>
  <si>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</si>
  <si>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</si>
  <si>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</si>
  <si>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</si>
  <si>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</si>
  <si>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</si>
  <si>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</si>
  <si>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</si>
  <si>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</si>
  <si>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</si>
  <si>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</si>
  <si>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</si>
  <si>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</si>
  <si>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</si>
  <si>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</si>
  <si>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</si>
  <si>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</si>
  <si>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</si>
  <si>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</si>
  <si>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</si>
  <si>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</si>
  <si>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</si>
  <si>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</si>
  <si>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</si>
  <si>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</si>
  <si>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</si>
  <si>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</si>
  <si>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</si>
  <si>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</si>
  <si>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</si>
  <si>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</si>
  <si>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</si>
  <si>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</si>
  <si>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</si>
  <si>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</si>
  <si>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</si>
  <si>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</si>
  <si>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</si>
  <si>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</si>
  <si>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</si>
  <si>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</si>
  <si>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</si>
  <si>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</si>
  <si>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</si>
  <si>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</si>
  <si>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</si>
  <si>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</si>
  <si>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</si>
  <si>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</si>
  <si>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</si>
  <si>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</si>
  <si>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</si>
  <si>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</si>
  <si>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</si>
  <si>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</si>
  <si>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</si>
  <si>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</si>
  <si>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</si>
  <si>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</si>
  <si>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</si>
  <si>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</si>
  <si>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</si>
  <si>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</si>
  <si>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</si>
  <si>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</si>
  <si>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</si>
  <si>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</si>
  <si>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</si>
  <si>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</si>
  <si>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</si>
  <si>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</si>
  <si>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</si>
  <si>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</si>
  <si>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</si>
  <si>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</si>
  <si>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</si>
  <si>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</si>
  <si>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</si>
  <si>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</si>
  <si>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</si>
  <si>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</si>
  <si>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</si>
  <si>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</si>
  <si>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</si>
  <si>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</si>
  <si>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</si>
  <si>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</si>
  <si>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</si>
  <si>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</si>
  <si>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</si>
  <si>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</si>
  <si>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</si>
  <si>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</si>
  <si>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</si>
  <si>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</si>
  <si>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</si>
  <si>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</si>
  <si>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</si>
  <si>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</si>
  <si>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</si>
  <si>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</si>
  <si>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</si>
  <si>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</si>
  <si>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</si>
  <si>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</si>
  <si>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</si>
  <si>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</si>
  <si>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</si>
  <si>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</si>
  <si>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</si>
  <si>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</si>
  <si>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</si>
  <si>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</si>
  <si>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</si>
  <si>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</si>
  <si>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</si>
  <si>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</si>
  <si>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</si>
  <si>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</si>
  <si>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</si>
  <si>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</si>
  <si>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</si>
  <si>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</si>
  <si>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</si>
  <si>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</si>
  <si>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</si>
  <si>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</si>
  <si>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</si>
  <si>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</si>
  <si>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</si>
  <si>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</si>
  <si>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</si>
  <si>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</si>
  <si>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</si>
  <si>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</si>
  <si>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</si>
  <si>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</si>
  <si>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</si>
  <si>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</si>
  <si>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</si>
  <si>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</si>
  <si>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</si>
  <si>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</si>
  <si>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</si>
  <si>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</si>
  <si>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</si>
  <si>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</si>
  <si>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</si>
  <si>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</si>
  <si>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</si>
  <si>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</si>
  <si>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</si>
  <si>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</si>
  <si>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</si>
  <si>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</si>
  <si>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</si>
  <si>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</si>
  <si>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</si>
  <si>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</si>
  <si>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</si>
  <si>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</si>
  <si>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</si>
  <si>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</si>
  <si>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</si>
  <si>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</si>
  <si>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</si>
  <si>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</si>
  <si>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</si>
  <si>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</si>
  <si>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</si>
  <si>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</si>
  <si>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</si>
  <si>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</si>
  <si>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</si>
  <si>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</si>
  <si>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</si>
  <si>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</si>
  <si>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</si>
  <si>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</si>
  <si>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</si>
  <si>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</si>
  <si>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</si>
  <si>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</si>
  <si>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</si>
  <si>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</si>
  <si>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</si>
  <si>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</si>
  <si>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</si>
  <si>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</si>
  <si>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</si>
  <si>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</si>
  <si>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</si>
  <si>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</si>
  <si>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</si>
  <si>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</si>
  <si>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</si>
  <si>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</si>
  <si>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</si>
  <si>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</si>
  <si>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</si>
  <si>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</si>
  <si>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</si>
  <si>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</si>
  <si>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</si>
  <si>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</si>
  <si>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</si>
  <si>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</si>
  <si>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</si>
  <si>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</si>
  <si>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</si>
  <si>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</si>
  <si>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</si>
  <si>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</si>
  <si>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</si>
  <si>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</si>
  <si>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</si>
  <si>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</si>
  <si>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</si>
  <si>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</si>
  <si>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</si>
  <si>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</si>
  <si>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</si>
  <si>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</si>
  <si>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</si>
  <si>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</si>
  <si>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</si>
  <si>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</si>
  <si>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</si>
  <si>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</si>
  <si>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</si>
  <si>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</si>
  <si>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</si>
  <si>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</si>
  <si>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</si>
  <si>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</si>
  <si>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</si>
  <si>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</si>
  <si>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</si>
  <si>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</si>
  <si>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</si>
  <si>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</si>
  <si>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</si>
  <si>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</si>
  <si>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</si>
  <si>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</si>
  <si>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</si>
  <si>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</si>
  <si>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</si>
  <si>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</si>
  <si>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</si>
  <si>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</si>
  <si>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</si>
  <si>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</si>
  <si>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</si>
  <si>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</si>
  <si>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</si>
  <si>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</si>
  <si>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</si>
  <si>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</si>
  <si>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</si>
  <si>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</si>
  <si>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</si>
  <si>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</si>
  <si>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</si>
  <si>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</si>
  <si>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</si>
  <si>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</si>
  <si>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</si>
  <si>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</si>
  <si>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</si>
  <si>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</si>
  <si>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</si>
  <si>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</si>
  <si>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</si>
  <si>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</si>
  <si>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</si>
  <si>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</si>
  <si>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</si>
  <si>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</si>
  <si>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</si>
  <si>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</si>
  <si>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</si>
  <si>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</si>
  <si>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</si>
  <si>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</si>
  <si>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</si>
  <si>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</si>
  <si>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</si>
  <si>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</si>
  <si>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</si>
  <si>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</si>
  <si>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</si>
  <si>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</si>
  <si>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</si>
  <si>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</si>
  <si>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</si>
  <si>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</si>
  <si>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</si>
  <si>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</si>
  <si>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</si>
  <si>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</si>
  <si>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</si>
  <si>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</si>
  <si>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</si>
  <si>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</si>
  <si>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</si>
  <si>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</si>
  <si>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</si>
  <si>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</si>
  <si>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</si>
  <si>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</si>
  <si>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</si>
  <si>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</si>
  <si>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</si>
  <si>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</si>
  <si>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</si>
  <si>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</si>
  <si>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</si>
  <si>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</si>
  <si>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</si>
  <si>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</si>
  <si>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</si>
  <si>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</si>
  <si>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</si>
  <si>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</si>
  <si>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</si>
  <si>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</si>
  <si>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</si>
  <si>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</si>
  <si>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</si>
  <si>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</si>
  <si>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</si>
  <si>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</si>
  <si>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</si>
  <si>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</si>
  <si>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</si>
  <si>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</si>
  <si>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</si>
  <si>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</si>
  <si>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</si>
  <si>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</si>
  <si>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</si>
  <si>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</si>
  <si>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</si>
  <si>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</si>
  <si>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</si>
  <si>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</si>
  <si>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</si>
  <si>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</si>
  <si>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</si>
  <si>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</si>
  <si>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</si>
  <si>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</si>
  <si>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</si>
  <si>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</si>
  <si>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</si>
  <si>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</si>
  <si>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</si>
  <si>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</si>
  <si>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</si>
  <si>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</si>
  <si>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</si>
  <si>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</si>
  <si>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</si>
  <si>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</si>
  <si>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</si>
  <si>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</si>
  <si>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</si>
  <si>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</si>
  <si>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</si>
  <si>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</si>
  <si>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</si>
  <si>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</si>
  <si>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</si>
  <si>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</si>
  <si>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</si>
  <si>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</si>
  <si>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</si>
  <si>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</si>
  <si>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</si>
  <si>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</si>
  <si>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</si>
  <si>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</si>
  <si>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</si>
  <si>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</si>
  <si>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</si>
  <si>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</si>
  <si>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</si>
  <si>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</si>
  <si>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</si>
  <si>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</si>
  <si>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</si>
  <si>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</si>
  <si>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</si>
  <si>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</si>
  <si>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</si>
  <si>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</si>
  <si>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</si>
  <si>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</si>
  <si>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</si>
  <si>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</si>
  <si>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</si>
  <si>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</si>
  <si>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</si>
  <si>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</si>
  <si>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</si>
  <si>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</si>
  <si>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</si>
  <si>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</si>
  <si>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</si>
  <si>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</si>
  <si>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</si>
  <si>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</si>
  <si>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</si>
  <si>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</si>
  <si>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</si>
  <si>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</si>
  <si>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</si>
  <si>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</si>
  <si>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</si>
  <si>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</si>
  <si>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</si>
  <si>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</si>
  <si>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</si>
  <si>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</si>
  <si>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</si>
  <si>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</si>
  <si>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</si>
  <si>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</si>
  <si>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</si>
  <si>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</si>
  <si>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</si>
  <si>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</si>
  <si>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</si>
  <si>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</si>
  <si>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</si>
  <si>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</si>
  <si>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</si>
  <si>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</si>
  <si>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</si>
  <si>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</si>
  <si>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</si>
  <si>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</si>
  <si>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</si>
  <si>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</si>
  <si>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</si>
  <si>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</si>
  <si>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</si>
  <si>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</si>
  <si>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</si>
  <si>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</si>
  <si>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</si>
  <si>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</si>
  <si>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</si>
  <si>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</si>
  <si>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</si>
  <si>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</si>
  <si>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</si>
  <si>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</si>
  <si>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</si>
  <si>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</si>
  <si>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</si>
  <si>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</si>
  <si>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</si>
  <si>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</si>
  <si>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</si>
  <si>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</si>
  <si>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</si>
  <si>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</si>
  <si>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</si>
  <si>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</si>
  <si>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</si>
  <si>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</si>
  <si>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</si>
  <si>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</si>
  <si>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</si>
  <si>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</si>
  <si>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</si>
  <si>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</si>
  <si>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</si>
  <si>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</si>
  <si>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</si>
  <si>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</si>
  <si>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</si>
  <si>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</si>
  <si>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</si>
  <si>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</si>
  <si>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</si>
  <si>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</si>
  <si>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</si>
  <si>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</si>
  <si>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</si>
  <si>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</si>
  <si>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</si>
  <si>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</si>
  <si>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</si>
  <si>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</si>
  <si>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</si>
  <si>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</si>
  <si>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</si>
  <si>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</si>
  <si>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</si>
  <si>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</si>
  <si>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</si>
  <si>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</si>
  <si>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</si>
  <si>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</si>
  <si>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</si>
  <si>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</si>
  <si>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</si>
  <si>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</si>
  <si>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</si>
  <si>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</si>
  <si>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</si>
  <si>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</si>
  <si>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</si>
  <si>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</si>
  <si>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</si>
  <si>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</si>
  <si>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</si>
  <si>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</si>
  <si>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</si>
  <si>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</si>
  <si>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</si>
  <si>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</si>
  <si>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</si>
  <si>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</si>
  <si>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</si>
  <si>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</si>
  <si>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</si>
  <si>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</si>
  <si>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</si>
  <si>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</si>
  <si>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</si>
  <si>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</si>
  <si>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</si>
  <si>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</si>
  <si>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</si>
  <si>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</si>
  <si>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</si>
  <si>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</si>
  <si>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</si>
  <si>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</si>
  <si>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</si>
  <si>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</si>
  <si>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</si>
  <si>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</si>
  <si>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</si>
  <si>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</si>
  <si>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</si>
  <si>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</si>
  <si>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</si>
  <si>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</si>
  <si>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</si>
  <si>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</si>
  <si>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</si>
  <si>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</si>
  <si>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</si>
  <si>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</si>
  <si>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</si>
  <si>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</si>
  <si>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</si>
  <si>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</si>
  <si>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</si>
  <si>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</si>
  <si>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</si>
  <si>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</si>
  <si>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</si>
  <si>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</si>
  <si>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</si>
  <si>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</si>
  <si>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</si>
  <si>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</si>
  <si>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</si>
  <si>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</si>
  <si>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</si>
  <si>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</si>
  <si>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</si>
  <si>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</si>
  <si>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</si>
  <si>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</si>
  <si>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</si>
  <si>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</si>
  <si>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</si>
  <si>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</si>
  <si>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</si>
  <si>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</si>
  <si>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</si>
  <si>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</si>
  <si>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</si>
  <si>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</si>
  <si>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</si>
  <si>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</si>
  <si>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</si>
  <si>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</si>
  <si>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</si>
  <si>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</si>
  <si>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</si>
  <si>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</si>
  <si>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</si>
  <si>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</si>
  <si>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</si>
  <si>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</si>
  <si>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</si>
  <si>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</si>
  <si>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</si>
  <si>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</si>
  <si>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</si>
  <si>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</si>
  <si>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</si>
  <si>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</si>
  <si>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</si>
  <si>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</si>
  <si>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</si>
  <si>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</si>
  <si>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</si>
  <si>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</si>
  <si>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</si>
  <si>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</si>
  <si>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</si>
  <si>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</si>
  <si>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</si>
  <si>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</si>
  <si>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</si>
  <si>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</si>
  <si>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</si>
  <si>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</si>
  <si>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</si>
  <si>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</si>
  <si>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</si>
  <si>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</si>
  <si>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</si>
  <si>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</si>
  <si>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</si>
  <si>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</si>
  <si>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</si>
  <si>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</si>
  <si>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</si>
  <si>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</si>
  <si>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</si>
  <si>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</si>
  <si>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</si>
  <si>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</si>
  <si>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</si>
  <si>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</si>
  <si>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</si>
  <si>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</si>
  <si>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</si>
  <si>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</si>
  <si>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</si>
  <si>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</si>
  <si>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</si>
  <si>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</si>
  <si>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</si>
  <si>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</si>
  <si>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</si>
  <si>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</si>
  <si>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</si>
  <si>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</si>
  <si>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</si>
  <si>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</si>
  <si>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</si>
  <si>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</si>
  <si>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</si>
  <si>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</si>
  <si>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</si>
  <si>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</si>
  <si>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</si>
  <si>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</si>
  <si>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</si>
  <si>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</si>
  <si>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</si>
  <si>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</si>
  <si>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</si>
  <si>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</si>
  <si>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</si>
  <si>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</si>
  <si>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</si>
  <si>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</si>
  <si>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</si>
  <si>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</si>
  <si>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</si>
  <si>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</si>
  <si>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</si>
  <si>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</si>
  <si>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</si>
  <si>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</si>
  <si>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</si>
  <si>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</si>
  <si>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</si>
  <si>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</si>
  <si>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</si>
  <si>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</si>
  <si>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</si>
  <si>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</si>
  <si>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</si>
  <si>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</si>
  <si>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</si>
  <si>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</si>
  <si>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</si>
  <si>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</si>
  <si>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</si>
  <si>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</si>
  <si>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</si>
  <si>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</si>
  <si>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</si>
  <si>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</si>
  <si>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</si>
  <si>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</si>
  <si>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</si>
  <si>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</si>
  <si>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</si>
  <si>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</si>
  <si>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</si>
  <si>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</si>
  <si>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</si>
  <si>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</si>
  <si>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</si>
  <si>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</si>
  <si>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</si>
  <si>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</si>
  <si>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</si>
  <si>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</si>
  <si>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</si>
  <si>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</si>
  <si>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</si>
  <si>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</si>
  <si>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</si>
  <si>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</si>
  <si>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</si>
  <si>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</si>
  <si>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</si>
  <si>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</si>
  <si>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</si>
  <si>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</si>
  <si>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</si>
  <si>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</si>
  <si>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</si>
  <si>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</si>
  <si>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</si>
  <si>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</si>
  <si>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</si>
  <si>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</si>
  <si>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</si>
  <si>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</si>
  <si>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</si>
  <si>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</si>
  <si>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</si>
  <si>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</si>
  <si>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</si>
  <si>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</si>
  <si>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</si>
  <si>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</si>
  <si>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</si>
  <si>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</si>
  <si>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</si>
  <si>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</si>
  <si>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</si>
  <si>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</si>
  <si>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</si>
  <si>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</si>
  <si>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</si>
  <si>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</si>
  <si>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</si>
  <si>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</si>
  <si>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</si>
  <si>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</si>
  <si>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</si>
  <si>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</si>
  <si>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</si>
  <si>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</si>
  <si>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</si>
  <si>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</si>
  <si>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</si>
  <si>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</si>
  <si>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</si>
  <si>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</si>
  <si>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</si>
  <si>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</si>
  <si>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</si>
  <si>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</si>
  <si>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</si>
  <si>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</si>
  <si>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</si>
  <si>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</si>
  <si>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</si>
  <si>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</si>
  <si>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</si>
  <si>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</si>
  <si>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</si>
  <si>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</si>
  <si>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</si>
  <si>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</si>
  <si>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</si>
  <si>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</si>
  <si>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</si>
  <si>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</si>
  <si>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</si>
  <si>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</si>
  <si>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</si>
  <si>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</si>
  <si>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</si>
  <si>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</si>
  <si>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</si>
  <si>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</si>
  <si>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</si>
  <si>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</si>
  <si>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</si>
  <si>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</si>
  <si>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</si>
  <si>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</si>
  <si>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</si>
  <si>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</si>
  <si>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</si>
  <si>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</si>
  <si>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</si>
  <si>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</si>
  <si>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</si>
  <si>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</si>
  <si>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</si>
  <si>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</si>
  <si>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</si>
  <si>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</si>
  <si>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</si>
  <si>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</si>
  <si>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</si>
  <si>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</si>
  <si>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</si>
  <si>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</si>
  <si>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</si>
  <si>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</si>
  <si>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</si>
  <si>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</si>
  <si>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</si>
  <si>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</si>
  <si>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</si>
  <si>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</si>
  <si>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</si>
  <si>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</si>
  <si>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</si>
  <si>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</si>
  <si>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</si>
  <si>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</si>
  <si>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</si>
  <si>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</si>
  <si>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</si>
  <si>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</si>
  <si>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</si>
  <si>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</si>
  <si>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</si>
  <si>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</si>
  <si>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</si>
  <si>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</si>
  <si>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</si>
  <si>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</si>
  <si>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</si>
  <si>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</si>
  <si>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</si>
  <si>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</si>
  <si>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</si>
  <si>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</si>
  <si>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</si>
  <si>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</si>
  <si>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</si>
  <si>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</si>
  <si>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</si>
  <si>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</si>
  <si>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</si>
  <si>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</si>
  <si>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</si>
  <si>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</si>
  <si>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</si>
  <si>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</si>
  <si>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</si>
  <si>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</si>
  <si>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</si>
  <si>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</si>
  <si>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</si>
  <si>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</si>
  <si>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</si>
  <si>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</si>
  <si>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</si>
  <si>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</si>
  <si>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</si>
  <si>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</si>
  <si>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</si>
  <si>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</si>
  <si>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</si>
  <si>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</si>
  <si>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</si>
  <si>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</si>
  <si>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</si>
  <si>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</si>
  <si>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</si>
  <si>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</si>
  <si>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</si>
  <si>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</si>
  <si>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</si>
  <si>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</si>
  <si>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</si>
  <si>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</si>
  <si>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</si>
  <si>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</si>
  <si>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</si>
  <si>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</si>
  <si>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</si>
  <si>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</si>
  <si>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</si>
  <si>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</si>
  <si>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</si>
  <si>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</si>
  <si>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</si>
  <si>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</si>
  <si>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</si>
  <si>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</si>
  <si>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</si>
  <si>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</si>
  <si>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</si>
  <si>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</si>
  <si>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</si>
  <si>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</si>
  <si>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</si>
  <si>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</si>
  <si>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</si>
  <si>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</si>
  <si>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</si>
  <si>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</si>
  <si>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</si>
  <si>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</si>
  <si>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</si>
  <si>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</si>
  <si>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</si>
  <si>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</si>
  <si>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</si>
  <si>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</si>
  <si>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</si>
  <si>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</si>
  <si>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</si>
  <si>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</si>
  <si>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</si>
  <si>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</si>
  <si>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</si>
  <si>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</si>
  <si>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</si>
  <si>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</si>
  <si>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</si>
  <si>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</si>
  <si>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</si>
  <si>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</si>
  <si>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</si>
  <si>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</si>
  <si>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</si>
  <si>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</si>
  <si>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</si>
  <si>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</si>
  <si>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</si>
  <si>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</si>
  <si>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</si>
  <si>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</si>
  <si>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</si>
  <si>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</si>
  <si>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</si>
  <si>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</si>
  <si>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</si>
  <si>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</si>
  <si>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</si>
  <si>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</si>
  <si>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</si>
  <si>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</si>
  <si>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</si>
  <si>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</si>
  <si>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</si>
  <si>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</si>
  <si>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</si>
  <si>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</si>
  <si>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</si>
  <si>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</si>
  <si>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</si>
  <si>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</si>
  <si>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</si>
  <si>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</si>
  <si>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</si>
  <si>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</si>
  <si>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</si>
  <si>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</si>
  <si>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</si>
  <si>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</si>
  <si>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</si>
  <si>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</si>
  <si>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</si>
  <si>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</si>
  <si>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</si>
  <si>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</si>
  <si>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</si>
  <si>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</si>
  <si>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</si>
  <si>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</si>
  <si>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</si>
  <si>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</si>
  <si>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</si>
  <si>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</si>
  <si>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</si>
  <si>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</si>
  <si>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</si>
  <si>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</si>
  <si>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</si>
  <si>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</si>
  <si>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</si>
  <si>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</si>
  <si>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</si>
  <si>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</si>
  <si>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</si>
  <si>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</si>
  <si>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</si>
  <si>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</si>
  <si>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</si>
  <si>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</si>
  <si>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</si>
  <si>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</si>
  <si>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</si>
  <si>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</si>
  <si>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</si>
  <si>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</si>
  <si>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</si>
  <si>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</si>
  <si>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</si>
  <si>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</si>
  <si>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</si>
  <si>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</si>
  <si>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</si>
  <si>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</si>
  <si>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</si>
  <si>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</si>
  <si>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</si>
  <si>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</si>
  <si>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</si>
  <si>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</si>
  <si>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</si>
  <si>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</si>
  <si>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</si>
  <si>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</si>
  <si>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</si>
  <si>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</si>
  <si>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</si>
  <si>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</si>
  <si>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</si>
  <si>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</si>
  <si>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</si>
  <si>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</si>
  <si>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</si>
  <si>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</si>
  <si>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</si>
  <si>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</si>
  <si>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</si>
  <si>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</si>
  <si>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</si>
  <si>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</si>
  <si>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</si>
  <si>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</si>
  <si>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</si>
  <si>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</si>
  <si>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</si>
  <si>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</si>
  <si>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</si>
  <si>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</si>
  <si>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</si>
  <si>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</si>
  <si>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</si>
  <si>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</si>
  <si>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</si>
  <si>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</si>
  <si>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</si>
  <si>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</si>
  <si>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</si>
  <si>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</si>
  <si>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</si>
  <si>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</si>
  <si>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</si>
  <si>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</si>
  <si>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</si>
  <si>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</si>
  <si>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</si>
  <si>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</si>
  <si>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</si>
  <si>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</si>
  <si>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</si>
  <si>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</si>
  <si>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</si>
  <si>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</si>
  <si>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</si>
  <si>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</si>
  <si>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</si>
  <si>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</si>
  <si>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</si>
  <si>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</si>
  <si>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</si>
  <si>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</si>
  <si>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</si>
  <si>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</si>
  <si>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</si>
  <si>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</si>
  <si>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</si>
  <si>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</si>
  <si>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</si>
  <si>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</si>
  <si>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</si>
  <si>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</si>
  <si>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</si>
  <si>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</si>
  <si>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</si>
  <si>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</si>
  <si>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</si>
  <si>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</si>
  <si>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</si>
  <si>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</si>
  <si>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</si>
  <si>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</si>
  <si>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</si>
  <si>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</si>
  <si>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</si>
  <si>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</si>
  <si>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</si>
  <si>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</si>
  <si>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</si>
  <si>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</si>
  <si>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</si>
  <si>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</si>
  <si>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</si>
  <si>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</si>
  <si>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</si>
  <si>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</si>
  <si>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</si>
  <si>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</si>
  <si>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</si>
  <si>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</si>
  <si>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</si>
  <si>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</si>
  <si>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</si>
  <si>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</si>
  <si>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</si>
  <si>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</si>
  <si>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</si>
  <si>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</si>
  <si>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</si>
  <si>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</si>
  <si>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</si>
  <si>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</si>
  <si>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</si>
  <si>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</si>
  <si>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</si>
  <si>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</si>
  <si>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</si>
  <si>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</si>
  <si>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</si>
  <si>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</si>
  <si>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</si>
  <si>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</si>
  <si>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</si>
  <si>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</si>
  <si>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</si>
  <si>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</si>
  <si>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</si>
  <si>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</si>
  <si>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</si>
  <si>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</si>
  <si>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</si>
  <si>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</si>
  <si>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</si>
  <si>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</si>
  <si>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</si>
  <si>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</si>
  <si>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</si>
  <si>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</si>
  <si>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</si>
  <si>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</si>
  <si>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</si>
  <si>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</si>
  <si>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</si>
  <si>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</si>
  <si>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</si>
  <si>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</si>
  <si>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</si>
  <si>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</si>
  <si>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</si>
  <si>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</si>
  <si>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</si>
  <si>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</si>
  <si>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</si>
  <si>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</si>
  <si>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</si>
  <si>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</si>
  <si>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</si>
  <si>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</si>
  <si>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</si>
  <si>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</si>
  <si>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</si>
  <si>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</si>
  <si>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</si>
  <si>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</si>
  <si>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</si>
  <si>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</si>
  <si>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</si>
  <si>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</si>
  <si>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</si>
  <si>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</si>
  <si>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</si>
  <si>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</si>
  <si>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</si>
  <si>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</si>
  <si>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</si>
  <si>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</si>
  <si>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</si>
  <si>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</si>
  <si>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</si>
  <si>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</si>
  <si>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</si>
  <si>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</si>
  <si>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</si>
  <si>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</si>
  <si>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</si>
  <si>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</si>
  <si>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</si>
  <si>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</si>
  <si>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</si>
  <si>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</si>
  <si>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</si>
  <si>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</si>
  <si>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</si>
  <si>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</si>
  <si>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</si>
  <si>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</si>
  <si>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</si>
  <si>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</si>
  <si>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</si>
  <si>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</si>
  <si>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</si>
  <si>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</si>
  <si>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</si>
  <si>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</si>
  <si>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</si>
  <si>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</si>
  <si>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</si>
  <si>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</si>
  <si>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</si>
  <si>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</si>
  <si>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</si>
  <si>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</si>
  <si>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</si>
  <si>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</si>
  <si>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</si>
  <si>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</si>
  <si>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</si>
  <si>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</si>
  <si>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</si>
  <si>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</si>
  <si>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</si>
  <si>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</si>
  <si>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</si>
  <si>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</si>
  <si>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</si>
  <si>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</si>
  <si>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</si>
  <si>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</si>
  <si>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</si>
  <si>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</si>
  <si>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</si>
  <si>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</si>
  <si>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</si>
  <si>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</si>
  <si>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</si>
  <si>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</si>
  <si>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</si>
  <si>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</si>
  <si>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</si>
  <si>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</si>
  <si>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</si>
  <si>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</si>
  <si>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</si>
  <si>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</si>
  <si>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</si>
  <si>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</si>
  <si>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</si>
  <si>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</si>
  <si>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</si>
  <si>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</si>
  <si>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</si>
  <si>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</si>
  <si>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</si>
  <si>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</si>
  <si>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</si>
  <si>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</si>
  <si>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</si>
  <si>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</si>
  <si>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</si>
  <si>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</si>
  <si>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</si>
  <si>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</si>
  <si>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</si>
  <si>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</si>
  <si>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</si>
  <si>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</si>
  <si>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</si>
  <si>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</si>
  <si>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</si>
  <si>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</si>
  <si>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</si>
  <si>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</si>
  <si>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</si>
  <si>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</si>
  <si>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</si>
  <si>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</si>
  <si>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</si>
  <si>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</si>
  <si>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</si>
  <si>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</si>
  <si>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</si>
  <si>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</si>
  <si>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</si>
  <si>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</si>
  <si>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</si>
  <si>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</si>
  <si>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</si>
  <si>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</si>
  <si>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</si>
  <si>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</si>
  <si>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</si>
  <si>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</si>
  <si>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</si>
  <si>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</si>
  <si>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</si>
  <si>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</si>
  <si>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</si>
  <si>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</si>
  <si>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</si>
  <si>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</si>
  <si>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</si>
  <si>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</si>
  <si>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</si>
  <si>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</si>
  <si>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</si>
  <si>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</si>
  <si>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</si>
  <si>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</si>
  <si>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</si>
  <si>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</si>
  <si>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</si>
  <si>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</si>
  <si>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</si>
  <si>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</si>
  <si>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</si>
  <si>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</si>
  <si>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</si>
  <si>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</si>
  <si>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</si>
  <si>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</si>
  <si>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</si>
  <si>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</si>
  <si>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</si>
  <si>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</si>
  <si>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</si>
  <si>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</si>
  <si>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</si>
  <si>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</si>
  <si>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</si>
  <si>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</si>
  <si>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</si>
  <si>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</si>
  <si>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</si>
  <si>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</si>
  <si>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</si>
  <si>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</si>
  <si>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</si>
  <si>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</si>
  <si>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</si>
  <si>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</si>
  <si>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</si>
  <si>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</si>
  <si>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</si>
  <si>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</si>
  <si>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</si>
  <si>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</si>
  <si>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</si>
  <si>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</si>
  <si>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</si>
  <si>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</si>
  <si>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</si>
  <si>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</si>
  <si>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</si>
  <si>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</si>
  <si>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</si>
  <si>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</si>
  <si>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</si>
  <si>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</si>
  <si>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</si>
  <si>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</si>
  <si>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</si>
  <si>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</si>
  <si>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</si>
  <si>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</si>
  <si>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</si>
  <si>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</si>
  <si>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</si>
  <si>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</si>
  <si>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</si>
  <si>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</si>
  <si>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</si>
  <si>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</si>
  <si>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</si>
  <si>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</si>
  <si>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</si>
  <si>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</si>
  <si>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</si>
  <si>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</si>
  <si>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</si>
  <si>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</si>
  <si>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</si>
  <si>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</si>
  <si>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</si>
  <si>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</si>
  <si>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</si>
  <si>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</si>
  <si>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</si>
  <si>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</si>
  <si>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</si>
  <si>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</si>
  <si>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</si>
  <si>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</si>
  <si>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</si>
  <si>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</si>
  <si>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</si>
  <si>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</si>
  <si>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</si>
  <si>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</si>
  <si>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</si>
  <si>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</si>
  <si>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</si>
  <si>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</si>
  <si>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</si>
  <si>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</si>
  <si>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</si>
  <si>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</si>
  <si>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</si>
  <si>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</si>
  <si>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</si>
  <si>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</si>
  <si>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</si>
  <si>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</si>
  <si>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</si>
  <si>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</si>
  <si>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</si>
  <si>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</si>
  <si>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</si>
  <si>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</si>
  <si>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</si>
  <si>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</si>
  <si>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</si>
  <si>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</si>
  <si>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</si>
  <si>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</si>
  <si>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</si>
  <si>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</si>
  <si>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</si>
  <si>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</si>
  <si>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</si>
  <si>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</si>
  <si>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</si>
  <si>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</si>
  <si>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</si>
  <si>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</si>
  <si>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</si>
  <si>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</si>
  <si>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</si>
  <si>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</si>
  <si>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</si>
  <si>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</si>
  <si>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</si>
  <si>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</si>
  <si>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</si>
  <si>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</si>
  <si>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</si>
  <si>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</si>
  <si>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</si>
  <si>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</si>
  <si>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</si>
  <si>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</si>
  <si>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</si>
  <si>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</si>
  <si>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</si>
  <si>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</si>
  <si>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</si>
  <si>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</si>
  <si>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</si>
  <si>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</si>
  <si>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</si>
  <si>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</si>
  <si>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</si>
  <si>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</si>
  <si>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</si>
  <si>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</si>
  <si>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</si>
  <si>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</si>
  <si>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</si>
  <si>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</si>
  <si>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</si>
  <si>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</si>
  <si>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</si>
  <si>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</si>
  <si>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</si>
  <si>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</si>
  <si>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</si>
  <si>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</si>
  <si>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</si>
  <si>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</si>
  <si>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</si>
  <si>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</si>
  <si>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</si>
  <si>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</si>
  <si>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</si>
  <si>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</si>
  <si>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</si>
  <si>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</si>
  <si>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</si>
  <si>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</si>
  <si>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</si>
  <si>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</si>
  <si>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</si>
  <si>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</si>
  <si>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</si>
  <si>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</si>
  <si>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</si>
  <si>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</si>
  <si>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</si>
  <si>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</si>
  <si>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</si>
  <si>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</si>
  <si>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</si>
  <si>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</si>
  <si>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</si>
  <si>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</si>
  <si>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</si>
  <si>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</si>
  <si>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</si>
  <si>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</si>
  <si>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</si>
  <si>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</si>
  <si>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</si>
  <si>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</si>
  <si>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</si>
  <si>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</si>
  <si>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</si>
  <si>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</si>
  <si>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</si>
  <si>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</si>
  <si>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</si>
  <si>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</si>
  <si>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</si>
  <si>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</si>
  <si>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</si>
  <si>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</si>
  <si>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</si>
  <si>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</si>
  <si>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</si>
  <si>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</si>
  <si>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</si>
  <si>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</si>
  <si>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</si>
  <si>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</si>
  <si>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</si>
  <si>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</si>
  <si>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</si>
  <si>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</si>
  <si>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</si>
  <si>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</si>
  <si>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</si>
  <si>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</si>
  <si>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</si>
  <si>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</si>
  <si>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</si>
  <si>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</si>
  <si>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</si>
  <si>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</si>
  <si>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</si>
  <si>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</si>
  <si>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</si>
  <si>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</si>
  <si>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</si>
  <si>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</si>
  <si>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</si>
  <si>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</si>
  <si>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</si>
  <si>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</si>
  <si>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</si>
  <si>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</si>
  <si>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</si>
  <si>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</si>
  <si>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</si>
  <si>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</si>
  <si>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</si>
  <si>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</si>
  <si>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</si>
  <si>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</si>
  <si>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</si>
  <si>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</si>
  <si>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</si>
  <si>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</si>
  <si>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</si>
  <si>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</si>
  <si>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</si>
  <si>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</si>
  <si>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</si>
  <si>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</si>
  <si>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</si>
  <si>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</si>
  <si>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</si>
  <si>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</si>
  <si>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</si>
  <si>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</si>
  <si>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</si>
  <si>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</si>
  <si>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</si>
  <si>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</si>
  <si>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</si>
  <si>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</si>
  <si>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</si>
  <si>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</si>
  <si>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</si>
  <si>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</si>
  <si>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</si>
  <si>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</si>
  <si>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</si>
  <si>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</si>
  <si>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</si>
  <si>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</si>
  <si>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</si>
  <si>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</si>
  <si>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</si>
  <si>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</si>
  <si>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</si>
  <si>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</si>
  <si>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</si>
  <si>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</si>
  <si>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</si>
  <si>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</si>
  <si>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</si>
  <si>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</si>
  <si>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</si>
  <si>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</si>
  <si>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</si>
  <si>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</si>
  <si>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</si>
  <si>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</si>
  <si>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</si>
  <si>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</si>
  <si>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</si>
  <si>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</si>
  <si>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</si>
  <si>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</si>
  <si>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</si>
  <si>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</si>
  <si>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</si>
  <si>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</si>
  <si>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</si>
  <si>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</si>
  <si>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</si>
  <si>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</si>
  <si>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</si>
  <si>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</si>
  <si>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</si>
  <si>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</si>
  <si>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</si>
  <si>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</si>
  <si>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</si>
  <si>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</si>
  <si>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</si>
  <si>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</si>
  <si>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</si>
  <si>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</si>
  <si>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</si>
  <si>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</si>
  <si>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</si>
  <si>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</si>
  <si>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</si>
  <si>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</si>
  <si>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</si>
  <si>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</si>
  <si>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</si>
  <si>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</si>
  <si>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</si>
  <si>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</si>
  <si>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</si>
  <si>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</si>
  <si>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</si>
  <si>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</si>
  <si>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</si>
  <si>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</si>
  <si>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</si>
  <si>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</si>
  <si>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</si>
  <si>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</si>
  <si>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</si>
  <si>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</si>
  <si>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</si>
  <si>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</si>
  <si>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</si>
  <si>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</si>
  <si>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</si>
  <si>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</si>
  <si>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</si>
  <si>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</si>
  <si>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</si>
  <si>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</si>
  <si>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</si>
  <si>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</si>
  <si>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</si>
  <si>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</si>
  <si>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</si>
  <si>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</si>
  <si>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</si>
  <si>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</si>
  <si>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</si>
  <si>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</si>
  <si>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</si>
  <si>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</si>
  <si>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</si>
  <si>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</si>
  <si>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</si>
  <si>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</si>
  <si>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</si>
  <si>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</si>
  <si>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</si>
  <si>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</si>
  <si>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</si>
  <si>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</si>
  <si>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</si>
  <si>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</si>
  <si>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</si>
  <si>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</si>
  <si>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</si>
  <si>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</si>
  <si>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</si>
  <si>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</si>
  <si>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</si>
  <si>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</si>
  <si>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</si>
  <si>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</si>
  <si>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</si>
  <si>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</si>
  <si>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</si>
  <si>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</si>
  <si>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</si>
  <si>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</si>
  <si>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</si>
  <si>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</si>
  <si>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</si>
  <si>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</si>
  <si>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</si>
  <si>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</si>
  <si>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</si>
  <si>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</si>
  <si>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</si>
  <si>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</si>
  <si>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</si>
  <si>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</si>
  <si>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</si>
  <si>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</si>
  <si>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</si>
  <si>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</si>
  <si>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</si>
  <si>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</si>
  <si>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</si>
  <si>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</si>
  <si>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</si>
  <si>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</si>
  <si>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</si>
  <si>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</si>
  <si>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</si>
  <si>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</si>
  <si>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</si>
  <si>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</si>
  <si>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</si>
  <si>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</si>
  <si>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</si>
  <si>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</si>
  <si>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</si>
  <si>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</si>
  <si>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</si>
  <si>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</si>
  <si>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</si>
  <si>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</si>
  <si>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</si>
  <si>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</si>
  <si>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</si>
  <si>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</si>
  <si>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</si>
  <si>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</si>
  <si>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</si>
  <si>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</si>
  <si>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</si>
  <si>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</si>
  <si>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</si>
  <si>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</si>
  <si>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</si>
  <si>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</si>
  <si>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</si>
  <si>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</si>
  <si>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</si>
  <si>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</si>
  <si>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</si>
  <si>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</si>
  <si>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</si>
  <si>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</si>
  <si>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</si>
  <si>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</si>
  <si>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</si>
  <si>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</si>
  <si>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</si>
  <si>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</si>
  <si>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</si>
  <si>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</si>
  <si>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</si>
  <si>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</si>
  <si>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</si>
  <si>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</si>
  <si>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</si>
  <si>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</si>
  <si>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</si>
  <si>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</si>
  <si>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</si>
  <si>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</si>
  <si>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</si>
  <si>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</si>
  <si>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</si>
  <si>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</si>
  <si>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</si>
  <si>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</si>
  <si>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</si>
  <si>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</si>
  <si>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</si>
  <si>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</si>
  <si>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</si>
  <si>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</si>
  <si>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</si>
  <si>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</si>
  <si>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</si>
  <si>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</si>
  <si>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</si>
  <si>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</si>
  <si>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</si>
  <si>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</si>
  <si>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</si>
  <si>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</si>
  <si>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</si>
  <si>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</si>
  <si>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</si>
  <si>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</si>
  <si>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</si>
  <si>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</si>
  <si>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</si>
  <si>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</si>
  <si>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</si>
  <si>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</si>
  <si>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</si>
  <si>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</si>
  <si>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</si>
  <si>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</si>
  <si>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</si>
  <si>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</si>
  <si>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</si>
  <si>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</si>
  <si>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</si>
  <si>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</si>
  <si>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</si>
  <si>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</si>
  <si>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</si>
  <si>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</si>
  <si>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</si>
  <si>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</si>
  <si>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</si>
  <si>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</si>
  <si>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</si>
  <si>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</si>
  <si>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</si>
  <si>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</si>
  <si>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</si>
  <si>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</si>
  <si>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</si>
  <si>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</si>
  <si>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</si>
  <si>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</si>
  <si>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</si>
  <si>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</si>
  <si>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</si>
  <si>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</si>
  <si>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</si>
  <si>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</si>
  <si>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</si>
  <si>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</si>
  <si>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</si>
  <si>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</si>
  <si>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</si>
  <si>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</si>
  <si>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</si>
  <si>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</si>
  <si>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</si>
  <si>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</si>
  <si>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</si>
  <si>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</si>
  <si>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</si>
  <si>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</si>
  <si>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</si>
  <si>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</si>
  <si>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</si>
  <si>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</si>
  <si>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</si>
  <si>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</si>
  <si>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</si>
  <si>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</si>
  <si>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</si>
  <si>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</si>
  <si>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</si>
  <si>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</si>
  <si>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</si>
  <si>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</si>
  <si>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</si>
  <si>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</si>
  <si>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</si>
  <si>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</si>
  <si>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</si>
  <si>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</si>
  <si>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</si>
  <si>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</si>
  <si>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</si>
  <si>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</si>
  <si>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</si>
  <si>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</si>
  <si>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</si>
  <si>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</si>
  <si>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</si>
  <si>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</si>
  <si>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</si>
  <si>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</si>
  <si>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</si>
  <si>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</si>
  <si>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</si>
  <si>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</si>
  <si>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</si>
  <si>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</si>
  <si>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</si>
  <si>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</si>
  <si>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</si>
  <si>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</si>
  <si>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</si>
  <si>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</si>
  <si>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</si>
  <si>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</si>
  <si>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</si>
  <si>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</si>
  <si>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</si>
  <si>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</si>
  <si>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</si>
  <si>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</si>
  <si>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</si>
  <si>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</si>
  <si>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</si>
  <si>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</si>
  <si>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</si>
  <si>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</si>
  <si>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</si>
  <si>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</si>
  <si>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</si>
  <si>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</si>
  <si>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</si>
  <si>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</si>
  <si>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</si>
  <si>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</si>
  <si>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</si>
  <si>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</si>
  <si>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</si>
  <si>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</si>
  <si>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</si>
  <si>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</si>
  <si>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</si>
  <si>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</si>
  <si>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</si>
  <si>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</si>
  <si>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</si>
  <si>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</si>
  <si>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</si>
  <si>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</si>
  <si>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</si>
  <si>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</si>
  <si>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</si>
  <si>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</si>
  <si>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</si>
  <si>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</si>
  <si>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</si>
  <si>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</si>
  <si>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</si>
  <si>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</si>
  <si>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</si>
  <si>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</si>
  <si>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</si>
  <si>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</si>
  <si>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</si>
  <si>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</si>
  <si>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</si>
  <si>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</si>
  <si>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</si>
  <si>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</si>
  <si>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</si>
  <si>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</si>
  <si>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</si>
  <si>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</si>
  <si>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</si>
  <si>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</si>
  <si>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</si>
  <si>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</si>
  <si>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</si>
  <si>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</si>
  <si>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</si>
  <si>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</si>
  <si>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</si>
  <si>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</si>
  <si>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</si>
  <si>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</si>
  <si>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</si>
  <si>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</si>
  <si>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</si>
  <si>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</si>
  <si>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</si>
  <si>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</si>
  <si>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</si>
  <si>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</si>
  <si>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</si>
  <si>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</si>
  <si>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</si>
  <si>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</si>
  <si>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</si>
  <si>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</si>
  <si>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</si>
  <si>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</si>
  <si>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</si>
  <si>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</si>
  <si>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</si>
  <si>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</si>
  <si>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</si>
  <si>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</si>
  <si>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</si>
  <si>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</si>
  <si>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</si>
  <si>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</si>
  <si>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</si>
  <si>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</si>
  <si>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</si>
  <si>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</si>
  <si>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</si>
  <si>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</si>
  <si>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</si>
  <si>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</si>
  <si>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</si>
  <si>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</si>
  <si>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</si>
  <si>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</si>
  <si>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</si>
  <si>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</si>
  <si>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</si>
  <si>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</si>
  <si>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</si>
  <si>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</si>
  <si>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</si>
  <si>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</si>
  <si>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</si>
  <si>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</si>
  <si>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</si>
  <si>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</si>
  <si>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</si>
  <si>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</si>
  <si>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</si>
  <si>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</si>
  <si>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</si>
  <si>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</si>
  <si>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</si>
  <si>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</si>
  <si>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</si>
  <si>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</si>
  <si>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</si>
  <si>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</si>
  <si>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</si>
  <si>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</si>
  <si>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</si>
  <si>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</si>
  <si>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</si>
  <si>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</si>
  <si>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</si>
  <si>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</si>
  <si>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</si>
  <si>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</si>
  <si>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</si>
  <si>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</si>
  <si>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</si>
  <si>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</si>
  <si>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</si>
  <si>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</si>
  <si>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</si>
  <si>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</si>
  <si>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</si>
  <si>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</si>
  <si>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</si>
  <si>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</si>
  <si>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</si>
  <si>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</si>
  <si>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</si>
  <si>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</si>
  <si>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</si>
  <si>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</si>
  <si>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</si>
  <si>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</si>
  <si>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</si>
  <si>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</si>
  <si>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</si>
  <si>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</si>
  <si>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</si>
  <si>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</si>
  <si>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</si>
  <si>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</si>
  <si>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</si>
  <si>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</si>
  <si>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</si>
  <si>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</si>
  <si>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</si>
  <si>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</si>
  <si>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</si>
  <si>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</si>
  <si>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</si>
  <si>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</si>
  <si>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</si>
  <si>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</si>
  <si>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</si>
  <si>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</si>
  <si>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</si>
  <si>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</si>
  <si>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</si>
  <si>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</si>
  <si>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</si>
  <si>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</si>
  <si>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</si>
  <si>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</si>
  <si>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</si>
  <si>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</si>
  <si>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</si>
  <si>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</si>
  <si>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</si>
  <si>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</si>
  <si>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</si>
  <si>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</si>
  <si>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</si>
  <si>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</si>
  <si>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</si>
  <si>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</si>
  <si>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</si>
  <si>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</si>
  <si>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</si>
  <si>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</si>
  <si>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</si>
  <si>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</si>
  <si>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</si>
  <si>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</si>
  <si>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</si>
  <si>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</si>
  <si>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</si>
  <si>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</si>
  <si>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</si>
  <si>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</si>
  <si>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</si>
  <si>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</si>
  <si>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</si>
  <si>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</si>
  <si>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</si>
  <si>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</si>
  <si>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</si>
  <si>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</si>
  <si>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</si>
  <si>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</si>
  <si>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</si>
  <si>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</si>
  <si>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</si>
  <si>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</si>
  <si>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</si>
  <si>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</si>
  <si>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</si>
  <si>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</si>
  <si>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</si>
  <si>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</si>
  <si>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</si>
  <si>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</si>
  <si>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</si>
  <si>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</si>
  <si>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</si>
  <si>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</si>
  <si>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</si>
  <si>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</si>
  <si>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</si>
  <si>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</si>
  <si>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</si>
  <si>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</si>
  <si>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</si>
  <si>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</si>
  <si>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</si>
  <si>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</si>
  <si>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</si>
  <si>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</si>
  <si>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</si>
  <si>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</si>
  <si>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</si>
  <si>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</si>
  <si>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</si>
  <si>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</si>
  <si>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</si>
  <si>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</si>
  <si>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</si>
  <si>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</si>
  <si>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</si>
  <si>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</si>
  <si>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</si>
  <si>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</si>
  <si>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</si>
  <si>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</si>
  <si>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</si>
  <si>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</si>
  <si>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</si>
  <si>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</si>
  <si>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</si>
  <si>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</si>
  <si>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</si>
  <si>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</si>
  <si>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</si>
  <si>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</si>
  <si>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</si>
  <si>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</si>
  <si>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</si>
  <si>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</si>
  <si>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</si>
  <si>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</si>
  <si>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</si>
  <si>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</si>
  <si>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</si>
  <si>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</si>
  <si>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</si>
  <si>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</si>
  <si>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</si>
  <si>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</si>
  <si>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</si>
  <si>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</si>
  <si>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</si>
  <si>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</si>
  <si>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</si>
  <si>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</si>
  <si>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</si>
  <si>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</si>
  <si>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</si>
  <si>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</si>
  <si>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</si>
  <si>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</si>
  <si>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</si>
  <si>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</si>
  <si>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</si>
  <si>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</si>
  <si>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</si>
  <si>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</si>
  <si>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</si>
  <si>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</si>
  <si>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</si>
  <si>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</si>
  <si>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</si>
  <si>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</si>
  <si>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</si>
  <si>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</si>
  <si>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</si>
  <si>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</si>
  <si>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</si>
  <si>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</si>
  <si>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</si>
  <si>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</si>
  <si>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</si>
  <si>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</si>
  <si>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</si>
  <si>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</si>
  <si>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</si>
  <si>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</si>
  <si>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</si>
  <si>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</si>
  <si>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</si>
  <si>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</si>
  <si>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</si>
  <si>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</si>
  <si>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</si>
  <si>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</si>
  <si>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</si>
  <si>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</si>
  <si>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</si>
  <si>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</si>
  <si>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</si>
  <si>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</si>
  <si>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</si>
  <si>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</si>
  <si>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</si>
  <si>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</si>
  <si>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</si>
  <si>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</si>
  <si>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</si>
  <si>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</si>
  <si>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</si>
  <si>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</si>
  <si>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</si>
  <si>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</si>
  <si>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</si>
  <si>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</si>
  <si>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</si>
  <si>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</si>
  <si>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</si>
  <si>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</si>
  <si>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</si>
  <si>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</si>
  <si>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</si>
  <si>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</si>
  <si>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</si>
  <si>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</si>
  <si>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</si>
  <si>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</si>
  <si>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</si>
  <si>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</si>
  <si>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</si>
  <si>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</si>
  <si>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</si>
  <si>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</si>
  <si>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</si>
  <si>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</si>
  <si>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</si>
  <si>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</si>
  <si>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</si>
  <si>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</si>
  <si>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</si>
  <si>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</si>
  <si>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</si>
  <si>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</si>
  <si>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</si>
  <si>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</si>
  <si>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</si>
  <si>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</si>
  <si>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</si>
  <si>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</si>
  <si>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</si>
  <si>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</si>
  <si>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</si>
  <si>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</si>
  <si>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</si>
  <si>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</si>
  <si>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</si>
  <si>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</si>
  <si>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</si>
  <si>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</si>
  <si>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</si>
  <si>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</si>
  <si>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</si>
  <si>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</si>
  <si>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</si>
  <si>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</si>
  <si>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</si>
  <si>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</si>
  <si>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</si>
  <si>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</si>
  <si>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</si>
  <si>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</si>
  <si>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</si>
  <si>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</si>
  <si>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</si>
  <si>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</si>
  <si>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</si>
  <si>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</si>
  <si>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</si>
  <si>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</si>
  <si>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</si>
  <si>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</si>
  <si>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</si>
  <si>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</si>
  <si>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</si>
  <si>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</si>
  <si>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</si>
  <si>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</si>
  <si>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</si>
  <si>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</si>
  <si>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</si>
  <si>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</si>
  <si>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</si>
  <si>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</si>
  <si>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</si>
  <si>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</si>
  <si>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</si>
  <si>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</si>
  <si>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</si>
  <si>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</si>
  <si>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</si>
  <si>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</si>
  <si>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</si>
  <si>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</si>
  <si>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</si>
  <si>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</si>
  <si>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</si>
  <si>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</si>
  <si>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</si>
  <si>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</si>
  <si>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</si>
  <si>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</si>
  <si>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</si>
  <si>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</si>
  <si>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</si>
  <si>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</si>
  <si>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</si>
  <si>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</si>
  <si>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</si>
  <si>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</si>
  <si>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</si>
  <si>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</si>
  <si>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</si>
  <si>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</si>
  <si>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</si>
  <si>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</si>
  <si>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</si>
  <si>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</si>
  <si>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</si>
  <si>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</si>
  <si>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</si>
  <si>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</si>
  <si>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</si>
  <si>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</si>
  <si>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</si>
  <si>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</si>
  <si>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</si>
  <si>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</si>
  <si>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</si>
  <si>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</si>
  <si>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</si>
  <si>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</si>
  <si>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</si>
  <si>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</si>
  <si>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</si>
  <si>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</si>
  <si>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</si>
  <si>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</si>
  <si>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</si>
  <si>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</si>
  <si>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</si>
  <si>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</si>
  <si>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</si>
  <si>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</si>
  <si>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</si>
  <si>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</si>
  <si>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</si>
  <si>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</si>
  <si>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</si>
  <si>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</si>
  <si>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</si>
  <si>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</si>
  <si>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</si>
  <si>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</si>
  <si>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</si>
  <si>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</si>
  <si>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</si>
  <si>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</si>
  <si>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</si>
  <si>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</si>
  <si>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</si>
  <si>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</si>
  <si>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</si>
  <si>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</si>
  <si>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</si>
  <si>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</si>
  <si>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</si>
  <si>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</si>
  <si>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</si>
  <si>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</si>
  <si>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</si>
  <si>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</si>
  <si>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</si>
  <si>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</si>
  <si>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</si>
  <si>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</si>
  <si>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</si>
  <si>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</si>
  <si>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</si>
  <si>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</si>
  <si>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</si>
  <si>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</si>
  <si>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</si>
  <si>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</si>
  <si>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</si>
  <si>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</si>
  <si>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</si>
  <si>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</si>
  <si>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</si>
  <si>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</si>
  <si>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</si>
  <si>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</si>
  <si>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</si>
  <si>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</si>
  <si>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</si>
  <si>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</si>
  <si>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</si>
  <si>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</si>
  <si>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</si>
  <si>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</si>
  <si>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</si>
  <si>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</si>
  <si>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</si>
  <si>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</si>
  <si>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</si>
  <si>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</si>
  <si>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</si>
  <si>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</si>
  <si>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</si>
  <si>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</si>
  <si>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</si>
  <si>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</si>
  <si>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</si>
  <si>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</si>
  <si>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</si>
  <si>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</si>
  <si>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</si>
  <si>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</si>
  <si>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</si>
  <si>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</si>
  <si>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</si>
  <si>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</si>
  <si>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</si>
  <si>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</si>
  <si>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</si>
  <si>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</si>
  <si>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</si>
  <si>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</si>
  <si>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</si>
  <si>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</si>
  <si>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</si>
  <si>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</si>
  <si>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</si>
  <si>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</si>
  <si>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</si>
  <si>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</si>
  <si>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</si>
  <si>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</si>
  <si>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</si>
  <si>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</si>
  <si>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</si>
  <si>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</si>
  <si>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</si>
  <si>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</si>
  <si>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</si>
  <si>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</si>
  <si>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</si>
  <si>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</si>
  <si>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</si>
  <si>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</si>
  <si>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</si>
  <si>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</si>
  <si>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</si>
  <si>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</si>
  <si>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</si>
  <si>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</si>
  <si>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</si>
  <si>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</si>
  <si>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</si>
  <si>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</si>
  <si>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</si>
  <si>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</si>
  <si>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</si>
  <si>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</si>
  <si>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</si>
  <si>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</si>
  <si>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</si>
  <si>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</si>
  <si>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</si>
  <si>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</si>
  <si>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</si>
  <si>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</si>
  <si>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</si>
  <si>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</si>
  <si>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</si>
  <si>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</si>
  <si>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</si>
  <si>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</si>
  <si>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</si>
  <si>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</si>
  <si>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</si>
  <si>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</si>
  <si>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</si>
  <si>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</si>
  <si>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</si>
  <si>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</si>
  <si>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</si>
  <si>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</si>
  <si>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</si>
  <si>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</si>
  <si>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</si>
  <si>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</si>
  <si>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</si>
  <si>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</si>
  <si>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</si>
  <si>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</si>
  <si>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</si>
  <si>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</si>
  <si>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</si>
  <si>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</si>
  <si>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</si>
  <si>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</si>
  <si>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</si>
  <si>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</si>
  <si>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</si>
  <si>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</si>
  <si>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</si>
  <si>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</si>
  <si>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</si>
  <si>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</si>
  <si>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</si>
  <si>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</si>
  <si>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</si>
  <si>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</si>
  <si>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</si>
  <si>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</si>
  <si>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</si>
  <si>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</si>
  <si>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</si>
  <si>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</si>
  <si>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</si>
  <si>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</si>
  <si>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</si>
  <si>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</si>
  <si>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</si>
  <si>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</si>
  <si>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</si>
  <si>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</si>
  <si>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</si>
  <si>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</si>
  <si>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</si>
  <si>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</si>
  <si>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</si>
  <si>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</si>
  <si>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</si>
  <si>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</si>
  <si>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</si>
  <si>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</si>
  <si>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</si>
  <si>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</si>
  <si>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</si>
  <si>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</si>
  <si>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</si>
  <si>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</si>
  <si>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</si>
  <si>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</si>
  <si>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</si>
  <si>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</si>
  <si>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</si>
  <si>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</si>
  <si>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</si>
  <si>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</si>
  <si>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</si>
  <si>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</si>
  <si>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</si>
  <si>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</si>
  <si>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</si>
  <si>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</si>
  <si>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</si>
  <si>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</si>
  <si>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</si>
  <si>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</si>
  <si>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</si>
  <si>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</si>
  <si>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</si>
  <si>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</si>
  <si>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</si>
  <si>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</si>
  <si>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</si>
  <si>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</si>
  <si>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</si>
  <si>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</si>
  <si>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</si>
  <si>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</si>
  <si>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</si>
  <si>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</si>
  <si>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</si>
  <si>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</si>
  <si>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</si>
  <si>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</si>
  <si>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</si>
  <si>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</si>
  <si>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</si>
  <si>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</si>
  <si>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</si>
  <si>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</si>
  <si>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</si>
  <si>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</si>
  <si>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</si>
  <si>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</si>
  <si>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</si>
  <si>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</si>
  <si>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</si>
  <si>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</si>
  <si>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</si>
  <si>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</si>
  <si>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</si>
  <si>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</si>
  <si>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</si>
  <si>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</si>
  <si>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</si>
  <si>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</si>
  <si>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</si>
  <si>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</si>
  <si>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</si>
  <si>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</si>
  <si>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</si>
  <si>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</si>
  <si>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</si>
  <si>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</si>
  <si>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</si>
  <si>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</si>
  <si>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</si>
  <si>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</si>
  <si>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</si>
  <si>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</si>
  <si>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</si>
  <si>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</si>
  <si>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</si>
  <si>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</si>
  <si>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</si>
  <si>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</si>
  <si>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</si>
  <si>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</si>
  <si>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</si>
  <si>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</si>
  <si>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</si>
  <si>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</si>
  <si>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</si>
  <si>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</si>
  <si>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</si>
  <si>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</si>
  <si>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</si>
  <si>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</si>
  <si>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</si>
  <si>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</si>
  <si>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</si>
  <si>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</si>
  <si>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</si>
  <si>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</si>
  <si>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</si>
  <si>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</si>
  <si>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</si>
  <si>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</si>
  <si>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</si>
  <si>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</si>
  <si>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</si>
  <si>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</si>
  <si>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</si>
  <si>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</si>
  <si>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</si>
  <si>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</si>
  <si>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</si>
  <si>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</si>
  <si>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</si>
  <si>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</si>
  <si>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</si>
  <si>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</si>
  <si>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</si>
  <si>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</si>
  <si>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</si>
  <si>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</si>
  <si>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</si>
  <si>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</si>
  <si>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</si>
  <si>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</si>
  <si>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</si>
  <si>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</si>
  <si>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</si>
  <si>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</si>
  <si>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</si>
  <si>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</si>
  <si>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</si>
  <si>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</si>
  <si>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</si>
  <si>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</si>
  <si>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</si>
  <si>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</si>
  <si>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</si>
  <si>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</si>
  <si>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</si>
  <si>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</si>
  <si>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</si>
  <si>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</si>
  <si>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</si>
  <si>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</si>
  <si>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</si>
  <si>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</si>
  <si>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</si>
  <si>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</si>
  <si>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</si>
  <si>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</si>
  <si>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</si>
  <si>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</si>
  <si>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</si>
  <si>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</si>
  <si>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</si>
  <si>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</si>
  <si>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</si>
  <si>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</si>
  <si>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</si>
  <si>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</si>
  <si>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</si>
  <si>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</si>
  <si>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</si>
  <si>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</si>
  <si>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</si>
  <si>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</si>
  <si>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</si>
  <si>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</si>
  <si>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</si>
  <si>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</si>
  <si>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</si>
  <si>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</si>
  <si>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</si>
  <si>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</si>
  <si>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</si>
  <si>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</si>
  <si>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</si>
  <si>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</si>
  <si>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</si>
  <si>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</si>
  <si>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</si>
  <si>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</si>
  <si>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</si>
  <si>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</si>
  <si>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</si>
  <si>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</si>
  <si>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</si>
  <si>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</si>
  <si>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</si>
  <si>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</si>
  <si>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</si>
  <si>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</si>
  <si>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</si>
  <si>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</si>
  <si>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</si>
  <si>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</si>
  <si>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</si>
  <si>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</si>
  <si>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</si>
  <si>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</si>
  <si>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</si>
  <si>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</si>
  <si>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</si>
  <si>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</si>
  <si>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</si>
  <si>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</si>
  <si>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</si>
  <si>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</si>
  <si>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</si>
  <si>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</si>
  <si>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</si>
  <si>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</si>
  <si>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</si>
  <si>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</si>
  <si>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</si>
  <si>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</si>
  <si>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</si>
  <si>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</si>
  <si>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</si>
  <si>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</si>
  <si>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</si>
  <si>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</si>
  <si>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</si>
  <si>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</si>
  <si>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</si>
  <si>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</si>
  <si>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</si>
  <si>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</si>
  <si>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</si>
  <si>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</si>
  <si>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</si>
  <si>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</si>
  <si>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</si>
  <si>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</si>
  <si>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</si>
  <si>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</si>
  <si>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</si>
  <si>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</si>
  <si>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</si>
  <si>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</si>
  <si>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</si>
  <si>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</si>
  <si>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</si>
  <si>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</si>
  <si>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</si>
  <si>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</si>
  <si>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</si>
  <si>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</si>
  <si>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</si>
  <si>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</si>
  <si>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</si>
  <si>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</si>
  <si>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</si>
  <si>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</si>
  <si>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</si>
  <si>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</si>
  <si>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</si>
  <si>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</si>
  <si>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</si>
  <si>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</si>
  <si>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</si>
  <si>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</si>
  <si>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</si>
  <si>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</si>
  <si>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</si>
  <si>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</si>
  <si>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</si>
  <si>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</si>
  <si>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</si>
  <si>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</si>
  <si>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</si>
  <si>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</si>
  <si>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</si>
  <si>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</si>
  <si>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</si>
  <si>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</si>
  <si>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</si>
  <si>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</si>
  <si>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</si>
  <si>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</si>
  <si>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</si>
  <si>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</si>
  <si>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</si>
  <si>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</si>
  <si>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</si>
  <si>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</si>
  <si>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</si>
  <si>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</si>
  <si>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</si>
  <si>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</si>
  <si>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</si>
  <si>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</si>
  <si>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</si>
  <si>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</si>
  <si>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</si>
  <si>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</si>
  <si>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</si>
  <si>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</si>
  <si>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</si>
  <si>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</si>
  <si>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</si>
  <si>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</si>
  <si>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</si>
  <si>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</si>
  <si>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</si>
  <si>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</si>
  <si>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</si>
  <si>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</si>
  <si>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</si>
  <si>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</si>
  <si>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</si>
  <si>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</si>
  <si>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</si>
  <si>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</si>
  <si>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</si>
  <si>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</si>
  <si>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</si>
  <si>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</si>
  <si>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</si>
  <si>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</si>
  <si>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</si>
  <si>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</si>
  <si>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</si>
  <si>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</si>
  <si>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</si>
  <si>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</si>
  <si>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</si>
  <si>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</si>
  <si>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</si>
  <si>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</si>
  <si>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</si>
  <si>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</si>
  <si>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</si>
  <si>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</si>
  <si>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</si>
  <si>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</si>
  <si>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</si>
  <si>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</si>
  <si>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</si>
  <si>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</si>
  <si>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</si>
  <si>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</si>
  <si>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</si>
  <si>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</si>
  <si>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</si>
  <si>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</si>
  <si>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</si>
  <si>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</si>
  <si>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</si>
  <si>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</si>
  <si>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</si>
  <si>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</si>
  <si>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</si>
  <si>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</si>
  <si>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</si>
  <si>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</si>
  <si>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</si>
  <si>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</si>
  <si>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</si>
  <si>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</si>
  <si>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</si>
  <si>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</si>
  <si>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</si>
  <si>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</si>
  <si>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</si>
  <si>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</si>
  <si>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</si>
  <si>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</si>
  <si>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</si>
  <si>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</si>
  <si>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</si>
  <si>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</si>
  <si>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</si>
  <si>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</si>
  <si>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</si>
  <si>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</si>
  <si>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</si>
  <si>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</si>
  <si>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</si>
  <si>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</si>
  <si>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</si>
  <si>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</si>
  <si>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</si>
  <si>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</si>
  <si>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</si>
  <si>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</si>
  <si>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</si>
  <si>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</si>
  <si>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</si>
  <si>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</si>
  <si>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</si>
  <si>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</si>
  <si>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</si>
  <si>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</si>
  <si>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</si>
  <si>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</si>
  <si>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</si>
  <si>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</si>
  <si>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</si>
  <si>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</si>
  <si>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</si>
  <si>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</si>
  <si>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</si>
  <si>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</si>
  <si>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</si>
  <si>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</si>
  <si>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</si>
  <si>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</si>
  <si>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</si>
  <si>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</si>
  <si>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</si>
  <si>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</si>
  <si>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</si>
  <si>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</si>
  <si>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</si>
  <si>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</si>
  <si>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</si>
  <si>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</si>
  <si>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</si>
  <si>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</si>
  <si>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</si>
  <si>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</si>
  <si>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</si>
  <si>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</si>
  <si>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</si>
  <si>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</si>
  <si>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</si>
  <si>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</si>
  <si>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</si>
  <si>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</si>
  <si>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</si>
  <si>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</si>
  <si>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</si>
  <si>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</si>
  <si>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</si>
  <si>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</si>
  <si>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</si>
  <si>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</si>
  <si>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</si>
  <si>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</si>
  <si>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</si>
  <si>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</si>
  <si>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</si>
  <si>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</si>
  <si>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</si>
  <si>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</si>
  <si>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</si>
  <si>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</si>
  <si>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</si>
  <si>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</si>
  <si>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</si>
  <si>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</si>
  <si>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</si>
  <si>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</si>
  <si>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</si>
  <si>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</si>
  <si>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</si>
  <si>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</si>
  <si>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</si>
  <si>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</si>
  <si>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</si>
  <si>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</si>
  <si>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</si>
  <si>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</si>
  <si>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</si>
  <si>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</si>
  <si>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</si>
  <si>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</si>
  <si>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</si>
  <si>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</si>
  <si>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</si>
  <si>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</si>
  <si>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</si>
  <si>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</si>
  <si>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</si>
  <si>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</si>
  <si>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</si>
  <si>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</si>
  <si>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</si>
  <si>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</si>
  <si>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</si>
  <si>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</si>
  <si>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</si>
  <si>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</si>
  <si>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</si>
  <si>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</si>
  <si>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</si>
  <si>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</si>
  <si>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</si>
  <si>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</si>
  <si>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</si>
  <si>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</si>
  <si>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</si>
  <si>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</si>
  <si>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</si>
  <si>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</si>
  <si>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</si>
  <si>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</si>
  <si>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</si>
  <si>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</si>
  <si>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</si>
  <si>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</si>
  <si>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</si>
  <si>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</si>
  <si>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</si>
  <si>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</si>
  <si>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</si>
  <si>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</si>
  <si>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</si>
  <si>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</si>
  <si>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</si>
  <si>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</si>
  <si>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</si>
  <si>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</si>
  <si>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</si>
  <si>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</si>
  <si>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</si>
  <si>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</si>
  <si>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</si>
  <si>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</si>
  <si>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</si>
  <si>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</si>
  <si>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</si>
  <si>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</si>
  <si>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</si>
  <si>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</si>
  <si>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</si>
  <si>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</si>
  <si>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</si>
  <si>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</si>
  <si>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</si>
  <si>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</si>
  <si>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</si>
  <si>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</si>
  <si>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</si>
  <si>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</si>
  <si>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</si>
  <si>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</si>
  <si>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</si>
  <si>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</si>
  <si>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</si>
  <si>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</si>
  <si>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</si>
  <si>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</si>
  <si>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</si>
  <si>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</si>
  <si>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</si>
  <si>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</si>
  <si>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</si>
  <si>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</si>
  <si>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</si>
  <si>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</si>
  <si>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</si>
  <si>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</si>
  <si>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</si>
  <si>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</si>
  <si>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</si>
  <si>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</si>
  <si>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</si>
  <si>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</si>
  <si>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</si>
  <si>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</si>
  <si>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</si>
  <si>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</si>
  <si>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</si>
  <si>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</si>
  <si>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</si>
  <si>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</si>
  <si>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</si>
  <si>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</si>
  <si>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</si>
  <si>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</si>
  <si>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</si>
  <si>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</si>
  <si>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</si>
  <si>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</si>
  <si>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</si>
  <si>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</si>
  <si>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</si>
  <si>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</si>
  <si>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</si>
  <si>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</si>
  <si>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</si>
  <si>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</si>
  <si>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</si>
  <si>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</si>
  <si>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</si>
  <si>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</si>
  <si>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</si>
  <si>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</si>
  <si>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</si>
  <si>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</si>
  <si>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</si>
  <si>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</si>
  <si>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</si>
  <si>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</si>
  <si>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</si>
  <si>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</si>
  <si>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</si>
  <si>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</si>
  <si>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</si>
  <si>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</si>
  <si>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</si>
  <si>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</si>
  <si>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</si>
  <si>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</si>
  <si>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</si>
  <si>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</si>
  <si>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</si>
  <si>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</si>
  <si>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</si>
  <si>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</si>
  <si>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</si>
  <si>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</si>
  <si>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</si>
  <si>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</si>
  <si>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</si>
  <si>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</si>
  <si>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</si>
  <si>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</si>
  <si>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</si>
  <si>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</si>
  <si>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</si>
  <si>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</si>
  <si>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</si>
  <si>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</si>
  <si>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</si>
  <si>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</si>
  <si>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</si>
  <si>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</si>
  <si>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</si>
  <si>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</si>
  <si>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</si>
  <si>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</si>
  <si>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</si>
  <si>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</si>
  <si>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</si>
  <si>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</si>
  <si>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</si>
  <si>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</si>
  <si>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</si>
  <si>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</si>
  <si>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</si>
  <si>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</si>
  <si>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</si>
  <si>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</si>
  <si>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</si>
  <si>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</si>
  <si>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</si>
  <si>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</si>
  <si>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</si>
  <si>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</si>
  <si>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</si>
  <si>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</si>
  <si>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</si>
  <si>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</si>
  <si>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</si>
  <si>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</si>
  <si>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</si>
  <si>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</si>
  <si>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</si>
  <si>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</si>
  <si>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</si>
  <si>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</si>
  <si>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</si>
  <si>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</si>
  <si>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</si>
  <si>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</si>
  <si>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</si>
  <si>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</si>
  <si>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</si>
  <si>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</si>
  <si>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</si>
  <si>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</si>
  <si>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</si>
  <si>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</si>
  <si>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</si>
  <si>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</si>
  <si>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</si>
  <si>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</si>
  <si>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</si>
  <si>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</si>
  <si>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</si>
  <si>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</si>
  <si>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</si>
  <si>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</si>
  <si>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</si>
  <si>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</si>
  <si>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</si>
  <si>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</si>
  <si>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</si>
  <si>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</si>
  <si>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</si>
  <si>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</si>
  <si>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</si>
  <si>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</si>
  <si>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</si>
  <si>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</si>
  <si>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</si>
  <si>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</si>
  <si>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</si>
  <si>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</si>
  <si>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</si>
  <si>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</si>
  <si>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</si>
  <si>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</si>
  <si>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</si>
  <si>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</si>
  <si>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</si>
  <si>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</si>
  <si>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</si>
  <si>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</si>
  <si>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</si>
  <si>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</si>
  <si>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</si>
  <si>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</si>
  <si>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</si>
  <si>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</si>
  <si>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</si>
  <si>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</si>
  <si>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</si>
  <si>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</si>
  <si>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</si>
  <si>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</si>
  <si>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</si>
  <si>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</si>
  <si>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</si>
  <si>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</si>
  <si>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</si>
  <si>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</si>
  <si>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</si>
  <si>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</si>
  <si>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</si>
  <si>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</si>
  <si>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</si>
  <si>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</si>
  <si>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</si>
  <si>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</si>
  <si>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</si>
  <si>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</si>
  <si>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</si>
  <si>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</si>
  <si>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</si>
  <si>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</si>
  <si>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</si>
  <si>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</si>
  <si>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</si>
  <si>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</si>
  <si>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</si>
  <si>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</si>
  <si>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</si>
  <si>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</si>
  <si>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</si>
  <si>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</si>
  <si>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</si>
  <si>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</si>
  <si>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</si>
  <si>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</si>
  <si>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</si>
  <si>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</si>
  <si>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</si>
  <si>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</si>
  <si>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</si>
  <si>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</si>
  <si>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</si>
  <si>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</si>
  <si>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</si>
  <si>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</si>
  <si>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</si>
  <si>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</si>
  <si>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</si>
  <si>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</si>
  <si>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</si>
  <si>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</si>
  <si>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</si>
  <si>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</si>
  <si>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</si>
  <si>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</si>
  <si>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</si>
  <si>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</si>
  <si>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</si>
  <si>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</si>
  <si>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</si>
  <si>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</si>
  <si>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</si>
  <si>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</si>
  <si>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</si>
  <si>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</si>
  <si>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</si>
  <si>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</si>
  <si>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</si>
  <si>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</si>
  <si>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</si>
  <si>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</si>
  <si>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</si>
  <si>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</si>
  <si>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</si>
  <si>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</si>
  <si>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</si>
  <si>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</si>
  <si>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</si>
  <si>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</si>
  <si>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</si>
  <si>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</si>
  <si>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</si>
  <si>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</si>
  <si>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</si>
  <si>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</si>
  <si>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</si>
  <si>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</si>
  <si>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</si>
  <si>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</si>
  <si>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</si>
  <si>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</si>
  <si>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</si>
  <si>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</si>
  <si>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</si>
  <si>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</si>
  <si>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</si>
  <si>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</si>
  <si>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</si>
  <si>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</si>
  <si>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</si>
  <si>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</si>
  <si>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</si>
  <si>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</si>
  <si>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</si>
  <si>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</si>
  <si>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</si>
  <si>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</si>
  <si>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</si>
  <si>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</si>
  <si>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</si>
  <si>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</si>
  <si>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</si>
  <si>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</si>
  <si>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</si>
  <si>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</si>
  <si>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</si>
  <si>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</si>
  <si>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</si>
  <si>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</si>
  <si>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</si>
  <si>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</si>
  <si>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</si>
  <si>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</si>
  <si>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</si>
  <si>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</si>
  <si>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</si>
  <si>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</si>
  <si>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</si>
  <si>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</si>
  <si>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</si>
  <si>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</si>
  <si>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</si>
  <si>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</si>
  <si>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</si>
  <si>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</si>
  <si>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</si>
  <si>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</si>
  <si>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</si>
  <si>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</si>
  <si>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</si>
  <si>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</si>
  <si>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</si>
  <si>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</si>
  <si>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</si>
  <si>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</si>
  <si>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</si>
  <si>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</si>
  <si>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</si>
  <si>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</si>
  <si>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</si>
  <si>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</si>
  <si>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</si>
  <si>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</si>
  <si>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</si>
  <si>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</si>
  <si>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</si>
  <si>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</si>
  <si>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</si>
  <si>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</si>
  <si>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</si>
  <si>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</si>
  <si>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</si>
  <si>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</si>
  <si>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</si>
  <si>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</si>
  <si>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</si>
  <si>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</si>
  <si>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</si>
  <si>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</si>
  <si>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</si>
  <si>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</si>
  <si>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</si>
  <si>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</si>
  <si>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</si>
  <si>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</si>
  <si>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</si>
  <si>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</si>
  <si>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</si>
  <si>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</si>
  <si>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</si>
  <si>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</si>
  <si>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</si>
  <si>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</si>
  <si>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</si>
  <si>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</si>
  <si>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</si>
  <si>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</si>
  <si>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</si>
  <si>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</si>
  <si>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</si>
  <si>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</si>
  <si>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</si>
  <si>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</si>
  <si>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</si>
  <si>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</si>
  <si>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</si>
  <si>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</si>
  <si>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</si>
  <si>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</si>
  <si>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</si>
  <si>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</si>
  <si>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</si>
  <si>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</si>
  <si>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</si>
  <si>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</si>
  <si>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</si>
  <si>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</si>
  <si>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</si>
  <si>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</si>
  <si>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</si>
  <si>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</si>
  <si>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</si>
  <si>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</si>
  <si>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</si>
  <si>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</si>
  <si>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</si>
  <si>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</si>
  <si>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</si>
  <si>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</si>
  <si>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</si>
  <si>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</si>
  <si>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</si>
  <si>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</si>
  <si>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</si>
  <si>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</si>
  <si>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</si>
  <si>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</si>
  <si>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</si>
  <si>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</si>
  <si>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</si>
  <si>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</si>
  <si>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</si>
  <si>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</si>
  <si>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</si>
  <si>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</si>
  <si>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</si>
  <si>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</si>
  <si>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</si>
  <si>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</si>
  <si>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</si>
  <si>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</si>
  <si>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</si>
  <si>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</si>
  <si>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</si>
  <si>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</si>
  <si>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</si>
  <si>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</si>
  <si>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</si>
  <si>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</si>
  <si>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</si>
  <si>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</si>
  <si>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</si>
  <si>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</si>
  <si>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</si>
  <si>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</si>
  <si>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</si>
  <si>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</si>
  <si>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</si>
  <si>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</si>
  <si>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</si>
  <si>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</si>
  <si>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</si>
  <si>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</si>
  <si>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</si>
  <si>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</si>
  <si>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</si>
  <si>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</si>
  <si>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</si>
  <si>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</si>
  <si>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</si>
  <si>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</si>
  <si>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</si>
  <si>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</si>
  <si>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</si>
  <si>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</si>
  <si>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</si>
  <si>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</si>
  <si>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</si>
  <si>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</si>
  <si>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</si>
  <si>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</si>
  <si>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</si>
  <si>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</si>
  <si>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</si>
  <si>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</si>
  <si>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</si>
  <si>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</si>
  <si>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</si>
  <si>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</si>
  <si>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</si>
  <si>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</si>
  <si>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</si>
  <si>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</si>
  <si>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</si>
  <si>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</si>
  <si>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</si>
  <si>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</si>
  <si>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</si>
  <si>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</si>
  <si>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</si>
  <si>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</si>
  <si>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</si>
  <si>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</si>
  <si>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</si>
  <si>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</si>
  <si>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</si>
  <si>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</si>
  <si>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</si>
  <si>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</si>
  <si>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</si>
  <si>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</si>
  <si>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</si>
  <si>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</si>
  <si>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</si>
  <si>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</si>
  <si>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</si>
  <si>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</si>
  <si>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</si>
  <si>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</si>
  <si>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</si>
  <si>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</si>
  <si>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</si>
  <si>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</si>
  <si>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</si>
  <si>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</si>
  <si>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</si>
  <si>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</si>
  <si>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</si>
  <si>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</si>
  <si>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</si>
  <si>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</si>
  <si>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</si>
  <si>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</si>
  <si>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</si>
  <si>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</si>
  <si>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</si>
  <si>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</si>
  <si>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</si>
  <si>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</si>
  <si>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</si>
  <si>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</si>
  <si>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</si>
  <si>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</si>
  <si>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</si>
  <si>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</si>
  <si>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</si>
  <si>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</si>
  <si>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</si>
  <si>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</si>
  <si>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</si>
  <si>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</si>
  <si>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</si>
  <si>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</si>
  <si>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</si>
  <si>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</si>
  <si>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</si>
  <si>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</si>
  <si>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</si>
  <si>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</si>
  <si>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</si>
  <si>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</si>
  <si>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</si>
  <si>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</si>
  <si>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</si>
  <si>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</si>
  <si>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</si>
  <si>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</si>
  <si>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</si>
  <si>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</si>
  <si>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</si>
  <si>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</si>
  <si>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</si>
  <si>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</si>
  <si>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</si>
  <si>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</si>
  <si>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</si>
  <si>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</si>
  <si>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</si>
  <si>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</si>
  <si>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</si>
  <si>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</si>
  <si>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</si>
  <si>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</si>
  <si>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</si>
  <si>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</si>
  <si>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</si>
  <si>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</si>
  <si>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</si>
  <si>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</si>
  <si>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</si>
  <si>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</si>
  <si>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</si>
  <si>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</si>
  <si>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</si>
  <si>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</si>
  <si>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</si>
  <si>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</si>
  <si>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</si>
  <si>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</si>
  <si>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</si>
  <si>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</si>
  <si>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</si>
  <si>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</si>
  <si>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</si>
  <si>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</si>
  <si>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</si>
  <si>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</si>
  <si>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</si>
  <si>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</si>
  <si>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</si>
  <si>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</si>
  <si>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</si>
  <si>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</si>
  <si>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</si>
  <si>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</si>
  <si>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</si>
  <si>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</si>
  <si>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</si>
  <si>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</si>
  <si>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</si>
  <si>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</si>
  <si>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</si>
  <si>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</si>
  <si>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</si>
  <si>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</si>
  <si>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</si>
  <si>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</si>
  <si>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</si>
  <si>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</si>
  <si>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</si>
  <si>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</si>
  <si>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</si>
  <si>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</si>
  <si>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</si>
  <si>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</si>
  <si>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</si>
  <si>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</si>
  <si>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</si>
  <si>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</si>
  <si>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</si>
  <si>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</si>
  <si>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</si>
  <si>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</si>
  <si>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</si>
  <si>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</si>
  <si>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</si>
  <si>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</si>
  <si>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</si>
  <si>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</si>
  <si>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</si>
  <si>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</si>
  <si>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</si>
  <si>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</si>
  <si>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</si>
  <si>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</si>
  <si>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</si>
  <si>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</si>
  <si>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</si>
  <si>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</si>
  <si>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</si>
  <si>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</si>
  <si>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</si>
  <si>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</si>
  <si>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</si>
  <si>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</si>
  <si>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</si>
  <si>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</si>
  <si>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</si>
  <si>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</si>
  <si>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</si>
  <si>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</si>
  <si>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</si>
  <si>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</si>
  <si>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</si>
  <si>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</si>
  <si>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</si>
  <si>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</si>
  <si>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</si>
  <si>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</si>
  <si>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</si>
  <si>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</si>
  <si>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</si>
  <si>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</si>
  <si>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</si>
  <si>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</si>
  <si>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</si>
  <si>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</si>
  <si>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</si>
  <si>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</si>
  <si>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</si>
  <si>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</si>
  <si>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</si>
  <si>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</si>
  <si>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</si>
  <si>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</si>
  <si>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</si>
  <si>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</si>
  <si>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</si>
  <si>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</si>
  <si>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</si>
  <si>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</si>
  <si>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</si>
  <si>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</si>
  <si>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</si>
  <si>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</si>
  <si>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</si>
  <si>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</si>
  <si>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</si>
  <si>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</si>
  <si>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</si>
  <si>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</si>
  <si>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</si>
  <si>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</si>
  <si>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</si>
  <si>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</si>
  <si>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</si>
  <si>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</si>
  <si>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</si>
  <si>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</si>
  <si>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</si>
  <si>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</si>
  <si>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</si>
  <si>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</si>
  <si>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</si>
  <si>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</si>
  <si>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</si>
  <si>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</si>
  <si>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</si>
  <si>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</si>
  <si>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</si>
  <si>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</si>
  <si>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</si>
  <si>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</si>
  <si>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</si>
  <si>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</si>
  <si>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</si>
  <si>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</si>
  <si>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</si>
  <si>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</si>
  <si>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</si>
  <si>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</si>
  <si>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</si>
  <si>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</si>
  <si>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</si>
  <si>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</si>
  <si>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</si>
  <si>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</si>
  <si>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</si>
  <si>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</si>
  <si>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</si>
  <si>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</si>
  <si>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</si>
  <si>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</si>
  <si>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</si>
  <si>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</si>
  <si>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</si>
  <si>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</si>
  <si>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</si>
  <si>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</si>
  <si>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</si>
  <si>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</si>
  <si>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</si>
  <si>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</si>
  <si>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</si>
  <si>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</si>
  <si>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</si>
  <si>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</si>
  <si>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</si>
  <si>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</si>
  <si>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</si>
  <si>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</si>
  <si>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</si>
  <si>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</si>
  <si>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</si>
  <si>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</si>
  <si>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</si>
  <si>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</si>
  <si>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</si>
  <si>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</si>
  <si>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</si>
  <si>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</si>
  <si>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</si>
  <si>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</si>
  <si>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</si>
  <si>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</si>
  <si>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</si>
  <si>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</si>
  <si>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</si>
  <si>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</si>
  <si>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</si>
  <si>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</si>
  <si>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</si>
  <si>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</si>
  <si>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</si>
  <si>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</si>
  <si>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</si>
  <si>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</si>
  <si>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</si>
  <si>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</si>
  <si>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</si>
  <si>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</si>
  <si>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</si>
  <si>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</si>
  <si>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</si>
  <si>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</si>
  <si>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</si>
  <si>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</si>
  <si>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</si>
  <si>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</si>
  <si>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</si>
  <si>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</si>
  <si>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</si>
  <si>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</si>
  <si>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</si>
  <si>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</si>
  <si>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</si>
  <si>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</si>
  <si>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</si>
  <si>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</si>
  <si>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</si>
  <si>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</si>
  <si>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</si>
  <si>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</si>
  <si>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</si>
  <si>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</si>
  <si>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</si>
  <si>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</si>
  <si>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</si>
  <si>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</si>
  <si>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</si>
  <si>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</si>
  <si>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</si>
  <si>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</si>
  <si>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</si>
  <si>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</si>
  <si>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</si>
  <si>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</si>
  <si>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</si>
  <si>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</si>
  <si>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</si>
  <si>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</si>
  <si>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</si>
  <si>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</si>
  <si>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</si>
  <si>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</si>
  <si>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</si>
  <si>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</si>
  <si>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</si>
  <si>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</si>
  <si>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</si>
  <si>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</si>
  <si>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</si>
  <si>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</si>
  <si>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</si>
  <si>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</si>
  <si>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</si>
  <si>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</si>
  <si>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</si>
  <si>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</si>
  <si>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</si>
  <si>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</si>
  <si>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</si>
  <si>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</si>
  <si>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</si>
  <si>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</si>
  <si>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</si>
  <si>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</si>
  <si>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</si>
  <si>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</si>
  <si>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</si>
  <si>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</si>
  <si>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</si>
  <si>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</si>
  <si>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</si>
  <si>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</si>
  <si>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</si>
  <si>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</si>
  <si>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</si>
  <si>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</si>
  <si>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</si>
  <si>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</si>
  <si>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</si>
  <si>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</si>
  <si>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</si>
  <si>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</si>
  <si>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</si>
  <si>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</si>
  <si>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</si>
  <si>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</si>
  <si>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</si>
  <si>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</si>
  <si>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</si>
  <si>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</si>
  <si>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</si>
  <si>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</si>
  <si>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</si>
  <si>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</si>
  <si>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</si>
  <si>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</si>
  <si>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</si>
  <si>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</si>
  <si>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</si>
  <si>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</si>
  <si>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</si>
  <si>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</si>
  <si>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</si>
  <si>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</si>
  <si>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</si>
  <si>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</si>
  <si>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</si>
  <si>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</si>
  <si>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</si>
  <si>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</si>
  <si>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</si>
  <si>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</si>
  <si>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</si>
  <si>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</si>
  <si>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</si>
  <si>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</si>
  <si>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</si>
  <si>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</si>
  <si>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</si>
  <si>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</si>
  <si>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</si>
  <si>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</si>
  <si>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</si>
  <si>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</si>
  <si>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</si>
  <si>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</si>
  <si>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</si>
  <si>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</si>
  <si>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</si>
  <si>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</si>
  <si>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</si>
  <si>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</si>
  <si>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</si>
  <si>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</si>
  <si>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</si>
  <si>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</si>
  <si>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</si>
  <si>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</si>
  <si>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</si>
  <si>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</si>
  <si>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</si>
  <si>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</si>
  <si>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</si>
  <si>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</si>
  <si>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</si>
  <si>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</si>
  <si>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</si>
  <si>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</si>
  <si>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</si>
  <si>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</si>
  <si>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</si>
  <si>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</si>
  <si>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</si>
  <si>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</si>
  <si>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</si>
  <si>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</si>
  <si>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</si>
  <si>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</si>
  <si>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</si>
  <si>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</si>
  <si>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</si>
  <si>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</si>
  <si>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</si>
  <si>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</si>
  <si>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</si>
  <si>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</si>
  <si>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</si>
  <si>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</si>
  <si>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</si>
  <si>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</si>
  <si>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</si>
  <si>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</si>
  <si>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</si>
  <si>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</si>
  <si>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</si>
  <si>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</si>
  <si>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</si>
  <si>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</si>
  <si>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</si>
  <si>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</si>
  <si>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</si>
  <si>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</si>
  <si>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</si>
  <si>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</si>
  <si>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</si>
  <si>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</si>
  <si>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</si>
  <si>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</si>
  <si>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</si>
  <si>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</si>
  <si>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</si>
  <si>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</si>
  <si>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</si>
  <si>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</si>
  <si>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</si>
  <si>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</si>
  <si>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</si>
  <si>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</si>
  <si>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</si>
  <si>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</si>
  <si>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</si>
  <si>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</si>
  <si>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</si>
  <si>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</si>
  <si>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</si>
  <si>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</si>
  <si>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</si>
  <si>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</si>
  <si>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</si>
  <si>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</si>
  <si>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</si>
  <si>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</si>
  <si>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</si>
  <si>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</si>
  <si>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</si>
  <si>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</si>
  <si>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</si>
  <si>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</si>
  <si>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</si>
  <si>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</si>
  <si>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</si>
  <si>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</si>
  <si>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</si>
  <si>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</si>
  <si>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</si>
  <si>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</si>
  <si>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</si>
  <si>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</si>
  <si>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</si>
  <si>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</si>
  <si>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</si>
  <si>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</si>
  <si>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</si>
  <si>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</si>
  <si>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</si>
  <si>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</si>
  <si>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</si>
  <si>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</si>
  <si>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</si>
  <si>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</si>
  <si>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</si>
  <si>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</si>
  <si>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</si>
  <si>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</si>
  <si>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</si>
  <si>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</si>
  <si>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</si>
  <si>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</si>
  <si>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</si>
  <si>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</si>
  <si>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</si>
  <si>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</si>
  <si>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</si>
  <si>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</si>
  <si>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</si>
  <si>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</si>
  <si>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</si>
  <si>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</si>
  <si>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</si>
  <si>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</si>
  <si>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</si>
  <si>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</si>
  <si>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</si>
  <si>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</si>
  <si>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</si>
  <si>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</si>
  <si>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</si>
  <si>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</si>
  <si>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</si>
  <si>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</si>
  <si>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</si>
  <si>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</si>
  <si>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</si>
  <si>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</si>
  <si>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</si>
  <si>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</si>
  <si>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</si>
  <si>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</si>
  <si>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</si>
  <si>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</si>
  <si>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</si>
  <si>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</si>
  <si>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</si>
  <si>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</si>
  <si>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</si>
  <si>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</si>
  <si>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</si>
  <si>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</si>
  <si>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</si>
  <si>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</si>
  <si>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</si>
  <si>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</si>
  <si>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</si>
  <si>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</si>
  <si>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</si>
  <si>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</si>
  <si>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</si>
  <si>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</si>
  <si>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</si>
  <si>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</si>
  <si>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</si>
  <si>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</si>
  <si>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</si>
  <si>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</si>
  <si>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</si>
  <si>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</si>
  <si>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</si>
  <si>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</si>
  <si>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</si>
  <si>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</si>
  <si>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</si>
  <si>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</si>
  <si>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</si>
  <si>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</si>
  <si>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</si>
  <si>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</si>
  <si>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</si>
  <si>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</si>
  <si>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</si>
  <si>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</si>
  <si>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</si>
  <si>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</si>
  <si>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</si>
  <si>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</si>
  <si>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</si>
  <si>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</si>
  <si>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</si>
  <si>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</si>
  <si>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</si>
  <si>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</si>
  <si>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</si>
  <si>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</si>
  <si>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</si>
  <si>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</si>
  <si>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</si>
  <si>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</si>
  <si>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</si>
  <si>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</si>
  <si>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</si>
  <si>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</si>
  <si>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</si>
  <si>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</si>
  <si>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</si>
  <si>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</si>
  <si>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</si>
  <si>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</si>
  <si>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</si>
  <si>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</si>
  <si>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</si>
  <si>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</si>
  <si>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</si>
  <si>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</si>
  <si>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</si>
  <si>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</si>
  <si>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</si>
  <si>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</si>
  <si>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</si>
  <si>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</si>
  <si>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</si>
  <si>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</si>
  <si>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</si>
  <si>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</si>
  <si>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</si>
  <si>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</si>
  <si>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</si>
  <si>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</si>
  <si>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</si>
  <si>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</si>
  <si>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</si>
  <si>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</si>
  <si>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</si>
  <si>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</si>
  <si>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</si>
  <si>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</si>
  <si>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</si>
  <si>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</si>
  <si>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</si>
  <si>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</si>
  <si>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</si>
  <si>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</si>
  <si>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</si>
  <si>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</si>
  <si>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</si>
  <si>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</si>
  <si>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</si>
  <si>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</si>
  <si>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</si>
  <si>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</si>
  <si>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</si>
  <si>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</si>
  <si>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</si>
  <si>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</si>
  <si>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</si>
  <si>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</si>
  <si>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</si>
  <si>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</si>
  <si>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</si>
  <si>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</si>
  <si>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</si>
  <si>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</si>
  <si>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</si>
  <si>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</si>
  <si>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</si>
  <si>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</si>
  <si>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</si>
  <si>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</si>
  <si>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</si>
  <si>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</si>
  <si>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</si>
  <si>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</si>
  <si>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</si>
  <si>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</si>
  <si>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</si>
  <si>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</si>
  <si>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</si>
  <si>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</si>
  <si>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</si>
  <si>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</si>
  <si>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</si>
  <si>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</si>
  <si>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</si>
  <si>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</si>
  <si>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</si>
  <si>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</si>
  <si>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</si>
  <si>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</si>
  <si>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</si>
  <si>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</si>
  <si>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</si>
  <si>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</si>
  <si>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</si>
  <si>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</si>
  <si>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</si>
  <si>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</si>
  <si>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</si>
  <si>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</si>
  <si>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</si>
  <si>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</si>
  <si>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</si>
  <si>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</si>
  <si>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</si>
  <si>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</si>
  <si>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</si>
  <si>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</si>
  <si>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</si>
  <si>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</si>
  <si>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</si>
  <si>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</si>
  <si>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</si>
  <si>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</si>
  <si>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</si>
  <si>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</si>
  <si>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</si>
  <si>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</si>
  <si>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</si>
  <si>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</si>
  <si>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</si>
  <si>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</si>
  <si>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</si>
  <si>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</si>
  <si>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</si>
  <si>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</si>
  <si>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</si>
  <si>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</si>
  <si>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</si>
  <si>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</si>
  <si>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</si>
  <si>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</si>
  <si>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</si>
  <si>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</si>
  <si>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</si>
  <si>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</si>
  <si>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</si>
  <si>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</si>
  <si>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</si>
  <si>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</si>
  <si>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</si>
  <si>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</si>
  <si>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</si>
  <si>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</si>
  <si>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</si>
  <si>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</si>
  <si>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</si>
  <si>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</si>
  <si>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</si>
  <si>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</si>
  <si>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</si>
  <si>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</si>
  <si>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</si>
  <si>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</si>
  <si>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</si>
  <si>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</si>
  <si>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</si>
  <si>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</si>
  <si>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</si>
  <si>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</si>
  <si>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</si>
  <si>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</si>
  <si>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</si>
  <si>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</si>
  <si>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</si>
  <si>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</si>
  <si>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</si>
  <si>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</si>
  <si>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</si>
  <si>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</si>
  <si>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</si>
  <si>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</si>
  <si>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</si>
  <si>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</si>
  <si>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</si>
  <si>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</si>
  <si>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</si>
  <si>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</si>
  <si>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</si>
  <si>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</si>
  <si>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</si>
  <si>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</si>
  <si>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</si>
  <si>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</si>
  <si>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</si>
  <si>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</si>
  <si>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</si>
  <si>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</si>
  <si>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</si>
  <si>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</si>
  <si>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</si>
  <si>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</si>
  <si>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</si>
  <si>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</si>
  <si>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</si>
  <si>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</si>
  <si>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</si>
  <si>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</si>
  <si>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</si>
  <si>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</si>
  <si>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</si>
  <si>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</si>
  <si>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</si>
  <si>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</si>
  <si>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</si>
  <si>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</si>
  <si>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</si>
  <si>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</si>
  <si>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</si>
  <si>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</si>
  <si>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</si>
  <si>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</si>
  <si>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</si>
  <si>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</si>
  <si>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</si>
  <si>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</si>
  <si>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</si>
  <si>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</si>
  <si>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</si>
  <si>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</si>
  <si>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</si>
  <si>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</si>
  <si>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</si>
  <si>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</si>
  <si>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</si>
  <si>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</si>
  <si>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</si>
  <si>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</si>
  <si>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</si>
  <si>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</si>
  <si>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</si>
  <si>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</si>
  <si>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</si>
  <si>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</si>
  <si>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</si>
  <si>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</si>
  <si>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</si>
  <si>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</si>
  <si>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</si>
  <si>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</si>
  <si>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</si>
  <si>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</si>
  <si>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</si>
  <si>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</si>
  <si>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</si>
  <si>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</si>
  <si>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</si>
  <si>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</si>
  <si>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</si>
  <si>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</si>
  <si>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</si>
  <si>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</si>
  <si>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</si>
  <si>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</si>
  <si>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</si>
  <si>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</si>
  <si>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</si>
  <si>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</si>
  <si>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</si>
  <si>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</si>
  <si>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</si>
  <si>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</si>
  <si>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</si>
  <si>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</si>
  <si>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</si>
  <si>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</si>
  <si>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</si>
  <si>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</si>
  <si>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</si>
  <si>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</si>
  <si>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</si>
  <si>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</si>
  <si>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</si>
  <si>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</si>
  <si>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</si>
  <si>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</si>
  <si>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</si>
  <si>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</si>
  <si>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</si>
  <si>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</si>
  <si>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</si>
  <si>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</si>
  <si>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</si>
  <si>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</si>
  <si>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</si>
  <si>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</si>
  <si>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</si>
  <si>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</si>
  <si>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</si>
  <si>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</si>
  <si>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</si>
  <si>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</si>
  <si>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</si>
  <si>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</si>
  <si>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</si>
  <si>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</si>
  <si>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</si>
  <si>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</si>
  <si>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</si>
  <si>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</si>
  <si>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</si>
  <si>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</si>
  <si>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</si>
  <si>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</si>
  <si>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</si>
  <si>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</si>
  <si>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</si>
  <si>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</si>
  <si>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</si>
  <si>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</si>
  <si>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</si>
  <si>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</si>
  <si>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</si>
  <si>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</si>
  <si>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</si>
  <si>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</si>
  <si>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</si>
  <si>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</si>
  <si>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</si>
  <si>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</si>
  <si>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</si>
  <si>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</si>
  <si>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</si>
  <si>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</si>
  <si>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</si>
  <si>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</si>
  <si>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</si>
  <si>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</si>
  <si>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</si>
  <si>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</si>
  <si>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</si>
  <si>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</si>
  <si>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</si>
  <si>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</si>
  <si>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</si>
  <si>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</si>
  <si>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</si>
  <si>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</si>
  <si>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</si>
  <si>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</si>
  <si>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</si>
  <si>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</si>
  <si>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</si>
  <si>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</si>
  <si>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</si>
  <si>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</si>
  <si>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</si>
  <si>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</si>
  <si>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</si>
  <si>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</si>
  <si>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</si>
  <si>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</si>
  <si>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</si>
  <si>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</si>
  <si>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</si>
  <si>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</si>
  <si>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</si>
  <si>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</si>
  <si>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</si>
  <si>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</si>
  <si>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</si>
  <si>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</si>
  <si>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</si>
  <si>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</si>
  <si>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</si>
  <si>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</si>
  <si>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</si>
  <si>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</si>
  <si>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</si>
  <si>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</si>
  <si>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</si>
  <si>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</si>
  <si>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</si>
  <si>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</si>
  <si>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</si>
  <si>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</si>
  <si>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</si>
  <si>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</si>
  <si>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</si>
  <si>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</si>
  <si>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</si>
  <si>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</si>
  <si>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</si>
  <si>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</si>
  <si>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</si>
  <si>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</si>
  <si>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</si>
  <si>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</si>
  <si>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</si>
  <si>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</si>
  <si>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</si>
  <si>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</si>
  <si>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</si>
  <si>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</si>
  <si>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</si>
  <si>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</si>
  <si>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</si>
  <si>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</si>
  <si>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</si>
  <si>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</si>
  <si>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</si>
  <si>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</si>
  <si>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</si>
  <si>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</si>
  <si>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</si>
  <si>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</si>
  <si>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</si>
  <si>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</si>
  <si>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</si>
  <si>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</si>
  <si>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</si>
  <si>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</si>
  <si>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</si>
  <si>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</si>
  <si>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</si>
  <si>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</si>
  <si>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</si>
  <si>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</si>
  <si>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</si>
  <si>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</si>
  <si>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</si>
  <si>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</si>
  <si>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</si>
  <si>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</si>
  <si>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</si>
  <si>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</si>
  <si>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</si>
  <si>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</si>
  <si>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</si>
  <si>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</si>
  <si>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</si>
  <si>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</si>
  <si>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</si>
  <si>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</si>
  <si>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</si>
  <si>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</si>
  <si>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</si>
  <si>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</si>
  <si>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</si>
  <si>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</si>
  <si>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</si>
  <si>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</si>
  <si>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</si>
  <si>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</si>
  <si>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</si>
  <si>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</si>
  <si>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</si>
  <si>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</si>
  <si>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</si>
  <si>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</si>
  <si>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</si>
  <si>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</si>
  <si>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</si>
  <si>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</si>
  <si>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</si>
  <si>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</si>
  <si>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</si>
  <si>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</si>
  <si>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</si>
  <si>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</si>
  <si>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</si>
  <si>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</si>
  <si>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</si>
  <si>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</si>
  <si>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</si>
  <si>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</si>
  <si>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</si>
  <si>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</si>
  <si>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</si>
  <si>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</si>
  <si>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</si>
  <si>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</si>
  <si>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</si>
  <si>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</si>
  <si>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</si>
  <si>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</si>
  <si>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</si>
  <si>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</si>
  <si>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</si>
  <si>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</si>
  <si>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</si>
  <si>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</si>
  <si>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</si>
  <si>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</si>
  <si>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</si>
  <si>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</si>
  <si>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</si>
  <si>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</si>
  <si>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</si>
  <si>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</si>
  <si>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</si>
  <si>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</si>
  <si>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</si>
  <si>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</si>
  <si>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</si>
  <si>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</si>
  <si>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</si>
  <si>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</si>
  <si>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</si>
  <si>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</si>
  <si>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</si>
  <si>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</si>
  <si>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</si>
  <si>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</si>
  <si>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</si>
  <si>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</si>
  <si>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</si>
  <si>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</si>
  <si>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</si>
  <si>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</si>
  <si>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</si>
  <si>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</si>
  <si>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</si>
  <si>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</si>
  <si>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</si>
  <si>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</si>
  <si>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</si>
  <si>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</si>
  <si>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</si>
  <si>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</si>
  <si>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</si>
  <si>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</si>
  <si>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</si>
  <si>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</si>
  <si>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</si>
  <si>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</si>
  <si>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</si>
  <si>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</si>
  <si>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</si>
  <si>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</si>
  <si>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</si>
  <si>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</si>
  <si>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</si>
  <si>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</si>
  <si>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</si>
  <si>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</si>
  <si>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</si>
  <si>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</si>
  <si>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</si>
  <si>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</si>
  <si>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</si>
  <si>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</si>
  <si>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</si>
  <si>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</si>
  <si>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</si>
  <si>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</si>
  <si>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</si>
  <si>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</si>
  <si>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</si>
  <si>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</si>
  <si>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</si>
  <si>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</si>
  <si>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</si>
  <si>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</si>
  <si>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</si>
  <si>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</si>
  <si>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</si>
  <si>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</si>
  <si>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</si>
  <si>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</si>
  <si>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</si>
  <si>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</si>
  <si>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</si>
  <si>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</si>
  <si>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</si>
  <si>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</si>
  <si>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</si>
  <si>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</si>
  <si>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</si>
  <si>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</si>
  <si>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</si>
  <si>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</si>
  <si>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</si>
  <si>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</si>
  <si>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</si>
  <si>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</si>
  <si>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</si>
  <si>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</si>
  <si>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</si>
  <si>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</si>
  <si>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</si>
  <si>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</si>
  <si>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</si>
  <si>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</si>
  <si>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</si>
  <si>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</si>
  <si>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</si>
  <si>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</si>
  <si>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</si>
  <si>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</si>
  <si>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</si>
  <si>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</si>
  <si>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</si>
  <si>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</si>
  <si>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</si>
  <si>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</si>
  <si>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</si>
  <si>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</si>
  <si>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</si>
  <si>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</si>
  <si>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</si>
  <si>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</si>
  <si>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</si>
  <si>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</si>
  <si>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</si>
  <si>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</si>
  <si>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</si>
  <si>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</si>
  <si>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</si>
  <si>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</si>
  <si>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</si>
  <si>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</si>
  <si>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</si>
  <si>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</si>
  <si>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</si>
  <si>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</si>
  <si>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</si>
  <si>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</si>
  <si>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</si>
  <si>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</si>
  <si>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</si>
  <si>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</si>
  <si>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</si>
  <si>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</si>
  <si>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</si>
  <si>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</si>
  <si>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</si>
  <si>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</si>
  <si>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</si>
  <si>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</si>
  <si>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</si>
  <si>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</si>
  <si>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</si>
  <si>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</si>
  <si>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</si>
  <si>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</si>
  <si>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</si>
  <si>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</si>
  <si>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</si>
  <si>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</si>
  <si>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</si>
  <si>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</si>
  <si>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</si>
  <si>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</si>
  <si>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</si>
  <si>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</si>
  <si>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</si>
  <si>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</si>
  <si>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</si>
  <si>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</si>
  <si>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</si>
  <si>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</si>
  <si>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</si>
  <si>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</si>
  <si>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</si>
  <si>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</si>
  <si>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</si>
  <si>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</si>
  <si>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</si>
  <si>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</si>
  <si>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</si>
  <si>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</si>
  <si>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</si>
  <si>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</si>
  <si>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</si>
  <si>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</si>
  <si>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</si>
  <si>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</si>
  <si>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</si>
  <si>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</si>
  <si>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</si>
  <si>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</si>
  <si>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</si>
  <si>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</si>
  <si>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</si>
  <si>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</si>
  <si>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</si>
  <si>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</si>
  <si>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</si>
  <si>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</si>
  <si>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</si>
  <si>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</si>
  <si>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</si>
  <si>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</si>
  <si>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</si>
  <si>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</si>
  <si>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</si>
  <si>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</si>
  <si>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</si>
  <si>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</si>
  <si>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</si>
  <si>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</si>
  <si>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</si>
  <si>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</si>
  <si>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</si>
  <si>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</si>
  <si>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</si>
  <si>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</si>
  <si>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</si>
  <si>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</si>
  <si>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</si>
  <si>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</si>
  <si>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</si>
  <si>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</si>
  <si>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</si>
  <si>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</si>
  <si>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</si>
  <si>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</si>
  <si>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</si>
  <si>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</si>
  <si>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</si>
  <si>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</si>
  <si>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</si>
  <si>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</si>
  <si>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</si>
  <si>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</si>
  <si>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</si>
  <si>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</si>
  <si>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</si>
  <si>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</si>
  <si>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</si>
  <si>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</si>
  <si>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</si>
  <si>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</si>
  <si>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</si>
  <si>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</si>
  <si>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</si>
  <si>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</si>
  <si>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</si>
  <si>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</si>
  <si>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</si>
  <si>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</si>
  <si>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</si>
  <si>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</si>
  <si>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</si>
  <si>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</si>
  <si>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</si>
  <si>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</si>
  <si>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</si>
  <si>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</si>
  <si>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</si>
  <si>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</si>
  <si>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</si>
  <si>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</si>
  <si>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</si>
  <si>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</si>
  <si>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</si>
  <si>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</si>
  <si>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</si>
  <si>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</si>
  <si>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</si>
  <si>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</si>
  <si>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</si>
  <si>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</si>
  <si>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</si>
  <si>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</si>
  <si>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</si>
  <si>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</si>
  <si>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</si>
  <si>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</si>
  <si>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</si>
  <si>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</si>
  <si>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</si>
  <si>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</si>
  <si>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</si>
  <si>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</si>
  <si>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</si>
  <si>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</si>
  <si>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</si>
  <si>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</si>
  <si>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</si>
  <si>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</si>
  <si>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</si>
  <si>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</si>
  <si>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</si>
  <si>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</si>
  <si>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</si>
  <si>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</si>
  <si>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</si>
  <si>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</si>
  <si>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</si>
  <si>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</si>
  <si>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</si>
  <si>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</si>
  <si>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</si>
  <si>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</si>
  <si>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</si>
  <si>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</si>
  <si>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</si>
  <si>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</si>
  <si>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</si>
  <si>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</si>
  <si>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</si>
  <si>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</si>
  <si>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</si>
  <si>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</si>
  <si>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</si>
  <si>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</si>
  <si>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</si>
  <si>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</si>
  <si>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</si>
  <si>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</si>
  <si>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</si>
  <si>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</si>
  <si>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</si>
  <si>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</si>
  <si>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</si>
  <si>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</si>
  <si>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</si>
  <si>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</si>
  <si>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</si>
  <si>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</si>
  <si>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</si>
  <si>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</si>
  <si>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</si>
  <si>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</si>
  <si>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</si>
  <si>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</si>
  <si>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</si>
  <si>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</si>
  <si>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</si>
  <si>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</si>
  <si>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</si>
  <si>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</si>
  <si>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</si>
  <si>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</si>
  <si>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</si>
  <si>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</si>
  <si>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</si>
  <si>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</si>
  <si>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</si>
  <si>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</si>
  <si>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</si>
  <si>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</si>
  <si>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</si>
  <si>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</si>
  <si>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</si>
  <si>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</si>
  <si>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</si>
  <si>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</si>
  <si>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</si>
  <si>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</si>
  <si>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</si>
  <si>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</si>
  <si>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</si>
  <si>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</si>
  <si>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</si>
  <si>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</si>
  <si>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</si>
  <si>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</si>
  <si>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</si>
  <si>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</si>
  <si>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</si>
  <si>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</si>
  <si>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</si>
  <si>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</si>
  <si>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</si>
  <si>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</si>
  <si>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</si>
  <si>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</si>
  <si>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</si>
  <si>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</si>
  <si>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</si>
  <si>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</si>
  <si>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</si>
  <si>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</si>
  <si>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</si>
  <si>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</si>
  <si>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</si>
  <si>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</si>
  <si>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</si>
  <si>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</si>
  <si>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</si>
  <si>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</si>
  <si>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</si>
  <si>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</si>
  <si>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</si>
  <si>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</si>
  <si>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</si>
  <si>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</si>
  <si>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</si>
  <si>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</si>
  <si>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</si>
  <si>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</si>
  <si>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</si>
  <si>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</si>
  <si>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</si>
  <si>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</si>
  <si>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</si>
  <si>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</si>
  <si>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</si>
  <si>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</si>
  <si>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</si>
  <si>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</si>
  <si>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</si>
  <si>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</si>
  <si>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</si>
  <si>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</si>
  <si>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</si>
  <si>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</si>
  <si>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</si>
  <si>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</si>
  <si>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</si>
  <si>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</si>
  <si>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</si>
  <si>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</si>
  <si>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</si>
  <si>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</si>
  <si>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</si>
  <si>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</si>
  <si>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</si>
  <si>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</si>
  <si>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</si>
  <si>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</si>
  <si>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</si>
  <si>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</si>
  <si>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</si>
  <si>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</si>
  <si>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</si>
  <si>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</si>
  <si>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</si>
  <si>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</si>
  <si>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</si>
  <si>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</si>
  <si>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</si>
  <si>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</si>
  <si>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</si>
  <si>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</si>
  <si>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</si>
  <si>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</si>
  <si>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</si>
  <si>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</si>
  <si>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</si>
  <si>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</si>
  <si>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</si>
  <si>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</si>
  <si>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</si>
  <si>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</si>
  <si>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</si>
  <si>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</si>
  <si>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</si>
  <si>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</si>
  <si>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</si>
  <si>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</si>
  <si>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</si>
  <si>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</si>
  <si>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</si>
  <si>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</si>
  <si>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</si>
  <si>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</si>
  <si>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</si>
  <si>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</si>
  <si>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</si>
  <si>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</si>
  <si>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</si>
  <si>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</si>
  <si>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</si>
  <si>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</si>
  <si>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</si>
  <si>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</si>
  <si>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</si>
  <si>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</si>
  <si>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</si>
  <si>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</si>
  <si>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</si>
  <si>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</si>
  <si>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</si>
  <si>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</si>
  <si>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</si>
  <si>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</si>
  <si>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</si>
  <si>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</si>
  <si>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</si>
  <si>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</si>
  <si>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</si>
  <si>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</si>
  <si>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</si>
  <si>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</si>
  <si>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</si>
  <si>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</si>
  <si>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</si>
  <si>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</si>
  <si>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</si>
  <si>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</si>
  <si>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</si>
  <si>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</si>
  <si>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</si>
  <si>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</si>
  <si>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</si>
  <si>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</si>
  <si>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</si>
  <si>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</si>
  <si>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</si>
  <si>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</si>
  <si>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</si>
  <si>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</si>
  <si>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</si>
  <si>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</si>
  <si>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</si>
  <si>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</si>
  <si>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</si>
  <si>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</si>
  <si>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</si>
  <si>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</si>
  <si>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</si>
  <si>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</si>
  <si>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</si>
  <si>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</si>
  <si>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</si>
  <si>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</si>
  <si>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</si>
  <si>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</si>
  <si>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</si>
  <si>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</si>
  <si>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</si>
  <si>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</si>
  <si>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</si>
  <si>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</si>
  <si>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</si>
  <si>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</si>
  <si>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</si>
  <si>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</si>
  <si>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</si>
  <si>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</si>
  <si>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</si>
  <si>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</si>
  <si>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</si>
  <si>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</si>
  <si>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</si>
  <si>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</si>
  <si>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</si>
  <si>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</si>
  <si>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</si>
  <si>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</si>
  <si>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</si>
  <si>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</si>
  <si>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</si>
  <si>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</si>
  <si>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</si>
  <si>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</si>
  <si>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</si>
  <si>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</si>
  <si>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</si>
  <si>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</si>
  <si>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</si>
  <si>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</si>
  <si>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</si>
  <si>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</si>
  <si>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</si>
  <si>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</si>
  <si>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</si>
  <si>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</si>
  <si>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</si>
  <si>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</si>
  <si>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</si>
  <si>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</si>
  <si>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</si>
  <si>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</si>
  <si>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</si>
  <si>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</si>
  <si>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</si>
  <si>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</si>
  <si>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</si>
  <si>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</si>
  <si>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</si>
  <si>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</si>
  <si>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</si>
  <si>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</si>
  <si>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</si>
  <si>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</si>
  <si>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</si>
  <si>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</si>
  <si>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</si>
  <si>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</si>
  <si>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</si>
  <si>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</si>
  <si>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</si>
  <si>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</si>
  <si>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</si>
  <si>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</si>
  <si>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</si>
  <si>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</si>
  <si>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</si>
  <si>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</si>
  <si>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</si>
  <si>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</si>
  <si>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</si>
  <si>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</si>
  <si>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</si>
  <si>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</si>
  <si>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</si>
  <si>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</si>
  <si>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</si>
  <si>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</si>
  <si>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</si>
  <si>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</si>
  <si>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</si>
  <si>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</si>
  <si>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</si>
  <si>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</si>
  <si>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</si>
  <si>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</si>
  <si>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</si>
  <si>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</si>
  <si>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</si>
  <si>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</si>
  <si>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</si>
  <si>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</si>
  <si>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</si>
  <si>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</si>
  <si>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</si>
  <si>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</si>
  <si>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</si>
  <si>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</si>
  <si>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</si>
  <si>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</si>
  <si>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</si>
  <si>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</si>
  <si>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</si>
  <si>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</si>
  <si>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</si>
  <si>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</si>
  <si>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</si>
  <si>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</si>
  <si>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</si>
  <si>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</si>
  <si>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</si>
  <si>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</si>
  <si>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</si>
  <si>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</si>
  <si>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</si>
  <si>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</si>
  <si>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</si>
  <si>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</si>
  <si>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</si>
  <si>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</si>
  <si>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</si>
  <si>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</si>
  <si>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</si>
  <si>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</si>
  <si>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</si>
  <si>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</si>
  <si>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</si>
  <si>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</si>
  <si>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</si>
  <si>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</si>
  <si>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</si>
  <si>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</si>
  <si>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</si>
  <si>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</si>
  <si>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</si>
  <si>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</si>
  <si>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</si>
  <si>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</si>
  <si>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</si>
  <si>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</si>
  <si>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</si>
  <si>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</si>
  <si>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</si>
  <si>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</si>
  <si>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</si>
  <si>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</si>
  <si>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</si>
  <si>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</si>
  <si>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</si>
  <si>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</si>
  <si>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</si>
  <si>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</si>
  <si>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</si>
  <si>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</si>
  <si>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</si>
  <si>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</si>
  <si>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</si>
  <si>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</si>
  <si>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</si>
  <si>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</si>
  <si>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</si>
  <si>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</si>
  <si>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</si>
  <si>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</si>
  <si>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</si>
  <si>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</si>
  <si>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</si>
  <si>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</si>
  <si>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</si>
  <si>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</si>
  <si>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</si>
  <si>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</si>
  <si>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</si>
  <si>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</si>
  <si>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</si>
  <si>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</si>
  <si>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</si>
  <si>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</si>
  <si>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</si>
  <si>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</si>
  <si>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</si>
  <si>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</si>
  <si>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</si>
  <si>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</si>
  <si>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</si>
  <si>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</si>
  <si>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</si>
  <si>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</si>
  <si>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</si>
  <si>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</si>
  <si>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</si>
  <si>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</si>
  <si>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</si>
  <si>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</si>
  <si>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</si>
  <si>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</si>
  <si>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</si>
  <si>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</si>
  <si>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</si>
  <si>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</si>
  <si>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</si>
  <si>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</si>
  <si>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</si>
  <si>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</si>
  <si>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</si>
  <si>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</si>
  <si>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</si>
  <si>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</si>
  <si>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</si>
  <si>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</si>
  <si>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</si>
  <si>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</si>
  <si>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</si>
  <si>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</si>
  <si>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</si>
  <si>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</si>
  <si>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</si>
  <si>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</si>
  <si>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</si>
  <si>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</si>
  <si>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</si>
  <si>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</si>
  <si>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</si>
  <si>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</si>
  <si>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</si>
  <si>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</si>
  <si>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</si>
  <si>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</si>
  <si>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</si>
  <si>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</si>
  <si>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</si>
  <si>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</si>
  <si>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</si>
  <si>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</si>
  <si>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</si>
  <si>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</si>
  <si>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</si>
  <si>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</si>
  <si>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</si>
  <si>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</si>
  <si>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</si>
  <si>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</si>
  <si>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</si>
  <si>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</si>
  <si>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</si>
  <si>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</si>
  <si>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</si>
  <si>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</si>
  <si>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</si>
  <si>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</si>
  <si>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</si>
  <si>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</si>
  <si>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</si>
  <si>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</si>
  <si>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</si>
  <si>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</si>
  <si>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</si>
  <si>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</si>
  <si>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</si>
  <si>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</si>
  <si>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</si>
  <si>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</si>
  <si>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</si>
  <si>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</si>
  <si>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</si>
  <si>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</si>
  <si>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</si>
  <si>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</si>
  <si>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</si>
  <si>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</si>
  <si>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</si>
  <si>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</si>
  <si>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</si>
  <si>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</si>
  <si>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</si>
  <si>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</si>
  <si>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</si>
  <si>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</si>
  <si>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</si>
  <si>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</si>
  <si>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</si>
  <si>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</si>
  <si>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</si>
  <si>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</si>
  <si>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</si>
  <si>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</si>
  <si>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</si>
  <si>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</si>
  <si>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</si>
  <si>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</si>
  <si>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</si>
  <si>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</si>
  <si>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</si>
  <si>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</si>
  <si>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</si>
  <si>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</si>
  <si>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</si>
  <si>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</si>
  <si>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</si>
  <si>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</si>
  <si>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</si>
  <si>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</si>
  <si>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</si>
  <si>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</si>
  <si>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</si>
  <si>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</si>
  <si>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</si>
  <si>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</si>
  <si>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</si>
  <si>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</si>
  <si>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</si>
  <si>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</si>
  <si>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</si>
  <si>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</si>
  <si>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</si>
  <si>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</si>
  <si>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</si>
  <si>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</si>
  <si>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</si>
  <si>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</si>
  <si>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</si>
  <si>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</si>
  <si>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</si>
  <si>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</si>
  <si>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</si>
  <si>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</si>
  <si>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</si>
  <si>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</si>
  <si>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</si>
  <si>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</si>
  <si>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</si>
  <si>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</si>
  <si>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</si>
  <si>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</si>
  <si>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</si>
  <si>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</si>
  <si>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</si>
  <si>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</si>
  <si>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</si>
  <si>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</si>
  <si>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</si>
  <si>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</si>
  <si>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</si>
  <si>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</si>
  <si>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</si>
  <si>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</si>
  <si>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</si>
  <si>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</si>
  <si>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</si>
  <si>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</si>
  <si>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</si>
  <si>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</si>
  <si>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</si>
  <si>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</si>
  <si>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</si>
  <si>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</si>
  <si>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</si>
  <si>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</si>
  <si>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</si>
  <si>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</si>
  <si>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</si>
  <si>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</si>
  <si>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</si>
  <si>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</si>
  <si>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</si>
  <si>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</si>
  <si>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</si>
  <si>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</si>
  <si>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</si>
  <si>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</si>
  <si>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</si>
  <si>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</si>
  <si>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</si>
  <si>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</si>
  <si>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</si>
  <si>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</si>
  <si>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</si>
  <si>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</si>
  <si>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</si>
  <si>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</si>
  <si>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</si>
  <si>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</si>
  <si>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</si>
  <si>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</si>
  <si>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</si>
  <si>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</si>
  <si>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</si>
  <si>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</si>
  <si>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</si>
  <si>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</si>
  <si>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</si>
  <si>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</si>
  <si>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</si>
  <si>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</si>
  <si>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</si>
  <si>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</si>
  <si>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</si>
  <si>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</si>
  <si>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</si>
  <si>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</si>
  <si>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</si>
  <si>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</si>
  <si>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</si>
  <si>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</si>
  <si>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</si>
  <si>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</si>
  <si>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</si>
  <si>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</si>
  <si>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</si>
  <si>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</si>
  <si>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</si>
  <si>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</si>
  <si>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</si>
  <si>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</si>
  <si>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</si>
  <si>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</si>
  <si>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</si>
  <si>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</si>
  <si>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</si>
  <si>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</si>
  <si>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</si>
  <si>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</si>
  <si>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</si>
  <si>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</si>
  <si>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</si>
  <si>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</si>
  <si>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</si>
  <si>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</si>
  <si>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</si>
  <si>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</si>
  <si>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</si>
  <si>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</si>
  <si>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</si>
  <si>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</si>
  <si>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</si>
  <si>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</si>
  <si>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</si>
  <si>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</si>
  <si>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</si>
  <si>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</si>
  <si>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</si>
  <si>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</si>
  <si>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</si>
  <si>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</si>
  <si>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</si>
  <si>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</si>
  <si>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</si>
  <si>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</si>
  <si>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</si>
  <si>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</si>
  <si>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</si>
  <si>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</si>
  <si>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</si>
  <si>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</si>
  <si>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</si>
  <si>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</si>
  <si>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</si>
  <si>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</si>
  <si>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</si>
  <si>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</si>
  <si>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</si>
  <si>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</si>
  <si>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</si>
  <si>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</si>
  <si>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</si>
  <si>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</si>
  <si>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</si>
  <si>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</si>
  <si>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</si>
  <si>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</si>
  <si>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</si>
  <si>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</si>
  <si>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</si>
  <si>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</si>
  <si>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</si>
  <si>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</si>
  <si>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</si>
  <si>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</si>
  <si>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</si>
  <si>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</si>
  <si>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</si>
  <si>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</si>
  <si>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</si>
  <si>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</si>
  <si>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</si>
  <si>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</si>
  <si>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</si>
  <si>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</si>
  <si>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</si>
  <si>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</si>
  <si>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</si>
  <si>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</si>
  <si>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</si>
  <si>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</si>
  <si>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</si>
  <si>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</si>
  <si>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</si>
  <si>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</si>
  <si>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</si>
  <si>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</si>
  <si>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</si>
  <si>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</si>
  <si>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</si>
  <si>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</si>
  <si>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</si>
  <si>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</si>
  <si>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</si>
  <si>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</si>
  <si>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</si>
  <si>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</si>
  <si>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</si>
  <si>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</si>
  <si>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</si>
  <si>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</si>
  <si>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</si>
  <si>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</si>
  <si>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</si>
  <si>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</si>
  <si>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</si>
  <si>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</si>
  <si>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</si>
  <si>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</si>
  <si>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</si>
  <si>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</si>
  <si>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</si>
  <si>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</si>
  <si>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</si>
  <si>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</si>
  <si>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</si>
  <si>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</si>
  <si>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</si>
  <si>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</si>
  <si>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</si>
  <si>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</si>
  <si>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</si>
  <si>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</si>
  <si>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</si>
  <si>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</si>
  <si>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</si>
  <si>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</si>
  <si>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</si>
  <si>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</si>
  <si>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</si>
  <si>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</si>
  <si>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</si>
  <si>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</si>
  <si>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</si>
  <si>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</si>
  <si>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</si>
  <si>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</si>
  <si>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</si>
  <si>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</si>
  <si>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</si>
  <si>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</si>
  <si>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</si>
  <si>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</si>
  <si>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</si>
  <si>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</si>
  <si>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</si>
  <si>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</si>
  <si>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</si>
  <si>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</si>
  <si>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</si>
  <si>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</si>
  <si>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</si>
  <si>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</si>
  <si>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</si>
  <si>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</si>
  <si>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</si>
  <si>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</si>
  <si>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</si>
  <si>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</si>
  <si>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</si>
  <si>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</si>
  <si>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</si>
  <si>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</si>
  <si>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</si>
  <si>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</si>
  <si>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</si>
  <si>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</si>
  <si>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</si>
  <si>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</si>
  <si>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</si>
  <si>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</si>
  <si>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</si>
  <si>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</si>
  <si>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</si>
  <si>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</si>
  <si>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</si>
  <si>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</si>
  <si>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</si>
  <si>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</si>
  <si>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</si>
  <si>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</si>
  <si>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</si>
  <si>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</si>
  <si>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</si>
  <si>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</si>
  <si>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</si>
  <si>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</si>
  <si>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</si>
  <si>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</si>
  <si>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</si>
  <si>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</si>
  <si>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</si>
  <si>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</si>
  <si>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</si>
  <si>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</si>
  <si>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</si>
  <si>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</si>
  <si>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</si>
  <si>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</si>
  <si>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</si>
  <si>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</si>
  <si>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</si>
  <si>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</si>
  <si>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</si>
  <si>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</si>
  <si>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</si>
  <si>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</si>
  <si>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</si>
  <si>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</si>
  <si>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</si>
  <si>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</si>
  <si>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</si>
  <si>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</si>
  <si>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</si>
  <si>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</si>
  <si>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</si>
  <si>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</si>
  <si>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</si>
  <si>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</si>
  <si>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</si>
  <si>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</si>
  <si>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</si>
  <si>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</si>
  <si>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</si>
  <si>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</si>
  <si>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</si>
  <si>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</si>
  <si>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</si>
  <si>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</si>
  <si>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</si>
  <si>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</si>
  <si>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</si>
  <si>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</si>
  <si>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</si>
  <si>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</si>
  <si>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</si>
  <si>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</si>
  <si>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</si>
  <si>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</si>
  <si>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</si>
  <si>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</si>
  <si>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</si>
  <si>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</si>
  <si>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</si>
  <si>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</si>
  <si>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</si>
  <si>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</si>
  <si>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</si>
  <si>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</si>
  <si>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</si>
  <si>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</si>
  <si>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</si>
  <si>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</si>
  <si>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</si>
  <si>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</si>
  <si>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</si>
  <si>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</si>
  <si>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</si>
  <si>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</si>
  <si>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</si>
  <si>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</si>
  <si>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</si>
  <si>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</si>
  <si>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</si>
  <si>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</si>
  <si>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</si>
  <si>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</si>
  <si>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</si>
  <si>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</si>
  <si>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</si>
  <si>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</si>
  <si>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</si>
  <si>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</si>
  <si>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</si>
  <si>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</si>
  <si>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</si>
  <si>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</si>
  <si>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</si>
  <si>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</si>
  <si>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</si>
  <si>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</si>
  <si>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</si>
  <si>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</si>
  <si>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</si>
  <si>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</si>
  <si>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</si>
  <si>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</si>
  <si>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</si>
  <si>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</si>
  <si>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</si>
  <si>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</si>
  <si>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</si>
  <si>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</si>
  <si>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</si>
  <si>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</si>
  <si>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</si>
  <si>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</si>
  <si>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</si>
  <si>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</si>
  <si>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</si>
  <si>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</si>
  <si>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</si>
  <si>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</si>
  <si>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</si>
  <si>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</si>
  <si>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</si>
  <si>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</si>
  <si>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</si>
  <si>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</si>
  <si>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</si>
  <si>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</si>
  <si>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</si>
  <si>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</si>
  <si>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</si>
  <si>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</si>
  <si>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</si>
  <si>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</si>
  <si>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</si>
  <si>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</si>
  <si>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</si>
  <si>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</si>
  <si>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</si>
  <si>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</si>
  <si>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</si>
  <si>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</si>
  <si>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</si>
  <si>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</si>
  <si>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</si>
  <si>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</si>
  <si>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</si>
  <si>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</si>
  <si>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</si>
  <si>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</si>
  <si>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</si>
  <si>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</si>
  <si>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</si>
  <si>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</si>
  <si>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</si>
  <si>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</si>
  <si>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</si>
  <si>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</si>
  <si>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</si>
  <si>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</si>
  <si>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</si>
  <si>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</si>
  <si>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</si>
  <si>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</si>
  <si>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</si>
  <si>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</si>
  <si>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</si>
  <si>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</si>
  <si>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</si>
  <si>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</si>
  <si>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</si>
  <si>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</si>
  <si>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</si>
  <si>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</si>
  <si>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</si>
  <si>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</si>
  <si>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</si>
  <si>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</si>
  <si>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</si>
  <si>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</si>
  <si>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</si>
  <si>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</si>
  <si>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</si>
  <si>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</si>
  <si>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</si>
  <si>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</si>
  <si>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</si>
  <si>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</si>
  <si>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</si>
  <si>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</si>
  <si>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</si>
  <si>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</si>
  <si>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</si>
  <si>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</si>
  <si>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</si>
  <si>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</si>
  <si>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</si>
  <si>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</si>
  <si>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</si>
  <si>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</si>
  <si>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</si>
  <si>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</si>
  <si>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</si>
  <si>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</si>
  <si>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</si>
  <si>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</si>
  <si>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</si>
  <si>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</si>
  <si>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</si>
  <si>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</si>
  <si>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</si>
  <si>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</si>
  <si>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</si>
  <si>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</si>
  <si>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</si>
  <si>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</si>
  <si>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</si>
  <si>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</si>
  <si>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</si>
  <si>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</si>
  <si>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</si>
  <si>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</si>
  <si>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</si>
  <si>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</si>
  <si>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</si>
  <si>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</si>
  <si>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</si>
  <si>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</si>
  <si>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</si>
  <si>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</si>
  <si>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</si>
  <si>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</si>
  <si>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</si>
  <si>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</si>
  <si>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</si>
  <si>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</si>
  <si>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</si>
  <si>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</si>
  <si>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</si>
  <si>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</si>
  <si>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</si>
  <si>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</si>
  <si>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</si>
  <si>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</si>
  <si>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</si>
  <si>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</si>
  <si>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</si>
  <si>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</si>
  <si>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</si>
  <si>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</si>
  <si>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</si>
  <si>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</si>
  <si>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</si>
  <si>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</si>
  <si>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</si>
  <si>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</si>
  <si>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</si>
  <si>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</si>
  <si>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</si>
  <si>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</si>
  <si>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</si>
  <si>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</si>
  <si>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</si>
  <si>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</si>
  <si>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</si>
  <si>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</si>
  <si>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</si>
  <si>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</si>
  <si>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</si>
  <si>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</si>
  <si>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</si>
  <si>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</si>
  <si>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</si>
  <si>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</si>
  <si>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</si>
  <si>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</si>
  <si>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</si>
  <si>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</si>
  <si>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</si>
  <si>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</si>
  <si>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</si>
  <si>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</si>
  <si>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</si>
  <si>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</si>
  <si>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</si>
  <si>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</si>
  <si>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</si>
  <si>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</si>
  <si>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</si>
  <si>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</si>
  <si>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</si>
  <si>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</si>
  <si>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</si>
  <si>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</si>
  <si>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</si>
  <si>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</si>
  <si>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</si>
  <si>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</si>
  <si>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</si>
  <si>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</si>
  <si>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</si>
  <si>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</si>
  <si>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</si>
  <si>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</si>
  <si>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</si>
  <si>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</si>
  <si>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</si>
  <si>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</si>
  <si>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</si>
  <si>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</si>
  <si>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</si>
  <si>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</si>
  <si>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</si>
  <si>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</si>
  <si>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</si>
  <si>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</si>
  <si>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</si>
  <si>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</si>
  <si>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</si>
  <si>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</si>
  <si>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</si>
  <si>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</si>
  <si>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</si>
  <si>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</si>
  <si>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</si>
  <si>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</si>
  <si>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</si>
  <si>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</si>
  <si>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</si>
  <si>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</si>
  <si>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</si>
  <si>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18.218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</si>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</sst>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rTAY7UEVBC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54K6UmBq0HI" TargetMode="External"/><Relationship Id="rId220" Type="http://schemas.openxmlformats.org/officeDocument/2006/relationships/hyperlink" Target="https://youtu.be/71dsFdbh-Os" TargetMode="External"/><Relationship Id="rId1051" Type="http://schemas.openxmlformats.org/officeDocument/2006/relationships/hyperlink" Target="https://youtu.be/Mq0IH4pIWKY" TargetMode="External"/><Relationship Id="rId1052" Type="http://schemas.openxmlformats.org/officeDocument/2006/relationships/hyperlink" Target="https://clips.twitch.tv/ConcernedGloriousShrimpBudBlast-r9tB7gQiY9FEuOJo"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YSIJt-HfJWg" TargetMode="External"/><Relationship Id="rId1055" Type="http://schemas.openxmlformats.org/officeDocument/2006/relationships/hyperlink" Target="https://youtu.be/xPsv1plmq-E"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WubNtmkL1o" TargetMode="External"/><Relationship Id="rId222" Type="http://schemas.openxmlformats.org/officeDocument/2006/relationships/hyperlink" Target="https://youtu.be/QlP6ARCzisI" TargetMode="External"/><Relationship Id="rId1057" Type="http://schemas.openxmlformats.org/officeDocument/2006/relationships/hyperlink" Target="https://youtu.be/cJ-pBJL4zaI" TargetMode="External"/><Relationship Id="rId221" Type="http://schemas.openxmlformats.org/officeDocument/2006/relationships/hyperlink" Target="https://youtu.be/CcNH_IJ40fc"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KawaiiPlacidMonitorPJSalt-mhKC6iRjJ5hOMC48"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youtu.be/qW2i6vDQtB4" TargetMode="External"/><Relationship Id="rId1044" Type="http://schemas.openxmlformats.org/officeDocument/2006/relationships/hyperlink" Target="https://youtu.be/2NGdCcueesk"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lYUHLdDB-mo"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piKroXFDh_g"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youtu.be/a7-SiZhtDgc" TargetMode="External"/><Relationship Id="rId1073" Type="http://schemas.openxmlformats.org/officeDocument/2006/relationships/hyperlink" Target="https://youtu.be/dsfx15_DZFk"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69291377"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twitch.tv/videos/808225933"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rborealAgileGalagoPipeHype-NapmxC-S3q11Jt3_"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N12RzHwXRPA"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youtu.be/hz2unkDO8uk" TargetMode="External"/><Relationship Id="rId1066" Type="http://schemas.openxmlformats.org/officeDocument/2006/relationships/hyperlink" Target="https://youtu.be/tqJiUe6JxZ8"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mmZFbgP4ps" TargetMode="External"/><Relationship Id="rId232" Type="http://schemas.openxmlformats.org/officeDocument/2006/relationships/hyperlink" Target="https://youtu.be/8bxKDxQmUfI" TargetMode="External"/><Relationship Id="rId1069" Type="http://schemas.openxmlformats.org/officeDocument/2006/relationships/hyperlink" Target="https://youtu.be/tqJiUe6JxZ8"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youtu.be/9io9LJ1awUw"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youtu.be/77VtvQsu_l4" TargetMode="External"/><Relationship Id="rId1011" Type="http://schemas.openxmlformats.org/officeDocument/2006/relationships/hyperlink" Target="https://www.youtube.com/watch?v=XDB0Q-95aYQ" TargetMode="External"/><Relationship Id="rId1012" Type="http://schemas.openxmlformats.org/officeDocument/2006/relationships/hyperlink" Target="https://clips.twitch.tv/JollyHeartlessRadicchioYouDontSay-DnTtZQb3yYj2G9y0" TargetMode="External"/><Relationship Id="rId1013" Type="http://schemas.openxmlformats.org/officeDocument/2006/relationships/hyperlink" Target="https://www.youtube.com/watch?v=_HQgQjbTLjM"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CZssXRsQhI4"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youtu.be/JLmadWZDG3c"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www.youtube.com/watch?v=M79AHF5qCvY" TargetMode="External"/><Relationship Id="rId1009" Type="http://schemas.openxmlformats.org/officeDocument/2006/relationships/hyperlink" Target="https://www.youtube.com/watch?v=VMuEtyCscuM" TargetMode="External"/><Relationship Id="rId1000" Type="http://schemas.openxmlformats.org/officeDocument/2006/relationships/hyperlink" Target="https://youtu.be/nxGLMDXr0XA" TargetMode="External"/><Relationship Id="rId1001" Type="http://schemas.openxmlformats.org/officeDocument/2006/relationships/hyperlink" Target="https://youtu.be/HJCHtf50t14" TargetMode="External"/><Relationship Id="rId1002" Type="http://schemas.openxmlformats.org/officeDocument/2006/relationships/hyperlink" Target="https://youtu.be/YgCTRfuRDaA" TargetMode="External"/><Relationship Id="rId1003" Type="http://schemas.openxmlformats.org/officeDocument/2006/relationships/hyperlink" Target="https://youtu.be/YG0aj2XJ_zk"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youtu.be/gz3vByPTKu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iv6_41aPYWU" TargetMode="External"/><Relationship Id="rId1033" Type="http://schemas.openxmlformats.org/officeDocument/2006/relationships/hyperlink" Target="https://youtu.be/NggDKh_3G24" TargetMode="External"/><Relationship Id="rId201" Type="http://schemas.openxmlformats.org/officeDocument/2006/relationships/hyperlink" Target="https://youtu.be/rHtUcI8cqag"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fPccFOyZC60"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youtu.be/pCbtVM3MKc0" TargetMode="External"/><Relationship Id="rId1027" Type="http://schemas.openxmlformats.org/officeDocument/2006/relationships/hyperlink" Target="https://www.twitch.tv/shadowmario27/clip/SarcasticAgitatedNostrilRickroll-7DAp447grWNpKNt4"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youtu.be/qCzEexPhnKQ" TargetMode="External"/><Relationship Id="rId1022" Type="http://schemas.openxmlformats.org/officeDocument/2006/relationships/hyperlink" Target="https://youtu.be/qCzEexPhnKQ" TargetMode="External"/><Relationship Id="rId1023" Type="http://schemas.openxmlformats.org/officeDocument/2006/relationships/hyperlink" Target="https://youtu.be/sEI2c0TH8WQ" TargetMode="External"/><Relationship Id="rId1024" Type="http://schemas.openxmlformats.org/officeDocument/2006/relationships/hyperlink" Target="https://www.youtube.com/watch?v=yMa3qFDjhe8" TargetMode="External"/><Relationship Id="rId1025" Type="http://schemas.openxmlformats.org/officeDocument/2006/relationships/hyperlink" Target="https://www.youtube.com/watch?v=HGHAevcTYJA"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twitch.tv/inkstar/clip/SeductiveWonderfulFungusNotATK-_5nVhVUpxAADgma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youtu.be/TOopvpfnb90"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youtu.be/BRYGZD8Aw8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youtu.be/PjCd_IhCqcs"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saeB2BJyl3w" TargetMode="External"/><Relationship Id="rId1214" Type="http://schemas.openxmlformats.org/officeDocument/2006/relationships/hyperlink" Target="https://youtu.be/cTFRTeFZ_J8" TargetMode="External"/><Relationship Id="rId1215" Type="http://schemas.openxmlformats.org/officeDocument/2006/relationships/hyperlink" Target="https://youtu.be/9xdcEVyiBHI" TargetMode="External"/><Relationship Id="rId1216" Type="http://schemas.openxmlformats.org/officeDocument/2006/relationships/hyperlink" Target="https://youtu.be/_-CeL_OF9PE"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clips.twitch.tv/VibrantBrightThymeStinkyCheese-x2GYoSaGQWXd9TQP" TargetMode="External"/><Relationship Id="rId1219" Type="http://schemas.openxmlformats.org/officeDocument/2006/relationships/hyperlink" Target="https://youtu.be/U9qXLAXAd7k"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youtu.be/lYi4TdoiTuI"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b_fjcdwVo9c" TargetMode="External"/><Relationship Id="rId1207" Type="http://schemas.openxmlformats.org/officeDocument/2006/relationships/hyperlink" Target="https://www.youtube.com/watch?v=Ji5c99CvARE" TargetMode="External"/><Relationship Id="rId1208" Type="http://schemas.openxmlformats.org/officeDocument/2006/relationships/hyperlink" Target="https://youtu.be/5vUNzwaesc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q3IUc8chiVo" TargetMode="External"/><Relationship Id="rId1235" Type="http://schemas.openxmlformats.org/officeDocument/2006/relationships/hyperlink" Target="https://youtu.be/Viy4GiOKJXw" TargetMode="External"/><Relationship Id="rId1236" Type="http://schemas.openxmlformats.org/officeDocument/2006/relationships/hyperlink" Target="https://youtu.be/_ZkoUbYRWrk" TargetMode="External"/><Relationship Id="rId1237" Type="http://schemas.openxmlformats.org/officeDocument/2006/relationships/hyperlink" Target="https://www.youtube.com/watch?v=Ue1Nbckte5I" TargetMode="External"/><Relationship Id="rId1238" Type="http://schemas.openxmlformats.org/officeDocument/2006/relationships/hyperlink" Target="https://www.twitch.tv/aether10n/clip/SnappyPowerfulCheeseUnSane-1rAFTNb449dJxwF_" TargetMode="External"/><Relationship Id="rId1239" Type="http://schemas.openxmlformats.org/officeDocument/2006/relationships/hyperlink" Target="https://youtu.be/BO18jxRH70M"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Z6OBxMRNy1o" TargetMode="External"/><Relationship Id="rId400" Type="http://schemas.openxmlformats.org/officeDocument/2006/relationships/hyperlink" Target="https://youtu.be/ivUTsBzfDHg" TargetMode="External"/><Relationship Id="rId1231" Type="http://schemas.openxmlformats.org/officeDocument/2006/relationships/hyperlink" Target="https://www.twitch.tv/aether10n/clip/ArborealHyperTomatoFreakinStinkin-i8cJ2yY4z-aIlgPv" TargetMode="External"/><Relationship Id="rId1232" Type="http://schemas.openxmlformats.org/officeDocument/2006/relationships/hyperlink" Target="https://youtu.be/Viy4GiOKJXw" TargetMode="External"/><Relationship Id="rId1233" Type="http://schemas.openxmlformats.org/officeDocument/2006/relationships/hyperlink" Target="https://youtu.be/fSPfpmktFMo" TargetMode="External"/><Relationship Id="rId1234" Type="http://schemas.openxmlformats.org/officeDocument/2006/relationships/hyperlink" Target="https://youtu.be/f3lYWpZEEgI?si=M_bvwPGHYXWFfha4&amp;t=24" TargetMode="External"/><Relationship Id="rId1224" Type="http://schemas.openxmlformats.org/officeDocument/2006/relationships/hyperlink" Target="https://youtu.be/CwbLgREWKVs" TargetMode="External"/><Relationship Id="rId1225" Type="http://schemas.openxmlformats.org/officeDocument/2006/relationships/hyperlink" Target="https://www.youtube.com/watch?v=c99cCXZCmK4"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youtu.be/tJDFV1A7was" TargetMode="External"/><Relationship Id="rId1220" Type="http://schemas.openxmlformats.org/officeDocument/2006/relationships/hyperlink" Target="https://youtu.be/MPlNTwHHCGk"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youtu.be/RUEB2vlTuT0" TargetMode="External"/><Relationship Id="rId1223" Type="http://schemas.openxmlformats.org/officeDocument/2006/relationships/hyperlink" Target="https://www.twitch.tv/videos/1280710333"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PjJ5qtUp7UA" TargetMode="External"/><Relationship Id="rId1291" Type="http://schemas.openxmlformats.org/officeDocument/2006/relationships/hyperlink" Target="https://youtu.be/Ctn3rI5RKbg"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UnsightlyEmpathicPineappleBrokeBack--m-hDZdSRLdX1K6b"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_iKhHERDn-k" TargetMode="External"/><Relationship Id="rId460" Type="http://schemas.openxmlformats.org/officeDocument/2006/relationships/hyperlink" Target="https://youtu.be/0W5pWtLW_m0" TargetMode="External"/><Relationship Id="rId1295" Type="http://schemas.openxmlformats.org/officeDocument/2006/relationships/hyperlink" Target="https://youtu.be/JJujtnxFUXg" TargetMode="External"/><Relationship Id="rId1296" Type="http://schemas.openxmlformats.org/officeDocument/2006/relationships/hyperlink" Target="https://youtu.be/oWQXsAIPCvw"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hLSXNf9Tyrs" TargetMode="External"/><Relationship Id="rId465" Type="http://schemas.openxmlformats.org/officeDocument/2006/relationships/hyperlink" Target="https://youtu.be/Ppzp61W2pkw" TargetMode="External"/><Relationship Id="rId1298" Type="http://schemas.openxmlformats.org/officeDocument/2006/relationships/hyperlink" Target="https://youtu.be/2Um5c2WuWvI"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JujtnxFUXg"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WBDB6jLhH4" TargetMode="External"/><Relationship Id="rId1281" Type="http://schemas.openxmlformats.org/officeDocument/2006/relationships/hyperlink" Target="https://youtu.be/BIwB8aMG3fk"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www.youtube.com/watch?v=4SGAQETyNZ0" TargetMode="External"/><Relationship Id="rId1284" Type="http://schemas.openxmlformats.org/officeDocument/2006/relationships/hyperlink" Target="https://clips.twitch.tv/SweetHonorableFungusThunBeast-EqIPETChLfP9dMVx" TargetMode="External"/><Relationship Id="rId1285" Type="http://schemas.openxmlformats.org/officeDocument/2006/relationships/hyperlink" Target="https://www.twitch.tv/jpeppp/clip/AmericanDoubtfulLadiesPipeHype?filter=clips&amp;range=all&amp;sort=time"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iIxItO2qyp0" TargetMode="External"/><Relationship Id="rId454" Type="http://schemas.openxmlformats.org/officeDocument/2006/relationships/hyperlink" Target="https://youtu.be/BlmG6AjRpsM" TargetMode="External"/><Relationship Id="rId1287" Type="http://schemas.openxmlformats.org/officeDocument/2006/relationships/hyperlink" Target="https://www.youtube.com/watch?v=VpV6xsgvGRA" TargetMode="External"/><Relationship Id="rId453" Type="http://schemas.openxmlformats.org/officeDocument/2006/relationships/hyperlink" Target="https://youtu.be/kpxMbm8UtAw" TargetMode="External"/><Relationship Id="rId1288" Type="http://schemas.openxmlformats.org/officeDocument/2006/relationships/hyperlink" Target="https://youtu.be/osb0MUIpTX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eVM5h8wzD4"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Bz_l6_86h-Q" TargetMode="External"/><Relationship Id="rId1259" Type="http://schemas.openxmlformats.org/officeDocument/2006/relationships/hyperlink" Target="https://youtu.be/KXv-tmNS8TM"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WSeZ9m3uFA4" TargetMode="External"/><Relationship Id="rId1252" Type="http://schemas.openxmlformats.org/officeDocument/2006/relationships/hyperlink" Target="https://www.twitch.tv/jjsrl/clip/MuddyRoughGrasshopperOneHand-PfA0nue3cvmB_Jty" TargetMode="External"/><Relationship Id="rId422" Type="http://schemas.openxmlformats.org/officeDocument/2006/relationships/hyperlink" Target="https://youtu.be/jz0wywOgWQo"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_Gl10yuQ8F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ZczNTkR9KbE" TargetMode="External"/><Relationship Id="rId1256" Type="http://schemas.openxmlformats.org/officeDocument/2006/relationships/hyperlink" Target="https://youtu.be/kHROQLQTclw" TargetMode="External"/><Relationship Id="rId1246" Type="http://schemas.openxmlformats.org/officeDocument/2006/relationships/hyperlink" Target="https://youtu.be/2RtyVMkalQs" TargetMode="External"/><Relationship Id="rId1247" Type="http://schemas.openxmlformats.org/officeDocument/2006/relationships/hyperlink" Target="https://youtu.be/Gqm-krmqD4k" TargetMode="External"/><Relationship Id="rId1248" Type="http://schemas.openxmlformats.org/officeDocument/2006/relationships/hyperlink" Target="https://www.youtube.com/watch?v=TZbdrUxQdY0"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dt3LvXS-I" TargetMode="External"/><Relationship Id="rId1241" Type="http://schemas.openxmlformats.org/officeDocument/2006/relationships/hyperlink" Target="https://www.youtube.com/watch?v=OoD4qy-ngWw&amp;feature=youtu.be&amp;ab_channel=SMSArchives"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x7CDVxiIMcw" TargetMode="External"/><Relationship Id="rId1244" Type="http://schemas.openxmlformats.org/officeDocument/2006/relationships/hyperlink" Target="https://youtu.be/rNaDwery3FE" TargetMode="External"/><Relationship Id="rId1245" Type="http://schemas.openxmlformats.org/officeDocument/2006/relationships/hyperlink" Target="https://clips.twitch.tv/GiftedRudeWebThisIsSparta-BzGe-Sy_N0q2Ld62"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elaYSWhDvFA" TargetMode="External"/><Relationship Id="rId1272" Type="http://schemas.openxmlformats.org/officeDocument/2006/relationships/hyperlink" Target="https://youtu.be/U0nS3g0zOvI" TargetMode="External"/><Relationship Id="rId1273" Type="http://schemas.openxmlformats.org/officeDocument/2006/relationships/hyperlink" Target="https://youtu.be/Vix-gMQfukI?si=6dlzLJh2a-1zjeG8"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twitter.com/Qbe_Root/status/1267201521541959680" TargetMode="External"/><Relationship Id="rId443" Type="http://schemas.openxmlformats.org/officeDocument/2006/relationships/hyperlink" Target="https://youtu.be/yM7eFNu04pY" TargetMode="External"/><Relationship Id="rId1276" Type="http://schemas.openxmlformats.org/officeDocument/2006/relationships/hyperlink" Target="https://youtu.be/Un8GBYhUU3E?si=_9oMA0fSL4zoQw4f"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n9Pgok3_gLk" TargetMode="External"/><Relationship Id="rId1268" Type="http://schemas.openxmlformats.org/officeDocument/2006/relationships/hyperlink" Target="https://youtu.be/7mi3rKCeBsI" TargetMode="External"/><Relationship Id="rId1269" Type="http://schemas.openxmlformats.org/officeDocument/2006/relationships/hyperlink" Target="https://youtu.be/M822PVs1H2w"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tcfld4v8t2Q" TargetMode="External"/><Relationship Id="rId1261" Type="http://schemas.openxmlformats.org/officeDocument/2006/relationships/hyperlink" Target="https://youtu.be/Bz_l6_86h-Q" TargetMode="External"/><Relationship Id="rId1262" Type="http://schemas.openxmlformats.org/officeDocument/2006/relationships/hyperlink" Target="https://youtu.be/4cDf1smVSUE" TargetMode="External"/><Relationship Id="rId1263" Type="http://schemas.openxmlformats.org/officeDocument/2006/relationships/hyperlink" Target="https://youtu.be/kvu97FX2j0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wT0G0Js7b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Xo4t95JdZqM" TargetMode="External"/><Relationship Id="rId1335" Type="http://schemas.openxmlformats.org/officeDocument/2006/relationships/hyperlink" Target="https://youtu.be/Wfk3pXadilY" TargetMode="External"/><Relationship Id="rId1336" Type="http://schemas.openxmlformats.org/officeDocument/2006/relationships/hyperlink" Target="https://www.youtube.com/watch?v=6M4ARzKlbFE" TargetMode="External"/><Relationship Id="rId1337" Type="http://schemas.openxmlformats.org/officeDocument/2006/relationships/hyperlink" Target="https://www.youtube.com/watch?v=etTxUYPYcg4" TargetMode="External"/><Relationship Id="rId1338" Type="http://schemas.openxmlformats.org/officeDocument/2006/relationships/hyperlink" Target="https://youtu.be/XJPRsCvWvWI" TargetMode="External"/><Relationship Id="rId1339" Type="http://schemas.openxmlformats.org/officeDocument/2006/relationships/hyperlink" Target="https://twitter.com/inkstarLum/status/1713868539566899289" TargetMode="External"/><Relationship Id="rId745" Type="http://schemas.openxmlformats.org/officeDocument/2006/relationships/hyperlink" Target="https://youtu.be/MuEnxiM27do"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Bv90oc-1vaw" TargetMode="External"/><Relationship Id="rId742" Type="http://schemas.openxmlformats.org/officeDocument/2006/relationships/hyperlink" Target="https://youtu.be/0D1WmuC6U4U"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Kj-It4K_OhM" TargetMode="External"/><Relationship Id="rId747" Type="http://schemas.openxmlformats.org/officeDocument/2006/relationships/hyperlink" Target="https://www.youtube.com/watch?v=O40upq_B08g" TargetMode="External"/><Relationship Id="rId746" Type="http://schemas.openxmlformats.org/officeDocument/2006/relationships/hyperlink" Target="https://youtu.be/nuCK63baSJE" TargetMode="External"/><Relationship Id="rId741" Type="http://schemas.openxmlformats.org/officeDocument/2006/relationships/hyperlink" Target="https://youtu.be/yHQXj8dLEcI" TargetMode="External"/><Relationship Id="rId1330" Type="http://schemas.openxmlformats.org/officeDocument/2006/relationships/hyperlink" Target="https://youtu.be/iDo6x9K8B4I" TargetMode="External"/><Relationship Id="rId740" Type="http://schemas.openxmlformats.org/officeDocument/2006/relationships/hyperlink" Target="https://youtu.be/NuQnnIyWGNo" TargetMode="External"/><Relationship Id="rId1331" Type="http://schemas.openxmlformats.org/officeDocument/2006/relationships/hyperlink" Target="https://youtu.be/NdyFOs0CNzA" TargetMode="External"/><Relationship Id="rId1332" Type="http://schemas.openxmlformats.org/officeDocument/2006/relationships/hyperlink" Target="https://youtu.be/bDV8fM7A1eA" TargetMode="External"/><Relationship Id="rId1333" Type="http://schemas.openxmlformats.org/officeDocument/2006/relationships/hyperlink" Target="https://youtu.be/7pMKee3TeoI" TargetMode="External"/><Relationship Id="rId1323" Type="http://schemas.openxmlformats.org/officeDocument/2006/relationships/hyperlink" Target="https://youtu.be/xjXFOal4-QE"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uM1I8GG5zVk" TargetMode="External"/><Relationship Id="rId1326" Type="http://schemas.openxmlformats.org/officeDocument/2006/relationships/hyperlink" Target="https://youtu.be/3ASpf58HwCg" TargetMode="External"/><Relationship Id="rId1327" Type="http://schemas.openxmlformats.org/officeDocument/2006/relationships/hyperlink" Target="https://youtu.be/RPNLhL9Mwx8" TargetMode="External"/><Relationship Id="rId1328" Type="http://schemas.openxmlformats.org/officeDocument/2006/relationships/hyperlink" Target="https://youtu.be/7pMKee3TeoI" TargetMode="External"/><Relationship Id="rId1329" Type="http://schemas.openxmlformats.org/officeDocument/2006/relationships/hyperlink" Target="https://www.youtube.com/watch?v=_sGFnkXOmWA&amp;feature=youtu.be&amp;ab_channel=SMSArchives" TargetMode="External"/><Relationship Id="rId739" Type="http://schemas.openxmlformats.org/officeDocument/2006/relationships/hyperlink" Target="https://www.twitch.tv/videos/2440315971" TargetMode="External"/><Relationship Id="rId734" Type="http://schemas.openxmlformats.org/officeDocument/2006/relationships/hyperlink" Target="https://youtu.be/R1jkpbFra_k" TargetMode="External"/><Relationship Id="rId733" Type="http://schemas.openxmlformats.org/officeDocument/2006/relationships/hyperlink" Target="https://www.twitch.tv/videos/858206031" TargetMode="External"/><Relationship Id="rId732" Type="http://schemas.openxmlformats.org/officeDocument/2006/relationships/hyperlink" Target="https://www.youtube.com/watch?v=Xez7zuPnhFs" TargetMode="External"/><Relationship Id="rId731" Type="http://schemas.openxmlformats.org/officeDocument/2006/relationships/hyperlink" Target="https://youtu.be/krPrARIZkpE" TargetMode="External"/><Relationship Id="rId738" Type="http://schemas.openxmlformats.org/officeDocument/2006/relationships/hyperlink" Target="https://youtu.be/PSzqdjJld2k" TargetMode="External"/><Relationship Id="rId737" Type="http://schemas.openxmlformats.org/officeDocument/2006/relationships/hyperlink" Target="https://youtu.be/CbOKw_Wf8YY" TargetMode="External"/><Relationship Id="rId736" Type="http://schemas.openxmlformats.org/officeDocument/2006/relationships/hyperlink" Target="https://youtu.be/PSzqdjJld2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amp;feature=youtu.be"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Awt0kRubMRs" TargetMode="External"/><Relationship Id="rId1322" Type="http://schemas.openxmlformats.org/officeDocument/2006/relationships/hyperlink" Target="https://youtu.be/yaUZ7zMs4j0" TargetMode="External"/><Relationship Id="rId1356" Type="http://schemas.openxmlformats.org/officeDocument/2006/relationships/hyperlink" Target="https://youtu.be/hHITvO7XueU"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TX8Oe2Rwyuw" TargetMode="External"/><Relationship Id="rId1359" Type="http://schemas.openxmlformats.org/officeDocument/2006/relationships/hyperlink" Target="https://youtu.be/Ay4FY71sJJo" TargetMode="External"/><Relationship Id="rId767" Type="http://schemas.openxmlformats.org/officeDocument/2006/relationships/hyperlink" Target="https://youtu.be/r8a_Y7dQwGc" TargetMode="External"/><Relationship Id="rId766" Type="http://schemas.openxmlformats.org/officeDocument/2006/relationships/hyperlink" Target="https://youtu.be/aO2WerGm9Lg" TargetMode="External"/><Relationship Id="rId765" Type="http://schemas.openxmlformats.org/officeDocument/2006/relationships/hyperlink" Target="https://www.youtube.com/watch?v=yacYtuskVso&amp;t=92s" TargetMode="External"/><Relationship Id="rId764" Type="http://schemas.openxmlformats.org/officeDocument/2006/relationships/hyperlink" Target="https://youtu.be/mjrN6UHMuWg" TargetMode="External"/><Relationship Id="rId769" Type="http://schemas.openxmlformats.org/officeDocument/2006/relationships/hyperlink" Target="https://youtu.be/AAe-UhT8RE8"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www.twitch.tv/fech8763/clip/BenevolentEasyWatermelonFailFish?filter=clips&amp;range=all&amp;sort=time" TargetMode="External"/><Relationship Id="rId1351" Type="http://schemas.openxmlformats.org/officeDocument/2006/relationships/hyperlink" Target="https://www.twitch.tv/videos/2431608318" TargetMode="External"/><Relationship Id="rId763" Type="http://schemas.openxmlformats.org/officeDocument/2006/relationships/hyperlink" Target="https://www.youtube.com/watch?v=U36Xdyf9eLM" TargetMode="External"/><Relationship Id="rId1352" Type="http://schemas.openxmlformats.org/officeDocument/2006/relationships/hyperlink" Target="https://youtu.be/Gu9t01gh3ek" TargetMode="External"/><Relationship Id="rId762" Type="http://schemas.openxmlformats.org/officeDocument/2006/relationships/hyperlink" Target="https://youtu.be/O40upq_B08g" TargetMode="External"/><Relationship Id="rId1353" Type="http://schemas.openxmlformats.org/officeDocument/2006/relationships/hyperlink" Target="https://www.twitch.tv/videos/2628389365" TargetMode="External"/><Relationship Id="rId761" Type="http://schemas.openxmlformats.org/officeDocument/2006/relationships/hyperlink" Target="https://youtu.be/BQCKRfpztF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br_0gfC2ANk" TargetMode="External"/><Relationship Id="rId1355" Type="http://schemas.openxmlformats.org/officeDocument/2006/relationships/hyperlink" Target="https://www.youtube.com/watch?v=BanNtsjIhb4&amp;feature=youtu.be&amp;ab_channel=SMSArchives" TargetMode="External"/><Relationship Id="rId1345" Type="http://schemas.openxmlformats.org/officeDocument/2006/relationships/hyperlink" Target="https://youtu.be/Ep8IDi5o2Ec" TargetMode="External"/><Relationship Id="rId1346" Type="http://schemas.openxmlformats.org/officeDocument/2006/relationships/hyperlink" Target="https://youtu.be/gPYL3ON-eEU" TargetMode="External"/><Relationship Id="rId1347" Type="http://schemas.openxmlformats.org/officeDocument/2006/relationships/hyperlink" Target="https://youtu.be/_zy6O8EMW9o" TargetMode="External"/><Relationship Id="rId1348" Type="http://schemas.openxmlformats.org/officeDocument/2006/relationships/hyperlink" Target="https://youtu.be/Vn-avrb6ChU" TargetMode="External"/><Relationship Id="rId1349" Type="http://schemas.openxmlformats.org/officeDocument/2006/relationships/hyperlink" Target="https://clips.twitch.tv/FunFilthyHerringPicoMause-5CS6RTHfNlvZK2Qq" TargetMode="External"/><Relationship Id="rId756" Type="http://schemas.openxmlformats.org/officeDocument/2006/relationships/hyperlink" Target="https://www.youtube.com/watch?v=XtM9r8G5uZE"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youtu.be/LVWCQgi0L-o"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www.youtube.com/watch?v=98kA5EcsFIk" TargetMode="External"/><Relationship Id="rId758" Type="http://schemas.openxmlformats.org/officeDocument/2006/relationships/hyperlink" Target="https://youtu.be/drrgdFIAhcY" TargetMode="External"/><Relationship Id="rId757" Type="http://schemas.openxmlformats.org/officeDocument/2006/relationships/hyperlink" Target="https://youtu.be/drrgdFIAhcY" TargetMode="External"/><Relationship Id="rId1340" Type="http://schemas.openxmlformats.org/officeDocument/2006/relationships/hyperlink" Target="https://youtu.be/IVozaNgTvUE" TargetMode="External"/><Relationship Id="rId752" Type="http://schemas.openxmlformats.org/officeDocument/2006/relationships/hyperlink" Target="https://www.youtube.com/watch?v=0D1WmuC6U4U" TargetMode="External"/><Relationship Id="rId1341" Type="http://schemas.openxmlformats.org/officeDocument/2006/relationships/hyperlink" Target="https://www.youtube.com/watch?v=sqTuGwDvVjI&amp;feature=youtu.be&amp;ab_channel=SMSArchives" TargetMode="External"/><Relationship Id="rId751" Type="http://schemas.openxmlformats.org/officeDocument/2006/relationships/hyperlink" Target="https://youtu.be/lal_goibTZQ" TargetMode="External"/><Relationship Id="rId1342" Type="http://schemas.openxmlformats.org/officeDocument/2006/relationships/hyperlink" Target="https://youtu.be/73O2pX4ELkY" TargetMode="External"/><Relationship Id="rId750" Type="http://schemas.openxmlformats.org/officeDocument/2006/relationships/hyperlink" Target="https://www.youtube.com/watch?v=lal_goibTZQ" TargetMode="External"/><Relationship Id="rId1343" Type="http://schemas.openxmlformats.org/officeDocument/2006/relationships/hyperlink" Target="https://youtu.be/pXkmcZIsCgA"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youtu.be/rNfnEd8D4rc" TargetMode="External"/><Relationship Id="rId708" Type="http://schemas.openxmlformats.org/officeDocument/2006/relationships/hyperlink" Target="https://youtu.be/cHTgyDs6HJs" TargetMode="External"/><Relationship Id="rId707" Type="http://schemas.openxmlformats.org/officeDocument/2006/relationships/hyperlink" Target="https://youtu.be/cHTgyDs6HJs"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IcsxITnRlDI" TargetMode="External"/><Relationship Id="rId700" Type="http://schemas.openxmlformats.org/officeDocument/2006/relationships/hyperlink" Target="https://www.twitch.tv/videos/1094609126" TargetMode="External"/><Relationship Id="rId705" Type="http://schemas.openxmlformats.org/officeDocument/2006/relationships/hyperlink" Target="https://youtu.be/X4YBjn8dELU"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www.youtube.com/watch?v=eo--zL00DgM" TargetMode="External"/><Relationship Id="rId702" Type="http://schemas.openxmlformats.org/officeDocument/2006/relationships/hyperlink" Target="https://youtu.be/T-zfU5tN5_s" TargetMode="External"/><Relationship Id="rId1312" Type="http://schemas.openxmlformats.org/officeDocument/2006/relationships/hyperlink" Target="https://www.twitch.tv/videos/1601827892" TargetMode="External"/><Relationship Id="rId1313" Type="http://schemas.openxmlformats.org/officeDocument/2006/relationships/hyperlink" Target="https://youtu.be/ZVx314GtAOQ" TargetMode="External"/><Relationship Id="rId1314" Type="http://schemas.openxmlformats.org/officeDocument/2006/relationships/hyperlink" Target="https://youtu.be/3DqzAPYrpF4" TargetMode="External"/><Relationship Id="rId1315" Type="http://schemas.openxmlformats.org/officeDocument/2006/relationships/hyperlink" Target="https://youtu.be/80CjYSyiwxo" TargetMode="External"/><Relationship Id="rId1316" Type="http://schemas.openxmlformats.org/officeDocument/2006/relationships/hyperlink" Target="https://youtu.be/tbWXxoNI9rc" TargetMode="External"/><Relationship Id="rId1317" Type="http://schemas.openxmlformats.org/officeDocument/2006/relationships/hyperlink" Target="https://youtu.be/NdyFOs0CNzA"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bEnkKuin0AU" TargetMode="External"/><Relationship Id="rId729" Type="http://schemas.openxmlformats.org/officeDocument/2006/relationships/hyperlink" Target="https://www.youtube.com/watch?v=bLntip6c3cM"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TWoHlQ92h9Q" TargetMode="External"/><Relationship Id="rId722" Type="http://schemas.openxmlformats.org/officeDocument/2006/relationships/hyperlink" Target="https://clips.twitch.tv/FlirtyHandsomeDunlinDendiFace-kJAZpcey5Npw62mo" TargetMode="External"/><Relationship Id="rId721" Type="http://schemas.openxmlformats.org/officeDocument/2006/relationships/hyperlink" Target="https://youtu.be/KeUeFm8pgn4" TargetMode="External"/><Relationship Id="rId720" Type="http://schemas.openxmlformats.org/officeDocument/2006/relationships/hyperlink" Target="https://youtu.be/ZIFgUlRAmu8" TargetMode="External"/><Relationship Id="rId727" Type="http://schemas.openxmlformats.org/officeDocument/2006/relationships/hyperlink" Target="https://youtu.be/PeiDodR-cOo"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www.youtube.com/watch?v=SaPHT9aS3Zk" TargetMode="External"/><Relationship Id="rId724" Type="http://schemas.openxmlformats.org/officeDocument/2006/relationships/hyperlink" Target="https://youtu.be/G-wdEZNJzVc" TargetMode="External"/><Relationship Id="rId1310" Type="http://schemas.openxmlformats.org/officeDocument/2006/relationships/hyperlink" Target="https://youtu.be/2qsci_GLiAo" TargetMode="External"/><Relationship Id="rId1311" Type="http://schemas.openxmlformats.org/officeDocument/2006/relationships/hyperlink" Target="https://youtu.be/ymTj7oKg9AA" TargetMode="External"/><Relationship Id="rId1301" Type="http://schemas.openxmlformats.org/officeDocument/2006/relationships/hyperlink" Target="https://youtu.be/y1GKQSO9qU0" TargetMode="External"/><Relationship Id="rId1302" Type="http://schemas.openxmlformats.org/officeDocument/2006/relationships/hyperlink" Target="https://youtu.be/ZgRlEQwomQ8" TargetMode="External"/><Relationship Id="rId1303" Type="http://schemas.openxmlformats.org/officeDocument/2006/relationships/hyperlink" Target="https://youtu.be/2qsci_GLiAo" TargetMode="External"/><Relationship Id="rId1304" Type="http://schemas.openxmlformats.org/officeDocument/2006/relationships/hyperlink" Target="https://youtu.be/nvtBwUPOOjs" TargetMode="External"/><Relationship Id="rId1305" Type="http://schemas.openxmlformats.org/officeDocument/2006/relationships/hyperlink" Target="https://www.youtube.com/watch?v=kbs-FSaXOdo" TargetMode="External"/><Relationship Id="rId1306" Type="http://schemas.openxmlformats.org/officeDocument/2006/relationships/hyperlink" Target="https://youtu.be/jLVcpoEDE-U" TargetMode="External"/><Relationship Id="rId1307" Type="http://schemas.openxmlformats.org/officeDocument/2006/relationships/hyperlink" Target="https://youtu.be/vhC33um_174" TargetMode="External"/><Relationship Id="rId1308" Type="http://schemas.openxmlformats.org/officeDocument/2006/relationships/hyperlink" Target="https://youtu.be/Kyud9n21QFM" TargetMode="External"/><Relationship Id="rId1309" Type="http://schemas.openxmlformats.org/officeDocument/2006/relationships/hyperlink" Target="https://youtu.be/zbdC7rooh2Y?si=865g6-C8lEOoEopW" TargetMode="External"/><Relationship Id="rId719" Type="http://schemas.openxmlformats.org/officeDocument/2006/relationships/hyperlink" Target="https://youtu.be/J1J56aATSTk" TargetMode="External"/><Relationship Id="rId718" Type="http://schemas.openxmlformats.org/officeDocument/2006/relationships/hyperlink" Target="https://youtu.be/fNkxLw3fgCI" TargetMode="External"/><Relationship Id="rId717" Type="http://schemas.openxmlformats.org/officeDocument/2006/relationships/hyperlink" Target="https://youtu.be/7OefaDdLpEA" TargetMode="External"/><Relationship Id="rId712" Type="http://schemas.openxmlformats.org/officeDocument/2006/relationships/hyperlink" Target="https://www.twitch.tv/videos/619511051"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qgWRAu3ul_c?t=21" TargetMode="External"/><Relationship Id="rId715" Type="http://schemas.openxmlformats.org/officeDocument/2006/relationships/hyperlink" Target="https://youtu.be/wZNEwbgR9dA" TargetMode="External"/><Relationship Id="rId714" Type="http://schemas.openxmlformats.org/officeDocument/2006/relationships/hyperlink" Target="https://youtu.be/NfQkd-C-_aM" TargetMode="External"/><Relationship Id="rId713" Type="http://schemas.openxmlformats.org/officeDocument/2006/relationships/hyperlink" Target="https://clips.twitch.tv/AntediluvianLachrymoseGazellePlanking-lZ4VqK5mIF7O-HHY" TargetMode="External"/><Relationship Id="rId1300" Type="http://schemas.openxmlformats.org/officeDocument/2006/relationships/hyperlink" Target="https://clips.twitch.tv/HyperEvilThymeVoHiYo-po11OK77dQEmShef" TargetMode="External"/><Relationship Id="rId1378" Type="http://schemas.openxmlformats.org/officeDocument/2006/relationships/hyperlink" Target="https://youtu.be/dpYU8IDFLKY"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SjCEv-auZMc" TargetMode="External"/><Relationship Id="rId787" Type="http://schemas.openxmlformats.org/officeDocument/2006/relationships/hyperlink" Target="https://youtu.be/QTpj3zZGHHc" TargetMode="External"/><Relationship Id="rId786" Type="http://schemas.openxmlformats.org/officeDocument/2006/relationships/hyperlink" Target="https://youtu.be/APzKq_CD0q4"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MHOSL-gR_ZE" TargetMode="External"/><Relationship Id="rId780" Type="http://schemas.openxmlformats.org/officeDocument/2006/relationships/hyperlink" Target="https://clips.twitch.tv/FantasticPoisedPigRiPepperonis-wvZoah9_RniFY7ay" TargetMode="External"/><Relationship Id="rId1371" Type="http://schemas.openxmlformats.org/officeDocument/2006/relationships/hyperlink" Target="https://youtu.be/6fp0twJPjPo" TargetMode="External"/><Relationship Id="rId1372" Type="http://schemas.openxmlformats.org/officeDocument/2006/relationships/hyperlink" Target="https://youtu.be/TtbKVZj2o3k" TargetMode="External"/><Relationship Id="rId1373" Type="http://schemas.openxmlformats.org/officeDocument/2006/relationships/hyperlink" Target="https://youtu.be/BQscRiGi4hc" TargetMode="External"/><Relationship Id="rId785" Type="http://schemas.openxmlformats.org/officeDocument/2006/relationships/hyperlink" Target="https://www.youtube.com/watch?v=5GP15z6C5YY" TargetMode="External"/><Relationship Id="rId1374" Type="http://schemas.openxmlformats.org/officeDocument/2006/relationships/hyperlink" Target="https://youtu.be/tFgAtSSQHpQ" TargetMode="External"/><Relationship Id="rId784" Type="http://schemas.openxmlformats.org/officeDocument/2006/relationships/hyperlink" Target="https://youtu.be/PSR8d6nBOfQ" TargetMode="External"/><Relationship Id="rId1375" Type="http://schemas.openxmlformats.org/officeDocument/2006/relationships/hyperlink" Target="https://www.youtube.com/watch?v=k5V8na3uoBY"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www.youtube.com/watch?v=BJNJgSLnXTM" TargetMode="External"/><Relationship Id="rId782" Type="http://schemas.openxmlformats.org/officeDocument/2006/relationships/hyperlink" Target="https://youtu.be/RzlVqd8meSA" TargetMode="External"/><Relationship Id="rId1377" Type="http://schemas.openxmlformats.org/officeDocument/2006/relationships/hyperlink" Target="https://youtu.be/vRTP-4qZ-TE"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QrOv5szwRs&amp;feature=youtu.be&amp;ab_channel=SMSArchives" TargetMode="External"/><Relationship Id="rId1369" Type="http://schemas.openxmlformats.org/officeDocument/2006/relationships/hyperlink" Target="https://youtu.be/O8P9PpENARI"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JA2XOvmdhP8"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BEA7ZEwgay0" TargetMode="External"/><Relationship Id="rId779" Type="http://schemas.openxmlformats.org/officeDocument/2006/relationships/hyperlink" Target="https://youtu.be/lal_goibTZQ" TargetMode="External"/><Relationship Id="rId770" Type="http://schemas.openxmlformats.org/officeDocument/2006/relationships/hyperlink" Target="https://youtu.be/O40upq_B08g" TargetMode="External"/><Relationship Id="rId1360" Type="http://schemas.openxmlformats.org/officeDocument/2006/relationships/hyperlink" Target="https://youtu.be/fpEEA8nWq0Q" TargetMode="External"/><Relationship Id="rId1361" Type="http://schemas.openxmlformats.org/officeDocument/2006/relationships/hyperlink" Target="https://www.youtube.com/watch?v=BTK27xUh2So&amp;feature=youtu.be&amp;ab_channel=SMSArchives" TargetMode="External"/><Relationship Id="rId1362" Type="http://schemas.openxmlformats.org/officeDocument/2006/relationships/hyperlink" Target="https://youtu.be/phvKkRyVEV4" TargetMode="External"/><Relationship Id="rId774" Type="http://schemas.openxmlformats.org/officeDocument/2006/relationships/hyperlink" Target="https://youtu.be/2iLl9FPmb_M" TargetMode="External"/><Relationship Id="rId1363" Type="http://schemas.openxmlformats.org/officeDocument/2006/relationships/hyperlink" Target="https://www.youtube.com/watch?v=4YO7lfEtNd8" TargetMode="External"/><Relationship Id="rId773" Type="http://schemas.openxmlformats.org/officeDocument/2006/relationships/hyperlink" Target="https://clips.twitch.tv/DeterminedEndearingEggRlyTho-sgKJwt6uN0vG2CCK" TargetMode="External"/><Relationship Id="rId1364" Type="http://schemas.openxmlformats.org/officeDocument/2006/relationships/hyperlink" Target="https://youtu.be/Ay4FY71sJJo" TargetMode="External"/><Relationship Id="rId772" Type="http://schemas.openxmlformats.org/officeDocument/2006/relationships/hyperlink" Target="https://youtu.be/12uHMeHcCt0" TargetMode="External"/><Relationship Id="rId1365" Type="http://schemas.openxmlformats.org/officeDocument/2006/relationships/hyperlink" Target="https://www.twitch.tv/aether10n/clip/ScaryConsiderateFiddleheadsDxCat-f8GjA5Tm09xtdZUY" TargetMode="External"/><Relationship Id="rId771" Type="http://schemas.openxmlformats.org/officeDocument/2006/relationships/hyperlink" Target="https://www.youtube.com/watch?v=yacYtuskVso&amp;t=92" TargetMode="External"/><Relationship Id="rId1366" Type="http://schemas.openxmlformats.org/officeDocument/2006/relationships/hyperlink" Target="https://clips.twitch.tv/FurryThirstyGaurUncleNox-62xsKc6hM-iBI_O-" TargetMode="External"/><Relationship Id="rId1390" Type="http://schemas.openxmlformats.org/officeDocument/2006/relationships/hyperlink" Target="https://youtu.be/8WTflQ-UW8o" TargetMode="External"/><Relationship Id="rId1391" Type="http://schemas.openxmlformats.org/officeDocument/2006/relationships/hyperlink" Target="https://youtu.be/7487BVlZ3jQ" TargetMode="External"/><Relationship Id="rId1392" Type="http://schemas.openxmlformats.org/officeDocument/2006/relationships/hyperlink" Target="https://www.twitch.tv/videos/805711247" TargetMode="External"/><Relationship Id="rId1393" Type="http://schemas.openxmlformats.org/officeDocument/2006/relationships/hyperlink" Target="https://youtu.be/7487BVlZ3jQ"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youtu.be/Xy-2rHEx6Kk" TargetMode="External"/><Relationship Id="rId1397" Type="http://schemas.openxmlformats.org/officeDocument/2006/relationships/hyperlink" Target="https://youtu.be/UkJdOKDmTO4" TargetMode="External"/><Relationship Id="rId1398" Type="http://schemas.openxmlformats.org/officeDocument/2006/relationships/hyperlink" Target="https://youtu.be/Xy-2rHEx6Kk" TargetMode="External"/><Relationship Id="rId1399" Type="http://schemas.openxmlformats.org/officeDocument/2006/relationships/hyperlink" Target="https://youtu.be/MKyvngaKz-I" TargetMode="External"/><Relationship Id="rId1389" Type="http://schemas.openxmlformats.org/officeDocument/2006/relationships/hyperlink" Target="https://youtu.be/WpmrZiHdUmg"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www.youtube.com/watch?v=AbAClhLPIME"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youtu.be/Cke2f2h42Ro" TargetMode="External"/><Relationship Id="rId1382" Type="http://schemas.openxmlformats.org/officeDocument/2006/relationships/hyperlink" Target="https://youtu.be/4oISpHWupWc" TargetMode="External"/><Relationship Id="rId790" Type="http://schemas.openxmlformats.org/officeDocument/2006/relationships/hyperlink" Target="https://clips.twitch.tv/BelovedSpookyJackalKippa-_KkLbwjr3OzVjiF4"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www.youtube.com/watch?v=fcbTy4CZXv4" TargetMode="External"/><Relationship Id="rId796" Type="http://schemas.openxmlformats.org/officeDocument/2006/relationships/hyperlink" Target="https://youtu.be/C5p48IfRW8A" TargetMode="External"/><Relationship Id="rId1385" Type="http://schemas.openxmlformats.org/officeDocument/2006/relationships/hyperlink" Target="https://youtu.be/BnHhD0LrPMw"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BMSXJYuCAok"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4AA621TpKiM" TargetMode="External"/><Relationship Id="rId793" Type="http://schemas.openxmlformats.org/officeDocument/2006/relationships/hyperlink" Target="https://twitter.com/Qbe_Root/status/1397707786499276801" TargetMode="External"/><Relationship Id="rId1388" Type="http://schemas.openxmlformats.org/officeDocument/2006/relationships/hyperlink" Target="https://youtu.be/qQm2BH-evQ0" TargetMode="External"/><Relationship Id="rId1455" Type="http://schemas.openxmlformats.org/officeDocument/2006/relationships/hyperlink" Target="https://youtu.be/JOtL2pyq7MM" TargetMode="External"/><Relationship Id="rId1456" Type="http://schemas.openxmlformats.org/officeDocument/2006/relationships/hyperlink" Target="https://www.youtube.com/watch?v=OzWJBH1XaE8" TargetMode="External"/><Relationship Id="rId1457" Type="http://schemas.openxmlformats.org/officeDocument/2006/relationships/hyperlink" Target="https://youtu.be/kKX5vObntZM" TargetMode="External"/><Relationship Id="rId1458" Type="http://schemas.openxmlformats.org/officeDocument/2006/relationships/hyperlink" Target="https://www.youtube.com/watch?v=oZbSXPTi3Bs" TargetMode="External"/><Relationship Id="rId1459" Type="http://schemas.openxmlformats.org/officeDocument/2006/relationships/hyperlink" Target="https://youtu.be/T0A9oRMEdno"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kKX5vObntZM" TargetMode="External"/><Relationship Id="rId1453" Type="http://schemas.openxmlformats.org/officeDocument/2006/relationships/hyperlink" Target="https://youtu.be/0LjLuRGKBuU" TargetMode="External"/><Relationship Id="rId1454" Type="http://schemas.openxmlformats.org/officeDocument/2006/relationships/hyperlink" Target="https://youtu.be/9ZyY3FpK88M" TargetMode="External"/><Relationship Id="rId1444" Type="http://schemas.openxmlformats.org/officeDocument/2006/relationships/hyperlink" Target="https://www.youtube.com/watch?v=kQj1nHa8jcM&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youtu.be/UAaPTc80xqw?t=8"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www.youtube.com/watch?v=s4sYOmDATnE" TargetMode="External"/><Relationship Id="rId1478" Type="http://schemas.openxmlformats.org/officeDocument/2006/relationships/hyperlink" Target="https://www.youtube.com/watch?v=umdkqOKct6s" TargetMode="External"/><Relationship Id="rId1479" Type="http://schemas.openxmlformats.org/officeDocument/2006/relationships/hyperlink" Target="https://youtu.be/MjxV6lP4DeM"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RnHq15Mi-BA" TargetMode="External"/><Relationship Id="rId1471" Type="http://schemas.openxmlformats.org/officeDocument/2006/relationships/hyperlink" Target="https://youtu.be/Muxnsa6HyOg"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x.com/inkstarLum/status/1746791604630028327?s=20"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ohXH1vfTvII" TargetMode="External"/><Relationship Id="rId640" Type="http://schemas.openxmlformats.org/officeDocument/2006/relationships/hyperlink" Target="https://youtu.be/LN4qCj9UWyY" TargetMode="External"/><Relationship Id="rId1475" Type="http://schemas.openxmlformats.org/officeDocument/2006/relationships/hyperlink" Target="https://clips.twitch.tv/PlayfulBoredSalamanderWholeWheat" TargetMode="External"/><Relationship Id="rId1476" Type="http://schemas.openxmlformats.org/officeDocument/2006/relationships/hyperlink" Target="https://youtu.be/zVBF9xHkT10" TargetMode="External"/><Relationship Id="rId1466" Type="http://schemas.openxmlformats.org/officeDocument/2006/relationships/hyperlink" Target="https://www.youtube.com/watch?v=3cokSh5LaVs" TargetMode="External"/><Relationship Id="rId1467" Type="http://schemas.openxmlformats.org/officeDocument/2006/relationships/hyperlink" Target="https://www.youtube.com/watch?v=m-NJgNhWbUg" TargetMode="External"/><Relationship Id="rId1468" Type="http://schemas.openxmlformats.org/officeDocument/2006/relationships/hyperlink" Target="https://www.youtube.com/watch?v=FJcnBQ2EAE8" TargetMode="External"/><Relationship Id="rId1469" Type="http://schemas.openxmlformats.org/officeDocument/2006/relationships/hyperlink" Target="https://youtu.be/wcEM9uE522w"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Zt72DgCMRr4"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G2rw4aWcpxY" TargetMode="External"/><Relationship Id="rId630" Type="http://schemas.openxmlformats.org/officeDocument/2006/relationships/hyperlink" Target="https://youtu.be/WsC9mdp15iA" TargetMode="External"/><Relationship Id="rId1463" Type="http://schemas.openxmlformats.org/officeDocument/2006/relationships/hyperlink" Target="https://youtu.be/NH0ahwsf718" TargetMode="External"/><Relationship Id="rId1464" Type="http://schemas.openxmlformats.org/officeDocument/2006/relationships/hyperlink" Target="https://youtu.be/S2iLJ4lyzlA" TargetMode="External"/><Relationship Id="rId1465" Type="http://schemas.openxmlformats.org/officeDocument/2006/relationships/hyperlink" Target="https://youtu.be/G2rw4aWcpxY" TargetMode="External"/><Relationship Id="rId1411" Type="http://schemas.openxmlformats.org/officeDocument/2006/relationships/hyperlink" Target="https://youtu.be/-UCXhbcQfkQ" TargetMode="External"/><Relationship Id="rId1412" Type="http://schemas.openxmlformats.org/officeDocument/2006/relationships/hyperlink" Target="https://youtu.be/F_b2Hy-bsn8" TargetMode="External"/><Relationship Id="rId1413" Type="http://schemas.openxmlformats.org/officeDocument/2006/relationships/hyperlink" Target="https://youtu.be/3QYNV827jxk" TargetMode="External"/><Relationship Id="rId1414" Type="http://schemas.openxmlformats.org/officeDocument/2006/relationships/hyperlink" Target="https://youtu.be/j8LdFygZFfU" TargetMode="External"/><Relationship Id="rId1415" Type="http://schemas.openxmlformats.org/officeDocument/2006/relationships/hyperlink" Target="https://youtu.be/nO0zfCsMG4c" TargetMode="External"/><Relationship Id="rId1416" Type="http://schemas.openxmlformats.org/officeDocument/2006/relationships/hyperlink" Target="https://youtu.be/nO0zfCsMG4c" TargetMode="External"/><Relationship Id="rId1417" Type="http://schemas.openxmlformats.org/officeDocument/2006/relationships/hyperlink" Target="https://youtu.be/tbvTUyC2vMc" TargetMode="External"/><Relationship Id="rId1418" Type="http://schemas.openxmlformats.org/officeDocument/2006/relationships/hyperlink" Target="https://youtu.be/foVg2cBpyeA" TargetMode="External"/><Relationship Id="rId1419" Type="http://schemas.openxmlformats.org/officeDocument/2006/relationships/hyperlink" Target="https://youtu.be/zDa47CZ6kZE" TargetMode="External"/><Relationship Id="rId1410" Type="http://schemas.openxmlformats.org/officeDocument/2006/relationships/hyperlink" Target="https://www.youtube.com/watch?v=_x8uBJYB3rw" TargetMode="External"/><Relationship Id="rId1400" Type="http://schemas.openxmlformats.org/officeDocument/2006/relationships/hyperlink" Target="https://youtu.be/tAAvzoOfUk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rAB7TqLFJuw?si=TDTsZP6wLrlhUNzX" TargetMode="External"/><Relationship Id="rId1403" Type="http://schemas.openxmlformats.org/officeDocument/2006/relationships/hyperlink" Target="https://youtu.be/n5s23mXJ58o" TargetMode="External"/><Relationship Id="rId1404" Type="http://schemas.openxmlformats.org/officeDocument/2006/relationships/hyperlink" Target="https://youtu.be/lks9ErI0TtM" TargetMode="External"/><Relationship Id="rId1405" Type="http://schemas.openxmlformats.org/officeDocument/2006/relationships/hyperlink" Target="https://www.youtube.com/watch?v=Gtva9pJkYT8" TargetMode="External"/><Relationship Id="rId1406" Type="http://schemas.openxmlformats.org/officeDocument/2006/relationships/hyperlink" Target="https://www.youtube.com/watch?v=pSdduI28TV0" TargetMode="External"/><Relationship Id="rId1407" Type="http://schemas.openxmlformats.org/officeDocument/2006/relationships/hyperlink" Target="https://www.youtube.com/watch?v=3F2muoR_V9w" TargetMode="External"/><Relationship Id="rId1408" Type="http://schemas.openxmlformats.org/officeDocument/2006/relationships/hyperlink" Target="https://youtu.be/VbQuQcZvtbo" TargetMode="External"/><Relationship Id="rId1409" Type="http://schemas.openxmlformats.org/officeDocument/2006/relationships/hyperlink" Target="https://youtu.be/3QYNV827jxk"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WiA_s8jlj7A"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ONge9Un7EcM"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wUbxoT-_Ka4?si=ya6MiO3ekHO5i1aD"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youtu.be/eiCkNYWehy4"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4gmAUcAD6Y"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Kk8g_-PNVdk" TargetMode="External"/><Relationship Id="rId1425" Type="http://schemas.openxmlformats.org/officeDocument/2006/relationships/hyperlink" Target="https://youtu.be/foVg2cBpyeA" TargetMode="External"/><Relationship Id="rId1426" Type="http://schemas.openxmlformats.org/officeDocument/2006/relationships/hyperlink" Target="https://www.youtube.com/watch?v=9kxYuxGiQNM" TargetMode="External"/><Relationship Id="rId1427" Type="http://schemas.openxmlformats.org/officeDocument/2006/relationships/hyperlink" Target="https://youtu.be/6BHwPzwPmWQ" TargetMode="External"/><Relationship Id="rId1428" Type="http://schemas.openxmlformats.org/officeDocument/2006/relationships/hyperlink" Target="https://youtu.be/6BHwPzwPmWQ" TargetMode="External"/><Relationship Id="rId1429" Type="http://schemas.openxmlformats.org/officeDocument/2006/relationships/hyperlink" Target="https://youtu.be/iLGsEwZu7rM" TargetMode="External"/><Relationship Id="rId1420" Type="http://schemas.openxmlformats.org/officeDocument/2006/relationships/hyperlink" Target="https://youtu.be/8mtRTj2BYn0" TargetMode="External"/><Relationship Id="rId1421" Type="http://schemas.openxmlformats.org/officeDocument/2006/relationships/hyperlink" Target="https://youtu.be/qADFpn791V4" TargetMode="External"/><Relationship Id="rId699" Type="http://schemas.openxmlformats.org/officeDocument/2006/relationships/hyperlink" Target="https://youtu.be/cBK0qQ14qnY" TargetMode="External"/><Relationship Id="rId698" Type="http://schemas.openxmlformats.org/officeDocument/2006/relationships/hyperlink" Target="https://youtu.be/A_yQLnPvXXE"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OHyWgRVZf7I" TargetMode="External"/><Relationship Id="rId691" Type="http://schemas.openxmlformats.org/officeDocument/2006/relationships/hyperlink" Target="https://youtu.be/BrYWarX8tuI" TargetMode="External"/><Relationship Id="rId690" Type="http://schemas.openxmlformats.org/officeDocument/2006/relationships/hyperlink" Target="https://youtu.be/k33m68V_slY" TargetMode="External"/><Relationship Id="rId697" Type="http://schemas.openxmlformats.org/officeDocument/2006/relationships/hyperlink" Target="https://www.youtube.com/watch?v=Ysrd_D2YPF0" TargetMode="External"/><Relationship Id="rId696" Type="http://schemas.openxmlformats.org/officeDocument/2006/relationships/hyperlink" Target="https://youtu.be/y_-TwELbUww" TargetMode="External"/><Relationship Id="rId695" Type="http://schemas.openxmlformats.org/officeDocument/2006/relationships/hyperlink" Target="https://www.youtube.com/watch?v=oqAI1AnVGTw" TargetMode="External"/><Relationship Id="rId694" Type="http://schemas.openxmlformats.org/officeDocument/2006/relationships/hyperlink" Target="https://youtu.be/ow4dPH8yC9s" TargetMode="External"/><Relationship Id="rId1499" Type="http://schemas.openxmlformats.org/officeDocument/2006/relationships/hyperlink" Target="https://www.youtube.com/watch?v=vf0VNnfO3Ak"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xSTMLY2u_-Q&amp;feature=youtu.be" TargetMode="External"/><Relationship Id="rId665" Type="http://schemas.openxmlformats.org/officeDocument/2006/relationships/hyperlink" Target="https://youtu.be/FwuSAFWHkkw" TargetMode="External"/><Relationship Id="rId669" Type="http://schemas.openxmlformats.org/officeDocument/2006/relationships/hyperlink" Target="https://youtu.be/UNibrH7ZgHQ"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3e65Ym3gNJQ" TargetMode="External"/><Relationship Id="rId1492" Type="http://schemas.openxmlformats.org/officeDocument/2006/relationships/hyperlink" Target="https://youtu.be/3e65Ym3gNJQ" TargetMode="External"/><Relationship Id="rId1493" Type="http://schemas.openxmlformats.org/officeDocument/2006/relationships/hyperlink" Target="https://youtu.be/2w3KSdOuDX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WrongVenomousWebArgieB8-R1ntVzqX_RbcPyMz" TargetMode="External"/><Relationship Id="rId1495" Type="http://schemas.openxmlformats.org/officeDocument/2006/relationships/hyperlink" Target="https://youtu.be/7LclDQkIkYU" TargetMode="External"/><Relationship Id="rId663" Type="http://schemas.openxmlformats.org/officeDocument/2006/relationships/hyperlink" Target="https://clips.twitch.tv/SparklingGracefulGoblinPartyTime-7n1EsEuLDgbrzEkD" TargetMode="External"/><Relationship Id="rId1496" Type="http://schemas.openxmlformats.org/officeDocument/2006/relationships/hyperlink" Target="https://youtu.be/VlGSJ7oj0LY"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zM-W6S4Pv9g"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J4BzX00buXY" TargetMode="External"/><Relationship Id="rId1489" Type="http://schemas.openxmlformats.org/officeDocument/2006/relationships/hyperlink" Target="https://youtu.be/mtPLaPYM5bE"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C1hWokBPYPE" TargetMode="External"/><Relationship Id="rId1482" Type="http://schemas.openxmlformats.org/officeDocument/2006/relationships/hyperlink" Target="https://youtu.be/RBbHHzCiO54"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www.youtube.com/watch?v=z9Cply6-a14" TargetMode="External"/><Relationship Id="rId652" Type="http://schemas.openxmlformats.org/officeDocument/2006/relationships/hyperlink" Target="https://youtu.be/ejR-jSUrN78" TargetMode="External"/><Relationship Id="rId1485" Type="http://schemas.openxmlformats.org/officeDocument/2006/relationships/hyperlink" Target="https://youtu.be/zwUKiy2wr3A"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J4BzX00buXY" TargetMode="External"/><Relationship Id="rId689" Type="http://schemas.openxmlformats.org/officeDocument/2006/relationships/hyperlink" Target="https://clips.twitch.tv/ExquisiteCourteousFlyUnSane"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youtu.be/YKbzldVDfBY" TargetMode="External"/><Relationship Id="rId682" Type="http://schemas.openxmlformats.org/officeDocument/2006/relationships/hyperlink" Target="https://youtu.be/Rh3IMEE-cI8" TargetMode="External"/><Relationship Id="rId681" Type="http://schemas.openxmlformats.org/officeDocument/2006/relationships/hyperlink" Target="https://www.youtube.com/watch?v=-HXrRIdElHs" TargetMode="External"/><Relationship Id="rId680" Type="http://schemas.openxmlformats.org/officeDocument/2006/relationships/hyperlink" Target="https://www.youtube.com/watch?v=0xab_hR2IwQ"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www.youtube.com/watch?v=-HXrRIdElHs" TargetMode="External"/><Relationship Id="rId684" Type="http://schemas.openxmlformats.org/officeDocument/2006/relationships/hyperlink" Target="https://youtu.be/7ufGKXIomdw" TargetMode="External"/><Relationship Id="rId683" Type="http://schemas.openxmlformats.org/officeDocument/2006/relationships/hyperlink" Target="https://clips.twitch.tv/ArtsyOddSowKlappa-Q5bwhL96fj9B2j_I" TargetMode="External"/><Relationship Id="rId679" Type="http://schemas.openxmlformats.org/officeDocument/2006/relationships/hyperlink" Target="https://youtu.be/vbzDX09kUEo" TargetMode="External"/><Relationship Id="rId678" Type="http://schemas.openxmlformats.org/officeDocument/2006/relationships/hyperlink" Target="https://youtu.be/gEY-LOqHxXg" TargetMode="External"/><Relationship Id="rId677" Type="http://schemas.openxmlformats.org/officeDocument/2006/relationships/hyperlink" Target="https://youtu.be/6vU227TStFg" TargetMode="External"/><Relationship Id="rId676" Type="http://schemas.openxmlformats.org/officeDocument/2006/relationships/hyperlink" Target="https://youtu.be/Tb1UuARxtkA" TargetMode="External"/><Relationship Id="rId671" Type="http://schemas.openxmlformats.org/officeDocument/2006/relationships/hyperlink" Target="https://youtu.be/UNibrH7ZgHQ" TargetMode="External"/><Relationship Id="rId670" Type="http://schemas.openxmlformats.org/officeDocument/2006/relationships/hyperlink" Target="https://youtu.be/8uRf1H32Zmc" TargetMode="External"/><Relationship Id="rId675" Type="http://schemas.openxmlformats.org/officeDocument/2006/relationships/hyperlink" Target="https://youtu.be/En4P9k1DYGM" TargetMode="External"/><Relationship Id="rId674" Type="http://schemas.openxmlformats.org/officeDocument/2006/relationships/hyperlink" Target="https://youtu.be/NGaRQQz-bvE" TargetMode="External"/><Relationship Id="rId673" Type="http://schemas.openxmlformats.org/officeDocument/2006/relationships/hyperlink" Target="https://www.twitch.tv/videos/1001046282" TargetMode="External"/><Relationship Id="rId672" Type="http://schemas.openxmlformats.org/officeDocument/2006/relationships/hyperlink" Target="https://youtu.be/VM8_lqlADB0"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MoistSuperDonkeyPhilosoraptor-jrGYmeVt_OOP23B-" TargetMode="External"/><Relationship Id="rId1511" Type="http://schemas.openxmlformats.org/officeDocument/2006/relationships/hyperlink" Target="https://youtu.be/kHU3tgqVirw" TargetMode="External"/><Relationship Id="rId1512" Type="http://schemas.openxmlformats.org/officeDocument/2006/relationships/hyperlink" Target="https://youtu.be/kHU3tgqVirw" TargetMode="External"/><Relationship Id="rId1513" Type="http://schemas.openxmlformats.org/officeDocument/2006/relationships/hyperlink" Target="https://www.twitch.tv/warspyking/clip/FuriousTallMouseWoofer--MIhtu8T8HnCKxHM" TargetMode="External"/><Relationship Id="rId1514" Type="http://schemas.openxmlformats.org/officeDocument/2006/relationships/hyperlink" Target="https://youtu.be/KWNTLN9BQZ8" TargetMode="External"/><Relationship Id="rId1515" Type="http://schemas.openxmlformats.org/officeDocument/2006/relationships/hyperlink" Target="https://youtu.be/vBxvh2XXMoQ" TargetMode="External"/><Relationship Id="rId1516" Type="http://schemas.openxmlformats.org/officeDocument/2006/relationships/hyperlink" Target="https://www.youtube.com/watch?v=b5XLa5pW6mk"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youtu.be/uI-xscpEras" TargetMode="External"/><Relationship Id="rId1500" Type="http://schemas.openxmlformats.org/officeDocument/2006/relationships/hyperlink" Target="https://youtu.be/rNp-Y-kiYlw" TargetMode="External"/><Relationship Id="rId1501" Type="http://schemas.openxmlformats.org/officeDocument/2006/relationships/hyperlink" Target="https://clips.twitch.tv/JollySilkyAniseTBTacoLeft-J6HX7xY5l-8m9d60" TargetMode="External"/><Relationship Id="rId1502" Type="http://schemas.openxmlformats.org/officeDocument/2006/relationships/hyperlink" Target="https://www.youtube.com/watch?v=bygDghuzAGQ" TargetMode="External"/><Relationship Id="rId1503" Type="http://schemas.openxmlformats.org/officeDocument/2006/relationships/hyperlink" Target="https://www.youtube.com/watch?v=iSi_quRJz2g&amp;ab_channel=SMSArchives"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u-5A_eTZPA0"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r3QCIKx-vOk" TargetMode="External"/><Relationship Id="rId1509" Type="http://schemas.openxmlformats.org/officeDocument/2006/relationships/hyperlink" Target="https://www.youtube.com/watch?v=glGhyszoz8s" TargetMode="External"/><Relationship Id="rId987" Type="http://schemas.openxmlformats.org/officeDocument/2006/relationships/hyperlink" Target="https://www.youtube.com/watch?v=iwKvAUOwQRk" TargetMode="External"/><Relationship Id="rId986" Type="http://schemas.openxmlformats.org/officeDocument/2006/relationships/hyperlink" Target="https://twitter.com/Qbe_Root/status/1404248275818061826" TargetMode="External"/><Relationship Id="rId985" Type="http://schemas.openxmlformats.org/officeDocument/2006/relationships/hyperlink" Target="https://youtu.be/hKfJ2tYwrhw" TargetMode="External"/><Relationship Id="rId984" Type="http://schemas.openxmlformats.org/officeDocument/2006/relationships/hyperlink" Target="https://youtu.be/KOYyQ7fWnCc" TargetMode="External"/><Relationship Id="rId989" Type="http://schemas.openxmlformats.org/officeDocument/2006/relationships/hyperlink" Target="https://clips.twitch.tv/VastDirtyNuggetsChocolateRain-ZLxE4oGsUNm4b5MN" TargetMode="External"/><Relationship Id="rId988" Type="http://schemas.openxmlformats.org/officeDocument/2006/relationships/hyperlink" Target="https://youtu.be/oxzyRCiJT4U" TargetMode="External"/><Relationship Id="rId983" Type="http://schemas.openxmlformats.org/officeDocument/2006/relationships/hyperlink" Target="https://www.youtube.com/watch?v=s8L_TFur0KM&amp;feature=youtu.be&amp;ab_channel=SMSArchives" TargetMode="External"/><Relationship Id="rId982" Type="http://schemas.openxmlformats.org/officeDocument/2006/relationships/hyperlink" Target="https://youtu.be/KOYyQ7fWnCc" TargetMode="External"/><Relationship Id="rId981" Type="http://schemas.openxmlformats.org/officeDocument/2006/relationships/hyperlink" Target="https://youtu.be/rqsZQs7Rkes" TargetMode="External"/><Relationship Id="rId980" Type="http://schemas.openxmlformats.org/officeDocument/2006/relationships/hyperlink" Target="https://youtu.be/PU6YBKzjE_k" TargetMode="External"/><Relationship Id="rId976" Type="http://schemas.openxmlformats.org/officeDocument/2006/relationships/hyperlink" Target="https://youtu.be/LeYXoTjngGk" TargetMode="External"/><Relationship Id="rId975" Type="http://schemas.openxmlformats.org/officeDocument/2006/relationships/hyperlink" Target="https://youtu.be/twQiyzzweO0" TargetMode="External"/><Relationship Id="rId974" Type="http://schemas.openxmlformats.org/officeDocument/2006/relationships/hyperlink" Target="https://youtu.be/UC_4dhW19Zo?t=17" TargetMode="External"/><Relationship Id="rId973" Type="http://schemas.openxmlformats.org/officeDocument/2006/relationships/hyperlink" Target="https://youtu.be/UC_4dhW19Zo?t=17" TargetMode="External"/><Relationship Id="rId979" Type="http://schemas.openxmlformats.org/officeDocument/2006/relationships/hyperlink" Target="https://www.youtube.com/watch?v=5MyAV76XpjE&amp;feature=youtu.be&amp;ab_channel=SMSArchives" TargetMode="External"/><Relationship Id="rId978" Type="http://schemas.openxmlformats.org/officeDocument/2006/relationships/hyperlink" Target="https://youtu.be/qNKf5o4ujCw&amp;t=2154" TargetMode="External"/><Relationship Id="rId977" Type="http://schemas.openxmlformats.org/officeDocument/2006/relationships/hyperlink" Target="https://youtu.be/5MyAV76XpjE" TargetMode="External"/><Relationship Id="rId1560" Type="http://schemas.openxmlformats.org/officeDocument/2006/relationships/table" Target="../tables/table21.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22.xml"/><Relationship Id="rId971" Type="http://schemas.openxmlformats.org/officeDocument/2006/relationships/hyperlink" Target="https://youtu.be/ZuAxFGqWwxw" TargetMode="External"/><Relationship Id="rId1562" Type="http://schemas.openxmlformats.org/officeDocument/2006/relationships/table" Target="../tables/table23.xml"/><Relationship Id="rId970" Type="http://schemas.openxmlformats.org/officeDocument/2006/relationships/hyperlink" Target="https://youtu.be/6OZ9Tus20Ug" TargetMode="External"/><Relationship Id="rId998" Type="http://schemas.openxmlformats.org/officeDocument/2006/relationships/hyperlink" Target="https://youtu.be/G-3wIeZGwFY" TargetMode="External"/><Relationship Id="rId997" Type="http://schemas.openxmlformats.org/officeDocument/2006/relationships/hyperlink" Target="https://youtu.be/_U38RXAaHgY" TargetMode="External"/><Relationship Id="rId996" Type="http://schemas.openxmlformats.org/officeDocument/2006/relationships/hyperlink" Target="https://twitter.com/Qbe_Root/status/1242199278610788353" TargetMode="External"/><Relationship Id="rId995" Type="http://schemas.openxmlformats.org/officeDocument/2006/relationships/hyperlink" Target="https://www.youtube.com/watch?v=vwsNeVrYny8" TargetMode="External"/><Relationship Id="rId999" Type="http://schemas.openxmlformats.org/officeDocument/2006/relationships/hyperlink" Target="https://youtu.be/dGOJ4BXi2j4" TargetMode="External"/><Relationship Id="rId990" Type="http://schemas.openxmlformats.org/officeDocument/2006/relationships/hyperlink" Target="https://youtu.be/TO-ktEzmvf4" TargetMode="External"/><Relationship Id="rId994" Type="http://schemas.openxmlformats.org/officeDocument/2006/relationships/hyperlink" Target="https://youtu.be/VW9PaRDbOTk" TargetMode="External"/><Relationship Id="rId993" Type="http://schemas.openxmlformats.org/officeDocument/2006/relationships/hyperlink" Target="https://youtu.be/DqT1pQ2LpeI" TargetMode="External"/><Relationship Id="rId992" Type="http://schemas.openxmlformats.org/officeDocument/2006/relationships/hyperlink" Target="https://youtu.be/B420px-FJoY" TargetMode="External"/><Relationship Id="rId991" Type="http://schemas.openxmlformats.org/officeDocument/2006/relationships/hyperlink" Target="https://youtu.be/p9cibphshqo"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LwzmBPAiIMk"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vLYGP3AR_5M" TargetMode="External"/><Relationship Id="rId1538" Type="http://schemas.openxmlformats.org/officeDocument/2006/relationships/hyperlink" Target="https://www.youtube.com/watch?v=cIP9ywhJs_M" TargetMode="External"/><Relationship Id="rId1539" Type="http://schemas.openxmlformats.org/officeDocument/2006/relationships/hyperlink" Target="https://youtu.be/3J55s_mLgKM" TargetMode="External"/><Relationship Id="rId949" Type="http://schemas.openxmlformats.org/officeDocument/2006/relationships/hyperlink" Target="https://www.twitch.tv/aether10n/clip/TenderCrowdedSpindleTooSpicy-MXhyz4TkHK0K5E8j" TargetMode="External"/><Relationship Id="rId948" Type="http://schemas.openxmlformats.org/officeDocument/2006/relationships/hyperlink" Target="https://youtu.be/KfOcx0LBP6E" TargetMode="External"/><Relationship Id="rId943" Type="http://schemas.openxmlformats.org/officeDocument/2006/relationships/hyperlink" Target="https://www.youtube.com/watch?v=jUZqyIEcO0I" TargetMode="External"/><Relationship Id="rId942" Type="http://schemas.openxmlformats.org/officeDocument/2006/relationships/hyperlink" Target="https://youtu.be/e4WB_48pwMw" TargetMode="External"/><Relationship Id="rId941" Type="http://schemas.openxmlformats.org/officeDocument/2006/relationships/hyperlink" Target="https://www.youtube.com/watch?v=QOQaL1VwzRA"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Rm2vpxvRIZ8" TargetMode="External"/><Relationship Id="rId946" Type="http://schemas.openxmlformats.org/officeDocument/2006/relationships/hyperlink" Target="https://youtu.be/Fmm9XbXbi7Y?t=8" TargetMode="External"/><Relationship Id="rId945" Type="http://schemas.openxmlformats.org/officeDocument/2006/relationships/hyperlink" Target="https://youtu.be/YC80n-RLn3s" TargetMode="External"/><Relationship Id="rId944" Type="http://schemas.openxmlformats.org/officeDocument/2006/relationships/hyperlink" Target="https://youtu.be/RNntRlUJgdU"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youtu.be/bUDUMMtDllA" TargetMode="External"/><Relationship Id="rId1521" Type="http://schemas.openxmlformats.org/officeDocument/2006/relationships/hyperlink" Target="https://clips.twitch.tv/OriginalFrailHerdPMSTwin-KS-qRbfk1pmFP48Q"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clips.twitch.tv/GlamorousLovelyDadBigBrother-RCxKPG5AZigTfqbl" TargetMode="External"/><Relationship Id="rId938" Type="http://schemas.openxmlformats.org/officeDocument/2006/relationships/hyperlink" Target="https://www.youtube.com/watch?v=6y2SP-DSf5Q" TargetMode="External"/><Relationship Id="rId937" Type="http://schemas.openxmlformats.org/officeDocument/2006/relationships/hyperlink" Target="https://youtu.be/IzvKi65Ag5g" TargetMode="External"/><Relationship Id="rId932" Type="http://schemas.openxmlformats.org/officeDocument/2006/relationships/hyperlink" Target="https://youtu.be/mAUm7J2ETQE" TargetMode="External"/><Relationship Id="rId931" Type="http://schemas.openxmlformats.org/officeDocument/2006/relationships/hyperlink" Target="https://youtu.be/mAUm7J2ETQE"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youtu.be/ecKz1OkF8sU"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www.youtube.com/watch?v=TQawjRliIAg" TargetMode="External"/><Relationship Id="rId933" Type="http://schemas.openxmlformats.org/officeDocument/2006/relationships/hyperlink" Target="https://youtu.be/3nrQUBAa2uU" TargetMode="External"/><Relationship Id="rId1520" Type="http://schemas.openxmlformats.org/officeDocument/2006/relationships/hyperlink" Target="https://youtu.be/7765pkYAkJg" TargetMode="External"/><Relationship Id="rId1554" Type="http://schemas.openxmlformats.org/officeDocument/2006/relationships/table" Target="../tables/table15.xml"/><Relationship Id="rId1555" Type="http://schemas.openxmlformats.org/officeDocument/2006/relationships/table" Target="../tables/table16.xml"/><Relationship Id="rId1556" Type="http://schemas.openxmlformats.org/officeDocument/2006/relationships/table" Target="../tables/table17.xml"/><Relationship Id="rId1557" Type="http://schemas.openxmlformats.org/officeDocument/2006/relationships/table" Target="../tables/table18.xml"/><Relationship Id="rId1558" Type="http://schemas.openxmlformats.org/officeDocument/2006/relationships/table" Target="../tables/table19.xml"/><Relationship Id="rId1559" Type="http://schemas.openxmlformats.org/officeDocument/2006/relationships/table" Target="../tables/table20.xml"/><Relationship Id="rId965" Type="http://schemas.openxmlformats.org/officeDocument/2006/relationships/hyperlink" Target="https://www.youtube.com/watch?v=a46h4NnnmFE" TargetMode="External"/><Relationship Id="rId964" Type="http://schemas.openxmlformats.org/officeDocument/2006/relationships/hyperlink" Target="https://youtu.be/fSXdWR563nk" TargetMode="External"/><Relationship Id="rId963" Type="http://schemas.openxmlformats.org/officeDocument/2006/relationships/hyperlink" Target="https://youtu.be/VEf959-p1qM" TargetMode="External"/><Relationship Id="rId962" Type="http://schemas.openxmlformats.org/officeDocument/2006/relationships/hyperlink" Target="https://youtu.be/pLeVLw7ZCi4" TargetMode="External"/><Relationship Id="rId969" Type="http://schemas.openxmlformats.org/officeDocument/2006/relationships/hyperlink" Target="https://youtu.be/eh_--IjQfIM" TargetMode="External"/><Relationship Id="rId968" Type="http://schemas.openxmlformats.org/officeDocument/2006/relationships/hyperlink" Target="https://youtu.be/UC_4dhW19Zo"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youtu.be/fd7WpviGvAE" TargetMode="External"/><Relationship Id="rId1553" Type="http://schemas.openxmlformats.org/officeDocument/2006/relationships/table" Target="../tables/table14.xml"/><Relationship Id="rId959" Type="http://schemas.openxmlformats.org/officeDocument/2006/relationships/hyperlink" Target="https://youtu.be/kqGNTr0zSXU" TargetMode="External"/><Relationship Id="rId954" Type="http://schemas.openxmlformats.org/officeDocument/2006/relationships/hyperlink" Target="https://www.youtube.com/watch?v=QoOYXS2lpB4" TargetMode="External"/><Relationship Id="rId953" Type="http://schemas.openxmlformats.org/officeDocument/2006/relationships/hyperlink" Target="https://youtu.be/XouAjCLePjc" TargetMode="External"/><Relationship Id="rId952" Type="http://schemas.openxmlformats.org/officeDocument/2006/relationships/hyperlink" Target="https://youtu.be/XpNHHc2UYro" TargetMode="External"/><Relationship Id="rId951" Type="http://schemas.openxmlformats.org/officeDocument/2006/relationships/hyperlink" Target="https://youtu.be/XpNHHc2UYro" TargetMode="External"/><Relationship Id="rId958" Type="http://schemas.openxmlformats.org/officeDocument/2006/relationships/hyperlink" Target="https://youtu.be/iS_g58YJeeM" TargetMode="External"/><Relationship Id="rId957" Type="http://schemas.openxmlformats.org/officeDocument/2006/relationships/hyperlink" Target="https://youtu.be/pp0KPykSZDA" TargetMode="External"/><Relationship Id="rId956" Type="http://schemas.openxmlformats.org/officeDocument/2006/relationships/hyperlink" Target="https://youtu.be/xljwjDCRCWE" TargetMode="External"/><Relationship Id="rId955" Type="http://schemas.openxmlformats.org/officeDocument/2006/relationships/hyperlink" Target="https://clips.twitch.tv/HumbleArborealSkunkImGlitch-6sreVUGb13ce_XAt" TargetMode="External"/><Relationship Id="rId950" Type="http://schemas.openxmlformats.org/officeDocument/2006/relationships/hyperlink" Target="https://youtu.be/6IWpCSzymnA" TargetMode="External"/><Relationship Id="rId1540" Type="http://schemas.openxmlformats.org/officeDocument/2006/relationships/hyperlink" Target="https://youtu.be/3J55s_mLgKM" TargetMode="External"/><Relationship Id="rId1541" Type="http://schemas.openxmlformats.org/officeDocument/2006/relationships/drawing" Target="../drawings/drawing4.xml"/><Relationship Id="rId1542"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UGyuhE5wz4s" TargetMode="External"/><Relationship Id="rId906" Type="http://schemas.openxmlformats.org/officeDocument/2006/relationships/hyperlink" Target="https://youtu.be/wfiuMImDFXU" TargetMode="External"/><Relationship Id="rId905" Type="http://schemas.openxmlformats.org/officeDocument/2006/relationships/hyperlink" Target="https://youtu.be/Ee1Aib7esKk" TargetMode="External"/><Relationship Id="rId904" Type="http://schemas.openxmlformats.org/officeDocument/2006/relationships/hyperlink" Target="https://clips.twitch.tv/ProtectiveColorfulWebTTours-3LEDJsbJ-gLcIaxD" TargetMode="External"/><Relationship Id="rId909" Type="http://schemas.openxmlformats.org/officeDocument/2006/relationships/hyperlink" Target="https://youtu.be/8m7lmwTbuQw" TargetMode="External"/><Relationship Id="rId908" Type="http://schemas.openxmlformats.org/officeDocument/2006/relationships/hyperlink" Target="https://youtu.be/V240YyJFaEI" TargetMode="External"/><Relationship Id="rId903" Type="http://schemas.openxmlformats.org/officeDocument/2006/relationships/hyperlink" Target="https://clips.twitch.tv/WealthyNiceSalamanderOpieOP" TargetMode="External"/><Relationship Id="rId902" Type="http://schemas.openxmlformats.org/officeDocument/2006/relationships/hyperlink" Target="https://youtu.be/PoXy5LvAYjE" TargetMode="External"/><Relationship Id="rId901" Type="http://schemas.openxmlformats.org/officeDocument/2006/relationships/hyperlink" Target="https://youtu.be/adTpGTFXkN4" TargetMode="External"/><Relationship Id="rId900" Type="http://schemas.openxmlformats.org/officeDocument/2006/relationships/hyperlink" Target="https://youtu.be/2sfFBuyhVzo"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clips.twitch.tv/UgliestResilientLampBIRB-qySPQsjLil7DSM4h" TargetMode="External"/><Relationship Id="rId927" Type="http://schemas.openxmlformats.org/officeDocument/2006/relationships/hyperlink" Target="https://youtu.be/LH1QFjM2AZ4" TargetMode="External"/><Relationship Id="rId926" Type="http://schemas.openxmlformats.org/officeDocument/2006/relationships/hyperlink" Target="https://youtu.be/aj2X7eIdy4o" TargetMode="External"/><Relationship Id="rId921" Type="http://schemas.openxmlformats.org/officeDocument/2006/relationships/hyperlink" Target="https://youtu.be/U1s7iyFeDYw" TargetMode="External"/><Relationship Id="rId920" Type="http://schemas.openxmlformats.org/officeDocument/2006/relationships/hyperlink" Target="https://youtu.be/bexrgluZ0ic" TargetMode="External"/><Relationship Id="rId925" Type="http://schemas.openxmlformats.org/officeDocument/2006/relationships/hyperlink" Target="https://youtu.be/FUOJ9T_mei0" TargetMode="External"/><Relationship Id="rId924" Type="http://schemas.openxmlformats.org/officeDocument/2006/relationships/hyperlink" Target="https://youtu.be/b8zw6bYdtBM" TargetMode="External"/><Relationship Id="rId923" Type="http://schemas.openxmlformats.org/officeDocument/2006/relationships/hyperlink" Target="https://youtu.be/luFsHTw66HQ?t=6" TargetMode="External"/><Relationship Id="rId922" Type="http://schemas.openxmlformats.org/officeDocument/2006/relationships/hyperlink" Target="https://www.youtube.com/watch?v=nD6fxOMLxLA&amp;ab_channel=BlazeAlt" TargetMode="External"/><Relationship Id="rId918" Type="http://schemas.openxmlformats.org/officeDocument/2006/relationships/hyperlink" Target="https://youtu.be/s3KIbAx9-jI" TargetMode="External"/><Relationship Id="rId917" Type="http://schemas.openxmlformats.org/officeDocument/2006/relationships/hyperlink" Target="https://youtu.be/blF2ZjQva2g?t=5" TargetMode="External"/><Relationship Id="rId916" Type="http://schemas.openxmlformats.org/officeDocument/2006/relationships/hyperlink" Target="https://youtu.be/0ZLzPKq1T3g" TargetMode="External"/><Relationship Id="rId915" Type="http://schemas.openxmlformats.org/officeDocument/2006/relationships/hyperlink" Target="https://clips.twitch.tv/ImportantOilyNightingalePupper" TargetMode="External"/><Relationship Id="rId919" Type="http://schemas.openxmlformats.org/officeDocument/2006/relationships/hyperlink" Target="https://youtu.be/U1s7iyFeDYw" TargetMode="External"/><Relationship Id="rId910" Type="http://schemas.openxmlformats.org/officeDocument/2006/relationships/hyperlink" Target="https://clips.twitch.tv/ExpensiveColdDurianHeyGuys--6sIzzZ4T4U5AePj" TargetMode="External"/><Relationship Id="rId914" Type="http://schemas.openxmlformats.org/officeDocument/2006/relationships/hyperlink" Target="https://youtu.be/_HULD2HMJ-o" TargetMode="External"/><Relationship Id="rId913" Type="http://schemas.openxmlformats.org/officeDocument/2006/relationships/hyperlink" Target="https://youtu.be/Ee1Aib7esKk" TargetMode="External"/><Relationship Id="rId912" Type="http://schemas.openxmlformats.org/officeDocument/2006/relationships/hyperlink" Target="https://youtu.be/1SWv-HdCZwI" TargetMode="External"/><Relationship Id="rId911" Type="http://schemas.openxmlformats.org/officeDocument/2006/relationships/hyperlink" Target="https://youtu.be/-mHdWlySoq4"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clips.twitch.tv/AverageInexpensivePlumberTwitchRPG-KqG7b_u4MkB4IKiJ" TargetMode="External"/><Relationship Id="rId870" Type="http://schemas.openxmlformats.org/officeDocument/2006/relationships/hyperlink" Target="https://youtu.be/yLJr0yYVVxI"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youtube.com/watch?v=OBKF_vxU_Cw" TargetMode="External"/><Relationship Id="rId898" Type="http://schemas.openxmlformats.org/officeDocument/2006/relationships/hyperlink" Target="https://twitter.com/Qbe_Root/status/1246830752987308033"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37</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7507</v>
      </c>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24"/>
      <c r="W11" s="1032"/>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7528</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29"/>
      <c r="W16" s="1044" t="s">
        <v>7537</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4"/>
      <c r="W17" s="1026"/>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29"/>
      <c r="W18" s="1044" t="s">
        <v>7549</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29" t="s">
        <v>7555</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9"/>
      <c r="W21" s="1053" t="s">
        <v>7559</v>
      </c>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59"/>
      <c r="W22" s="1026"/>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59"/>
      <c r="W23" s="1026"/>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29"/>
      <c r="W24" s="1032"/>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65" t="s">
        <v>7574</v>
      </c>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65"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29" t="s">
        <v>2784</v>
      </c>
      <c r="W55" s="1089" t="s">
        <v>7634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7658</v>
      </c>
      <c r="W72" s="1065" t="s">
        <v>7659</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7660</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7661</v>
      </c>
      <c r="C74" s="1074" t="s">
        <v>662</v>
      </c>
      <c r="D74" s="1029" t="s">
        <v>1271</v>
      </c>
      <c r="E74" s="1072" t="s">
        <v>909</v>
      </c>
      <c r="F74" s="1103" t="s">
        <v>1891</v>
      </c>
      <c r="G74" s="1022" t="s">
        <v>1271</v>
      </c>
      <c r="H74" s="1072" t="s">
        <v>1208</v>
      </c>
      <c r="I74" s="1072" t="s">
        <v>1428</v>
      </c>
      <c r="J74" s="1072" t="s">
        <v>4375</v>
      </c>
      <c r="K74" s="1072" t="s">
        <v>3106</v>
      </c>
      <c r="L74" s="1072" t="s">
        <v>7662</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7663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7664</v>
      </c>
      <c r="B75" s="1088" t="s">
        <v>7665</v>
      </c>
      <c r="C75" s="1074" t="s">
        <v>2200</v>
      </c>
      <c r="D75" s="1029"/>
      <c r="E75" s="1029" t="s">
        <v>2200</v>
      </c>
      <c r="F75" s="1094"/>
      <c r="G75" s="1022" t="s">
        <v>6610</v>
      </c>
      <c r="H75" s="1029"/>
      <c r="I75" s="1029" t="s">
        <v>7666</v>
      </c>
      <c r="J75" s="1029"/>
      <c r="K75" s="1029" t="s">
        <v>4228</v>
      </c>
      <c r="L75" s="1029"/>
      <c r="M75" s="1029"/>
      <c r="N75" s="1029" t="s">
        <v>7667</v>
      </c>
      <c r="O75" s="1029"/>
      <c r="P75" s="1025"/>
      <c r="Q75" s="1029"/>
      <c r="R75" s="1029"/>
      <c r="S75" s="1029"/>
      <c r="T75" s="1029"/>
      <c r="U75" s="1029"/>
      <c r="V75" s="1029"/>
      <c r="W75" s="1089" t="s">
        <v>7668</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7669</v>
      </c>
      <c r="C76" s="1074" t="s">
        <v>353</v>
      </c>
      <c r="D76" s="1029" t="s">
        <v>1476</v>
      </c>
      <c r="E76" s="1029" t="s">
        <v>353</v>
      </c>
      <c r="F76" s="1035" t="s">
        <v>359</v>
      </c>
      <c r="G76" s="1022" t="s">
        <v>1272</v>
      </c>
      <c r="H76" s="1029" t="s">
        <v>1537</v>
      </c>
      <c r="I76" s="1029" t="s">
        <v>1429</v>
      </c>
      <c r="J76" s="1029" t="s">
        <v>4992</v>
      </c>
      <c r="K76" s="1029" t="s">
        <v>7670</v>
      </c>
      <c r="L76" s="1029" t="s">
        <v>910</v>
      </c>
      <c r="M76" s="1029" t="s">
        <v>754</v>
      </c>
      <c r="N76" s="1029" t="s">
        <v>1358</v>
      </c>
      <c r="O76" s="1029" t="s">
        <v>2324</v>
      </c>
      <c r="P76" s="1025" t="s">
        <v>3878</v>
      </c>
      <c r="Q76" s="1029" t="s">
        <v>7671</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7672</v>
      </c>
      <c r="C77" s="1038" t="s">
        <v>7673</v>
      </c>
      <c r="D77" s="1029"/>
      <c r="E77" s="1029"/>
      <c r="F77" s="1094"/>
      <c r="G77" s="1040"/>
      <c r="H77" s="1029"/>
      <c r="I77" s="1029"/>
      <c r="J77" s="1029"/>
      <c r="K77" s="1029"/>
      <c r="L77" s="1029"/>
      <c r="M77" s="1029"/>
      <c r="N77" s="1029"/>
      <c r="O77" s="1029"/>
      <c r="P77" s="1025"/>
      <c r="Q77" s="1029"/>
      <c r="R77" s="1029"/>
      <c r="S77" s="1029"/>
      <c r="T77" s="1029"/>
      <c r="U77" s="1024"/>
      <c r="V77" s="1029"/>
      <c r="W77" s="1065"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7674</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7675</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7665</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65"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7677</v>
      </c>
      <c r="C81" s="1074" t="s">
        <v>2741</v>
      </c>
      <c r="D81" s="1029" t="s">
        <v>2535</v>
      </c>
      <c r="E81" s="1029" t="s">
        <v>2402</v>
      </c>
      <c r="F81" s="1049" t="s">
        <v>7678</v>
      </c>
      <c r="G81" s="1022" t="s">
        <v>7679</v>
      </c>
      <c r="H81" s="1029"/>
      <c r="I81" s="1029"/>
      <c r="J81" s="1029"/>
      <c r="K81" s="1029"/>
      <c r="L81" s="1029"/>
      <c r="M81" s="1029" t="s">
        <v>7680</v>
      </c>
      <c r="N81" s="1029"/>
      <c r="O81" s="1029"/>
      <c r="P81" s="1025" t="s">
        <v>7681</v>
      </c>
      <c r="Q81" s="1029"/>
      <c r="R81" s="1029"/>
      <c r="S81" s="1029" t="s">
        <v>4043</v>
      </c>
      <c r="T81" s="1029"/>
      <c r="U81" s="1029"/>
      <c r="V81" s="1029"/>
      <c r="W81" s="1091"/>
      <c r="X81" s="1029" t="s">
        <v>7681</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7682</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7683</v>
      </c>
      <c r="C83" s="1074" t="s">
        <v>2256</v>
      </c>
      <c r="D83" s="1029"/>
      <c r="E83" s="1029" t="s">
        <v>2256</v>
      </c>
      <c r="F83" s="1094"/>
      <c r="G83" s="1022" t="s">
        <v>7684</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7685</v>
      </c>
      <c r="C84" s="1074" t="s">
        <v>2689</v>
      </c>
      <c r="D84" s="1029" t="s">
        <v>3648</v>
      </c>
      <c r="E84" s="1029" t="s">
        <v>2689</v>
      </c>
      <c r="F84" s="1021"/>
      <c r="G84" s="1040"/>
      <c r="H84" s="1029"/>
      <c r="I84" s="1029"/>
      <c r="J84" s="1029"/>
      <c r="K84" s="1029" t="s">
        <v>7686</v>
      </c>
      <c r="L84" s="1029" t="s">
        <v>5182</v>
      </c>
      <c r="M84" s="1029"/>
      <c r="N84" s="1029" t="str">
        <f>HYPERLINK("https://youtu.be/HUwmtKe7cOY","56.54")</f>
        <v>56.54</v>
      </c>
      <c r="O84" s="1029"/>
      <c r="P84" s="1025" t="s">
        <v>3820</v>
      </c>
      <c r="Q84" s="1029"/>
      <c r="R84" s="1029"/>
      <c r="S84" s="1029"/>
      <c r="T84" s="1029"/>
      <c r="U84" s="1029" t="s">
        <v>7687</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7688</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7689</v>
      </c>
      <c r="B86" s="1088" t="s">
        <v>7690</v>
      </c>
      <c r="C86" s="1074" t="s">
        <v>3509</v>
      </c>
      <c r="D86" s="1029"/>
      <c r="E86" s="1029" t="s">
        <v>7691</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7692</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7693</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7694</v>
      </c>
      <c r="C88" s="1119" t="s">
        <v>6587</v>
      </c>
      <c r="D88" s="1120" t="s">
        <v>7695</v>
      </c>
      <c r="E88" s="1121" t="s">
        <v>2390</v>
      </c>
      <c r="F88" s="1121" t="s">
        <v>758</v>
      </c>
      <c r="G88" s="1121" t="s">
        <v>666</v>
      </c>
      <c r="H88" s="1120" t="s">
        <v>758</v>
      </c>
      <c r="I88" s="1121" t="s">
        <v>2441</v>
      </c>
      <c r="J88" s="1121" t="s">
        <v>1276</v>
      </c>
      <c r="K88" s="1120" t="s">
        <v>3110</v>
      </c>
      <c r="L88" s="1120" t="s">
        <v>7696</v>
      </c>
      <c r="M88" s="993"/>
      <c r="N88" s="993"/>
      <c r="O88" s="1121" t="s">
        <v>6587</v>
      </c>
      <c r="P88" s="1121" t="s">
        <v>7697</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7698</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7699</v>
      </c>
      <c r="B89" s="1105" t="s">
        <v>7498</v>
      </c>
      <c r="C89" s="1107" t="s">
        <v>7700</v>
      </c>
      <c r="D89" s="1023" t="s">
        <v>7701</v>
      </c>
      <c r="E89" s="1067"/>
      <c r="F89" s="1103" t="s">
        <v>5477</v>
      </c>
      <c r="G89" s="1040"/>
      <c r="H89" s="1023" t="s">
        <v>7700</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7702</v>
      </c>
      <c r="B90" s="1105" t="s">
        <v>7498</v>
      </c>
      <c r="C90" s="1048" t="s">
        <v>7703</v>
      </c>
      <c r="D90" s="1023" t="s">
        <v>7704</v>
      </c>
      <c r="E90" s="1067"/>
      <c r="F90" s="1069" t="s">
        <v>7705</v>
      </c>
      <c r="G90" s="1040"/>
      <c r="H90" s="1023" t="s">
        <v>7703</v>
      </c>
      <c r="I90" s="1067"/>
      <c r="J90" s="1067"/>
      <c r="K90" s="1067"/>
      <c r="L90" s="1067"/>
      <c r="M90" s="1067"/>
      <c r="N90" s="1067"/>
      <c r="O90" s="1067"/>
      <c r="P90" s="1025"/>
      <c r="Q90" s="1067"/>
      <c r="R90" s="1067"/>
      <c r="S90" s="1067"/>
      <c r="T90" s="1067"/>
      <c r="U90" s="1023" t="s">
        <v>7706</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65" t="s">
        <v>7707</v>
      </c>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7708</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7709</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7710</v>
      </c>
      <c r="C94" s="1074" t="s">
        <v>1072</v>
      </c>
      <c r="D94" s="1029" t="s">
        <v>1570</v>
      </c>
      <c r="E94" s="1023" t="s">
        <v>358</v>
      </c>
      <c r="F94" s="1021"/>
      <c r="G94" s="1022" t="s">
        <v>1277</v>
      </c>
      <c r="H94" s="1023" t="s">
        <v>1072</v>
      </c>
      <c r="I94" s="1024"/>
      <c r="J94" s="1023" t="s">
        <v>7711</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7712</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7713</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7714</v>
      </c>
      <c r="B97" s="1088" t="s">
        <v>7612</v>
      </c>
      <c r="C97" s="1074" t="s">
        <v>7715</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7716</v>
      </c>
      <c r="B98" s="1105" t="s">
        <v>7612</v>
      </c>
      <c r="C98" s="1074" t="s">
        <v>7717</v>
      </c>
      <c r="D98" s="1075" t="s">
        <v>7717</v>
      </c>
      <c r="E98" s="1029"/>
      <c r="F98" s="1021"/>
      <c r="G98" s="1040"/>
      <c r="H98" s="1029"/>
      <c r="I98" s="1029"/>
      <c r="J98" s="1029"/>
      <c r="K98" s="1029"/>
      <c r="L98" s="1029"/>
      <c r="M98" s="1029"/>
      <c r="N98" s="1029"/>
      <c r="O98" s="1029"/>
      <c r="P98" s="1025"/>
      <c r="Q98" s="1029"/>
      <c r="R98" s="1029"/>
      <c r="S98" s="1029"/>
      <c r="T98" s="1029"/>
      <c r="U98" s="1023" t="s">
        <v>7718</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7719</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7720</v>
      </c>
      <c r="B104" s="1143" t="s">
        <v>7721</v>
      </c>
      <c r="C104" s="1131" t="s">
        <v>1513</v>
      </c>
      <c r="D104" s="980" t="s">
        <v>7722</v>
      </c>
      <c r="E104" s="1138"/>
      <c r="F104" s="1021"/>
      <c r="G104" s="1022" t="s">
        <v>1282</v>
      </c>
      <c r="H104" s="1138"/>
      <c r="I104" s="1138" t="s">
        <v>6867</v>
      </c>
      <c r="J104" s="1132" t="s">
        <v>7723</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7724</v>
      </c>
      <c r="C105" s="1131" t="s">
        <v>7725</v>
      </c>
      <c r="D105" s="983" t="s">
        <v>1576</v>
      </c>
      <c r="E105" s="1138"/>
      <c r="F105" s="1139"/>
      <c r="G105" s="1040"/>
      <c r="H105" s="1138"/>
      <c r="I105" s="1138"/>
      <c r="J105" s="1132" t="s">
        <v>7725</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7726</v>
      </c>
      <c r="C106" s="1131" t="s">
        <v>5709</v>
      </c>
      <c r="D106" s="980" t="s">
        <v>6805</v>
      </c>
      <c r="E106" s="1138"/>
      <c r="F106" s="1021"/>
      <c r="G106" s="1022" t="s">
        <v>611</v>
      </c>
      <c r="H106" s="1138"/>
      <c r="I106" s="1138"/>
      <c r="J106" s="1132" t="s">
        <v>7727</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7728</v>
      </c>
      <c r="BG106" s="1138"/>
      <c r="BH106" s="1138"/>
      <c r="BI106" s="1134"/>
      <c r="BJ106" s="1134"/>
      <c r="BK106" s="1134"/>
      <c r="BL106" s="1134"/>
      <c r="BM106" s="1134"/>
      <c r="BN106" s="1134"/>
      <c r="BO106" s="1134"/>
    </row>
    <row r="107" ht="15.75" customHeight="1">
      <c r="A107" s="1129" t="s">
        <v>7664</v>
      </c>
      <c r="B107" s="1143" t="s">
        <v>7729</v>
      </c>
      <c r="C107" s="1131" t="s">
        <v>7730</v>
      </c>
      <c r="D107" s="980" t="s">
        <v>3719</v>
      </c>
      <c r="E107" s="1138"/>
      <c r="F107" s="1139"/>
      <c r="G107" s="1022" t="s">
        <v>134</v>
      </c>
      <c r="H107" s="1138"/>
      <c r="I107" s="1138" t="s">
        <v>7731</v>
      </c>
      <c r="J107" s="1132" t="s">
        <v>7732</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7729</v>
      </c>
      <c r="C108" s="1018" t="s">
        <v>7733</v>
      </c>
      <c r="D108" s="1075" t="s">
        <v>7645</v>
      </c>
      <c r="E108" s="1132" t="s">
        <v>367</v>
      </c>
      <c r="F108" s="1021"/>
      <c r="G108" s="1022" t="s">
        <v>7734</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7733</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7721</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7735</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7689</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7736</v>
      </c>
      <c r="C112" s="1131" t="s">
        <v>1257</v>
      </c>
      <c r="D112" s="983" t="s">
        <v>1579</v>
      </c>
      <c r="E112" s="1138"/>
      <c r="F112" s="1021"/>
      <c r="G112" s="1022" t="s">
        <v>1285</v>
      </c>
      <c r="H112" s="1138"/>
      <c r="I112" s="1138" t="s">
        <v>7737</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7738</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50" t="s">
        <v>7739</v>
      </c>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7741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3" t="s">
        <v>1680</v>
      </c>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7743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7744</v>
      </c>
      <c r="C118" s="1131" t="s">
        <v>7745</v>
      </c>
      <c r="D118" s="1029" t="s">
        <v>1580</v>
      </c>
      <c r="E118" s="1132" t="s">
        <v>7745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7746</v>
      </c>
      <c r="C119" s="1131" t="s">
        <v>7747</v>
      </c>
      <c r="D119" s="1138"/>
      <c r="E119" s="1138"/>
      <c r="F119" s="1035" t="s">
        <v>2555</v>
      </c>
      <c r="G119" s="1040"/>
      <c r="H119" s="1138"/>
      <c r="I119" s="1138"/>
      <c r="J119" s="1138"/>
      <c r="K119" s="1138"/>
      <c r="L119" s="1138"/>
      <c r="M119" s="1138"/>
      <c r="N119" s="1138"/>
      <c r="O119" s="1138"/>
      <c r="P119" s="1140"/>
      <c r="Q119" s="1138"/>
      <c r="R119" s="1138"/>
      <c r="S119" s="1138" t="s">
        <v>7748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7749</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7716</v>
      </c>
      <c r="B121" s="1137" t="s">
        <v>7612</v>
      </c>
      <c r="C121" s="1074" t="s">
        <v>7750</v>
      </c>
      <c r="D121" s="1075" t="s">
        <v>7750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7721</v>
      </c>
      <c r="C123" s="1131" t="s">
        <v>2959</v>
      </c>
      <c r="D123" s="983" t="s">
        <v>7751</v>
      </c>
      <c r="E123" s="1138"/>
      <c r="F123" s="1021"/>
      <c r="G123" s="1040"/>
      <c r="H123" s="1138"/>
      <c r="I123" s="1132" t="s">
        <v>7752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5"/>
      <c r="W124" s="1159"/>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7753</v>
      </c>
      <c r="B125" s="1161"/>
      <c r="C125" s="1131" t="s">
        <v>4108</v>
      </c>
      <c r="D125" s="1132" t="s">
        <v>7754</v>
      </c>
      <c r="E125" s="1132" t="s">
        <v>7755</v>
      </c>
      <c r="F125" s="1049" t="s">
        <v>7756</v>
      </c>
      <c r="G125" s="1040"/>
      <c r="H125" s="1132" t="s">
        <v>4108</v>
      </c>
      <c r="I125" s="1132"/>
      <c r="J125" s="1132"/>
      <c r="K125" s="1132"/>
      <c r="L125" s="1132" t="s">
        <v>7755</v>
      </c>
      <c r="M125" s="1132"/>
      <c r="N125" s="1132"/>
      <c r="O125" s="1132"/>
      <c r="P125" s="1133" t="s">
        <v>7757</v>
      </c>
      <c r="Q125" s="1132"/>
      <c r="R125" s="1132"/>
      <c r="S125" s="1132" t="s">
        <v>7758</v>
      </c>
      <c r="T125" s="1132"/>
      <c r="U125" s="1132"/>
      <c r="V125" s="1132"/>
      <c r="W125" s="1162"/>
      <c r="X125" s="1132" t="s">
        <v>7757</v>
      </c>
      <c r="Y125" s="1132"/>
      <c r="Z125" s="1132"/>
      <c r="AA125" s="1132" t="s">
        <v>7756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7497</v>
      </c>
      <c r="B126" s="1163" t="s">
        <v>7759</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7"/>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7761</v>
      </c>
      <c r="C128" s="1048" t="s">
        <v>1179</v>
      </c>
      <c r="D128" s="1029" t="s">
        <v>660</v>
      </c>
      <c r="E128" s="1138"/>
      <c r="F128" s="1049" t="s">
        <v>1179</v>
      </c>
      <c r="G128" s="1022" t="s">
        <v>1349</v>
      </c>
      <c r="H128" s="1138"/>
      <c r="I128" s="1138"/>
      <c r="J128" s="1138" t="s">
        <v>2785</v>
      </c>
      <c r="K128" s="1138" t="s">
        <v>7762</v>
      </c>
      <c r="L128" s="1138"/>
      <c r="M128" s="1138"/>
      <c r="N128" s="1138"/>
      <c r="O128" s="1138"/>
      <c r="P128" s="1140" t="s">
        <v>7763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7764</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38"/>
      <c r="W129" s="1162"/>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7512</v>
      </c>
      <c r="B130" s="1171" t="s">
        <v>7498</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7519</v>
      </c>
      <c r="B131" s="1175" t="s">
        <v>7498</v>
      </c>
      <c r="C131" s="1131" t="s">
        <v>7765</v>
      </c>
      <c r="D131" s="1138"/>
      <c r="E131" s="1138"/>
      <c r="F131" s="1049" t="s">
        <v>1945</v>
      </c>
      <c r="G131" s="1022" t="s">
        <v>7766</v>
      </c>
      <c r="H131" s="1022" t="s">
        <v>7765</v>
      </c>
      <c r="I131" s="1138"/>
      <c r="J131" s="1138"/>
      <c r="K131" s="1138"/>
      <c r="L131" s="1138"/>
      <c r="M131" s="1138"/>
      <c r="N131" s="1138"/>
      <c r="O131" s="1138"/>
      <c r="P131" s="1140"/>
      <c r="Q131" s="1138"/>
      <c r="R131" s="1138"/>
      <c r="S131" s="1138" t="s">
        <v>7765</v>
      </c>
      <c r="T131" s="1138"/>
      <c r="U131" s="1138"/>
      <c r="V131" s="1138"/>
      <c r="W131" s="1162"/>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7499</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7512</v>
      </c>
      <c r="B133" s="1175"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38" t="s">
        <v>512</v>
      </c>
      <c r="W133" s="1162"/>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7519</v>
      </c>
      <c r="B134" s="1175" t="s">
        <v>7498</v>
      </c>
      <c r="C134" s="1131" t="s">
        <v>7767</v>
      </c>
      <c r="D134" s="1132"/>
      <c r="E134" s="1132" t="s">
        <v>7767</v>
      </c>
      <c r="F134" s="1172" t="s">
        <v>1545</v>
      </c>
      <c r="G134" s="1022" t="s">
        <v>7768</v>
      </c>
      <c r="H134" s="1132"/>
      <c r="I134" s="1132"/>
      <c r="J134" s="1132"/>
      <c r="K134" s="1132"/>
      <c r="L134" s="1132" t="s">
        <v>3018</v>
      </c>
      <c r="M134" s="1132" t="s">
        <v>7768</v>
      </c>
      <c r="N134" s="1132"/>
      <c r="O134" s="1132"/>
      <c r="P134" s="1133" t="s">
        <v>7767</v>
      </c>
      <c r="Q134" s="1132" t="s">
        <v>486</v>
      </c>
      <c r="R134" s="1132"/>
      <c r="S134" s="1132"/>
      <c r="T134" s="1132"/>
      <c r="U134" s="1132"/>
      <c r="V134" s="1132"/>
      <c r="W134" s="1032"/>
      <c r="X134" s="1132"/>
      <c r="Y134" s="1132"/>
      <c r="Z134" s="1132" t="s">
        <v>7769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7656</v>
      </c>
      <c r="B135" s="1163" t="s">
        <v>7770</v>
      </c>
      <c r="C135" s="1131" t="s">
        <v>7771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7"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7772</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2"/>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7774</v>
      </c>
      <c r="C138" s="1131" t="s">
        <v>377</v>
      </c>
      <c r="D138" s="1029" t="s">
        <v>774</v>
      </c>
      <c r="E138" s="1022" t="s">
        <v>377</v>
      </c>
      <c r="F138" s="1055" t="s">
        <v>3976</v>
      </c>
      <c r="G138" s="1022" t="s">
        <v>1292</v>
      </c>
      <c r="H138" s="1176" t="s">
        <v>7775</v>
      </c>
      <c r="I138" s="1022" t="s">
        <v>5443</v>
      </c>
      <c r="J138" s="1040"/>
      <c r="K138" s="1040"/>
      <c r="L138" s="1022" t="s">
        <v>927</v>
      </c>
      <c r="M138" s="1022" t="s">
        <v>6482</v>
      </c>
      <c r="N138" s="1040"/>
      <c r="O138" s="1022" t="s">
        <v>7776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7545</v>
      </c>
      <c r="B139" s="1163" t="s">
        <v>7778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7779</v>
      </c>
      <c r="P139" s="1140"/>
      <c r="Q139" s="1138"/>
      <c r="R139" s="1138"/>
      <c r="S139" s="1138" t="s">
        <v>566</v>
      </c>
      <c r="T139" s="1138"/>
      <c r="U139" s="1138"/>
      <c r="V139" s="1138"/>
      <c r="W139" s="1167" t="s">
        <v>7780</v>
      </c>
      <c r="X139" s="1138"/>
      <c r="Y139" s="1138"/>
      <c r="Z139" s="1138"/>
      <c r="AA139" s="1138"/>
      <c r="AB139" s="1138"/>
      <c r="AC139" s="1138"/>
      <c r="AD139" s="1138"/>
      <c r="AE139" s="1138" t="s">
        <v>7781</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7782</v>
      </c>
      <c r="C140" s="1131" t="s">
        <v>4554</v>
      </c>
      <c r="D140" s="1177"/>
      <c r="E140" s="1177"/>
      <c r="F140" s="1164"/>
      <c r="G140" s="1040"/>
      <c r="H140" s="1177"/>
      <c r="I140" s="1177"/>
      <c r="J140" s="1022" t="s">
        <v>7783</v>
      </c>
      <c r="K140" s="1177"/>
      <c r="L140" s="1177"/>
      <c r="M140" s="1177"/>
      <c r="N140" s="1177"/>
      <c r="O140" s="1177"/>
      <c r="P140" s="1133"/>
      <c r="Q140" s="1177"/>
      <c r="R140" s="1177" t="s">
        <v>4554</v>
      </c>
      <c r="S140" s="1177"/>
      <c r="T140" s="1177"/>
      <c r="U140" s="1177"/>
      <c r="V140" s="1177"/>
      <c r="W140" s="1032"/>
      <c r="X140" s="1177"/>
      <c r="Y140" s="1177"/>
      <c r="Z140" s="1177"/>
      <c r="AA140" s="1177"/>
      <c r="AB140" s="1177"/>
      <c r="AC140" s="1177"/>
      <c r="AD140" s="1177"/>
      <c r="AE140" s="1177"/>
      <c r="AF140" s="1177"/>
      <c r="AG140" s="1177"/>
      <c r="AH140" s="1177"/>
      <c r="AI140" s="1177"/>
      <c r="AJ140" s="1177"/>
      <c r="AK140" s="1135"/>
      <c r="AL140" s="1177"/>
      <c r="AM140" s="1177"/>
      <c r="AN140" s="1177"/>
      <c r="AO140" s="1177"/>
      <c r="AP140" s="1177"/>
      <c r="AQ140" s="1135"/>
      <c r="AR140" s="1135"/>
      <c r="AS140" s="1177"/>
      <c r="AT140" s="1177"/>
      <c r="AU140" s="1032"/>
      <c r="AV140" s="1177"/>
      <c r="AW140" s="1177"/>
      <c r="AX140" s="1177"/>
      <c r="AY140" s="1177"/>
      <c r="AZ140" s="1177"/>
      <c r="BA140" s="1032"/>
      <c r="BB140" s="1177"/>
      <c r="BC140" s="1177"/>
      <c r="BD140" s="1177"/>
      <c r="BE140" s="1177"/>
      <c r="BF140" s="1177"/>
      <c r="BG140" s="1177"/>
      <c r="BH140" s="1177"/>
      <c r="BI140" s="1032"/>
      <c r="BJ140" s="1032"/>
      <c r="BK140" s="1032"/>
      <c r="BL140" s="1032"/>
      <c r="BM140" s="1032"/>
      <c r="BN140" s="1032"/>
      <c r="BO140" s="1032"/>
    </row>
    <row r="141" ht="15.75" customHeight="1">
      <c r="A141" s="1168"/>
      <c r="B141" s="1169" t="s">
        <v>7784</v>
      </c>
      <c r="C141" s="1131" t="s">
        <v>7785</v>
      </c>
      <c r="D141" s="1029" t="s">
        <v>791</v>
      </c>
      <c r="E141" s="1178"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7556</v>
      </c>
      <c r="B142" s="1163" t="s">
        <v>7786</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7787</v>
      </c>
      <c r="C143" s="1131" t="s">
        <v>7788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2"/>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7789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2"/>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7790</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7791</v>
      </c>
      <c r="C145" s="1018" t="s">
        <v>7792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2"/>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7792</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7568</v>
      </c>
      <c r="B146" s="1163" t="s">
        <v>7793</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2"/>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7512</v>
      </c>
      <c r="B148" s="1171" t="s">
        <v>7793</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65" t="s">
        <v>3728</v>
      </c>
      <c r="X148" s="1132"/>
      <c r="Y148" s="1132" t="s">
        <v>7795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7796</v>
      </c>
      <c r="W149" s="1167"/>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7519</v>
      </c>
      <c r="B150" s="1171" t="s">
        <v>7498</v>
      </c>
      <c r="C150" s="1131" t="s">
        <v>7797</v>
      </c>
      <c r="D150" s="1177"/>
      <c r="E150" s="1177"/>
      <c r="F150" s="1164"/>
      <c r="G150" s="1022" t="s">
        <v>2819</v>
      </c>
      <c r="H150" s="1177"/>
      <c r="I150" s="1177"/>
      <c r="J150" s="1177"/>
      <c r="K150" s="1177"/>
      <c r="L150" s="1177"/>
      <c r="M150" s="1177"/>
      <c r="N150" s="1177"/>
      <c r="O150" s="1063" t="s">
        <v>7797</v>
      </c>
      <c r="P150" s="1133"/>
      <c r="Q150" s="1177"/>
      <c r="R150" s="1177"/>
      <c r="S150" s="1177"/>
      <c r="T150" s="1177"/>
      <c r="U150" s="1177"/>
      <c r="V150" s="1177"/>
      <c r="W150" s="1032"/>
      <c r="X150" s="1177"/>
      <c r="Y150" s="1177"/>
      <c r="Z150" s="1177"/>
      <c r="AA150" s="1177"/>
      <c r="AB150" s="1177"/>
      <c r="AC150" s="1177"/>
      <c r="AD150" s="1177"/>
      <c r="AE150" s="1177"/>
      <c r="AF150" s="1177"/>
      <c r="AG150" s="1177"/>
      <c r="AH150" s="1177" t="s">
        <v>7796</v>
      </c>
      <c r="AI150" s="1177"/>
      <c r="AJ150" s="1177"/>
      <c r="AK150" s="1135"/>
      <c r="AL150" s="1177"/>
      <c r="AM150" s="1177"/>
      <c r="AN150" s="1177"/>
      <c r="AO150" s="1177"/>
      <c r="AP150" s="1177"/>
      <c r="AQ150" s="1135"/>
      <c r="AR150" s="1135"/>
      <c r="AS150" s="1177"/>
      <c r="AT150" s="1177"/>
      <c r="AU150" s="1032"/>
      <c r="AV150" s="1177"/>
      <c r="AW150" s="1177"/>
      <c r="AX150" s="1177"/>
      <c r="AY150" s="1177"/>
      <c r="AZ150" s="1177"/>
      <c r="BA150" s="1032"/>
      <c r="BB150" s="1177"/>
      <c r="BC150" s="1177"/>
      <c r="BD150" s="1177"/>
      <c r="BE150" s="1177"/>
      <c r="BF150" s="1177"/>
      <c r="BG150" s="1177"/>
      <c r="BH150" s="1177"/>
      <c r="BI150" s="1032"/>
      <c r="BJ150" s="1032"/>
      <c r="BK150" s="1032"/>
      <c r="BL150" s="1032"/>
      <c r="BM150" s="1032"/>
      <c r="BN150" s="1032"/>
      <c r="BO150" s="1032"/>
    </row>
    <row r="151" ht="15.75" customHeight="1">
      <c r="A151" s="1174" t="s">
        <v>7798</v>
      </c>
      <c r="B151" s="1175" t="s">
        <v>7799</v>
      </c>
      <c r="C151" s="1131" t="s">
        <v>7800</v>
      </c>
      <c r="D151" s="1132" t="s">
        <v>7801</v>
      </c>
      <c r="E151" s="1132" t="s">
        <v>7800</v>
      </c>
      <c r="F151" s="1021"/>
      <c r="G151" s="1040"/>
      <c r="H151" s="1132"/>
      <c r="I151" s="1132" t="s">
        <v>7802</v>
      </c>
      <c r="J151" s="1132" t="s">
        <v>7803</v>
      </c>
      <c r="K151" s="1132"/>
      <c r="L151" s="1132" t="s">
        <v>932</v>
      </c>
      <c r="M151" s="1132"/>
      <c r="N151" s="1132" t="s">
        <v>7402</v>
      </c>
      <c r="O151" s="1132"/>
      <c r="P151" s="1133"/>
      <c r="Q151" s="1132"/>
      <c r="R151" s="1132"/>
      <c r="S151" s="1132"/>
      <c r="T151" s="1132" t="s">
        <v>7804</v>
      </c>
      <c r="U151" s="1132"/>
      <c r="V151" s="1132" t="s">
        <v>5113</v>
      </c>
      <c r="W151" s="1162"/>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7805</v>
      </c>
      <c r="BF151" s="1132"/>
      <c r="BG151" s="1132"/>
      <c r="BH151" s="1132"/>
      <c r="BI151" s="1162"/>
      <c r="BJ151" s="1162"/>
      <c r="BK151" s="1162"/>
      <c r="BL151" s="1162"/>
      <c r="BM151" s="1162"/>
      <c r="BN151" s="1162"/>
      <c r="BO151" s="1162"/>
    </row>
    <row r="152" ht="15.75" customHeight="1">
      <c r="A152" s="1165"/>
      <c r="B152" s="1166" t="s">
        <v>7806</v>
      </c>
      <c r="C152" s="1131" t="s">
        <v>7807</v>
      </c>
      <c r="D152" s="1138"/>
      <c r="E152" s="1138"/>
      <c r="F152" s="1164"/>
      <c r="G152" s="1040"/>
      <c r="H152" s="1138"/>
      <c r="I152" s="1138"/>
      <c r="J152" s="1138"/>
      <c r="K152" s="1138" t="s">
        <v>7808</v>
      </c>
      <c r="L152" s="1138"/>
      <c r="M152" s="1138"/>
      <c r="N152" s="1138"/>
      <c r="O152" s="1138" t="s">
        <v>7807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7809</v>
      </c>
      <c r="C153" s="1179" t="s">
        <v>2561</v>
      </c>
      <c r="D153" s="1067" t="s">
        <v>1588</v>
      </c>
      <c r="E153" s="1022" t="s">
        <v>382</v>
      </c>
      <c r="F153" s="1055" t="s">
        <v>2561</v>
      </c>
      <c r="G153" s="1040"/>
      <c r="H153" s="1022" t="s">
        <v>7810</v>
      </c>
      <c r="I153" s="1022" t="s">
        <v>587</v>
      </c>
      <c r="J153" s="1022" t="s">
        <v>3258</v>
      </c>
      <c r="K153" s="1040" t="s">
        <v>3651</v>
      </c>
      <c r="L153" s="1040"/>
      <c r="M153" s="1040"/>
      <c r="N153" s="1040"/>
      <c r="O153" s="1040"/>
      <c r="P153" s="1133"/>
      <c r="Q153" s="1040"/>
      <c r="R153" s="1040"/>
      <c r="S153" s="1040"/>
      <c r="T153" s="1040"/>
      <c r="U153" s="1022" t="s">
        <v>7179</v>
      </c>
      <c r="V153" s="1040"/>
      <c r="W153" s="1162"/>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0" t="s">
        <v>7811</v>
      </c>
      <c r="BC153" s="1040"/>
      <c r="BD153" s="1040"/>
      <c r="BE153" s="1040"/>
      <c r="BF153" s="1040"/>
      <c r="BG153" s="1040"/>
      <c r="BH153" s="1040"/>
      <c r="BI153" s="1162"/>
      <c r="BJ153" s="1162"/>
      <c r="BK153" s="1162"/>
      <c r="BL153" s="1162"/>
      <c r="BM153" s="1162"/>
      <c r="BN153" s="1162"/>
      <c r="BO153" s="1162"/>
    </row>
    <row r="154" ht="15.75" customHeight="1">
      <c r="A154" s="1165"/>
      <c r="B154" s="1166" t="s">
        <v>7812</v>
      </c>
      <c r="C154" s="1018" t="s">
        <v>3539</v>
      </c>
      <c r="D154" s="983" t="s">
        <v>1587</v>
      </c>
      <c r="E154" s="1138"/>
      <c r="F154" s="1164"/>
      <c r="G154" s="1022" t="s">
        <v>1296</v>
      </c>
      <c r="H154" s="1138"/>
      <c r="I154" s="1138"/>
      <c r="J154" s="1138"/>
      <c r="K154" s="1142" t="s">
        <v>3650</v>
      </c>
      <c r="L154" s="1138"/>
      <c r="M154" s="1138" t="s">
        <v>7813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7814</v>
      </c>
      <c r="B155" s="1175" t="s">
        <v>7799</v>
      </c>
      <c r="C155" s="1131" t="s">
        <v>775</v>
      </c>
      <c r="D155" s="1181" t="s">
        <v>5110</v>
      </c>
      <c r="E155" s="1181" t="s">
        <v>3656</v>
      </c>
      <c r="F155" s="1021"/>
      <c r="G155" s="1040"/>
      <c r="H155" s="1181"/>
      <c r="I155" s="1181" t="s">
        <v>775</v>
      </c>
      <c r="J155" s="1181"/>
      <c r="K155" s="1181"/>
      <c r="L155" s="1181"/>
      <c r="M155" s="1181"/>
      <c r="N155" s="1181"/>
      <c r="O155" s="1181"/>
      <c r="P155" s="1133"/>
      <c r="Q155" s="1181"/>
      <c r="R155" s="1181"/>
      <c r="S155" s="1181"/>
      <c r="T155" s="1181"/>
      <c r="U155" s="1181"/>
      <c r="V155" s="1181"/>
      <c r="W155" s="1162"/>
      <c r="X155" s="1181"/>
      <c r="Y155" s="1181"/>
      <c r="Z155" s="1181"/>
      <c r="AA155" s="1181"/>
      <c r="AB155" s="1181"/>
      <c r="AC155" s="1181"/>
      <c r="AD155" s="1181"/>
      <c r="AE155" s="1181"/>
      <c r="AF155" s="1181"/>
      <c r="AG155" s="1181"/>
      <c r="AH155" s="1181"/>
      <c r="AI155" s="1181"/>
      <c r="AJ155" s="1181"/>
      <c r="AK155" s="1135"/>
      <c r="AL155" s="1181"/>
      <c r="AM155" s="1181"/>
      <c r="AN155" s="1181"/>
      <c r="AO155" s="1181"/>
      <c r="AP155" s="1181"/>
      <c r="AQ155" s="1135"/>
      <c r="AR155" s="1135"/>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7815</v>
      </c>
      <c r="C156" s="1182" t="s">
        <v>1339</v>
      </c>
      <c r="D156" s="1181"/>
      <c r="E156" s="1181"/>
      <c r="F156" s="1069"/>
      <c r="G156" s="1040"/>
      <c r="H156" s="1040"/>
      <c r="I156" s="1181"/>
      <c r="J156" s="1181"/>
      <c r="K156" s="1181"/>
      <c r="L156" s="1181"/>
      <c r="M156" s="1181"/>
      <c r="N156" s="1181"/>
      <c r="O156" s="1181"/>
      <c r="P156" s="1133"/>
      <c r="Q156" s="1181"/>
      <c r="R156" s="1181"/>
      <c r="S156" s="1181"/>
      <c r="T156" s="1181"/>
      <c r="U156" s="1022" t="s">
        <v>355</v>
      </c>
      <c r="V156" s="1181"/>
      <c r="W156" s="1162"/>
      <c r="X156" s="1181"/>
      <c r="Y156" s="1181"/>
      <c r="Z156" s="1181"/>
      <c r="AA156" s="1181"/>
      <c r="AB156" s="1181"/>
      <c r="AC156" s="1181"/>
      <c r="AD156" s="1181"/>
      <c r="AE156" s="1181"/>
      <c r="AF156" s="1181"/>
      <c r="AG156" s="1181"/>
      <c r="AH156" s="1181"/>
      <c r="AI156" s="1181"/>
      <c r="AJ156" s="1181"/>
      <c r="AK156" s="1135"/>
      <c r="AL156" s="1181"/>
      <c r="AM156" s="1181"/>
      <c r="AN156" s="1181"/>
      <c r="AO156" s="1181"/>
      <c r="AP156" s="1181"/>
      <c r="AQ156" s="1135"/>
      <c r="AR156" s="1135"/>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7816</v>
      </c>
      <c r="C157" s="1018" t="s">
        <v>2630</v>
      </c>
      <c r="D157" s="1181" t="s">
        <v>7817</v>
      </c>
      <c r="E157" s="1181"/>
      <c r="F157" s="1069" t="s">
        <v>3851</v>
      </c>
      <c r="G157" s="1040"/>
      <c r="H157" s="1022" t="s">
        <v>2630</v>
      </c>
      <c r="I157" s="1181"/>
      <c r="J157" s="1181"/>
      <c r="K157" s="1181"/>
      <c r="L157" s="1181"/>
      <c r="M157" s="1181"/>
      <c r="N157" s="1181"/>
      <c r="O157" s="1181"/>
      <c r="P157" s="1133"/>
      <c r="Q157" s="1181"/>
      <c r="R157" s="1181"/>
      <c r="S157" s="1181"/>
      <c r="T157" s="1181"/>
      <c r="V157" s="1181"/>
      <c r="W157" s="1162"/>
      <c r="X157" s="1181" t="s">
        <v>956</v>
      </c>
      <c r="Y157" s="1181"/>
      <c r="Z157" s="1181"/>
      <c r="AA157" s="1181"/>
      <c r="AB157" s="1181"/>
      <c r="AC157" s="1181"/>
      <c r="AD157" s="1181"/>
      <c r="AE157" s="1181"/>
      <c r="AF157" s="1181"/>
      <c r="AG157" s="1181"/>
      <c r="AH157" s="1181"/>
      <c r="AI157" s="1181"/>
      <c r="AJ157" s="1181"/>
      <c r="AK157" s="1135"/>
      <c r="AL157" s="1181"/>
      <c r="AM157" s="1181"/>
      <c r="AN157" s="1181"/>
      <c r="AO157" s="1181"/>
      <c r="AP157" s="1181"/>
      <c r="AQ157" s="1135"/>
      <c r="AR157" s="1135"/>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7818</v>
      </c>
      <c r="C158" s="1048" t="s">
        <v>5135</v>
      </c>
      <c r="D158" s="1181"/>
      <c r="E158" s="1181"/>
      <c r="F158" s="1049" t="s">
        <v>5135</v>
      </c>
      <c r="G158" s="1040"/>
      <c r="H158" s="1040"/>
      <c r="I158" s="1181"/>
      <c r="J158" s="1181"/>
      <c r="K158" s="1181"/>
      <c r="L158" s="1181"/>
      <c r="M158" s="1181"/>
      <c r="N158" s="1181"/>
      <c r="O158" s="1181"/>
      <c r="P158" s="1133"/>
      <c r="Q158" s="1181"/>
      <c r="R158" s="1181"/>
      <c r="S158" s="1181"/>
      <c r="T158" s="1181"/>
      <c r="V158" s="1181"/>
      <c r="W158" s="1162"/>
      <c r="X158" s="1181"/>
      <c r="Y158" s="1181"/>
      <c r="Z158" s="1181"/>
      <c r="AA158" s="1181"/>
      <c r="AB158" s="1181"/>
      <c r="AC158" s="1181"/>
      <c r="AD158" s="1181"/>
      <c r="AE158" s="1181"/>
      <c r="AF158" s="1181"/>
      <c r="AG158" s="1181"/>
      <c r="AH158" s="1181"/>
      <c r="AI158" s="1181"/>
      <c r="AJ158" s="1181"/>
      <c r="AK158" s="1135"/>
      <c r="AL158" s="1181"/>
      <c r="AM158" s="1181"/>
      <c r="AN158" s="1181"/>
      <c r="AO158" s="1181"/>
      <c r="AP158" s="1181"/>
      <c r="AQ158" s="1135"/>
      <c r="AR158" s="1135"/>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7819</v>
      </c>
      <c r="C159" s="1131"/>
      <c r="D159" s="1181"/>
      <c r="E159" s="1181"/>
      <c r="F159" s="1164"/>
      <c r="G159" s="1040"/>
      <c r="H159" s="1181"/>
      <c r="I159" s="1181"/>
      <c r="J159" s="1181"/>
      <c r="K159" s="1181"/>
      <c r="L159" s="1181"/>
      <c r="M159" s="1181"/>
      <c r="N159" s="1181"/>
      <c r="O159" s="1181"/>
      <c r="P159" s="1133"/>
      <c r="Q159" s="1181"/>
      <c r="R159" s="1181"/>
      <c r="S159" s="1181"/>
      <c r="T159" s="1181"/>
      <c r="U159" s="1181"/>
      <c r="V159" s="1181"/>
      <c r="W159" s="1032"/>
      <c r="X159" s="1181"/>
      <c r="Y159" s="1181"/>
      <c r="Z159" s="1181"/>
      <c r="AA159" s="1181"/>
      <c r="AB159" s="1181"/>
      <c r="AC159" s="1181"/>
      <c r="AD159" s="1181"/>
      <c r="AE159" s="1181"/>
      <c r="AF159" s="1181"/>
      <c r="AG159" s="1181"/>
      <c r="AH159" s="1181"/>
      <c r="AI159" s="1181"/>
      <c r="AJ159" s="1181"/>
      <c r="AK159" s="1135"/>
      <c r="AL159" s="1181"/>
      <c r="AM159" s="1181"/>
      <c r="AN159" s="1181"/>
      <c r="AO159" s="1181"/>
      <c r="AP159" s="1181"/>
      <c r="AQ159" s="1135"/>
      <c r="AR159" s="1135"/>
      <c r="AS159" s="1181"/>
      <c r="AT159" s="1181"/>
      <c r="AU159" s="1032"/>
      <c r="AV159" s="1181"/>
      <c r="AW159" s="1181"/>
      <c r="AX159" s="1181"/>
      <c r="AY159" s="1181"/>
      <c r="AZ159" s="1181"/>
      <c r="BA159" s="1032"/>
      <c r="BB159" s="1181"/>
      <c r="BC159" s="1181"/>
      <c r="BD159" s="1181"/>
      <c r="BE159" s="1181"/>
      <c r="BF159" s="1181"/>
      <c r="BG159" s="1181"/>
      <c r="BH159" s="1181"/>
      <c r="BI159" s="1032"/>
      <c r="BJ159" s="1032"/>
      <c r="BK159" s="1032"/>
      <c r="BL159" s="1032"/>
      <c r="BM159" s="1032"/>
      <c r="BN159" s="1032"/>
      <c r="BO159" s="1032"/>
    </row>
    <row r="160" ht="15.75" customHeight="1">
      <c r="A160" s="1168"/>
      <c r="B160" s="1169" t="s">
        <v>7812</v>
      </c>
      <c r="C160" s="1018" t="s">
        <v>1429</v>
      </c>
      <c r="D160" s="1181"/>
      <c r="E160" s="1181"/>
      <c r="F160" s="1164"/>
      <c r="G160" s="1022" t="s">
        <v>7043</v>
      </c>
      <c r="H160" s="1181" t="s">
        <v>7820</v>
      </c>
      <c r="I160" s="1181" t="s">
        <v>286</v>
      </c>
      <c r="J160" s="1181"/>
      <c r="K160" s="1181"/>
      <c r="L160" s="1181"/>
      <c r="M160" s="1132" t="s">
        <v>4792</v>
      </c>
      <c r="N160" s="1181"/>
      <c r="O160" s="1181"/>
      <c r="P160" s="1133"/>
      <c r="Q160" s="1181"/>
      <c r="R160" s="1181"/>
      <c r="S160" s="1022" t="s">
        <v>6549</v>
      </c>
      <c r="T160" s="1181"/>
      <c r="U160" s="1181"/>
      <c r="V160" s="1181"/>
      <c r="W160" s="1032"/>
      <c r="X160" s="1181"/>
      <c r="Y160" s="1181"/>
      <c r="Z160" s="1181"/>
      <c r="AA160" s="1181"/>
      <c r="AB160" s="1181"/>
      <c r="AC160" s="1181"/>
      <c r="AD160" s="1181"/>
      <c r="AE160" s="1181"/>
      <c r="AF160" s="1181"/>
      <c r="AG160" s="1181"/>
      <c r="AH160" s="1181"/>
      <c r="AI160" s="1181"/>
      <c r="AJ160" s="1181"/>
      <c r="AK160" s="1135"/>
      <c r="AL160" s="1181"/>
      <c r="AM160" s="1181"/>
      <c r="AN160" s="1181"/>
      <c r="AO160" s="1181"/>
      <c r="AP160" s="1181"/>
      <c r="AQ160" s="1135"/>
      <c r="AR160" s="1135"/>
      <c r="AS160" s="1181"/>
      <c r="AT160" s="1181"/>
      <c r="AU160" s="1032"/>
      <c r="AV160" s="1181"/>
      <c r="AW160" s="1181"/>
      <c r="AX160" s="1181"/>
      <c r="AY160" s="1181"/>
      <c r="AZ160" s="1181"/>
      <c r="BA160" s="1032"/>
      <c r="BB160" s="1181"/>
      <c r="BC160" s="1181"/>
      <c r="BD160" s="1181"/>
      <c r="BE160" s="1181"/>
      <c r="BF160" s="1181"/>
      <c r="BG160" s="1181"/>
      <c r="BH160" s="1181"/>
      <c r="BI160" s="1032"/>
      <c r="BJ160" s="1032"/>
      <c r="BK160" s="1032"/>
      <c r="BL160" s="1032"/>
      <c r="BM160" s="1032"/>
      <c r="BN160" s="1032"/>
      <c r="BO160" s="1032"/>
    </row>
    <row r="161" ht="15.75" customHeight="1">
      <c r="A161" s="1174" t="s">
        <v>7821</v>
      </c>
      <c r="B161" s="1175" t="s">
        <v>7822</v>
      </c>
      <c r="C161" s="1131" t="s">
        <v>7823</v>
      </c>
      <c r="D161" s="1181" t="s">
        <v>2289</v>
      </c>
      <c r="E161" s="1181"/>
      <c r="F161" s="1021"/>
      <c r="G161" s="1040"/>
      <c r="H161" s="1181"/>
      <c r="I161" s="1181"/>
      <c r="J161" s="1181"/>
      <c r="K161" s="1181"/>
      <c r="L161" s="1181"/>
      <c r="M161" s="1181"/>
      <c r="N161" s="1181"/>
      <c r="O161" s="1181"/>
      <c r="P161" s="1133"/>
      <c r="Q161" s="1181"/>
      <c r="R161" s="1181"/>
      <c r="S161" s="1181"/>
      <c r="T161" s="1181"/>
      <c r="U161" s="1181"/>
      <c r="V161" s="1181"/>
      <c r="W161" s="1162"/>
      <c r="X161" s="1181"/>
      <c r="Y161" s="1181"/>
      <c r="Z161" s="1181"/>
      <c r="AA161" s="1181"/>
      <c r="AB161" s="1181"/>
      <c r="AC161" s="1181"/>
      <c r="AD161" s="1181"/>
      <c r="AE161" s="1181"/>
      <c r="AF161" s="1181"/>
      <c r="AG161" s="1181"/>
      <c r="AH161" s="1181"/>
      <c r="AI161" s="1181"/>
      <c r="AJ161" s="1181"/>
      <c r="AK161" s="1135"/>
      <c r="AL161" s="1181"/>
      <c r="AM161" s="1181"/>
      <c r="AN161" s="1181"/>
      <c r="AO161" s="1181"/>
      <c r="AP161" s="1181"/>
      <c r="AQ161" s="1135"/>
      <c r="AR161" s="1135"/>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7824</v>
      </c>
      <c r="C162" s="1131"/>
      <c r="D162" s="1181"/>
      <c r="E162" s="1181"/>
      <c r="F162" s="1164"/>
      <c r="G162" s="1040"/>
      <c r="H162" s="1181"/>
      <c r="I162" s="1181"/>
      <c r="J162" s="1181"/>
      <c r="K162" s="1181"/>
      <c r="L162" s="1181"/>
      <c r="M162" s="1181"/>
      <c r="N162" s="1181"/>
      <c r="O162" s="1181"/>
      <c r="P162" s="1133"/>
      <c r="Q162" s="1181"/>
      <c r="R162" s="1181"/>
      <c r="S162" s="1181"/>
      <c r="T162" s="1181"/>
      <c r="U162" s="1181"/>
      <c r="V162" s="1181"/>
      <c r="W162" s="1032"/>
      <c r="X162" s="1181"/>
      <c r="Y162" s="1181"/>
      <c r="Z162" s="1181"/>
      <c r="AA162" s="1181"/>
      <c r="AB162" s="1181"/>
      <c r="AC162" s="1181"/>
      <c r="AD162" s="1181"/>
      <c r="AE162" s="1181"/>
      <c r="AF162" s="1181"/>
      <c r="AG162" s="1181"/>
      <c r="AH162" s="1181"/>
      <c r="AI162" s="1181"/>
      <c r="AJ162" s="1181"/>
      <c r="AK162" s="1135"/>
      <c r="AL162" s="1181"/>
      <c r="AM162" s="1181"/>
      <c r="AN162" s="1181"/>
      <c r="AO162" s="1181"/>
      <c r="AP162" s="1181"/>
      <c r="AQ162" s="1135"/>
      <c r="AR162" s="1135"/>
      <c r="AS162" s="1181"/>
      <c r="AT162" s="1181"/>
      <c r="AU162" s="1032"/>
      <c r="AV162" s="1181"/>
      <c r="AW162" s="1181"/>
      <c r="AX162" s="1181"/>
      <c r="AY162" s="1181"/>
      <c r="AZ162" s="1181"/>
      <c r="BA162" s="1032"/>
      <c r="BB162" s="1181"/>
      <c r="BC162" s="1181"/>
      <c r="BD162" s="1181"/>
      <c r="BE162" s="1181"/>
      <c r="BF162" s="1181"/>
      <c r="BG162" s="1181"/>
      <c r="BH162" s="1181"/>
      <c r="BI162" s="1032"/>
      <c r="BJ162" s="1032"/>
      <c r="BK162" s="1032"/>
      <c r="BL162" s="1032"/>
      <c r="BM162" s="1032"/>
      <c r="BN162" s="1032"/>
      <c r="BO162" s="1032"/>
    </row>
    <row r="163" ht="15.75" customHeight="1">
      <c r="A163" s="1174" t="s">
        <v>7825</v>
      </c>
      <c r="B163" s="1175" t="s">
        <v>7826</v>
      </c>
      <c r="C163" s="1018" t="s">
        <v>7827</v>
      </c>
      <c r="D163" s="1181"/>
      <c r="E163" s="1181"/>
      <c r="F163" s="1049" t="s">
        <v>7828</v>
      </c>
      <c r="G163" s="1022" t="s">
        <v>7829</v>
      </c>
      <c r="H163" s="1132" t="s">
        <v>7830</v>
      </c>
      <c r="I163" s="1181" t="s">
        <v>7831</v>
      </c>
      <c r="J163" s="1181"/>
      <c r="K163" s="1181"/>
      <c r="L163" s="1181"/>
      <c r="M163" s="1132" t="s">
        <v>1321</v>
      </c>
      <c r="N163" s="1181"/>
      <c r="O163" s="1181"/>
      <c r="P163" s="1133"/>
      <c r="Q163" s="1181"/>
      <c r="R163" s="1181"/>
      <c r="S163" s="1022" t="s">
        <v>7827</v>
      </c>
      <c r="T163" s="1181"/>
      <c r="U163" s="1022" t="s">
        <v>7832</v>
      </c>
      <c r="V163" s="1181"/>
      <c r="W163" s="1162"/>
      <c r="X163" s="1181"/>
      <c r="Y163" s="1181"/>
      <c r="Z163" s="1181"/>
      <c r="AA163" s="1181"/>
      <c r="AB163" s="1181"/>
      <c r="AC163" s="1181"/>
      <c r="AD163" s="1181"/>
      <c r="AE163" s="1181"/>
      <c r="AF163" s="1181"/>
      <c r="AG163" s="1181"/>
      <c r="AH163" s="1181"/>
      <c r="AI163" s="1181"/>
      <c r="AJ163" s="1181"/>
      <c r="AK163" s="1135"/>
      <c r="AL163" s="1181"/>
      <c r="AM163" s="1181"/>
      <c r="AN163" s="1181"/>
      <c r="AO163" s="1181"/>
      <c r="AP163" s="1181"/>
      <c r="AQ163" s="1135"/>
      <c r="AR163" s="1135"/>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7833</v>
      </c>
      <c r="C164" s="1131" t="s">
        <v>7834</v>
      </c>
      <c r="D164" s="1181"/>
      <c r="E164" s="1181"/>
      <c r="F164" s="1172" t="s">
        <v>7835</v>
      </c>
      <c r="G164" s="1040"/>
      <c r="H164" s="1132" t="s">
        <v>7836</v>
      </c>
      <c r="I164" s="1181"/>
      <c r="J164" s="1181"/>
      <c r="K164" s="1181"/>
      <c r="L164" s="1181"/>
      <c r="M164" s="1181"/>
      <c r="N164" s="1181"/>
      <c r="O164" s="1181"/>
      <c r="P164" s="1133"/>
      <c r="Q164" s="1181"/>
      <c r="R164" s="1181"/>
      <c r="S164" s="1181"/>
      <c r="T164" s="1181"/>
      <c r="U164" s="1181"/>
      <c r="V164" s="1181"/>
      <c r="W164" s="1032"/>
      <c r="X164" s="1181"/>
      <c r="Y164" s="1181"/>
      <c r="Z164" s="1181"/>
      <c r="AA164" s="1181"/>
      <c r="AB164" s="1181"/>
      <c r="AC164" s="1181"/>
      <c r="AD164" s="1181"/>
      <c r="AE164" s="1181"/>
      <c r="AF164" s="1181"/>
      <c r="AG164" s="1181"/>
      <c r="AH164" s="1181"/>
      <c r="AI164" s="1181"/>
      <c r="AJ164" s="1181"/>
      <c r="AK164" s="1135"/>
      <c r="AL164" s="1181"/>
      <c r="AM164" s="1181"/>
      <c r="AN164" s="1181"/>
      <c r="AO164" s="1181"/>
      <c r="AP164" s="1181"/>
      <c r="AQ164" s="1135"/>
      <c r="AR164" s="1135"/>
      <c r="AS164" s="1181"/>
      <c r="AT164" s="1181"/>
      <c r="AU164" s="1032"/>
      <c r="AV164" s="1181"/>
      <c r="AW164" s="1181"/>
      <c r="AX164" s="1181"/>
      <c r="AY164" s="1181"/>
      <c r="AZ164" s="1181"/>
      <c r="BA164" s="1032"/>
      <c r="BB164" s="1181"/>
      <c r="BC164" s="1181"/>
      <c r="BD164" s="1181"/>
      <c r="BE164" s="1181"/>
      <c r="BF164" s="1181"/>
      <c r="BG164" s="1181"/>
      <c r="BH164" s="1181"/>
      <c r="BI164" s="1032"/>
      <c r="BJ164" s="1032"/>
      <c r="BK164" s="1032"/>
      <c r="BL164" s="1032"/>
      <c r="BM164" s="1032"/>
      <c r="BN164" s="1032"/>
      <c r="BO164" s="1032"/>
    </row>
    <row r="165" ht="15.75" customHeight="1">
      <c r="A165" s="1168"/>
      <c r="B165" s="1169" t="s">
        <v>7837</v>
      </c>
      <c r="C165" s="1131" t="s">
        <v>7838</v>
      </c>
      <c r="D165" s="1181"/>
      <c r="E165" s="1181"/>
      <c r="F165" s="1049" t="s">
        <v>7839</v>
      </c>
      <c r="G165" s="1040"/>
      <c r="H165" s="1132" t="s">
        <v>7838</v>
      </c>
      <c r="I165" s="1181" t="s">
        <v>7840</v>
      </c>
      <c r="J165" s="1181"/>
      <c r="K165" s="1181"/>
      <c r="L165" s="1181"/>
      <c r="M165" s="1181"/>
      <c r="N165" s="1181"/>
      <c r="O165" s="1181"/>
      <c r="P165" s="1133"/>
      <c r="Q165" s="1181"/>
      <c r="R165" s="1181"/>
      <c r="S165" s="1181"/>
      <c r="T165" s="1181"/>
      <c r="U165" s="1181"/>
      <c r="V165" s="1181"/>
      <c r="W165" s="1162"/>
      <c r="X165" s="1181"/>
      <c r="Y165" s="1181"/>
      <c r="Z165" s="1181" t="s">
        <v>969</v>
      </c>
      <c r="AA165" s="1181"/>
      <c r="AB165" s="1181"/>
      <c r="AC165" s="1181"/>
      <c r="AD165" s="1181"/>
      <c r="AE165" s="1181"/>
      <c r="AF165" s="1181"/>
      <c r="AG165" s="1181"/>
      <c r="AH165" s="1181"/>
      <c r="AI165" s="1181"/>
      <c r="AJ165" s="1181"/>
      <c r="AK165" s="1135"/>
      <c r="AL165" s="1181"/>
      <c r="AM165" s="1181"/>
      <c r="AN165" s="1181"/>
      <c r="AO165" s="1181"/>
      <c r="AP165" s="1181"/>
      <c r="AQ165" s="1135"/>
      <c r="AR165" s="1135"/>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7841</v>
      </c>
      <c r="C166" s="1131" t="s">
        <v>745</v>
      </c>
      <c r="D166" s="1181"/>
      <c r="E166" s="1181"/>
      <c r="F166" s="1172" t="s">
        <v>3107</v>
      </c>
      <c r="G166" s="1040"/>
      <c r="H166" s="1132" t="s">
        <v>745</v>
      </c>
      <c r="I166" s="1181"/>
      <c r="J166" s="1181"/>
      <c r="K166" s="1181"/>
      <c r="L166" s="1181"/>
      <c r="M166" s="1132" t="s">
        <v>2759</v>
      </c>
      <c r="N166" s="1181"/>
      <c r="O166" s="1181"/>
      <c r="P166" s="1133"/>
      <c r="Q166" s="1181"/>
      <c r="R166" s="1181"/>
      <c r="S166" s="1181"/>
      <c r="T166" s="1181"/>
      <c r="U166" s="1181"/>
      <c r="V166" s="1181"/>
      <c r="W166" s="1032"/>
      <c r="X166" s="1181" t="s">
        <v>2351</v>
      </c>
      <c r="Y166" s="1181"/>
      <c r="Z166" s="1181"/>
      <c r="AA166" s="1181"/>
      <c r="AB166" s="1181"/>
      <c r="AC166" s="1181"/>
      <c r="AD166" s="1181"/>
      <c r="AE166" s="1181"/>
      <c r="AF166" s="1181"/>
      <c r="AG166" s="1181"/>
      <c r="AH166" s="1181"/>
      <c r="AI166" s="1181"/>
      <c r="AJ166" s="1181"/>
      <c r="AK166" s="1132"/>
      <c r="AL166" s="1181"/>
      <c r="AM166" s="1181"/>
      <c r="AN166" s="1181"/>
      <c r="AO166" s="1181"/>
      <c r="AP166" s="1181"/>
      <c r="AQ166" s="1132"/>
      <c r="AR166" s="1132"/>
      <c r="AS166" s="1181"/>
      <c r="AT166" s="1181"/>
      <c r="AU166" s="1032"/>
      <c r="AV166" s="1181"/>
      <c r="AW166" s="1181"/>
      <c r="AX166" s="1181"/>
      <c r="AY166" s="1181"/>
      <c r="AZ166" s="1181"/>
      <c r="BA166" s="1032"/>
      <c r="BB166" s="1181"/>
      <c r="BC166" s="1181"/>
      <c r="BD166" s="1181"/>
      <c r="BE166" s="1181"/>
      <c r="BF166" s="1181"/>
      <c r="BG166" s="1181"/>
      <c r="BH166" s="1181"/>
      <c r="BI166" s="1032"/>
      <c r="BJ166" s="1032"/>
      <c r="BK166" s="1032"/>
      <c r="BL166" s="1032"/>
      <c r="BM166" s="1032"/>
      <c r="BN166" s="1032"/>
      <c r="BO166" s="1032"/>
    </row>
    <row r="167" ht="15.75" customHeight="1">
      <c r="A167" s="1160" t="s">
        <v>7605</v>
      </c>
      <c r="B167" s="1183" t="s">
        <v>7842</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4" t="s">
        <v>7843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7844</v>
      </c>
      <c r="C168" s="1131" t="s">
        <v>2445</v>
      </c>
      <c r="D168" s="1029" t="s">
        <v>1589</v>
      </c>
      <c r="E168" s="1132" t="s">
        <v>7845</v>
      </c>
      <c r="F168" s="1049" t="s">
        <v>7846</v>
      </c>
      <c r="G168" s="1040"/>
      <c r="H168" s="1132" t="s">
        <v>7847</v>
      </c>
      <c r="I168" s="1132"/>
      <c r="J168" s="1132" t="s">
        <v>516</v>
      </c>
      <c r="K168" s="1132" t="s">
        <v>3652</v>
      </c>
      <c r="L168" s="1132"/>
      <c r="M168" s="1132"/>
      <c r="N168" s="1132"/>
      <c r="O168" s="1132" t="s">
        <v>878</v>
      </c>
      <c r="P168" s="1133" t="s">
        <v>799</v>
      </c>
      <c r="Q168" s="1132"/>
      <c r="R168" s="1132"/>
      <c r="S168" s="1132"/>
      <c r="T168" s="1132"/>
      <c r="U168" s="1022" t="s">
        <v>2741</v>
      </c>
      <c r="V168" s="1132"/>
      <c r="W168" s="116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7609</v>
      </c>
      <c r="B169" s="1183" t="s">
        <v>7848</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7519</v>
      </c>
      <c r="B170" s="1175" t="s">
        <v>7498</v>
      </c>
      <c r="C170" s="1131" t="s">
        <v>7849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2"/>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7850</v>
      </c>
      <c r="B171" s="1183" t="s">
        <v>7851</v>
      </c>
      <c r="C171" s="1131" t="s">
        <v>7852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2"/>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7853</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7614</v>
      </c>
      <c r="B173" s="1175" t="s">
        <v>7851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2"/>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7853</v>
      </c>
      <c r="C174" s="1185" t="s">
        <v>7854</v>
      </c>
      <c r="D174" s="1186" t="s">
        <v>7854</v>
      </c>
      <c r="E174" s="1138"/>
      <c r="F174" s="1164"/>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7617</v>
      </c>
      <c r="B175" s="1183" t="s">
        <v>7498</v>
      </c>
      <c r="C175" s="1131" t="s">
        <v>1521</v>
      </c>
      <c r="D175" s="980" t="s">
        <v>1590</v>
      </c>
      <c r="E175" s="1132" t="s">
        <v>7855</v>
      </c>
      <c r="F175" s="1021"/>
      <c r="G175" s="1040"/>
      <c r="H175" s="1132"/>
      <c r="I175" s="1132"/>
      <c r="J175" s="1132"/>
      <c r="K175" s="1132" t="s">
        <v>1455</v>
      </c>
      <c r="L175" s="1132"/>
      <c r="M175" s="1132"/>
      <c r="N175" s="1132"/>
      <c r="O175" s="1132"/>
      <c r="P175" s="1133"/>
      <c r="Q175" s="1132"/>
      <c r="R175" s="1132"/>
      <c r="S175" s="1132"/>
      <c r="T175" s="1132"/>
      <c r="U175" s="1022" t="s">
        <v>2743</v>
      </c>
      <c r="V175" s="1132"/>
      <c r="W175" s="116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7614</v>
      </c>
      <c r="B176" s="1171" t="s">
        <v>7498</v>
      </c>
      <c r="C176" s="1074" t="s">
        <v>7856</v>
      </c>
      <c r="D176" s="1075" t="s">
        <v>7856</v>
      </c>
      <c r="E176" s="1132"/>
      <c r="F176" s="1021"/>
      <c r="G176" s="1040"/>
      <c r="H176" s="1132"/>
      <c r="I176" s="1132"/>
      <c r="J176" s="1132"/>
      <c r="K176" s="1132"/>
      <c r="L176" s="1132"/>
      <c r="M176" s="1132"/>
      <c r="N176" s="1132"/>
      <c r="O176" s="1132"/>
      <c r="P176" s="1133"/>
      <c r="Q176" s="1132"/>
      <c r="R176" s="1132"/>
      <c r="S176" s="1132"/>
      <c r="T176" s="1132"/>
      <c r="U176" s="1022" t="s">
        <v>7857</v>
      </c>
      <c r="V176" s="1132"/>
      <c r="W176" s="116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7858</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7498</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88"/>
      <c r="W178" s="1192"/>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7859</v>
      </c>
      <c r="B179" s="1194" t="s">
        <v>7860</v>
      </c>
      <c r="C179" s="1131" t="s">
        <v>7861</v>
      </c>
      <c r="D179" s="1024" t="s">
        <v>7862</v>
      </c>
      <c r="E179" s="1029" t="s">
        <v>7863</v>
      </c>
      <c r="F179" s="1049" t="s">
        <v>7864</v>
      </c>
      <c r="G179" s="1022" t="s">
        <v>7865</v>
      </c>
      <c r="H179" s="1024" t="s">
        <v>7863</v>
      </c>
      <c r="I179" s="1029"/>
      <c r="J179" s="1029" t="s">
        <v>7866</v>
      </c>
      <c r="K179" s="1029" t="s">
        <v>7867</v>
      </c>
      <c r="L179" s="1029" t="s">
        <v>7864</v>
      </c>
      <c r="M179" s="1029" t="s">
        <v>7864</v>
      </c>
      <c r="N179" s="1029"/>
      <c r="O179" s="1029"/>
      <c r="P179" s="1025" t="s">
        <v>7863</v>
      </c>
      <c r="Q179" s="1029"/>
      <c r="R179" s="1029" t="s">
        <v>2169</v>
      </c>
      <c r="S179" s="1029" t="s">
        <v>7868</v>
      </c>
      <c r="T179" s="1029"/>
      <c r="U179" s="1029"/>
      <c r="V179" s="1029"/>
      <c r="W179" s="1195"/>
      <c r="X179" s="1029"/>
      <c r="Y179" s="1029"/>
      <c r="Z179" s="1029"/>
      <c r="AA179" s="1029"/>
      <c r="AB179" s="1029"/>
      <c r="AC179" s="1029" t="s">
        <v>7830</v>
      </c>
      <c r="AD179" s="1029" t="s">
        <v>7865</v>
      </c>
      <c r="AE179" s="1029"/>
      <c r="AF179" s="1029"/>
      <c r="AG179" s="1029" t="s">
        <v>7861</v>
      </c>
      <c r="AH179" s="1029"/>
      <c r="AI179" s="1029"/>
      <c r="AJ179" s="1029"/>
      <c r="AK179" s="1090"/>
      <c r="AL179" s="1029"/>
      <c r="AM179" s="1029" t="s">
        <v>7867</v>
      </c>
      <c r="AN179" s="1029"/>
      <c r="AO179" s="1029"/>
      <c r="AP179" s="1029"/>
      <c r="AQ179" s="1090"/>
      <c r="AR179" s="1090"/>
      <c r="AS179" s="1029"/>
      <c r="AT179" s="1029"/>
      <c r="AU179" s="1195"/>
      <c r="AV179" s="1029"/>
      <c r="AW179" s="1029"/>
      <c r="AX179" s="1029"/>
      <c r="AY179" s="1029"/>
      <c r="AZ179" s="1029"/>
      <c r="BA179" s="1195"/>
      <c r="BB179" s="1029"/>
      <c r="BC179" s="1029"/>
      <c r="BD179" s="1029"/>
      <c r="BE179" s="1029"/>
      <c r="BF179" s="1029"/>
      <c r="BG179" s="1029"/>
      <c r="BH179" s="1029"/>
      <c r="BI179" s="1195"/>
      <c r="BJ179" s="1195"/>
      <c r="BK179" s="1195"/>
      <c r="BL179" s="1195"/>
      <c r="BM179" s="1195"/>
      <c r="BN179" s="1195"/>
      <c r="BO179" s="1195"/>
    </row>
    <row r="180" ht="15.75" customHeight="1">
      <c r="A180" s="1196"/>
      <c r="B180" s="1197" t="s">
        <v>7869</v>
      </c>
      <c r="C180" s="1131" t="s">
        <v>7870</v>
      </c>
      <c r="D180" s="1029"/>
      <c r="E180" s="1029" t="s">
        <v>7866</v>
      </c>
      <c r="F180" s="1198"/>
      <c r="G180" s="1040"/>
      <c r="H180" s="1029" t="s">
        <v>7870</v>
      </c>
      <c r="I180" s="1029"/>
      <c r="J180" s="1029"/>
      <c r="K180" s="1029"/>
      <c r="L180" s="1029"/>
      <c r="M180" s="1029"/>
      <c r="N180" s="1029"/>
      <c r="O180" s="1029"/>
      <c r="P180" s="1025" t="s">
        <v>7871</v>
      </c>
      <c r="Q180" s="1029"/>
      <c r="R180" s="1029"/>
      <c r="S180" s="1029"/>
      <c r="T180" s="1029" t="s">
        <v>7866</v>
      </c>
      <c r="U180" s="1029"/>
      <c r="V180" s="1029"/>
      <c r="W180" s="1032"/>
      <c r="X180" s="1029"/>
      <c r="Y180" s="1029"/>
      <c r="Z180" s="1029"/>
      <c r="AA180" s="1029" t="s">
        <v>7863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3" t="s">
        <v>7872</v>
      </c>
      <c r="B181" s="1194" t="s">
        <v>7498</v>
      </c>
      <c r="C181" s="1131" t="s">
        <v>1857</v>
      </c>
      <c r="D181" s="1024" t="s">
        <v>5420</v>
      </c>
      <c r="E181" s="1029" t="s">
        <v>6249</v>
      </c>
      <c r="F181" s="1049" t="s">
        <v>3001</v>
      </c>
      <c r="G181" s="1022" t="s">
        <v>7873</v>
      </c>
      <c r="H181" s="1029" t="s">
        <v>3001</v>
      </c>
      <c r="I181" s="1029"/>
      <c r="J181" s="1029"/>
      <c r="K181" s="1029"/>
      <c r="L181" s="1029" t="s">
        <v>4486</v>
      </c>
      <c r="M181" s="1029"/>
      <c r="N181" s="1029"/>
      <c r="O181" s="1029"/>
      <c r="P181" s="1025"/>
      <c r="Q181" s="1029"/>
      <c r="R181" s="1029"/>
      <c r="S181" s="1029" t="s">
        <v>4180</v>
      </c>
      <c r="T181" s="1029" t="s">
        <v>2941</v>
      </c>
      <c r="U181" s="1029"/>
      <c r="V181" s="1029"/>
      <c r="W181" s="1195"/>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5"/>
      <c r="AV181" s="1029"/>
      <c r="AW181" s="1029"/>
      <c r="AX181" s="1029"/>
      <c r="AY181" s="1029"/>
      <c r="AZ181" s="1029"/>
      <c r="BA181" s="1195"/>
      <c r="BB181" s="1029"/>
      <c r="BC181" s="1029"/>
      <c r="BD181" s="1029"/>
      <c r="BE181" s="1029"/>
      <c r="BF181" s="1029"/>
      <c r="BG181" s="1029"/>
      <c r="BH181" s="1029"/>
      <c r="BI181" s="1195"/>
      <c r="BJ181" s="1195"/>
      <c r="BK181" s="1195"/>
      <c r="BL181" s="1195"/>
      <c r="BM181" s="1195"/>
      <c r="BN181" s="1195"/>
      <c r="BO181" s="1195"/>
    </row>
    <row r="182" ht="15.75" customHeight="1">
      <c r="A182" s="1199" t="s">
        <v>7512</v>
      </c>
      <c r="B182" s="1200" t="s">
        <v>7498</v>
      </c>
      <c r="C182" s="1131" t="s">
        <v>7874</v>
      </c>
      <c r="D182" s="1113"/>
      <c r="E182" s="1113" t="s">
        <v>7875</v>
      </c>
      <c r="F182" s="1201" t="s">
        <v>7876</v>
      </c>
      <c r="G182" s="1040"/>
      <c r="H182" s="1029" t="s">
        <v>7874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3" t="s">
        <v>7499</v>
      </c>
      <c r="B183" s="1202" t="s">
        <v>7877</v>
      </c>
      <c r="C183" s="1131" t="s">
        <v>5070</v>
      </c>
      <c r="D183" s="1203"/>
      <c r="E183" s="1203"/>
      <c r="F183" s="1021"/>
      <c r="G183" s="1040"/>
      <c r="H183" s="1203"/>
      <c r="I183" s="1203"/>
      <c r="J183" s="1203" t="s">
        <v>5070</v>
      </c>
      <c r="K183" s="1203"/>
      <c r="L183" s="1203"/>
      <c r="M183" s="1203"/>
      <c r="N183" s="1203"/>
      <c r="O183" s="1203"/>
      <c r="P183" s="1054"/>
      <c r="Q183" s="1203"/>
      <c r="R183" s="1203"/>
      <c r="S183" s="1203"/>
      <c r="T183" s="1203"/>
      <c r="U183" s="1203"/>
      <c r="V183" s="1203"/>
      <c r="W183" s="1195"/>
      <c r="X183" s="1203"/>
      <c r="Y183" s="1203"/>
      <c r="Z183" s="1203"/>
      <c r="AA183" s="1203"/>
      <c r="AB183" s="1203"/>
      <c r="AC183" s="1203"/>
      <c r="AD183" s="1203"/>
      <c r="AE183" s="1203"/>
      <c r="AF183" s="1203"/>
      <c r="AG183" s="1203"/>
      <c r="AH183" s="1203"/>
      <c r="AI183" s="1203"/>
      <c r="AJ183" s="1203"/>
      <c r="AK183" s="1090"/>
      <c r="AL183" s="1203"/>
      <c r="AM183" s="1203"/>
      <c r="AN183" s="1203"/>
      <c r="AO183" s="1203"/>
      <c r="AP183" s="1203"/>
      <c r="AQ183" s="1090"/>
      <c r="AR183" s="1090"/>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7878</v>
      </c>
      <c r="C184" s="1131" t="s">
        <v>7879</v>
      </c>
      <c r="D184" s="1029" t="s">
        <v>7880</v>
      </c>
      <c r="E184" s="1029" t="s">
        <v>7879</v>
      </c>
      <c r="F184" s="1055" t="s">
        <v>1257</v>
      </c>
      <c r="G184" s="1022" t="s">
        <v>1302</v>
      </c>
      <c r="H184" s="1029" t="s">
        <v>5739</v>
      </c>
      <c r="I184" s="1029"/>
      <c r="J184" s="1029" t="s">
        <v>609</v>
      </c>
      <c r="K184" s="1029" t="s">
        <v>355</v>
      </c>
      <c r="L184" s="1029"/>
      <c r="M184" s="1029"/>
      <c r="N184" s="1029" t="s">
        <v>147</v>
      </c>
      <c r="O184" s="1029" t="s">
        <v>7881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9" t="s">
        <v>7512</v>
      </c>
      <c r="B185" s="1204" t="s">
        <v>7882</v>
      </c>
      <c r="C185" s="1131" t="s">
        <v>7883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5"/>
      <c r="X185" s="1067"/>
      <c r="Y185" s="1067" t="s">
        <v>7884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5"/>
      <c r="AV185" s="1067"/>
      <c r="AW185" s="1067"/>
      <c r="AX185" s="1067"/>
      <c r="AY185" s="1067"/>
      <c r="AZ185" s="1067"/>
      <c r="BA185" s="1195"/>
      <c r="BB185" s="1067"/>
      <c r="BC185" s="1067"/>
      <c r="BD185" s="1067"/>
      <c r="BE185" s="1067"/>
      <c r="BF185" s="1067"/>
      <c r="BG185" s="1067"/>
      <c r="BH185" s="1067"/>
      <c r="BI185" s="1195"/>
      <c r="BJ185" s="1195"/>
      <c r="BK185" s="1195"/>
      <c r="BL185" s="1195"/>
      <c r="BM185" s="1195"/>
      <c r="BN185" s="1195"/>
      <c r="BO185" s="1195"/>
    </row>
    <row r="186" ht="15.75" customHeight="1">
      <c r="A186" s="1196"/>
      <c r="B186" s="1197" t="s">
        <v>7885</v>
      </c>
      <c r="C186" s="1131" t="s">
        <v>7886</v>
      </c>
      <c r="D186" s="1029" t="s">
        <v>1593</v>
      </c>
      <c r="E186" s="1029" t="s">
        <v>7886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7887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5"/>
      <c r="B187" s="1206" t="s">
        <v>7888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5"/>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5"/>
      <c r="AV187" s="1029"/>
      <c r="AW187" s="1029"/>
      <c r="AX187" s="1029"/>
      <c r="AY187" s="1029"/>
      <c r="AZ187" s="1029"/>
      <c r="BA187" s="1195"/>
      <c r="BB187" s="1029"/>
      <c r="BC187" s="1029"/>
      <c r="BD187" s="1029"/>
      <c r="BE187" s="1029"/>
      <c r="BF187" s="1029"/>
      <c r="BG187" s="1029"/>
      <c r="BH187" s="1029"/>
      <c r="BI187" s="1195"/>
      <c r="BJ187" s="1195"/>
      <c r="BK187" s="1195"/>
      <c r="BL187" s="1195"/>
      <c r="BM187" s="1195"/>
      <c r="BN187" s="1195"/>
      <c r="BO187" s="1195"/>
    </row>
    <row r="188" ht="15.75" customHeight="1">
      <c r="A188" s="1199" t="s">
        <v>7889</v>
      </c>
      <c r="B188" s="1204" t="s">
        <v>7657</v>
      </c>
      <c r="C188" s="1131" t="s">
        <v>3912</v>
      </c>
      <c r="D188" s="1203"/>
      <c r="E188" s="1203"/>
      <c r="F188" s="1207" t="s">
        <v>3668</v>
      </c>
      <c r="G188" s="1040"/>
      <c r="H188" s="1203"/>
      <c r="I188" s="1203"/>
      <c r="J188" s="1203"/>
      <c r="K188" s="1203"/>
      <c r="L188" s="1203" t="s">
        <v>2859</v>
      </c>
      <c r="M188" s="1203"/>
      <c r="N188" s="1203"/>
      <c r="O188" s="1203"/>
      <c r="P188" s="1054"/>
      <c r="Q188" s="1203"/>
      <c r="R188" s="1203"/>
      <c r="S188" s="1203"/>
      <c r="T188" s="1203"/>
      <c r="U188" s="1203"/>
      <c r="V188" s="1203"/>
      <c r="W188" s="1032"/>
      <c r="X188" s="1203"/>
      <c r="Y188" s="1203"/>
      <c r="Z188" s="1203"/>
      <c r="AA188" s="1203"/>
      <c r="AB188" s="1203" t="s">
        <v>3298</v>
      </c>
      <c r="AC188" s="1203"/>
      <c r="AD188" s="1203"/>
      <c r="AE188" s="1203"/>
      <c r="AF188" s="1203"/>
      <c r="AG188" s="1203"/>
      <c r="AH188" s="1203"/>
      <c r="AI188" s="1203"/>
      <c r="AJ188" s="1203"/>
      <c r="AK188" s="1090"/>
      <c r="AL188" s="1203"/>
      <c r="AM188" s="1203"/>
      <c r="AN188" s="1203"/>
      <c r="AO188" s="1203"/>
      <c r="AP188" s="1203"/>
      <c r="AQ188" s="1090"/>
      <c r="AR188" s="1090"/>
      <c r="AS188" s="1203"/>
      <c r="AT188" s="1203"/>
      <c r="AU188" s="1032"/>
      <c r="AV188" s="1203"/>
      <c r="AW188" s="1203"/>
      <c r="AX188" s="1203"/>
      <c r="AY188" s="1203"/>
      <c r="AZ188" s="1203"/>
      <c r="BA188" s="1032"/>
      <c r="BB188" s="1203"/>
      <c r="BC188" s="1203"/>
      <c r="BD188" s="1203"/>
      <c r="BE188" s="1203"/>
      <c r="BF188" s="1203"/>
      <c r="BG188" s="1203"/>
      <c r="BH188" s="1203"/>
      <c r="BI188" s="1032"/>
      <c r="BJ188" s="1032"/>
      <c r="BK188" s="1032"/>
      <c r="BL188" s="1032"/>
      <c r="BM188" s="1032"/>
      <c r="BN188" s="1032"/>
      <c r="BO188" s="1032"/>
    </row>
    <row r="189" ht="15.75" customHeight="1">
      <c r="A189" s="1196"/>
      <c r="B189" s="1197" t="s">
        <v>7890</v>
      </c>
      <c r="C189" s="1208" t="s">
        <v>1570</v>
      </c>
      <c r="D189" s="1209"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5"/>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0" t="s">
        <v>1570</v>
      </c>
      <c r="AV189" s="1029"/>
      <c r="AW189" s="1029"/>
      <c r="AX189" s="1029"/>
      <c r="AY189" s="1029"/>
      <c r="AZ189" s="1029"/>
      <c r="BA189" s="1195"/>
      <c r="BB189" s="1029"/>
      <c r="BC189" s="1029"/>
      <c r="BD189" s="1029"/>
      <c r="BE189" s="1029"/>
      <c r="BF189" s="1029"/>
      <c r="BG189" s="1029"/>
      <c r="BH189" s="1029"/>
      <c r="BI189" s="1195"/>
      <c r="BJ189" s="1195"/>
      <c r="BK189" s="1211"/>
      <c r="BL189" s="1195"/>
      <c r="BM189" s="1195"/>
      <c r="BN189" s="1195"/>
      <c r="BO189" s="1195"/>
    </row>
    <row r="190" ht="15.75" customHeight="1">
      <c r="A190" s="1199" t="s">
        <v>7891</v>
      </c>
      <c r="B190" s="1204" t="s">
        <v>7657</v>
      </c>
      <c r="C190" s="1131" t="s">
        <v>7892</v>
      </c>
      <c r="D190" s="1203"/>
      <c r="E190" s="1203"/>
      <c r="F190" s="1201" t="s">
        <v>7893</v>
      </c>
      <c r="G190" s="1040"/>
      <c r="H190" s="1203" t="s">
        <v>7892</v>
      </c>
      <c r="I190" s="1203"/>
      <c r="J190" s="1203" t="s">
        <v>7894</v>
      </c>
      <c r="K190" s="1203"/>
      <c r="L190" s="1203"/>
      <c r="M190" s="1203"/>
      <c r="N190" s="1203"/>
      <c r="O190" s="1203"/>
      <c r="P190" s="1054"/>
      <c r="Q190" s="1203"/>
      <c r="R190" s="1203"/>
      <c r="S190" s="1203"/>
      <c r="T190" s="1203"/>
      <c r="U190" s="1203"/>
      <c r="V190" s="1203"/>
      <c r="W190" s="1032"/>
      <c r="X190" s="1203"/>
      <c r="Y190" s="1203" t="s">
        <v>7876</v>
      </c>
      <c r="Z190" s="1203"/>
      <c r="AA190" s="1203"/>
      <c r="AB190" s="1203"/>
      <c r="AC190" s="1203"/>
      <c r="AD190" s="1203"/>
      <c r="AE190" s="1203"/>
      <c r="AF190" s="1203"/>
      <c r="AG190" s="1203"/>
      <c r="AH190" s="1203"/>
      <c r="AI190" s="1203"/>
      <c r="AJ190" s="1203"/>
      <c r="AK190" s="1090"/>
      <c r="AL190" s="1203"/>
      <c r="AM190" s="1203"/>
      <c r="AN190" s="1203"/>
      <c r="AO190" s="1203"/>
      <c r="AP190" s="1203"/>
      <c r="AQ190" s="1090"/>
      <c r="AR190" s="1090"/>
      <c r="AS190" s="1203"/>
      <c r="AT190" s="1203"/>
      <c r="AU190" s="1032"/>
      <c r="AV190" s="1203"/>
      <c r="AW190" s="1203"/>
      <c r="AX190" s="1203"/>
      <c r="AY190" s="1203"/>
      <c r="AZ190" s="1203"/>
      <c r="BA190" s="1032"/>
      <c r="BB190" s="1203"/>
      <c r="BC190" s="1203"/>
      <c r="BD190" s="1203"/>
      <c r="BE190" s="1203"/>
      <c r="BF190" s="1203"/>
      <c r="BG190" s="1203"/>
      <c r="BH190" s="1203"/>
      <c r="BI190" s="1032"/>
      <c r="BJ190" s="1032"/>
      <c r="BK190" s="1032"/>
      <c r="BL190" s="1032"/>
      <c r="BM190" s="1032"/>
      <c r="BN190" s="1032"/>
      <c r="BO190" s="1032"/>
    </row>
    <row r="191" ht="15.75" customHeight="1">
      <c r="A191" s="1212"/>
      <c r="B191" s="1213" t="s">
        <v>7890</v>
      </c>
      <c r="C191" s="1131" t="s">
        <v>7895</v>
      </c>
      <c r="D191" s="1024" t="s">
        <v>7896</v>
      </c>
      <c r="E191" s="1023" t="s">
        <v>7895</v>
      </c>
      <c r="F191" s="1021"/>
      <c r="G191" s="1040"/>
      <c r="H191" s="1024" t="s">
        <v>7895</v>
      </c>
      <c r="I191" s="1024"/>
      <c r="J191" s="1024"/>
      <c r="K191" s="1024"/>
      <c r="L191" s="1024"/>
      <c r="M191" s="1024"/>
      <c r="N191" s="1024"/>
      <c r="O191" s="1024"/>
      <c r="P191" s="1025"/>
      <c r="Q191" s="1024"/>
      <c r="R191" s="1024"/>
      <c r="S191" s="1024"/>
      <c r="T191" s="1024"/>
      <c r="U191" s="1024"/>
      <c r="V191" s="1024"/>
      <c r="W191" s="1195"/>
      <c r="X191" s="1024"/>
      <c r="Y191" s="1024"/>
      <c r="Z191" s="1023" t="s">
        <v>7895</v>
      </c>
      <c r="AA191" s="1024"/>
      <c r="AB191" s="1024"/>
      <c r="AC191" s="1024"/>
      <c r="AD191" s="1024"/>
      <c r="AE191" s="1024"/>
      <c r="AF191" s="1024"/>
      <c r="AG191" s="1024"/>
      <c r="AH191" s="1024" t="s">
        <v>7897</v>
      </c>
      <c r="AI191" s="1024"/>
      <c r="AJ191" s="1024"/>
      <c r="AK191" s="1111"/>
      <c r="AL191" s="1024"/>
      <c r="AM191" s="1024"/>
      <c r="AN191" s="1024"/>
      <c r="AO191" s="1024"/>
      <c r="AP191" s="1024"/>
      <c r="AQ191" s="1111"/>
      <c r="AR191" s="1111"/>
      <c r="AS191" s="1024"/>
      <c r="AT191" s="1024"/>
      <c r="AU191" s="1195"/>
      <c r="AV191" s="1024"/>
      <c r="AW191" s="1024"/>
      <c r="AX191" s="1024"/>
      <c r="AY191" s="1024"/>
      <c r="AZ191" s="1024"/>
      <c r="BA191" s="1195"/>
      <c r="BB191" s="1024"/>
      <c r="BC191" s="1024"/>
      <c r="BD191" s="1024"/>
      <c r="BE191" s="1024"/>
      <c r="BF191" s="1024"/>
      <c r="BG191" s="1024"/>
      <c r="BH191" s="1024"/>
      <c r="BI191" s="1195"/>
      <c r="BJ191" s="1195"/>
      <c r="BK191" s="1195"/>
      <c r="BL191" s="1195"/>
      <c r="BM191" s="1195"/>
      <c r="BN191" s="1195"/>
      <c r="BO191" s="1195"/>
    </row>
    <row r="192" ht="15.75" customHeight="1">
      <c r="A192" s="1193" t="s">
        <v>7525</v>
      </c>
      <c r="B192" s="1202" t="s">
        <v>7898</v>
      </c>
      <c r="C192" s="1131" t="s">
        <v>2616</v>
      </c>
      <c r="D192" s="1203"/>
      <c r="E192" s="1203"/>
      <c r="F192" s="1198"/>
      <c r="G192" s="1022" t="s">
        <v>7899</v>
      </c>
      <c r="H192" s="1203"/>
      <c r="I192" s="1203"/>
      <c r="J192" s="1203"/>
      <c r="K192" s="1203"/>
      <c r="L192" s="1203"/>
      <c r="M192" s="1203"/>
      <c r="N192" s="1203" t="s">
        <v>4574</v>
      </c>
      <c r="O192" s="1203"/>
      <c r="P192" s="1054"/>
      <c r="Q192" s="1203"/>
      <c r="R192" s="1203"/>
      <c r="S192" s="1203"/>
      <c r="T192" s="1203"/>
      <c r="U192" s="1023" t="s">
        <v>642</v>
      </c>
      <c r="V192" s="1203" t="s">
        <v>259</v>
      </c>
      <c r="W192" s="1195"/>
      <c r="X192" s="1203"/>
      <c r="Y192" s="1203"/>
      <c r="Z192" s="1203"/>
      <c r="AA192" s="1203"/>
      <c r="AB192" s="1203"/>
      <c r="AC192" s="1203"/>
      <c r="AD192" s="1203"/>
      <c r="AE192" s="1203"/>
      <c r="AF192" s="1203"/>
      <c r="AG192" s="1203"/>
      <c r="AH192" s="1203"/>
      <c r="AI192" s="1203"/>
      <c r="AJ192" s="1203"/>
      <c r="AK192" s="1090"/>
      <c r="AL192" s="1203"/>
      <c r="AM192" s="1203"/>
      <c r="AN192" s="1203"/>
      <c r="AO192" s="1203"/>
      <c r="AP192" s="1203"/>
      <c r="AQ192" s="1090"/>
      <c r="AR192" s="1090"/>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7900</v>
      </c>
      <c r="C193" s="1131" t="s">
        <v>819</v>
      </c>
      <c r="D193" s="1203" t="s">
        <v>3468</v>
      </c>
      <c r="E193" s="1203"/>
      <c r="F193" s="1049" t="s">
        <v>2230</v>
      </c>
      <c r="G193" s="1040"/>
      <c r="H193" s="1203"/>
      <c r="I193" s="1203" t="s">
        <v>3595</v>
      </c>
      <c r="J193" s="1203"/>
      <c r="K193" s="1203" t="s">
        <v>3364</v>
      </c>
      <c r="L193" s="1203"/>
      <c r="M193" s="1203"/>
      <c r="N193" s="1203" t="s">
        <v>7901</v>
      </c>
      <c r="O193" s="1203"/>
      <c r="P193" s="1054"/>
      <c r="Q193" s="1203"/>
      <c r="R193" s="1203"/>
      <c r="S193" s="1203"/>
      <c r="T193" s="1203"/>
      <c r="U193" s="1203"/>
      <c r="V193" s="1203"/>
      <c r="W193" s="1032"/>
      <c r="X193" s="1203"/>
      <c r="Y193" s="1203"/>
      <c r="Z193" s="1203"/>
      <c r="AA193" s="1203"/>
      <c r="AB193" s="1203"/>
      <c r="AC193" s="1203"/>
      <c r="AD193" s="1203"/>
      <c r="AE193" s="1203"/>
      <c r="AF193" s="1203"/>
      <c r="AG193" s="1203"/>
      <c r="AH193" s="1203" t="s">
        <v>4527</v>
      </c>
      <c r="AI193" s="1203"/>
      <c r="AJ193" s="1203"/>
      <c r="AK193" s="1090"/>
      <c r="AL193" s="1203"/>
      <c r="AM193" s="1203"/>
      <c r="AN193" s="1203"/>
      <c r="AO193" s="1203"/>
      <c r="AP193" s="1203"/>
      <c r="AQ193" s="1090"/>
      <c r="AR193" s="1090"/>
      <c r="AS193" s="1203"/>
      <c r="AT193" s="1203"/>
      <c r="AU193" s="1032"/>
      <c r="AV193" s="1203"/>
      <c r="AW193" s="1203"/>
      <c r="AX193" s="1203"/>
      <c r="AY193" s="1203" t="s">
        <v>3326</v>
      </c>
      <c r="AZ193" s="1203"/>
      <c r="BA193" s="1032"/>
      <c r="BB193" s="1203"/>
      <c r="BC193" s="1203"/>
      <c r="BD193" s="1203"/>
      <c r="BE193" s="1203"/>
      <c r="BF193" s="1203"/>
      <c r="BG193" s="1203"/>
      <c r="BH193" s="1203"/>
      <c r="BI193" s="1032"/>
      <c r="BJ193" s="1032"/>
      <c r="BK193" s="1032"/>
      <c r="BL193" s="1032"/>
      <c r="BM193" s="1032"/>
      <c r="BN193" s="1032"/>
      <c r="BO193" s="1032"/>
    </row>
    <row r="194" ht="15.75" customHeight="1">
      <c r="A194" s="1205"/>
      <c r="B194" s="1206" t="s">
        <v>7902</v>
      </c>
      <c r="C194" s="1131" t="s">
        <v>494</v>
      </c>
      <c r="D194" s="1029" t="s">
        <v>2927</v>
      </c>
      <c r="E194" s="1203"/>
      <c r="F194" s="1035" t="s">
        <v>2563</v>
      </c>
      <c r="G194" s="1022" t="s">
        <v>630</v>
      </c>
      <c r="H194" s="1203" t="s">
        <v>783</v>
      </c>
      <c r="I194" s="1203"/>
      <c r="J194" s="1203" t="s">
        <v>5649</v>
      </c>
      <c r="K194" s="1203"/>
      <c r="L194" s="1203" t="s">
        <v>939</v>
      </c>
      <c r="M194" s="1203"/>
      <c r="N194" s="1203"/>
      <c r="O194" s="1203" t="s">
        <v>1024</v>
      </c>
      <c r="P194" s="1054"/>
      <c r="Q194" s="1203" t="s">
        <v>6444</v>
      </c>
      <c r="R194" s="1203"/>
      <c r="S194" s="1203"/>
      <c r="T194" s="1203" t="s">
        <v>494</v>
      </c>
      <c r="U194" s="1023" t="s">
        <v>2747</v>
      </c>
      <c r="V194" s="1203" t="s">
        <v>586</v>
      </c>
      <c r="W194" s="1195"/>
      <c r="X194" s="1203"/>
      <c r="Y194" s="1203"/>
      <c r="Z194" s="1203"/>
      <c r="AA194" s="1203" t="s">
        <v>1523</v>
      </c>
      <c r="AB194" s="1203"/>
      <c r="AC194" s="1203"/>
      <c r="AD194" s="1203"/>
      <c r="AE194" s="1203"/>
      <c r="AF194" s="1203"/>
      <c r="AG194" s="1203"/>
      <c r="AH194" s="1203"/>
      <c r="AI194" s="1203"/>
      <c r="AJ194" s="1203"/>
      <c r="AK194" s="1090"/>
      <c r="AL194" s="1203"/>
      <c r="AM194" s="1203"/>
      <c r="AN194" s="1203"/>
      <c r="AO194" s="1203"/>
      <c r="AP194" s="1203"/>
      <c r="AQ194" s="1090"/>
      <c r="AR194" s="1090"/>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7512</v>
      </c>
      <c r="B195" s="1204" t="s">
        <v>7903</v>
      </c>
      <c r="C195" s="1131"/>
      <c r="D195" s="1203"/>
      <c r="E195" s="1203"/>
      <c r="F195" s="1021"/>
      <c r="G195" s="1040"/>
      <c r="H195" s="1203"/>
      <c r="I195" s="1203"/>
      <c r="J195" s="1203"/>
      <c r="K195" s="1203"/>
      <c r="L195" s="1203"/>
      <c r="M195" s="1203"/>
      <c r="N195" s="1203"/>
      <c r="O195" s="1203"/>
      <c r="P195" s="1054"/>
      <c r="Q195" s="1203"/>
      <c r="R195" s="1203"/>
      <c r="S195" s="1203"/>
      <c r="T195" s="1203"/>
      <c r="U195" s="1203"/>
      <c r="V195" s="1203"/>
      <c r="W195" s="1032"/>
      <c r="X195" s="1203"/>
      <c r="Y195" s="1203"/>
      <c r="Z195" s="1203"/>
      <c r="AA195" s="1203"/>
      <c r="AB195" s="1203"/>
      <c r="AC195" s="1203"/>
      <c r="AD195" s="1203"/>
      <c r="AE195" s="1203"/>
      <c r="AF195" s="1203"/>
      <c r="AG195" s="1203"/>
      <c r="AH195" s="1203"/>
      <c r="AI195" s="1203"/>
      <c r="AJ195" s="1203"/>
      <c r="AK195" s="1090"/>
      <c r="AL195" s="1203"/>
      <c r="AM195" s="1203"/>
      <c r="AN195" s="1203"/>
      <c r="AO195" s="1203"/>
      <c r="AP195" s="1203"/>
      <c r="AQ195" s="1090"/>
      <c r="AR195" s="1090"/>
      <c r="AS195" s="1203"/>
      <c r="AT195" s="1203"/>
      <c r="AU195" s="1032"/>
      <c r="AV195" s="1203"/>
      <c r="AW195" s="1203"/>
      <c r="AX195" s="1203"/>
      <c r="AY195" s="1203"/>
      <c r="AZ195" s="1203"/>
      <c r="BA195" s="1032"/>
      <c r="BB195" s="1203"/>
      <c r="BC195" s="1203"/>
      <c r="BD195" s="1203"/>
      <c r="BE195" s="1203"/>
      <c r="BF195" s="1203"/>
      <c r="BG195" s="1203"/>
      <c r="BH195" s="1203"/>
      <c r="BI195" s="1032"/>
      <c r="BJ195" s="1032"/>
      <c r="BK195" s="1032"/>
      <c r="BL195" s="1032"/>
      <c r="BM195" s="1032"/>
      <c r="BN195" s="1032"/>
      <c r="BO195" s="1032"/>
    </row>
    <row r="196" ht="15.75" customHeight="1">
      <c r="A196" s="1196"/>
      <c r="B196" s="1197" t="s">
        <v>7904</v>
      </c>
      <c r="C196" s="1131" t="s">
        <v>7839</v>
      </c>
      <c r="D196" s="1203"/>
      <c r="E196" s="1203"/>
      <c r="F196" s="1198"/>
      <c r="G196" s="1040"/>
      <c r="H196" s="1203"/>
      <c r="I196" s="1203"/>
      <c r="J196" s="1203"/>
      <c r="K196" s="1203"/>
      <c r="L196" s="1203"/>
      <c r="M196" s="1203"/>
      <c r="N196" s="1203"/>
      <c r="O196" s="1203"/>
      <c r="P196" s="1054"/>
      <c r="Q196" s="1203"/>
      <c r="R196" s="1203"/>
      <c r="S196" s="1203"/>
      <c r="T196" s="1203"/>
      <c r="U196" s="1203"/>
      <c r="V196" s="1203"/>
      <c r="W196" s="1195"/>
      <c r="X196" s="1203"/>
      <c r="Y196" s="1203"/>
      <c r="Z196" s="1203"/>
      <c r="AA196" s="1203"/>
      <c r="AB196" s="1203"/>
      <c r="AC196" s="1203"/>
      <c r="AD196" s="1203"/>
      <c r="AE196" s="1203"/>
      <c r="AF196" s="1203"/>
      <c r="AG196" s="1203"/>
      <c r="AH196" s="1203"/>
      <c r="AI196" s="1203"/>
      <c r="AJ196" s="1203"/>
      <c r="AK196" s="1090"/>
      <c r="AL196" s="1203"/>
      <c r="AM196" s="1203"/>
      <c r="AN196" s="1203"/>
      <c r="AO196" s="1203"/>
      <c r="AP196" s="1203"/>
      <c r="AQ196" s="1090"/>
      <c r="AR196" s="1090"/>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7905</v>
      </c>
      <c r="C197" s="1131" t="s">
        <v>7906</v>
      </c>
      <c r="D197" s="1203" t="s">
        <v>1545</v>
      </c>
      <c r="E197" s="1203"/>
      <c r="F197" s="1069" t="s">
        <v>7907</v>
      </c>
      <c r="G197" s="1040"/>
      <c r="H197" s="1203"/>
      <c r="I197" s="1203"/>
      <c r="J197" s="1203"/>
      <c r="K197" s="1203"/>
      <c r="L197" s="1203"/>
      <c r="M197" s="1203"/>
      <c r="N197" s="1203"/>
      <c r="O197" s="1203"/>
      <c r="P197" s="1054"/>
      <c r="Q197" s="1203"/>
      <c r="R197" s="1203"/>
      <c r="S197" s="1203"/>
      <c r="T197" s="1203"/>
      <c r="U197" s="1203"/>
      <c r="V197" s="1203"/>
      <c r="W197" s="1032"/>
      <c r="X197" s="1203"/>
      <c r="Y197" s="1203" t="s">
        <v>1545</v>
      </c>
      <c r="Z197" s="1203"/>
      <c r="AA197" s="1203"/>
      <c r="AB197" s="1203"/>
      <c r="AC197" s="1203"/>
      <c r="AD197" s="1203" t="s">
        <v>2055</v>
      </c>
      <c r="AE197" s="1203"/>
      <c r="AF197" s="1203"/>
      <c r="AG197" s="1203"/>
      <c r="AH197" s="1203"/>
      <c r="AI197" s="1203"/>
      <c r="AJ197" s="1203"/>
      <c r="AK197" s="1090"/>
      <c r="AL197" s="1203"/>
      <c r="AM197" s="1203"/>
      <c r="AN197" s="1203"/>
      <c r="AO197" s="1203"/>
      <c r="AP197" s="1203"/>
      <c r="AQ197" s="1090"/>
      <c r="AR197" s="1090"/>
      <c r="AS197" s="1203"/>
      <c r="AT197" s="1203"/>
      <c r="AU197" s="1032"/>
      <c r="AV197" s="1203"/>
      <c r="AW197" s="1203"/>
      <c r="AX197" s="1203"/>
      <c r="AY197" s="1203"/>
      <c r="AZ197" s="1203"/>
      <c r="BA197" s="1032"/>
      <c r="BB197" s="1203"/>
      <c r="BC197" s="1203"/>
      <c r="BD197" s="1203"/>
      <c r="BE197" s="1203"/>
      <c r="BF197" s="1203"/>
      <c r="BG197" s="1203"/>
      <c r="BH197" s="1203"/>
      <c r="BI197" s="1032"/>
      <c r="BJ197" s="1032"/>
      <c r="BK197" s="1032"/>
      <c r="BL197" s="1032"/>
      <c r="BM197" s="1032"/>
      <c r="BN197" s="1032"/>
      <c r="BO197" s="1032"/>
    </row>
    <row r="198" ht="15.75" customHeight="1">
      <c r="A198" s="1196"/>
      <c r="B198" s="1197" t="s">
        <v>7908</v>
      </c>
      <c r="C198" s="1131" t="s">
        <v>2169</v>
      </c>
      <c r="D198" s="1072" t="s">
        <v>7909</v>
      </c>
      <c r="E198" s="1203"/>
      <c r="F198" s="1201" t="s">
        <v>588</v>
      </c>
      <c r="G198" s="1040"/>
      <c r="H198" s="1203" t="s">
        <v>3076</v>
      </c>
      <c r="I198" s="1203"/>
      <c r="J198" s="1203"/>
      <c r="K198" s="1203"/>
      <c r="L198" s="1203"/>
      <c r="M198" s="1203"/>
      <c r="N198" s="1203"/>
      <c r="O198" s="1203"/>
      <c r="P198" s="1054"/>
      <c r="Q198" s="1203"/>
      <c r="R198" s="1203"/>
      <c r="S198" s="1203"/>
      <c r="T198" s="1203" t="s">
        <v>2169</v>
      </c>
      <c r="U198" s="1203"/>
      <c r="V198" s="1203"/>
      <c r="W198" s="1195"/>
      <c r="X198" s="1203"/>
      <c r="Y198" s="1203"/>
      <c r="Z198" s="1203"/>
      <c r="AA198" s="1203" t="s">
        <v>687</v>
      </c>
      <c r="AB198" s="1203"/>
      <c r="AC198" s="1132" t="s">
        <v>2169</v>
      </c>
      <c r="AD198" s="1203"/>
      <c r="AE198" s="1203" t="s">
        <v>1406</v>
      </c>
      <c r="AF198" s="1203"/>
      <c r="AG198" s="1203"/>
      <c r="AH198" s="1203"/>
      <c r="AI198" s="1203"/>
      <c r="AJ198" s="1203"/>
      <c r="AK198" s="1090"/>
      <c r="AL198" s="1203"/>
      <c r="AM198" s="1203"/>
      <c r="AN198" s="1203"/>
      <c r="AO198" s="1203"/>
      <c r="AP198" s="1203"/>
      <c r="AQ198" s="1090"/>
      <c r="AR198" s="1090"/>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7664</v>
      </c>
      <c r="B199" s="1214" t="s">
        <v>7910</v>
      </c>
      <c r="C199" s="1131" t="s">
        <v>5421</v>
      </c>
      <c r="D199" s="1203"/>
      <c r="E199" s="1203"/>
      <c r="F199" s="1021"/>
      <c r="G199" s="1022" t="s">
        <v>3219</v>
      </c>
      <c r="H199" s="1203"/>
      <c r="I199" s="1203"/>
      <c r="J199" s="1203"/>
      <c r="K199" s="1203"/>
      <c r="L199" s="1203"/>
      <c r="M199" s="1203"/>
      <c r="N199" s="1203"/>
      <c r="O199" s="1203"/>
      <c r="P199" s="1054"/>
      <c r="Q199" s="1203"/>
      <c r="R199" s="1203"/>
      <c r="S199" s="1203"/>
      <c r="T199" s="1203"/>
      <c r="U199" s="1203"/>
      <c r="V199" s="1203"/>
      <c r="W199" s="1032"/>
      <c r="X199" s="1203"/>
      <c r="Y199" s="1203"/>
      <c r="Z199" s="1203"/>
      <c r="AA199" s="1203"/>
      <c r="AB199" s="1203"/>
      <c r="AC199" s="1203"/>
      <c r="AD199" s="1203"/>
      <c r="AE199" s="1203"/>
      <c r="AF199" s="1203"/>
      <c r="AG199" s="1203"/>
      <c r="AH199" s="1203"/>
      <c r="AI199" s="1203"/>
      <c r="AJ199" s="1203"/>
      <c r="AK199" s="1090"/>
      <c r="AL199" s="1203"/>
      <c r="AM199" s="1203"/>
      <c r="AN199" s="1203"/>
      <c r="AO199" s="1203"/>
      <c r="AP199" s="1203"/>
      <c r="AQ199" s="1090"/>
      <c r="AR199" s="1090"/>
      <c r="AS199" s="1203"/>
      <c r="AT199" s="1203"/>
      <c r="AU199" s="1032"/>
      <c r="AV199" s="1203"/>
      <c r="AW199" s="1203"/>
      <c r="AX199" s="1203"/>
      <c r="AY199" s="1203"/>
      <c r="AZ199" s="1203"/>
      <c r="BA199" s="1032"/>
      <c r="BB199" s="1203"/>
      <c r="BC199" s="1203"/>
      <c r="BD199" s="1203"/>
      <c r="BE199" s="1203"/>
      <c r="BF199" s="1203"/>
      <c r="BG199" s="1203"/>
      <c r="BH199" s="1203"/>
      <c r="BI199" s="1032"/>
      <c r="BJ199" s="1032"/>
      <c r="BK199" s="1032"/>
      <c r="BL199" s="1032"/>
      <c r="BM199" s="1032"/>
      <c r="BN199" s="1032"/>
      <c r="BO199" s="1032"/>
    </row>
    <row r="200" ht="15.75" customHeight="1">
      <c r="A200" s="1196"/>
      <c r="B200" s="1197" t="s">
        <v>7911</v>
      </c>
      <c r="C200" s="1131" t="s">
        <v>5234</v>
      </c>
      <c r="D200" s="1203" t="s">
        <v>3434</v>
      </c>
      <c r="E200" s="1203"/>
      <c r="F200" s="1201" t="s">
        <v>659</v>
      </c>
      <c r="G200" s="1022" t="s">
        <v>4518</v>
      </c>
      <c r="H200" s="1203"/>
      <c r="I200" s="1203"/>
      <c r="J200" s="1203"/>
      <c r="K200" s="1203" t="s">
        <v>5666</v>
      </c>
      <c r="L200" s="1203" t="s">
        <v>1763</v>
      </c>
      <c r="M200" s="1203"/>
      <c r="N200" s="1203" t="s">
        <v>4659</v>
      </c>
      <c r="O200" s="1203"/>
      <c r="P200" s="1054"/>
      <c r="Q200" s="1203"/>
      <c r="R200" s="1203"/>
      <c r="S200" s="1203"/>
      <c r="T200" s="1203" t="s">
        <v>3504</v>
      </c>
      <c r="U200" s="1203"/>
      <c r="V200" s="1203" t="s">
        <v>7912</v>
      </c>
      <c r="W200" s="1215"/>
      <c r="X200" s="1203"/>
      <c r="Y200" s="1203"/>
      <c r="Z200" s="1203"/>
      <c r="AA200" s="1203"/>
      <c r="AB200" s="1203"/>
      <c r="AC200" s="1203"/>
      <c r="AD200" s="1203"/>
      <c r="AE200" s="1203"/>
      <c r="AF200" s="1203"/>
      <c r="AG200" s="1203"/>
      <c r="AH200" s="1203"/>
      <c r="AI200" s="1203"/>
      <c r="AJ200" s="1203"/>
      <c r="AK200" s="1090"/>
      <c r="AL200" s="1203"/>
      <c r="AM200" s="1203"/>
      <c r="AN200" s="1203"/>
      <c r="AO200" s="1203"/>
      <c r="AP200" s="1203"/>
      <c r="AQ200" s="1090"/>
      <c r="AR200" s="1090"/>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7913</v>
      </c>
      <c r="C201" s="1131" t="s">
        <v>158</v>
      </c>
      <c r="D201" s="1203"/>
      <c r="E201" s="1203"/>
      <c r="F201" s="1021"/>
      <c r="G201" s="1040"/>
      <c r="H201" s="1203"/>
      <c r="I201" s="1203" t="s">
        <v>158</v>
      </c>
      <c r="J201" s="1203"/>
      <c r="K201" s="1203"/>
      <c r="L201" s="1203"/>
      <c r="M201" s="1203"/>
      <c r="N201" s="1203"/>
      <c r="O201" s="1203"/>
      <c r="P201" s="1054"/>
      <c r="Q201" s="1203"/>
      <c r="R201" s="1203"/>
      <c r="S201" s="1203"/>
      <c r="T201" s="1203"/>
      <c r="U201" s="1203"/>
      <c r="V201" s="1203"/>
      <c r="W201" s="1032"/>
      <c r="X201" s="1203"/>
      <c r="Y201" s="1203"/>
      <c r="Z201" s="1203"/>
      <c r="AA201" s="1203"/>
      <c r="AB201" s="1203"/>
      <c r="AC201" s="1203"/>
      <c r="AD201" s="1203"/>
      <c r="AE201" s="1203"/>
      <c r="AF201" s="1203"/>
      <c r="AG201" s="1203"/>
      <c r="AH201" s="1203"/>
      <c r="AI201" s="1203"/>
      <c r="AJ201" s="1203"/>
      <c r="AK201" s="1090"/>
      <c r="AL201" s="1203"/>
      <c r="AM201" s="1203"/>
      <c r="AN201" s="1203"/>
      <c r="AO201" s="1203"/>
      <c r="AP201" s="1203"/>
      <c r="AQ201" s="1090"/>
      <c r="AR201" s="1090"/>
      <c r="AS201" s="1203"/>
      <c r="AT201" s="1203"/>
      <c r="AU201" s="1032"/>
      <c r="AV201" s="1203"/>
      <c r="AW201" s="1203"/>
      <c r="AX201" s="1203"/>
      <c r="AY201" s="1203"/>
      <c r="AZ201" s="1203"/>
      <c r="BA201" s="1032"/>
      <c r="BB201" s="1203"/>
      <c r="BC201" s="1203"/>
      <c r="BD201" s="1203"/>
      <c r="BE201" s="1203"/>
      <c r="BF201" s="1203"/>
      <c r="BG201" s="1203"/>
      <c r="BH201" s="1203"/>
      <c r="BI201" s="1032"/>
      <c r="BJ201" s="1032"/>
      <c r="BK201" s="1032"/>
      <c r="BL201" s="1032"/>
      <c r="BM201" s="1032"/>
      <c r="BN201" s="1032"/>
      <c r="BO201" s="1032"/>
    </row>
    <row r="202" ht="15.75" customHeight="1">
      <c r="A202" s="1196"/>
      <c r="B202" s="1197" t="s">
        <v>7914</v>
      </c>
      <c r="C202" s="1131" t="s">
        <v>366</v>
      </c>
      <c r="D202" s="1024" t="s">
        <v>5865</v>
      </c>
      <c r="E202" s="1023" t="s">
        <v>366</v>
      </c>
      <c r="F202" s="1207" t="s">
        <v>7915</v>
      </c>
      <c r="G202" s="1040"/>
      <c r="H202" s="1024"/>
      <c r="I202" s="1024"/>
      <c r="J202" s="1023" t="s">
        <v>1763</v>
      </c>
      <c r="K202" s="1024"/>
      <c r="L202" s="1024"/>
      <c r="M202" s="1024"/>
      <c r="N202" s="1024"/>
      <c r="O202" s="1024"/>
      <c r="P202" s="1025"/>
      <c r="Q202" s="1024"/>
      <c r="R202" s="1024"/>
      <c r="S202" s="1024"/>
      <c r="T202" s="1024"/>
      <c r="U202" s="1024"/>
      <c r="V202" s="1024"/>
      <c r="W202" s="1195"/>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5"/>
      <c r="AV202" s="1024"/>
      <c r="AW202" s="1024"/>
      <c r="AX202" s="1024"/>
      <c r="AY202" s="1024"/>
      <c r="AZ202" s="1024"/>
      <c r="BA202" s="1195"/>
      <c r="BB202" s="1024"/>
      <c r="BC202" s="1024"/>
      <c r="BD202" s="1024"/>
      <c r="BE202" s="1024"/>
      <c r="BF202" s="1024"/>
      <c r="BG202" s="1024"/>
      <c r="BH202" s="1024"/>
      <c r="BI202" s="1195"/>
      <c r="BJ202" s="1195"/>
      <c r="BK202" s="1195"/>
      <c r="BL202" s="1195"/>
      <c r="BM202" s="1195"/>
      <c r="BN202" s="1195"/>
      <c r="BO202" s="1195"/>
    </row>
    <row r="203" ht="15.75" customHeight="1">
      <c r="A203" s="1205"/>
      <c r="B203" s="1206" t="s">
        <v>7916</v>
      </c>
      <c r="C203" s="1131" t="s">
        <v>940</v>
      </c>
      <c r="D203" s="1029" t="s">
        <v>161</v>
      </c>
      <c r="E203" s="1072"/>
      <c r="F203" s="1055" t="s">
        <v>596</v>
      </c>
      <c r="G203" s="1022" t="s">
        <v>116</v>
      </c>
      <c r="H203" s="1132" t="s">
        <v>7917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9" t="s">
        <v>7512</v>
      </c>
      <c r="B204" s="1204" t="s">
        <v>7910</v>
      </c>
      <c r="C204" s="1131" t="s">
        <v>1491</v>
      </c>
      <c r="D204" s="1072"/>
      <c r="E204" s="1072"/>
      <c r="F204" s="1198"/>
      <c r="G204" s="1040"/>
      <c r="H204" s="1072"/>
      <c r="I204" s="1072"/>
      <c r="J204" s="1072" t="s">
        <v>6988</v>
      </c>
      <c r="K204" s="1072"/>
      <c r="L204" s="1072"/>
      <c r="M204" s="1072"/>
      <c r="N204" s="1072"/>
      <c r="O204" s="1072"/>
      <c r="P204" s="1073"/>
      <c r="Q204" s="1072"/>
      <c r="R204" s="1072"/>
      <c r="S204" s="1072"/>
      <c r="T204" s="1072"/>
      <c r="U204" s="1072"/>
      <c r="V204" s="1072"/>
      <c r="W204" s="1195"/>
      <c r="X204" s="1072"/>
      <c r="Y204" s="1132" t="s">
        <v>844</v>
      </c>
      <c r="Z204" s="1072"/>
      <c r="AA204" s="1072"/>
      <c r="AB204" s="1072"/>
      <c r="AC204" s="1072"/>
      <c r="AD204" s="1132" t="s">
        <v>7918</v>
      </c>
      <c r="AE204" s="1072"/>
      <c r="AF204" s="1072"/>
      <c r="AG204" s="1072"/>
      <c r="AH204" s="1072"/>
      <c r="AI204" s="1072"/>
      <c r="AJ204" s="1072"/>
      <c r="AK204" s="1090"/>
      <c r="AL204" s="1072"/>
      <c r="AM204" s="1072"/>
      <c r="AN204" s="1072"/>
      <c r="AO204" s="1072"/>
      <c r="AP204" s="1072"/>
      <c r="AQ204" s="1090"/>
      <c r="AR204" s="1090"/>
      <c r="AS204" s="1072"/>
      <c r="AT204" s="1072"/>
      <c r="AU204" s="1195"/>
      <c r="AV204" s="1072"/>
      <c r="AW204" s="1072"/>
      <c r="AX204" s="1072"/>
      <c r="AY204" s="1072"/>
      <c r="AZ204" s="1072"/>
      <c r="BA204" s="1195"/>
      <c r="BB204" s="1072"/>
      <c r="BC204" s="1072"/>
      <c r="BD204" s="1072"/>
      <c r="BE204" s="1072"/>
      <c r="BF204" s="1072"/>
      <c r="BG204" s="1072" t="s">
        <v>7919</v>
      </c>
      <c r="BH204" s="1072"/>
      <c r="BI204" s="1195"/>
      <c r="BJ204" s="1195"/>
      <c r="BK204" s="1195"/>
      <c r="BL204" s="1195"/>
      <c r="BM204" s="1195"/>
      <c r="BN204" s="1195"/>
      <c r="BO204" s="1195"/>
    </row>
    <row r="205" ht="15.75" customHeight="1">
      <c r="A205" s="1196"/>
      <c r="B205" s="1197" t="s">
        <v>7911</v>
      </c>
      <c r="C205" s="1131" t="s">
        <v>7920</v>
      </c>
      <c r="D205" s="1072" t="s">
        <v>328</v>
      </c>
      <c r="E205" s="1072" t="s">
        <v>3828</v>
      </c>
      <c r="F205" s="1201" t="s">
        <v>4977</v>
      </c>
      <c r="G205" s="1022" t="s">
        <v>6544</v>
      </c>
      <c r="H205" s="1072"/>
      <c r="I205" s="1072" t="s">
        <v>7921</v>
      </c>
      <c r="J205" s="1072"/>
      <c r="K205" s="1072"/>
      <c r="L205" s="1072" t="s">
        <v>3828</v>
      </c>
      <c r="M205" s="1072"/>
      <c r="N205" s="1072" t="s">
        <v>7922</v>
      </c>
      <c r="O205" s="1072"/>
      <c r="P205" s="1073" t="s">
        <v>3855</v>
      </c>
      <c r="Q205" s="1072"/>
      <c r="R205" s="1067" t="s">
        <v>7923</v>
      </c>
      <c r="S205" s="1072"/>
      <c r="T205" s="1072"/>
      <c r="U205" s="1072"/>
      <c r="V205" s="1072" t="s">
        <v>3166</v>
      </c>
      <c r="W205" s="1044" t="s">
        <v>7924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5"/>
      <c r="B206" s="1206" t="s">
        <v>7913</v>
      </c>
      <c r="C206" s="1131" t="s">
        <v>4911</v>
      </c>
      <c r="D206" s="1203"/>
      <c r="E206" s="1203"/>
      <c r="F206" s="1201"/>
      <c r="G206" s="1040"/>
      <c r="H206" s="1203"/>
      <c r="I206" s="1203" t="str">
        <f>HYPERLINK("https://youtu.be/hsc9lXHQpts","23.75")</f>
        <v>23.75</v>
      </c>
      <c r="J206" s="1203"/>
      <c r="K206" s="1203"/>
      <c r="L206" s="1203"/>
      <c r="M206" s="1203"/>
      <c r="N206" s="1203"/>
      <c r="O206" s="1203"/>
      <c r="P206" s="1054"/>
      <c r="Q206" s="1203"/>
      <c r="R206" s="1203"/>
      <c r="S206" s="1203"/>
      <c r="T206" s="1203"/>
      <c r="U206" s="1203"/>
      <c r="V206" s="1203"/>
      <c r="W206" s="1195"/>
      <c r="X206" s="1203"/>
      <c r="Y206" s="1203" t="s">
        <v>4753</v>
      </c>
      <c r="Z206" s="1203"/>
      <c r="AA206" s="1203"/>
      <c r="AB206" s="1203"/>
      <c r="AC206" s="1203"/>
      <c r="AD206" s="1203" t="s">
        <v>543</v>
      </c>
      <c r="AE206" s="1203"/>
      <c r="AF206" s="1203"/>
      <c r="AG206" s="1203"/>
      <c r="AH206" s="1203"/>
      <c r="AI206" s="1203"/>
      <c r="AJ206" s="1203"/>
      <c r="AK206" s="1090"/>
      <c r="AL206" s="1203"/>
      <c r="AM206" s="1203"/>
      <c r="AN206" s="1203"/>
      <c r="AO206" s="1203"/>
      <c r="AP206" s="1203"/>
      <c r="AQ206" s="1090"/>
      <c r="AR206" s="1090"/>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7914</v>
      </c>
      <c r="C207" s="1131" t="s">
        <v>2930</v>
      </c>
      <c r="D207" s="1029" t="s">
        <v>543</v>
      </c>
      <c r="E207" s="1029" t="s">
        <v>2930</v>
      </c>
      <c r="F207" s="1049" t="s">
        <v>7925</v>
      </c>
      <c r="G207" s="1040"/>
      <c r="H207" s="1029"/>
      <c r="I207" s="1029" t="s">
        <v>1459</v>
      </c>
      <c r="J207" s="1029" t="s">
        <v>7926</v>
      </c>
      <c r="K207" s="1029" t="s">
        <v>4250</v>
      </c>
      <c r="L207" s="1029"/>
      <c r="M207" s="1029" t="s">
        <v>7927</v>
      </c>
      <c r="N207" s="1029" t="s">
        <v>4493</v>
      </c>
      <c r="O207" s="1029" t="s">
        <v>4834</v>
      </c>
      <c r="P207" s="1023" t="s">
        <v>7928</v>
      </c>
      <c r="Q207" s="1029"/>
      <c r="R207" s="1023" t="s">
        <v>5895</v>
      </c>
      <c r="S207" s="1029"/>
      <c r="T207" s="1029"/>
      <c r="U207" s="1029"/>
      <c r="V207" s="1029"/>
      <c r="W207" s="1032"/>
      <c r="X207" s="1029" t="s">
        <v>2532</v>
      </c>
      <c r="Y207" s="1029" t="s">
        <v>7929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6"/>
      <c r="B208" s="1217" t="s">
        <v>7916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5"/>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8" t="s">
        <v>496</v>
      </c>
      <c r="AS208" s="1024"/>
      <c r="AT208" s="1024"/>
      <c r="AU208" s="1195"/>
      <c r="AV208" s="1024"/>
      <c r="AW208" s="1024"/>
      <c r="AX208" s="1024"/>
      <c r="AY208" s="1024"/>
      <c r="AZ208" s="1024"/>
      <c r="BA208" s="1195"/>
      <c r="BB208" s="1024"/>
      <c r="BC208" s="1024"/>
      <c r="BD208" s="1024"/>
      <c r="BE208" s="1024"/>
      <c r="BF208" s="1024"/>
      <c r="BG208" s="1024"/>
      <c r="BH208" s="1024"/>
      <c r="BI208" s="1195"/>
      <c r="BJ208" s="1195"/>
      <c r="BK208" s="1195"/>
      <c r="BL208" s="1195"/>
      <c r="BM208" s="1195"/>
      <c r="BN208" s="1195"/>
      <c r="BO208" s="1195"/>
    </row>
    <row r="209" ht="15.75" customHeight="1">
      <c r="A209" s="1199" t="s">
        <v>7519</v>
      </c>
      <c r="B209" s="1204" t="s">
        <v>7498</v>
      </c>
      <c r="C209" s="1131" t="s">
        <v>892</v>
      </c>
      <c r="D209" s="1024" t="s">
        <v>6027</v>
      </c>
      <c r="E209" s="1023" t="s">
        <v>380</v>
      </c>
      <c r="F209" s="1049" t="s">
        <v>1009</v>
      </c>
      <c r="G209" s="1022" t="s">
        <v>7930</v>
      </c>
      <c r="H209" s="1024" t="s">
        <v>2167</v>
      </c>
      <c r="I209" s="1024"/>
      <c r="J209" s="1024"/>
      <c r="K209" s="1024"/>
      <c r="L209" s="1024" t="s">
        <v>7931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9" t="s">
        <v>7932</v>
      </c>
      <c r="B210" s="1204" t="s">
        <v>7498</v>
      </c>
      <c r="C210" s="1131" t="s">
        <v>7933</v>
      </c>
      <c r="D210" s="1024"/>
      <c r="E210" s="1023" t="s">
        <v>7933</v>
      </c>
      <c r="F210" s="1207" t="s">
        <v>7934</v>
      </c>
      <c r="G210" s="1040"/>
      <c r="H210" s="1024" t="s">
        <v>7935</v>
      </c>
      <c r="I210" s="1024"/>
      <c r="J210" s="1024" t="s">
        <v>7936</v>
      </c>
      <c r="K210" s="1024"/>
      <c r="L210" s="1024"/>
      <c r="M210" s="1024"/>
      <c r="N210" s="1024"/>
      <c r="O210" s="1023" t="s">
        <v>7933</v>
      </c>
      <c r="P210" s="1025"/>
      <c r="Q210" s="1024"/>
      <c r="R210" s="1024"/>
      <c r="S210" s="1024"/>
      <c r="T210" s="1024"/>
      <c r="U210" s="1024"/>
      <c r="V210" s="1024"/>
      <c r="W210" s="1195"/>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5"/>
      <c r="AV210" s="1024"/>
      <c r="AW210" s="1024"/>
      <c r="AX210" s="1024"/>
      <c r="AY210" s="1024"/>
      <c r="AZ210" s="1024"/>
      <c r="BA210" s="1195"/>
      <c r="BB210" s="1024"/>
      <c r="BC210" s="1024"/>
      <c r="BD210" s="1024"/>
      <c r="BE210" s="1024"/>
      <c r="BF210" s="1024"/>
      <c r="BG210" s="1024"/>
      <c r="BH210" s="1024"/>
      <c r="BI210" s="1195"/>
      <c r="BJ210" s="1195"/>
      <c r="BK210" s="1195"/>
      <c r="BL210" s="1195"/>
      <c r="BM210" s="1195"/>
      <c r="BN210" s="1195"/>
      <c r="BO210" s="1195"/>
    </row>
    <row r="211" ht="15.75" customHeight="1">
      <c r="A211" s="1193" t="s">
        <v>7735</v>
      </c>
      <c r="B211" s="1202" t="s">
        <v>7937</v>
      </c>
      <c r="C211" s="1131" t="s">
        <v>7938</v>
      </c>
      <c r="D211" s="1029" t="s">
        <v>1595</v>
      </c>
      <c r="E211" s="1029" t="s">
        <v>7938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5"/>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5"/>
      <c r="AV211" s="1029"/>
      <c r="AW211" s="1029"/>
      <c r="AX211" s="1029"/>
      <c r="AY211" s="1029"/>
      <c r="AZ211" s="1029"/>
      <c r="BA211" s="1195"/>
      <c r="BB211" s="1029"/>
      <c r="BC211" s="1029"/>
      <c r="BD211" s="1029"/>
      <c r="BE211" s="1029"/>
      <c r="BF211" s="1029"/>
      <c r="BG211" s="1029"/>
      <c r="BH211" s="1029"/>
      <c r="BI211" s="1195"/>
      <c r="BJ211" s="1195"/>
      <c r="BK211" s="1195"/>
      <c r="BL211" s="1195"/>
      <c r="BM211" s="1195"/>
      <c r="BN211" s="1195"/>
      <c r="BO211" s="1195"/>
    </row>
    <row r="212" ht="15.75" customHeight="1">
      <c r="A212" s="1199" t="s">
        <v>7519</v>
      </c>
      <c r="B212" s="1204" t="s">
        <v>7498</v>
      </c>
      <c r="C212" s="1048" t="s">
        <v>7939</v>
      </c>
      <c r="D212" s="1029" t="s">
        <v>3396</v>
      </c>
      <c r="E212" s="1029" t="s">
        <v>4446</v>
      </c>
      <c r="F212" s="1049" t="s">
        <v>7939</v>
      </c>
      <c r="G212" s="1022" t="s">
        <v>965</v>
      </c>
      <c r="H212" s="1029" t="s">
        <v>1049</v>
      </c>
      <c r="I212" s="1029"/>
      <c r="J212" s="1029"/>
      <c r="K212" s="1029"/>
      <c r="L212" s="1029" t="s">
        <v>313</v>
      </c>
      <c r="M212" s="1029"/>
      <c r="N212" s="1029"/>
      <c r="O212" s="1029"/>
      <c r="P212" s="1025"/>
      <c r="Q212" s="1029"/>
      <c r="R212" s="1029"/>
      <c r="S212" s="1029" t="s">
        <v>7940</v>
      </c>
      <c r="T212" s="1029"/>
      <c r="U212" s="1029"/>
      <c r="V212" s="1029"/>
      <c r="W212" s="1032"/>
      <c r="X212" s="1029" t="s">
        <v>7941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3" t="s">
        <v>7568</v>
      </c>
      <c r="B213" s="1202" t="s">
        <v>7942</v>
      </c>
      <c r="C213" s="1219" t="s">
        <v>5881</v>
      </c>
      <c r="D213" s="1203"/>
      <c r="E213" s="1203"/>
      <c r="F213" s="1207" t="s">
        <v>4791</v>
      </c>
      <c r="G213" s="1040"/>
      <c r="H213" s="1039" t="s">
        <v>4157</v>
      </c>
      <c r="I213" s="1203"/>
      <c r="J213" s="1203"/>
      <c r="K213" s="1203"/>
      <c r="L213" s="1203"/>
      <c r="M213" s="1203"/>
      <c r="N213" s="1203"/>
      <c r="O213" s="1203"/>
      <c r="P213" s="1054"/>
      <c r="Q213" s="1203"/>
      <c r="R213" s="1203"/>
      <c r="S213" s="1203"/>
      <c r="T213" s="1203"/>
      <c r="U213" s="1203"/>
      <c r="V213" s="1203"/>
      <c r="W213" s="1195"/>
      <c r="X213" s="1203"/>
      <c r="Y213" s="1203"/>
      <c r="Z213" s="1203"/>
      <c r="AA213" s="1203"/>
      <c r="AB213" s="1203"/>
      <c r="AC213" s="1203"/>
      <c r="AD213" s="1203"/>
      <c r="AE213" s="1203"/>
      <c r="AF213" s="1203"/>
      <c r="AG213" s="1203"/>
      <c r="AH213" s="1203"/>
      <c r="AI213" s="1203"/>
      <c r="AJ213" s="1203"/>
      <c r="AK213" s="1090"/>
      <c r="AL213" s="1203"/>
      <c r="AM213" s="1203"/>
      <c r="AN213" s="1203"/>
      <c r="AO213" s="1203"/>
      <c r="AP213" s="1203"/>
      <c r="AQ213" s="1090"/>
      <c r="AR213" s="1090"/>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7943</v>
      </c>
      <c r="C214" s="1131" t="s">
        <v>526</v>
      </c>
      <c r="D214" s="1203"/>
      <c r="E214" s="1203"/>
      <c r="F214" s="1021"/>
      <c r="G214" s="1040"/>
      <c r="H214" s="1203" t="s">
        <v>526</v>
      </c>
      <c r="I214" s="1203"/>
      <c r="J214" s="1203"/>
      <c r="K214" s="1203"/>
      <c r="L214" s="1203"/>
      <c r="M214" s="1203"/>
      <c r="N214" s="1203"/>
      <c r="O214" s="1203"/>
      <c r="P214" s="1054"/>
      <c r="Q214" s="1203"/>
      <c r="R214" s="1203"/>
      <c r="S214" s="1203"/>
      <c r="T214" s="1203"/>
      <c r="U214" s="1203"/>
      <c r="V214" s="1203"/>
      <c r="W214" s="1195"/>
      <c r="X214" s="1203"/>
      <c r="Y214" s="1203"/>
      <c r="Z214" s="1203"/>
      <c r="AA214" s="1203"/>
      <c r="AB214" s="1203"/>
      <c r="AC214" s="1203"/>
      <c r="AD214" s="1203"/>
      <c r="AE214" s="1203"/>
      <c r="AF214" s="1203"/>
      <c r="AG214" s="1203"/>
      <c r="AH214" s="1203"/>
      <c r="AI214" s="1203"/>
      <c r="AJ214" s="1203"/>
      <c r="AK214" s="1090"/>
      <c r="AL214" s="1203"/>
      <c r="AM214" s="1203"/>
      <c r="AN214" s="1203"/>
      <c r="AO214" s="1203"/>
      <c r="AP214" s="1203"/>
      <c r="AQ214" s="1090"/>
      <c r="AR214" s="1090"/>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7605</v>
      </c>
      <c r="B215" s="1202" t="s">
        <v>7944</v>
      </c>
      <c r="C215" s="1131" t="s">
        <v>1873</v>
      </c>
      <c r="D215" s="1203" t="s">
        <v>4160</v>
      </c>
      <c r="E215" s="1203"/>
      <c r="F215" s="1207" t="s">
        <v>887</v>
      </c>
      <c r="G215" s="1022" t="s">
        <v>3123</v>
      </c>
      <c r="H215" s="1203"/>
      <c r="I215" s="1203"/>
      <c r="J215" s="1203"/>
      <c r="K215" s="1203" t="s">
        <v>1122</v>
      </c>
      <c r="L215" s="1203"/>
      <c r="M215" s="1203"/>
      <c r="N215" s="1203" t="s">
        <v>7945</v>
      </c>
      <c r="O215" s="1132" t="s">
        <v>6825</v>
      </c>
      <c r="P215" s="1054" t="s">
        <v>7946</v>
      </c>
      <c r="Q215" s="1203"/>
      <c r="R215" s="1203" t="s">
        <v>887</v>
      </c>
      <c r="S215" s="1203" t="s">
        <v>7946</v>
      </c>
      <c r="T215" s="1203"/>
      <c r="U215" s="1203"/>
      <c r="V215" s="1203"/>
      <c r="W215" s="1195"/>
      <c r="X215" s="1203"/>
      <c r="Y215" s="1203"/>
      <c r="Z215" s="1203"/>
      <c r="AA215" s="1203"/>
      <c r="AB215" s="1203"/>
      <c r="AC215" s="1203"/>
      <c r="AD215" s="1203"/>
      <c r="AE215" s="1203"/>
      <c r="AF215" s="1203"/>
      <c r="AG215" s="1203"/>
      <c r="AH215" s="1203"/>
      <c r="AI215" s="1203"/>
      <c r="AJ215" s="1203"/>
      <c r="AK215" s="1090"/>
      <c r="AL215" s="1203"/>
      <c r="AM215" s="1203"/>
      <c r="AN215" s="1203"/>
      <c r="AO215" s="1203"/>
      <c r="AP215" s="1203"/>
      <c r="AQ215" s="1090"/>
      <c r="AR215" s="1090"/>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7947</v>
      </c>
      <c r="C216" s="1131" t="s">
        <v>394</v>
      </c>
      <c r="D216" s="1029" t="s">
        <v>1523</v>
      </c>
      <c r="E216" s="1203"/>
      <c r="F216" s="1035" t="s">
        <v>2567</v>
      </c>
      <c r="G216" s="1022" t="s">
        <v>166</v>
      </c>
      <c r="H216" s="1203"/>
      <c r="I216" s="1203"/>
      <c r="J216" s="1203"/>
      <c r="K216" s="1203"/>
      <c r="L216" s="1132" t="s">
        <v>945</v>
      </c>
      <c r="M216" s="1132" t="s">
        <v>788</v>
      </c>
      <c r="N216" s="1203"/>
      <c r="O216" s="1132" t="s">
        <v>1993</v>
      </c>
      <c r="P216" s="1054" t="s">
        <v>1463</v>
      </c>
      <c r="Q216" s="1203"/>
      <c r="R216" s="1203" t="s">
        <v>2766</v>
      </c>
      <c r="S216" s="1203"/>
      <c r="T216" s="1203" t="s">
        <v>1092</v>
      </c>
      <c r="U216" s="1203"/>
      <c r="V216" s="1203"/>
      <c r="W216" s="1032"/>
      <c r="X216" s="1203"/>
      <c r="Y216" s="1203"/>
      <c r="Z216" s="1203"/>
      <c r="AA216" s="1203"/>
      <c r="AB216" s="1203"/>
      <c r="AC216" s="1203"/>
      <c r="AD216" s="1203"/>
      <c r="AE216" s="1203"/>
      <c r="AF216" s="1203"/>
      <c r="AG216" s="1203"/>
      <c r="AH216" s="1203"/>
      <c r="AI216" s="1203"/>
      <c r="AJ216" s="1203"/>
      <c r="AK216" s="1090"/>
      <c r="AL216" s="1203"/>
      <c r="AM216" s="1203"/>
      <c r="AN216" s="1203"/>
      <c r="AO216" s="1203"/>
      <c r="AP216" s="1203"/>
      <c r="AQ216" s="1090"/>
      <c r="AR216" s="1090"/>
      <c r="AS216" s="1203"/>
      <c r="AT216" s="1203"/>
      <c r="AU216" s="1032"/>
      <c r="AV216" s="1203"/>
      <c r="AW216" s="1203"/>
      <c r="AX216" s="1203"/>
      <c r="AY216" s="1203"/>
      <c r="AZ216" s="1203"/>
      <c r="BA216" s="1032"/>
      <c r="BB216" s="1203"/>
      <c r="BC216" s="1203"/>
      <c r="BD216" s="1203"/>
      <c r="BE216" s="1203"/>
      <c r="BF216" s="1203"/>
      <c r="BG216" s="1203"/>
      <c r="BH216" s="1203"/>
      <c r="BI216" s="1032"/>
      <c r="BJ216" s="1032"/>
      <c r="BK216" s="1032"/>
      <c r="BL216" s="1032"/>
      <c r="BM216" s="1032"/>
      <c r="BN216" s="1032"/>
      <c r="BO216" s="1032"/>
    </row>
    <row r="217" ht="15.75" customHeight="1">
      <c r="A217" s="1193" t="s">
        <v>7609</v>
      </c>
      <c r="B217" s="1202" t="s">
        <v>7948</v>
      </c>
      <c r="C217" s="1131" t="s">
        <v>1464</v>
      </c>
      <c r="D217" s="1075" t="s">
        <v>1598</v>
      </c>
      <c r="E217" s="1203"/>
      <c r="F217" s="1198"/>
      <c r="G217" s="1040"/>
      <c r="H217" s="1203"/>
      <c r="I217" s="1203" t="s">
        <v>1464</v>
      </c>
      <c r="J217" s="1203" t="s">
        <v>7949</v>
      </c>
      <c r="K217" s="1203" t="s">
        <v>7950</v>
      </c>
      <c r="L217" s="1203"/>
      <c r="M217" s="1203"/>
      <c r="N217" s="1203"/>
      <c r="O217" s="1203"/>
      <c r="P217" s="1054"/>
      <c r="Q217" s="1203"/>
      <c r="R217" s="1203"/>
      <c r="S217" s="1203"/>
      <c r="T217" s="1203"/>
      <c r="U217" s="1203"/>
      <c r="V217" s="1203"/>
      <c r="W217" s="1195"/>
      <c r="X217" s="1203"/>
      <c r="Y217" s="1203"/>
      <c r="Z217" s="1203"/>
      <c r="AA217" s="1203"/>
      <c r="AB217" s="1203"/>
      <c r="AC217" s="1203"/>
      <c r="AD217" s="1203"/>
      <c r="AE217" s="1203"/>
      <c r="AF217" s="1203"/>
      <c r="AG217" s="1203"/>
      <c r="AH217" s="1203"/>
      <c r="AI217" s="1203"/>
      <c r="AJ217" s="1203"/>
      <c r="AK217" s="1090"/>
      <c r="AL217" s="1203"/>
      <c r="AM217" s="1203"/>
      <c r="AN217" s="1203"/>
      <c r="AO217" s="1203"/>
      <c r="AP217" s="1203"/>
      <c r="AQ217" s="1090"/>
      <c r="AR217" s="1090"/>
      <c r="AS217" s="1203"/>
      <c r="AT217" s="1203"/>
      <c r="AU217" s="1195"/>
      <c r="AV217" s="1203"/>
      <c r="AW217" s="1203"/>
      <c r="AX217" s="1203"/>
      <c r="AY217" s="1203"/>
      <c r="AZ217" s="1203"/>
      <c r="BA217" s="1195"/>
      <c r="BB217" s="1203"/>
      <c r="BC217" s="1203"/>
      <c r="BD217" s="1203"/>
      <c r="BE217" s="1203"/>
      <c r="BF217" s="1203"/>
      <c r="BG217" s="1203"/>
      <c r="BH217" s="1072" t="s">
        <v>7951</v>
      </c>
      <c r="BI217" s="1195"/>
      <c r="BJ217" s="1195"/>
      <c r="BK217" s="1195"/>
      <c r="BL217" s="1195"/>
      <c r="BM217" s="1195"/>
      <c r="BN217" s="1195"/>
      <c r="BO217" s="1195"/>
    </row>
    <row r="218" ht="15.75" customHeight="1">
      <c r="A218" s="1193" t="s">
        <v>7850</v>
      </c>
      <c r="B218" s="1202" t="s">
        <v>7498</v>
      </c>
      <c r="C218" s="1131" t="str">
        <f>HYPERLINK("https://www.youtube.com/watch?v=_HQgQjbTLjM","1:11.32")</f>
        <v>1:11.32</v>
      </c>
      <c r="D218" s="983" t="s">
        <v>1599</v>
      </c>
      <c r="E218" s="1203"/>
      <c r="F218" s="1198"/>
      <c r="G218" s="1022" t="s">
        <v>1308</v>
      </c>
      <c r="H218" s="1203"/>
      <c r="I218" s="1203" t="s">
        <v>1474</v>
      </c>
      <c r="J218" s="1203" t="s">
        <v>7952</v>
      </c>
      <c r="K218" s="1203" t="s">
        <v>3660</v>
      </c>
      <c r="L218" s="1203" t="s">
        <v>947</v>
      </c>
      <c r="M218" s="1203" t="s">
        <v>867</v>
      </c>
      <c r="N218" s="1203"/>
      <c r="O218" s="1203"/>
      <c r="P218" s="1054"/>
      <c r="Q218" s="1203"/>
      <c r="R218" s="1203"/>
      <c r="S218" s="1203"/>
      <c r="T218" s="1203"/>
      <c r="U218" s="1203"/>
      <c r="V218" s="1203"/>
      <c r="W218" s="1032"/>
      <c r="X218" s="1203"/>
      <c r="Y218" s="1203"/>
      <c r="Z218" s="1203"/>
      <c r="AA218" s="1203"/>
      <c r="AB218" s="1203"/>
      <c r="AC218" s="1203"/>
      <c r="AD218" s="1203"/>
      <c r="AE218" s="1203"/>
      <c r="AF218" s="1203"/>
      <c r="AG218" s="1203"/>
      <c r="AH218" s="1203"/>
      <c r="AI218" s="1203"/>
      <c r="AJ218" s="1203"/>
      <c r="AK218" s="1090"/>
      <c r="AL218" s="1203"/>
      <c r="AM218" s="1203"/>
      <c r="AN218" s="1203"/>
      <c r="AO218" s="1203"/>
      <c r="AP218" s="1203"/>
      <c r="AQ218" s="1090"/>
      <c r="AR218" s="1090"/>
      <c r="AS218" s="1203"/>
      <c r="AT218" s="1203"/>
      <c r="AU218" s="1032"/>
      <c r="AV218" s="1203"/>
      <c r="AW218" s="1203"/>
      <c r="AX218" s="1203"/>
      <c r="AY218" s="1203"/>
      <c r="AZ218" s="1203"/>
      <c r="BA218" s="1032"/>
      <c r="BB218" s="1203"/>
      <c r="BC218" s="1203"/>
      <c r="BD218" s="1203"/>
      <c r="BE218" s="1203"/>
      <c r="BF218" s="1203"/>
      <c r="BG218" s="1203"/>
      <c r="BH218" s="1203"/>
      <c r="BI218" s="1032"/>
      <c r="BJ218" s="1032"/>
      <c r="BK218" s="1032"/>
      <c r="BL218" s="1032"/>
      <c r="BM218" s="1032"/>
      <c r="BN218" s="1032"/>
      <c r="BO218" s="1032"/>
    </row>
    <row r="219" ht="15.75" customHeight="1">
      <c r="A219" s="1199" t="s">
        <v>7614</v>
      </c>
      <c r="B219" s="1204" t="s">
        <v>7498</v>
      </c>
      <c r="C219" s="1038" t="s">
        <v>7953</v>
      </c>
      <c r="D219" s="1023" t="s">
        <v>7953</v>
      </c>
      <c r="E219" s="1203"/>
      <c r="F219" s="1021"/>
      <c r="G219" s="1040"/>
      <c r="H219" s="1203"/>
      <c r="I219" s="1203"/>
      <c r="J219" s="1203" t="s">
        <v>321</v>
      </c>
      <c r="K219" s="1203"/>
      <c r="L219" s="1203"/>
      <c r="M219" s="1203"/>
      <c r="N219" s="1203"/>
      <c r="O219" s="1203"/>
      <c r="P219" s="1054"/>
      <c r="Q219" s="1203"/>
      <c r="R219" s="1203"/>
      <c r="S219" s="1203"/>
      <c r="T219" s="1203"/>
      <c r="U219" s="1203"/>
      <c r="V219" s="1203"/>
      <c r="W219" s="1195"/>
      <c r="X219" s="1203"/>
      <c r="Y219" s="1203"/>
      <c r="Z219" s="1203"/>
      <c r="AA219" s="1203"/>
      <c r="AB219" s="1203"/>
      <c r="AC219" s="1203"/>
      <c r="AD219" s="1203"/>
      <c r="AE219" s="1203"/>
      <c r="AF219" s="1203"/>
      <c r="AG219" s="1203"/>
      <c r="AH219" s="1203"/>
      <c r="AI219" s="1203"/>
      <c r="AJ219" s="1203"/>
      <c r="AK219" s="1090"/>
      <c r="AL219" s="1203"/>
      <c r="AM219" s="1203"/>
      <c r="AN219" s="1203"/>
      <c r="AO219" s="1203"/>
      <c r="AP219" s="1203"/>
      <c r="AQ219" s="1090"/>
      <c r="AR219" s="1090"/>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7954</v>
      </c>
      <c r="B220" s="1204" t="s">
        <v>7955</v>
      </c>
      <c r="C220" s="1131" t="s">
        <v>7956</v>
      </c>
      <c r="D220" s="1203"/>
      <c r="E220" s="1203"/>
      <c r="F220" s="1198"/>
      <c r="G220" s="1040"/>
      <c r="H220" s="1203"/>
      <c r="I220" s="1203"/>
      <c r="J220" s="1203" t="s">
        <v>7956</v>
      </c>
      <c r="K220" s="1203"/>
      <c r="L220" s="1203"/>
      <c r="M220" s="1203"/>
      <c r="N220" s="1203"/>
      <c r="O220" s="1203"/>
      <c r="P220" s="1054"/>
      <c r="Q220" s="1203"/>
      <c r="R220" s="1203"/>
      <c r="S220" s="1203"/>
      <c r="T220" s="1203"/>
      <c r="U220" s="1203"/>
      <c r="V220" s="1203"/>
      <c r="W220" s="1032"/>
      <c r="X220" s="1203"/>
      <c r="Y220" s="1203"/>
      <c r="Z220" s="1203"/>
      <c r="AA220" s="1203"/>
      <c r="AB220" s="1203"/>
      <c r="AC220" s="1203"/>
      <c r="AD220" s="1203"/>
      <c r="AE220" s="1203"/>
      <c r="AF220" s="1203"/>
      <c r="AG220" s="1203"/>
      <c r="AH220" s="1203"/>
      <c r="AI220" s="1203"/>
      <c r="AJ220" s="1203"/>
      <c r="AK220" s="1090"/>
      <c r="AL220" s="1203"/>
      <c r="AM220" s="1203"/>
      <c r="AN220" s="1203"/>
      <c r="AO220" s="1203"/>
      <c r="AP220" s="1203"/>
      <c r="AQ220" s="1090"/>
      <c r="AR220" s="1090"/>
      <c r="AS220" s="1203"/>
      <c r="AT220" s="1203"/>
      <c r="AU220" s="1032"/>
      <c r="AV220" s="1203"/>
      <c r="AW220" s="1203"/>
      <c r="AX220" s="1203"/>
      <c r="AY220" s="1203"/>
      <c r="AZ220" s="1203"/>
      <c r="BA220" s="1032"/>
      <c r="BB220" s="1203"/>
      <c r="BC220" s="1203"/>
      <c r="BD220" s="1203"/>
      <c r="BE220" s="1203"/>
      <c r="BF220" s="1203"/>
      <c r="BG220" s="1203"/>
      <c r="BH220" s="1203"/>
      <c r="BI220" s="1032"/>
      <c r="BJ220" s="1032"/>
      <c r="BK220" s="1032"/>
      <c r="BL220" s="1032"/>
      <c r="BM220" s="1032"/>
      <c r="BN220" s="1032"/>
      <c r="BO220" s="1032"/>
    </row>
    <row r="221" ht="15.75" customHeight="1">
      <c r="A221" s="1212"/>
      <c r="B221" s="1213" t="s">
        <v>7957</v>
      </c>
      <c r="C221" s="1131" t="s">
        <v>2425</v>
      </c>
      <c r="D221" s="1203"/>
      <c r="E221" s="1203"/>
      <c r="F221" s="1021"/>
      <c r="G221" s="1040"/>
      <c r="H221" s="1203"/>
      <c r="I221" s="1203"/>
      <c r="J221" s="1203" t="s">
        <v>2425</v>
      </c>
      <c r="K221" s="1203"/>
      <c r="L221" s="1203"/>
      <c r="M221" s="1203"/>
      <c r="N221" s="1203"/>
      <c r="O221" s="1203"/>
      <c r="P221" s="1054"/>
      <c r="Q221" s="1203"/>
      <c r="R221" s="1203"/>
      <c r="S221" s="1203"/>
      <c r="T221" s="1203"/>
      <c r="U221" s="1203"/>
      <c r="V221" s="1203"/>
      <c r="W221" s="1195"/>
      <c r="X221" s="1203"/>
      <c r="Y221" s="1203"/>
      <c r="Z221" s="1203"/>
      <c r="AA221" s="1203"/>
      <c r="AB221" s="1203"/>
      <c r="AC221" s="1203"/>
      <c r="AD221" s="1203"/>
      <c r="AE221" s="1203"/>
      <c r="AF221" s="1203"/>
      <c r="AG221" s="1203"/>
      <c r="AH221" s="1203"/>
      <c r="AI221" s="1203"/>
      <c r="AJ221" s="1203"/>
      <c r="AK221" s="1090"/>
      <c r="AL221" s="1203"/>
      <c r="AM221" s="1203"/>
      <c r="AN221" s="1203"/>
      <c r="AO221" s="1203"/>
      <c r="AP221" s="1203"/>
      <c r="AQ221" s="1090"/>
      <c r="AR221" s="1090"/>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7714</v>
      </c>
      <c r="B222" s="1202"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9" t="s">
        <v>7614</v>
      </c>
      <c r="B223" s="1204" t="s">
        <v>7498</v>
      </c>
      <c r="C223" s="1038" t="s">
        <v>7958</v>
      </c>
      <c r="D223" s="1023" t="s">
        <v>7958</v>
      </c>
      <c r="E223" s="1029"/>
      <c r="F223" s="1021"/>
      <c r="G223" s="1040"/>
      <c r="H223" s="1203"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7959</v>
      </c>
      <c r="AS223" s="1029"/>
      <c r="AT223" s="1023" t="s">
        <v>7960</v>
      </c>
      <c r="AU223" s="1032"/>
      <c r="AV223" s="1029"/>
      <c r="AW223" s="1029"/>
      <c r="AX223" s="1029"/>
      <c r="AY223" s="1029"/>
      <c r="AZ223" s="1029"/>
      <c r="BA223" s="1032"/>
      <c r="BB223" s="1029"/>
      <c r="BC223" s="1029"/>
      <c r="BD223" s="1029"/>
      <c r="BE223" s="1029"/>
      <c r="BF223" s="1029"/>
      <c r="BG223" s="1029"/>
      <c r="BH223" s="1029"/>
      <c r="BI223" s="1032"/>
      <c r="BJ223" s="1221"/>
      <c r="BK223" s="1032"/>
      <c r="BL223" s="1032"/>
      <c r="BM223" s="1032"/>
      <c r="BN223" s="1032"/>
      <c r="BO223" s="1032"/>
    </row>
    <row r="224" ht="15.75" customHeight="1">
      <c r="A224" s="1193" t="s">
        <v>57</v>
      </c>
      <c r="B224" s="1202" t="s">
        <v>7961</v>
      </c>
      <c r="C224" s="1131" t="s">
        <v>1466</v>
      </c>
      <c r="D224" s="983" t="s">
        <v>7962</v>
      </c>
      <c r="E224" s="1203"/>
      <c r="F224" s="1021"/>
      <c r="G224" s="1022" t="s">
        <v>1309</v>
      </c>
      <c r="H224" s="1203"/>
      <c r="I224" s="1203" t="s">
        <v>1466</v>
      </c>
      <c r="J224" s="1203"/>
      <c r="K224" s="1203"/>
      <c r="L224" s="1132" t="s">
        <v>170</v>
      </c>
      <c r="M224" s="1203"/>
      <c r="N224" s="1203"/>
      <c r="O224" s="1203"/>
      <c r="P224" s="1054"/>
      <c r="Q224" s="1203"/>
      <c r="R224" s="1203"/>
      <c r="S224" s="1203"/>
      <c r="T224" s="1203"/>
      <c r="U224" s="1203"/>
      <c r="V224" s="1203"/>
      <c r="W224" s="1032"/>
      <c r="X224" s="1203"/>
      <c r="Y224" s="1203"/>
      <c r="Z224" s="1203"/>
      <c r="AA224" s="1203"/>
      <c r="AB224" s="1203"/>
      <c r="AC224" s="1203"/>
      <c r="AD224" s="1203"/>
      <c r="AE224" s="1203"/>
      <c r="AF224" s="1203"/>
      <c r="AG224" s="1203"/>
      <c r="AH224" s="1203"/>
      <c r="AI224" s="1203"/>
      <c r="AJ224" s="1203"/>
      <c r="AK224" s="1090"/>
      <c r="AL224" s="1203"/>
      <c r="AM224" s="1203"/>
      <c r="AN224" s="1203"/>
      <c r="AO224" s="1132" t="str">
        <f>HYPERLINK("https://youtu.be/fYWiIA5i7cs","2:29.99")</f>
        <v>2:29.99</v>
      </c>
      <c r="AP224" s="1203"/>
      <c r="AQ224" s="1090"/>
      <c r="AR224" s="1090"/>
      <c r="AS224" s="1203"/>
      <c r="AT224" s="1203"/>
      <c r="AU224" s="1032"/>
      <c r="AV224" s="1203"/>
      <c r="AW224" s="1203"/>
      <c r="AX224" s="1203"/>
      <c r="AY224" s="1203"/>
      <c r="AZ224" s="1203"/>
      <c r="BA224" s="1032"/>
      <c r="BB224" s="1203"/>
      <c r="BC224" s="1203"/>
      <c r="BD224" s="1203"/>
      <c r="BE224" s="1203"/>
      <c r="BF224" s="1203"/>
      <c r="BG224" s="1203"/>
      <c r="BH224" s="1203"/>
      <c r="BI224" s="1032"/>
      <c r="BJ224" s="1032"/>
      <c r="BK224" s="1032"/>
      <c r="BL224" s="1032"/>
      <c r="BM224" s="1032"/>
      <c r="BN224" s="1032"/>
      <c r="BO224" s="1032"/>
    </row>
    <row r="225">
      <c r="A225" s="1222" t="s">
        <v>7963</v>
      </c>
      <c r="D225" s="1223"/>
      <c r="E225" s="1223"/>
      <c r="F225" s="1224"/>
      <c r="G225" s="1225"/>
      <c r="H225" s="1223"/>
      <c r="I225" s="1223"/>
      <c r="J225" s="1223"/>
      <c r="K225" s="1223"/>
      <c r="L225" s="1223"/>
      <c r="M225" s="1223"/>
      <c r="N225" s="1223"/>
      <c r="O225" s="1223"/>
      <c r="P225" s="1226"/>
      <c r="Q225" s="1223"/>
      <c r="R225" s="1223"/>
      <c r="S225" s="1223"/>
      <c r="T225" s="1223"/>
      <c r="U225" s="1223"/>
      <c r="V225" s="1223"/>
      <c r="W225" s="1227"/>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7497</v>
      </c>
      <c r="B226" s="1229" t="s">
        <v>7498</v>
      </c>
      <c r="C226" s="1131" t="s">
        <v>117</v>
      </c>
      <c r="D226" s="1029" t="s">
        <v>1601</v>
      </c>
      <c r="E226" s="1138"/>
      <c r="F226" s="1035" t="s">
        <v>2568</v>
      </c>
      <c r="G226" s="1022" t="s">
        <v>1310</v>
      </c>
      <c r="H226" s="1132" t="s">
        <v>1098</v>
      </c>
      <c r="I226" s="1138" t="s">
        <v>7964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30" t="s">
        <v>7965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1"/>
      <c r="AV226" s="1138"/>
      <c r="AW226" s="1138"/>
      <c r="AX226" s="1138"/>
      <c r="AY226" s="1138"/>
      <c r="AZ226" s="1138"/>
      <c r="BA226" s="1231"/>
      <c r="BB226" s="1138"/>
      <c r="BC226" s="1138"/>
      <c r="BD226" s="1138"/>
      <c r="BE226" s="1138"/>
      <c r="BF226" s="1138"/>
      <c r="BG226" s="1138"/>
      <c r="BH226" s="1138"/>
      <c r="BI226" s="1231"/>
      <c r="BJ226" s="1231"/>
      <c r="BK226" s="1231"/>
      <c r="BL226" s="1231"/>
      <c r="BM226" s="1231"/>
      <c r="BN226" s="1231"/>
      <c r="BO226" s="1231"/>
    </row>
    <row r="227" ht="15.75" customHeight="1">
      <c r="A227" s="1228" t="s">
        <v>7720</v>
      </c>
      <c r="B227" s="1229" t="s">
        <v>7966</v>
      </c>
      <c r="C227" s="1131" t="s">
        <v>1616</v>
      </c>
      <c r="D227" s="1029" t="s">
        <v>1602</v>
      </c>
      <c r="E227" s="1132" t="s">
        <v>1616</v>
      </c>
      <c r="F227" s="1035" t="s">
        <v>2569</v>
      </c>
      <c r="G227" s="1022" t="s">
        <v>2770</v>
      </c>
      <c r="H227" s="1132" t="s">
        <v>2216</v>
      </c>
      <c r="I227" s="1132" t="s">
        <v>1602</v>
      </c>
      <c r="J227" s="1132" t="s">
        <v>7796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8" t="s">
        <v>7525</v>
      </c>
      <c r="B228" s="1229" t="s">
        <v>7498</v>
      </c>
      <c r="C228" s="1131" t="str">
        <f>HYPERLINK("https://www.youtube.com/watch?v=aWzlUqH0LaM","41.87")</f>
        <v>41.87</v>
      </c>
      <c r="D228" s="1142"/>
      <c r="E228" s="1138"/>
      <c r="F228" s="1021"/>
      <c r="G228" s="1022" t="s">
        <v>7967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7968</v>
      </c>
      <c r="W228" s="1232"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1"/>
      <c r="AV228" s="1138"/>
      <c r="AW228" s="1138"/>
      <c r="AX228" s="1138"/>
      <c r="AY228" s="1138"/>
      <c r="AZ228" s="1138"/>
      <c r="BA228" s="1231"/>
      <c r="BB228" s="1138"/>
      <c r="BC228" s="1138"/>
      <c r="BD228" s="1138"/>
      <c r="BE228" s="1138"/>
      <c r="BF228" s="1138"/>
      <c r="BG228" s="1138"/>
      <c r="BH228" s="1138"/>
      <c r="BI228" s="1231"/>
      <c r="BJ228" s="1231"/>
      <c r="BK228" s="1231"/>
      <c r="BL228" s="1231"/>
      <c r="BM228" s="1231"/>
      <c r="BN228" s="1231"/>
      <c r="BO228" s="1231"/>
    </row>
    <row r="229" ht="15.75" customHeight="1">
      <c r="A229" s="1228" t="s">
        <v>7664</v>
      </c>
      <c r="B229" s="1229" t="s">
        <v>7969</v>
      </c>
      <c r="C229" s="1018" t="s">
        <v>7970</v>
      </c>
      <c r="D229" s="1138" t="s">
        <v>7467</v>
      </c>
      <c r="E229" s="1138"/>
      <c r="F229" s="1233"/>
      <c r="G229" s="1022" t="s">
        <v>7971</v>
      </c>
      <c r="H229" s="1138"/>
      <c r="I229" s="1138"/>
      <c r="J229" s="1138"/>
      <c r="K229" s="1138"/>
      <c r="L229" s="1138"/>
      <c r="M229" s="1138"/>
      <c r="N229" s="1138"/>
      <c r="O229" s="1138"/>
      <c r="P229" s="1140"/>
      <c r="Q229" s="1138"/>
      <c r="R229" s="1138"/>
      <c r="S229" s="1138"/>
      <c r="T229" s="1138"/>
      <c r="U229" s="1063" t="s">
        <v>7970</v>
      </c>
      <c r="V229" s="1138"/>
      <c r="W229" s="1065" t="s">
        <v>7972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4"/>
      <c r="B230" s="1235" t="s">
        <v>7973</v>
      </c>
      <c r="C230" s="1131" t="s">
        <v>506</v>
      </c>
      <c r="D230" s="1029" t="s">
        <v>7974</v>
      </c>
      <c r="E230" s="1138"/>
      <c r="F230" s="1069" t="s">
        <v>7975</v>
      </c>
      <c r="G230" s="1022" t="s">
        <v>1313</v>
      </c>
      <c r="H230" s="1138" t="s">
        <v>7976</v>
      </c>
      <c r="I230" s="1138"/>
      <c r="J230" s="1132" t="s">
        <v>7977</v>
      </c>
      <c r="K230" s="1138"/>
      <c r="L230" s="1138" t="s">
        <v>951</v>
      </c>
      <c r="M230" s="1132" t="s">
        <v>792</v>
      </c>
      <c r="N230" s="1138"/>
      <c r="O230" s="1138"/>
      <c r="P230" s="1140" t="s">
        <v>4194</v>
      </c>
      <c r="Q230" s="1138"/>
      <c r="R230" s="1138"/>
      <c r="S230" s="1138"/>
      <c r="T230" s="1132" t="s">
        <v>506</v>
      </c>
      <c r="U230" s="1138"/>
      <c r="V230" s="1138" t="s">
        <v>6339</v>
      </c>
      <c r="W230" s="1231"/>
      <c r="X230" s="1138"/>
      <c r="Y230" s="1138"/>
      <c r="Z230" s="1138"/>
      <c r="AA230" s="1138"/>
      <c r="AB230" s="1138"/>
      <c r="AC230" s="1138" t="s">
        <v>7978</v>
      </c>
      <c r="AD230" s="1138" t="s">
        <v>2724</v>
      </c>
      <c r="AE230" s="1138"/>
      <c r="AF230" s="1138"/>
      <c r="AG230" s="1138"/>
      <c r="AH230" s="1138"/>
      <c r="AI230" s="1138"/>
      <c r="AJ230" s="1138"/>
      <c r="AK230" s="1135"/>
      <c r="AL230" s="1138"/>
      <c r="AM230" s="1138"/>
      <c r="AN230" s="1138"/>
      <c r="AO230" s="1138"/>
      <c r="AP230" s="1138"/>
      <c r="AQ230" s="1135"/>
      <c r="AR230" s="1184" t="s">
        <v>7979</v>
      </c>
      <c r="AS230" s="1138"/>
      <c r="AT230" s="1138"/>
      <c r="AU230" s="1231"/>
      <c r="AV230" s="1138"/>
      <c r="AW230" s="1138"/>
      <c r="AX230" s="1138"/>
      <c r="AY230" s="1138"/>
      <c r="AZ230" s="1138"/>
      <c r="BA230" s="1231"/>
      <c r="BB230" s="1138"/>
      <c r="BC230" s="1138"/>
      <c r="BD230" s="1138"/>
      <c r="BE230" s="1138"/>
      <c r="BF230" s="1138"/>
      <c r="BG230" s="1138"/>
      <c r="BH230" s="1138"/>
      <c r="BI230" s="1231"/>
      <c r="BJ230" s="1231"/>
      <c r="BK230" s="1231"/>
      <c r="BL230" s="1231"/>
      <c r="BM230" s="1231"/>
      <c r="BN230" s="1231"/>
      <c r="BO230" s="1231"/>
    </row>
    <row r="231" ht="15.75" customHeight="1">
      <c r="A231" s="1236"/>
      <c r="B231" s="1237" t="s">
        <v>7980</v>
      </c>
      <c r="C231" s="1131" t="s">
        <v>7981</v>
      </c>
      <c r="D231" s="1138"/>
      <c r="E231" s="1138"/>
      <c r="F231" s="1233"/>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7981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4"/>
      <c r="B232" s="1238" t="s">
        <v>7982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1"/>
      <c r="X232" s="1138"/>
      <c r="Y232" s="1138"/>
      <c r="Z232" s="1138"/>
      <c r="AA232" s="1138"/>
      <c r="AB232" s="1138"/>
      <c r="AC232" s="1132" t="s">
        <v>7983</v>
      </c>
      <c r="AD232" s="1138"/>
      <c r="AE232" s="1138"/>
      <c r="AF232" s="1138"/>
      <c r="AG232" s="1138"/>
      <c r="AH232" s="1138"/>
      <c r="AI232" s="1138"/>
      <c r="AJ232" s="1138"/>
      <c r="AK232" s="1135"/>
      <c r="AL232" s="1138"/>
      <c r="AM232" s="1138"/>
      <c r="AN232" s="1138"/>
      <c r="AO232" s="1138"/>
      <c r="AP232" s="1138"/>
      <c r="AQ232" s="1135"/>
      <c r="AR232" s="1135"/>
      <c r="AS232" s="1138"/>
      <c r="AT232" s="1138"/>
      <c r="AU232" s="1231"/>
      <c r="AV232" s="1138"/>
      <c r="AW232" s="1138"/>
      <c r="AX232" s="1138"/>
      <c r="AY232" s="1138"/>
      <c r="AZ232" s="1138"/>
      <c r="BA232" s="1231"/>
      <c r="BB232" s="1138"/>
      <c r="BC232" s="1138"/>
      <c r="BD232" s="1138"/>
      <c r="BE232" s="1138"/>
      <c r="BF232" s="1138"/>
      <c r="BG232" s="1138"/>
      <c r="BH232" s="1138"/>
      <c r="BI232" s="1231"/>
      <c r="BJ232" s="1231"/>
      <c r="BK232" s="1231"/>
      <c r="BL232" s="1231"/>
      <c r="BM232" s="1231"/>
      <c r="BN232" s="1231"/>
      <c r="BO232" s="1231"/>
    </row>
    <row r="233" ht="15.75" customHeight="1">
      <c r="A233" s="1239" t="s">
        <v>7512</v>
      </c>
      <c r="B233" s="1240" t="s">
        <v>7969</v>
      </c>
      <c r="C233" s="1131"/>
      <c r="D233" s="1241"/>
      <c r="E233" s="1241"/>
      <c r="F233" s="1233"/>
      <c r="G233" s="1040"/>
      <c r="H233" s="1241"/>
      <c r="I233" s="1241"/>
      <c r="J233" s="1241"/>
      <c r="K233" s="1241"/>
      <c r="L233" s="1241"/>
      <c r="M233" s="1241"/>
      <c r="N233" s="1241"/>
      <c r="O233" s="1241"/>
      <c r="P233" s="1242"/>
      <c r="Q233" s="1241"/>
      <c r="R233" s="1241"/>
      <c r="S233" s="1241"/>
      <c r="T233" s="1241"/>
      <c r="U233" s="1241"/>
      <c r="V233" s="1241"/>
      <c r="W233" s="1044" t="s">
        <v>7984</v>
      </c>
      <c r="X233" s="1241"/>
      <c r="Y233" s="1241"/>
      <c r="Z233" s="1241"/>
      <c r="AA233" s="1241"/>
      <c r="AB233" s="1241"/>
      <c r="AC233" s="1241"/>
      <c r="AD233" s="1241"/>
      <c r="AE233" s="1241"/>
      <c r="AF233" s="1241"/>
      <c r="AG233" s="1241"/>
      <c r="AH233" s="1241"/>
      <c r="AI233" s="1241"/>
      <c r="AJ233" s="1241"/>
      <c r="AK233" s="1135"/>
      <c r="AL233" s="1241"/>
      <c r="AM233" s="1241"/>
      <c r="AN233" s="1241"/>
      <c r="AO233" s="1241"/>
      <c r="AP233" s="1241"/>
      <c r="AQ233" s="1135"/>
      <c r="AR233" s="1135"/>
      <c r="AS233" s="1241"/>
      <c r="AT233" s="1241"/>
      <c r="AU233" s="1032"/>
      <c r="AV233" s="1241"/>
      <c r="AW233" s="1241"/>
      <c r="AX233" s="1241"/>
      <c r="AY233" s="1241"/>
      <c r="AZ233" s="1241"/>
      <c r="BA233" s="1032"/>
      <c r="BB233" s="1241"/>
      <c r="BC233" s="1241"/>
      <c r="BD233" s="1241"/>
      <c r="BE233" s="1241"/>
      <c r="BF233" s="1241"/>
      <c r="BG233" s="1241"/>
      <c r="BH233" s="1241"/>
      <c r="BI233" s="1032"/>
      <c r="BJ233" s="1032"/>
      <c r="BK233" s="1032"/>
      <c r="BL233" s="1032"/>
      <c r="BM233" s="1032"/>
      <c r="BN233" s="1032"/>
      <c r="BO233" s="1032"/>
    </row>
    <row r="234" ht="15.75" customHeight="1">
      <c r="A234" s="1234"/>
      <c r="B234" s="1235" t="s">
        <v>7973</v>
      </c>
      <c r="C234" s="1243" t="s">
        <v>7985</v>
      </c>
      <c r="D234" s="1244" t="s">
        <v>7985</v>
      </c>
      <c r="E234" s="1241"/>
      <c r="F234" s="1021"/>
      <c r="G234" s="1040"/>
      <c r="H234" s="1241"/>
      <c r="I234" s="1241"/>
      <c r="J234" s="1241"/>
      <c r="K234" s="1241"/>
      <c r="L234" s="1241"/>
      <c r="M234" s="1241"/>
      <c r="N234" s="1241"/>
      <c r="O234" s="1241"/>
      <c r="P234" s="1242"/>
      <c r="Q234" s="1241"/>
      <c r="R234" s="1241"/>
      <c r="S234" s="1241"/>
      <c r="T234" s="1241"/>
      <c r="U234" s="1241"/>
      <c r="V234" s="1241"/>
      <c r="W234" s="1032"/>
      <c r="X234" s="1241"/>
      <c r="Y234" s="1241"/>
      <c r="Z234" s="1241"/>
      <c r="AA234" s="1241"/>
      <c r="AB234" s="1241"/>
      <c r="AC234" s="1241"/>
      <c r="AD234" s="1241"/>
      <c r="AE234" s="1241"/>
      <c r="AF234" s="1241"/>
      <c r="AG234" s="1241"/>
      <c r="AH234" s="1241"/>
      <c r="AI234" s="1241"/>
      <c r="AJ234" s="1241"/>
      <c r="AK234" s="1135"/>
      <c r="AL234" s="1241"/>
      <c r="AM234" s="1241"/>
      <c r="AN234" s="1241"/>
      <c r="AO234" s="1241"/>
      <c r="AP234" s="1241"/>
      <c r="AQ234" s="1135"/>
      <c r="AR234" s="1135"/>
      <c r="AS234" s="1241"/>
      <c r="AT234" s="1241"/>
      <c r="AU234" s="1032"/>
      <c r="AV234" s="1241"/>
      <c r="AW234" s="1241"/>
      <c r="AX234" s="1241"/>
      <c r="AY234" s="1241"/>
      <c r="AZ234" s="1241"/>
      <c r="BA234" s="1032"/>
      <c r="BB234" s="1241"/>
      <c r="BC234" s="1241"/>
      <c r="BD234" s="1241"/>
      <c r="BE234" s="1241"/>
      <c r="BF234" s="1241"/>
      <c r="BG234" s="1241"/>
      <c r="BH234" s="1241"/>
      <c r="BI234" s="1032"/>
      <c r="BJ234" s="1032"/>
      <c r="BK234" s="1032"/>
      <c r="BL234" s="1032"/>
      <c r="BM234" s="1032"/>
      <c r="BN234" s="1032"/>
      <c r="BO234" s="1032"/>
    </row>
    <row r="235" ht="15.75" customHeight="1">
      <c r="A235" s="1236"/>
      <c r="B235" s="1237" t="s">
        <v>7980</v>
      </c>
      <c r="C235" s="1131"/>
      <c r="D235" s="1241"/>
      <c r="E235" s="1241"/>
      <c r="F235" s="1233"/>
      <c r="G235" s="1040"/>
      <c r="H235" s="1241"/>
      <c r="I235" s="1241"/>
      <c r="J235" s="1241"/>
      <c r="K235" s="1241"/>
      <c r="L235" s="1241"/>
      <c r="M235" s="1241"/>
      <c r="N235" s="1241"/>
      <c r="O235" s="1241"/>
      <c r="P235" s="1242"/>
      <c r="Q235" s="1241"/>
      <c r="R235" s="1241"/>
      <c r="S235" s="1241"/>
      <c r="T235" s="1241"/>
      <c r="U235" s="1241"/>
      <c r="V235" s="1241"/>
      <c r="W235" s="1032"/>
      <c r="X235" s="1241"/>
      <c r="Y235" s="1241"/>
      <c r="Z235" s="1241"/>
      <c r="AA235" s="1241"/>
      <c r="AB235" s="1241"/>
      <c r="AC235" s="1241"/>
      <c r="AD235" s="1241"/>
      <c r="AE235" s="1241"/>
      <c r="AF235" s="1241"/>
      <c r="AG235" s="1241"/>
      <c r="AH235" s="1241"/>
      <c r="AI235" s="1241"/>
      <c r="AJ235" s="1241"/>
      <c r="AK235" s="1135"/>
      <c r="AL235" s="1241"/>
      <c r="AM235" s="1241"/>
      <c r="AN235" s="1241"/>
      <c r="AO235" s="1241"/>
      <c r="AP235" s="1241"/>
      <c r="AQ235" s="1135"/>
      <c r="AR235" s="1135"/>
      <c r="AS235" s="1241"/>
      <c r="AT235" s="1241"/>
      <c r="AU235" s="1032"/>
      <c r="AV235" s="1241"/>
      <c r="AW235" s="1241"/>
      <c r="AX235" s="1241"/>
      <c r="AY235" s="1241"/>
      <c r="AZ235" s="1241"/>
      <c r="BA235" s="1032"/>
      <c r="BB235" s="1241"/>
      <c r="BC235" s="1241"/>
      <c r="BD235" s="1241"/>
      <c r="BE235" s="1241"/>
      <c r="BF235" s="1241"/>
      <c r="BG235" s="1241"/>
      <c r="BH235" s="1241"/>
      <c r="BI235" s="1032"/>
      <c r="BJ235" s="1032"/>
      <c r="BK235" s="1032"/>
      <c r="BL235" s="1032"/>
      <c r="BM235" s="1032"/>
      <c r="BN235" s="1032"/>
      <c r="BO235" s="1032"/>
    </row>
    <row r="236" ht="15.75" customHeight="1">
      <c r="A236" s="1234"/>
      <c r="B236" s="1238" t="s">
        <v>7982</v>
      </c>
      <c r="C236" s="1018" t="s">
        <v>764</v>
      </c>
      <c r="D236" s="1241"/>
      <c r="E236" s="1241"/>
      <c r="F236" s="1049" t="s">
        <v>2572</v>
      </c>
      <c r="G236" s="1040"/>
      <c r="H236" s="1018" t="s">
        <v>764</v>
      </c>
      <c r="I236" s="1241"/>
      <c r="J236" s="1241"/>
      <c r="K236" s="1241"/>
      <c r="L236" s="1241"/>
      <c r="M236" s="1241"/>
      <c r="N236" s="1241"/>
      <c r="O236" s="1241"/>
      <c r="P236" s="1242"/>
      <c r="Q236" s="1241"/>
      <c r="R236" s="1241"/>
      <c r="S236" s="1241"/>
      <c r="T236" s="1241"/>
      <c r="U236" s="1241"/>
      <c r="V236" s="1241"/>
      <c r="W236" s="1032"/>
      <c r="X236" s="1241"/>
      <c r="Y236" s="1241"/>
      <c r="Z236" s="1241"/>
      <c r="AA236" s="1241"/>
      <c r="AB236" s="1241"/>
      <c r="AC236" s="1241"/>
      <c r="AD236" s="1241"/>
      <c r="AE236" s="1241"/>
      <c r="AF236" s="1241"/>
      <c r="AG236" s="1241"/>
      <c r="AH236" s="1241"/>
      <c r="AI236" s="1241"/>
      <c r="AJ236" s="1241"/>
      <c r="AK236" s="1135"/>
      <c r="AL236" s="1241"/>
      <c r="AM236" s="1241"/>
      <c r="AN236" s="1241"/>
      <c r="AO236" s="1241"/>
      <c r="AP236" s="1241"/>
      <c r="AQ236" s="1135"/>
      <c r="AR236" s="1135"/>
      <c r="AS236" s="1241"/>
      <c r="AT236" s="1241"/>
      <c r="AU236" s="1032"/>
      <c r="AV236" s="1241"/>
      <c r="AW236" s="1241"/>
      <c r="AX236" s="1241"/>
      <c r="AY236" s="1241"/>
      <c r="AZ236" s="1241"/>
      <c r="BA236" s="1032"/>
      <c r="BB236" s="1241"/>
      <c r="BC236" s="1241"/>
      <c r="BD236" s="1241"/>
      <c r="BE236" s="1241"/>
      <c r="BF236" s="1241"/>
      <c r="BG236" s="1241"/>
      <c r="BH236" s="1241"/>
      <c r="BI236" s="1032"/>
      <c r="BJ236" s="1032"/>
      <c r="BK236" s="1032"/>
      <c r="BL236" s="1032"/>
      <c r="BM236" s="1032"/>
      <c r="BN236" s="1032"/>
      <c r="BO236" s="1032"/>
    </row>
    <row r="237" ht="15.75" customHeight="1">
      <c r="A237" s="1239" t="s">
        <v>7519</v>
      </c>
      <c r="B237" s="1240" t="s">
        <v>7986</v>
      </c>
      <c r="C237" s="1131" t="s">
        <v>7987</v>
      </c>
      <c r="D237" s="1245">
        <v>13.23</v>
      </c>
      <c r="E237" s="1241"/>
      <c r="F237" s="1246" t="s">
        <v>7988</v>
      </c>
      <c r="G237" s="1022" t="s">
        <v>7989</v>
      </c>
      <c r="H237" s="1241"/>
      <c r="I237" s="1241"/>
      <c r="J237" s="1247" t="s">
        <v>3589</v>
      </c>
      <c r="K237" s="1241"/>
      <c r="L237" s="1241"/>
      <c r="M237" s="1241"/>
      <c r="N237" s="1241"/>
      <c r="O237" s="1241"/>
      <c r="P237" s="1242"/>
      <c r="Q237" s="1241"/>
      <c r="R237" s="1247" t="s">
        <v>7829</v>
      </c>
      <c r="S237" s="1241"/>
      <c r="T237" s="1241"/>
      <c r="U237" s="1241"/>
      <c r="V237" s="1241"/>
      <c r="W237" s="1231"/>
      <c r="X237" s="1247" t="s">
        <v>2609</v>
      </c>
      <c r="Y237" s="1241"/>
      <c r="Z237" s="1241"/>
      <c r="AA237" s="1241"/>
      <c r="AB237" s="1241"/>
      <c r="AC237" s="1247" t="s">
        <v>7987</v>
      </c>
      <c r="AD237" s="1241"/>
      <c r="AE237" s="1241"/>
      <c r="AF237" s="1241"/>
      <c r="AG237" s="1241"/>
      <c r="AH237" s="1241"/>
      <c r="AI237" s="1241"/>
      <c r="AJ237" s="1241"/>
      <c r="AK237" s="1135"/>
      <c r="AL237" s="1241"/>
      <c r="AM237" s="1241" t="s">
        <v>7843</v>
      </c>
      <c r="AN237" s="1241"/>
      <c r="AO237" s="1241"/>
      <c r="AP237" s="1241"/>
      <c r="AQ237" s="1135"/>
      <c r="AR237" s="1135"/>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7990</v>
      </c>
      <c r="C238" s="1131" t="s">
        <v>486</v>
      </c>
      <c r="D238" s="1132"/>
      <c r="E238" s="1132" t="s">
        <v>799</v>
      </c>
      <c r="F238" s="1049" t="s">
        <v>1471</v>
      </c>
      <c r="G238" s="1022" t="s">
        <v>7991</v>
      </c>
      <c r="H238" s="1132" t="s">
        <v>486</v>
      </c>
      <c r="I238" s="1132"/>
      <c r="J238" s="1132"/>
      <c r="K238" s="1132"/>
      <c r="L238" s="1132" t="s">
        <v>7987</v>
      </c>
      <c r="M238" s="1132"/>
      <c r="N238" s="1132"/>
      <c r="O238" s="1132"/>
      <c r="P238" s="1133"/>
      <c r="Q238" s="1132"/>
      <c r="R238" s="1132"/>
      <c r="S238" s="1132" t="s">
        <v>7992</v>
      </c>
      <c r="T238" s="1132"/>
      <c r="U238" s="1132"/>
      <c r="V238" s="1132"/>
      <c r="W238" s="1032"/>
      <c r="X238" s="1132"/>
      <c r="Y238" s="1132"/>
      <c r="Z238" s="1132" t="s">
        <v>7829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8" t="s">
        <v>7735</v>
      </c>
      <c r="B239" s="1229" t="s">
        <v>7498</v>
      </c>
      <c r="C239" s="1248" t="s">
        <v>961</v>
      </c>
      <c r="D239" s="1138"/>
      <c r="E239" s="1138"/>
      <c r="F239" s="1246" t="s">
        <v>961</v>
      </c>
      <c r="G239" s="1040"/>
      <c r="H239" s="1138"/>
      <c r="I239" s="1138"/>
      <c r="J239" s="1138"/>
      <c r="K239" s="1138"/>
      <c r="L239" s="1138"/>
      <c r="M239" s="1138"/>
      <c r="N239" s="1138"/>
      <c r="O239" s="1138"/>
      <c r="P239" s="1140"/>
      <c r="Q239" s="1138"/>
      <c r="R239" s="1138"/>
      <c r="S239" s="1138"/>
      <c r="T239" s="1138"/>
      <c r="U239" s="1138"/>
      <c r="V239" s="1138"/>
      <c r="W239" s="1231"/>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2" t="s">
        <v>5600</v>
      </c>
      <c r="AV239" s="1138"/>
      <c r="AW239" s="1138"/>
      <c r="AX239" s="1138"/>
      <c r="AY239" s="1138"/>
      <c r="AZ239" s="1138"/>
      <c r="BA239" s="1231"/>
      <c r="BB239" s="1138"/>
      <c r="BC239" s="1138"/>
      <c r="BD239" s="1138"/>
      <c r="BE239" s="1138"/>
      <c r="BF239" s="1138"/>
      <c r="BG239" s="1138"/>
      <c r="BH239" s="1138"/>
      <c r="BI239" s="1231"/>
      <c r="BJ239" s="1231"/>
      <c r="BK239" s="1231"/>
      <c r="BL239" s="1231"/>
      <c r="BM239" s="1231"/>
      <c r="BN239" s="1231"/>
      <c r="BO239" s="1231"/>
    </row>
    <row r="240" ht="15.75" customHeight="1">
      <c r="A240" s="1249" t="s">
        <v>7993</v>
      </c>
      <c r="B240" s="1250" t="s">
        <v>7498</v>
      </c>
      <c r="C240" s="1048" t="s">
        <v>7994</v>
      </c>
      <c r="D240" s="1022" t="s">
        <v>7995</v>
      </c>
      <c r="E240" s="1138"/>
      <c r="F240" s="1049" t="s">
        <v>7996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8" t="s">
        <v>7568</v>
      </c>
      <c r="B241" s="1229" t="s">
        <v>7997</v>
      </c>
      <c r="C241" s="1131" t="s">
        <v>7998</v>
      </c>
      <c r="D241" s="1138" t="s">
        <v>4189</v>
      </c>
      <c r="E241" s="1138"/>
      <c r="F241" s="1233"/>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1"/>
      <c r="B242" s="1235" t="s">
        <v>7999</v>
      </c>
      <c r="C242" s="1179"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1"/>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1"/>
      <c r="AV242" s="1138"/>
      <c r="AW242" s="1138"/>
      <c r="AX242" s="1138"/>
      <c r="AY242" s="1138"/>
      <c r="AZ242" s="1138"/>
      <c r="BA242" s="1231"/>
      <c r="BB242" s="1138"/>
      <c r="BC242" s="1138"/>
      <c r="BD242" s="1138"/>
      <c r="BE242" s="1138"/>
      <c r="BF242" s="1138"/>
      <c r="BG242" s="1138"/>
      <c r="BH242" s="1138"/>
      <c r="BI242" s="1231"/>
      <c r="BJ242" s="1231"/>
      <c r="BK242" s="1231"/>
      <c r="BL242" s="1231"/>
      <c r="BM242" s="1231"/>
      <c r="BN242" s="1231"/>
      <c r="BO242" s="1231"/>
    </row>
    <row r="243" ht="15.75" customHeight="1">
      <c r="A243" s="1236"/>
      <c r="B243" s="1237" t="s">
        <v>8000</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8001</v>
      </c>
      <c r="BC243" s="1132"/>
      <c r="BD243" s="1132"/>
      <c r="BE243" s="1132"/>
      <c r="BF243" s="1132"/>
      <c r="BG243" s="1132"/>
      <c r="BH243" s="1132"/>
      <c r="BI243" s="1032"/>
      <c r="BJ243" s="1032"/>
      <c r="BK243" s="1032"/>
      <c r="BL243" s="1032"/>
      <c r="BM243" s="1032"/>
      <c r="BN243" s="1032"/>
      <c r="BO243" s="1032"/>
    </row>
    <row r="244" ht="15.75" customHeight="1">
      <c r="A244" s="1239" t="s">
        <v>7512</v>
      </c>
      <c r="B244" s="1252" t="s">
        <v>8002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1"/>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1"/>
      <c r="AV244" s="1138"/>
      <c r="AW244" s="1138"/>
      <c r="AX244" s="1138"/>
      <c r="AY244" s="1138"/>
      <c r="AZ244" s="1138"/>
      <c r="BA244" s="1231"/>
      <c r="BB244" s="1138"/>
      <c r="BC244" s="1138"/>
      <c r="BD244" s="1138"/>
      <c r="BE244" s="1138"/>
      <c r="BF244" s="1138"/>
      <c r="BG244" s="1138"/>
      <c r="BH244" s="1138"/>
      <c r="BI244" s="1231"/>
      <c r="BJ244" s="1231"/>
      <c r="BK244" s="1231"/>
      <c r="BL244" s="1231"/>
      <c r="BM244" s="1231"/>
      <c r="BN244" s="1231"/>
      <c r="BO244" s="1231"/>
    </row>
    <row r="245" ht="15.75" customHeight="1">
      <c r="A245" s="1251"/>
      <c r="B245" s="1235" t="s">
        <v>8003</v>
      </c>
      <c r="C245" s="1042" t="s">
        <v>1694</v>
      </c>
      <c r="D245" s="1132"/>
      <c r="E245" s="1132" t="s">
        <v>4246</v>
      </c>
      <c r="F245" s="1246" t="s">
        <v>2356</v>
      </c>
      <c r="G245" s="1040"/>
      <c r="H245" s="1132"/>
      <c r="I245" s="1132"/>
      <c r="J245" s="1132"/>
      <c r="K245" s="1132"/>
      <c r="L245" s="1132"/>
      <c r="M245" s="1132"/>
      <c r="N245" s="1132"/>
      <c r="O245" s="1132"/>
      <c r="P245" s="1133"/>
      <c r="Q245" s="1132"/>
      <c r="R245" s="1132" t="s">
        <v>2172</v>
      </c>
      <c r="S245" s="1132"/>
      <c r="T245" s="1132"/>
      <c r="U245" s="1132"/>
      <c r="V245" s="1132"/>
      <c r="W245" s="1031" t="s">
        <v>8004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3"/>
      <c r="B246" s="1237" t="s">
        <v>8005</v>
      </c>
      <c r="C246" s="1131" t="s">
        <v>5363</v>
      </c>
      <c r="D246" s="1138" t="s">
        <v>1624</v>
      </c>
      <c r="E246" s="1138"/>
      <c r="H246" s="1138"/>
      <c r="I246" s="1138" t="s">
        <v>2415</v>
      </c>
      <c r="J246" s="1138"/>
      <c r="L246" s="1138"/>
      <c r="M246" s="1138"/>
      <c r="N246" s="1138" t="s">
        <v>3232</v>
      </c>
      <c r="O246" s="1138"/>
      <c r="P246" s="1140" t="s">
        <v>8006</v>
      </c>
      <c r="Q246" s="1138"/>
      <c r="R246" s="1138" t="s">
        <v>5363</v>
      </c>
      <c r="S246" s="1138"/>
      <c r="T246" s="1138"/>
      <c r="U246" s="1022" t="s">
        <v>3038</v>
      </c>
      <c r="V246" s="1138" t="s">
        <v>3766</v>
      </c>
      <c r="W246" s="1231"/>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1"/>
      <c r="AV246" s="1138"/>
      <c r="AW246" s="1138"/>
      <c r="AX246" s="1138"/>
      <c r="AY246" s="1138"/>
      <c r="AZ246" s="1138"/>
      <c r="BA246" s="1231"/>
      <c r="BB246" s="1138"/>
      <c r="BC246" s="1138"/>
      <c r="BD246" s="1138"/>
      <c r="BE246" s="1138"/>
      <c r="BF246" s="1138"/>
      <c r="BG246" s="1138"/>
      <c r="BH246" s="1138"/>
      <c r="BI246" s="1231"/>
      <c r="BJ246" s="1231"/>
      <c r="BK246" s="1231"/>
      <c r="BL246" s="1231"/>
      <c r="BM246" s="1231"/>
      <c r="BN246" s="1231"/>
      <c r="BO246" s="1231"/>
    </row>
    <row r="247" ht="15.75" customHeight="1">
      <c r="A247" s="1251"/>
      <c r="B247" s="1235" t="s">
        <v>8007</v>
      </c>
      <c r="C247" s="1131" t="s">
        <v>425</v>
      </c>
      <c r="D247" s="1254"/>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3"/>
      <c r="B248" s="1237" t="s">
        <v>8008</v>
      </c>
      <c r="C248" s="1131" t="s">
        <v>8009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8009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9" t="s">
        <v>7519</v>
      </c>
      <c r="B249" s="1252" t="s">
        <v>8011</v>
      </c>
      <c r="C249" s="1131" t="s">
        <v>5019</v>
      </c>
      <c r="D249" s="1255"/>
      <c r="E249" s="1132" t="s">
        <v>5850</v>
      </c>
      <c r="F249" s="1021"/>
      <c r="G249" s="1040"/>
      <c r="H249" s="1255"/>
      <c r="I249" s="1255"/>
      <c r="J249" s="1255"/>
      <c r="K249" s="1255"/>
      <c r="L249" s="1255"/>
      <c r="M249" s="1255"/>
      <c r="N249" s="1255"/>
      <c r="O249" s="1255"/>
      <c r="P249" s="1133"/>
      <c r="Q249" s="1255"/>
      <c r="R249" s="1255"/>
      <c r="S249" s="1255"/>
      <c r="T249" s="1255"/>
      <c r="U249" s="1255"/>
      <c r="V249" s="1255"/>
      <c r="W249" s="1232" t="s">
        <v>1902</v>
      </c>
      <c r="X249" s="1255"/>
      <c r="Y249" s="1132" t="s">
        <v>824</v>
      </c>
      <c r="Z249" s="1255"/>
      <c r="AA249" s="1255"/>
      <c r="AB249" s="1255"/>
      <c r="AC249" s="1255"/>
      <c r="AD249" s="1255" t="s">
        <v>8012</v>
      </c>
      <c r="AE249" s="1255"/>
      <c r="AF249" s="1255"/>
      <c r="AG249" s="1255"/>
      <c r="AH249" s="1255"/>
      <c r="AI249" s="1255"/>
      <c r="AJ249" s="1255"/>
      <c r="AK249" s="1135"/>
      <c r="AL249" s="1255"/>
      <c r="AM249" s="1255"/>
      <c r="AN249" s="1255"/>
      <c r="AO249" s="1255"/>
      <c r="AP249" s="1255"/>
      <c r="AQ249" s="1135"/>
      <c r="AR249" s="1135"/>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8013</v>
      </c>
      <c r="C250" s="1131" t="s">
        <v>1342</v>
      </c>
      <c r="D250" s="1132" t="s">
        <v>1304</v>
      </c>
      <c r="E250" s="1132" t="s">
        <v>1342</v>
      </c>
      <c r="F250" s="1233"/>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8014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6"/>
      <c r="B251" s="1237" t="s">
        <v>8015</v>
      </c>
      <c r="C251" s="1048" t="s">
        <v>5408</v>
      </c>
      <c r="D251" s="1256" t="s">
        <v>4607</v>
      </c>
      <c r="E251" s="1132"/>
      <c r="F251" s="1049" t="s">
        <v>5408</v>
      </c>
      <c r="G251" s="1040"/>
      <c r="H251" s="1132"/>
      <c r="I251" s="1132"/>
      <c r="J251" s="1132"/>
      <c r="K251" s="1132"/>
      <c r="L251" s="1132"/>
      <c r="M251" s="1132"/>
      <c r="N251" s="1132"/>
      <c r="O251" s="1132"/>
      <c r="P251" s="1133"/>
      <c r="Q251" s="1132"/>
      <c r="R251" s="1132"/>
      <c r="S251" s="1132"/>
      <c r="T251" s="1132"/>
      <c r="U251" s="1022" t="s">
        <v>8016</v>
      </c>
      <c r="V251" s="1132"/>
      <c r="W251" s="1231"/>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1"/>
      <c r="AV251" s="1132"/>
      <c r="AW251" s="1132"/>
      <c r="AX251" s="1132"/>
      <c r="AY251" s="1132"/>
      <c r="AZ251" s="1132"/>
      <c r="BA251" s="1231"/>
      <c r="BB251" s="1132"/>
      <c r="BC251" s="1132"/>
      <c r="BD251" s="1132"/>
      <c r="BE251" s="1132"/>
      <c r="BF251" s="1132"/>
      <c r="BG251" s="1132"/>
      <c r="BH251" s="1132"/>
      <c r="BI251" s="1231"/>
      <c r="BJ251" s="1231"/>
      <c r="BK251" s="1231"/>
      <c r="BL251" s="1231"/>
      <c r="BM251" s="1231"/>
      <c r="BN251" s="1231"/>
      <c r="BO251" s="1231"/>
    </row>
    <row r="252" ht="15.75" customHeight="1">
      <c r="A252" s="1228" t="s">
        <v>7605</v>
      </c>
      <c r="B252" s="1229" t="s">
        <v>7944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7"/>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1"/>
      <c r="AV252" s="1132"/>
      <c r="AW252" s="1132"/>
      <c r="AX252" s="1132"/>
      <c r="AY252" s="1132"/>
      <c r="AZ252" s="1132"/>
      <c r="BA252" s="1231"/>
      <c r="BB252" s="1132"/>
      <c r="BC252" s="1132"/>
      <c r="BD252" s="1132"/>
      <c r="BE252" s="1132"/>
      <c r="BF252" s="1132"/>
      <c r="BG252" s="1132"/>
      <c r="BH252" s="1132"/>
      <c r="BI252" s="1231"/>
      <c r="BJ252" s="1231"/>
      <c r="BK252" s="1231"/>
      <c r="BL252" s="1231"/>
      <c r="BM252" s="1231"/>
      <c r="BN252" s="1231"/>
      <c r="BO252" s="1231"/>
    </row>
    <row r="253" ht="15.75" customHeight="1">
      <c r="A253" s="1251"/>
      <c r="B253" s="1235" t="s">
        <v>7708</v>
      </c>
      <c r="C253" s="1131" t="s">
        <v>3071</v>
      </c>
      <c r="D253" s="1132"/>
      <c r="E253" s="1132" t="s">
        <v>4266</v>
      </c>
      <c r="F253" s="1246" t="s">
        <v>8017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3"/>
      <c r="B254" s="1237" t="s">
        <v>8018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1"/>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1"/>
      <c r="AV254" s="1132"/>
      <c r="AW254" s="1132"/>
      <c r="AX254" s="1132"/>
      <c r="AY254" s="1132"/>
      <c r="AZ254" s="1132"/>
      <c r="BA254" s="1231"/>
      <c r="BB254" s="1132"/>
      <c r="BC254" s="1132"/>
      <c r="BD254" s="1132"/>
      <c r="BE254" s="1132"/>
      <c r="BF254" s="1132"/>
      <c r="BG254" s="1132"/>
      <c r="BH254" s="1132"/>
      <c r="BI254" s="1231"/>
      <c r="BJ254" s="1231"/>
      <c r="BK254" s="1231"/>
      <c r="BL254" s="1231"/>
      <c r="BM254" s="1231"/>
      <c r="BN254" s="1231"/>
      <c r="BO254" s="1231"/>
    </row>
    <row r="255" ht="15.75" customHeight="1">
      <c r="A255" s="1251"/>
      <c r="B255" s="1235" t="s">
        <v>8019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3"/>
      <c r="B256" s="1237" t="s">
        <v>8020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1"/>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1"/>
      <c r="AV256" s="1138"/>
      <c r="AW256" s="1138"/>
      <c r="AX256" s="1138"/>
      <c r="AY256" s="1138"/>
      <c r="AZ256" s="1138"/>
      <c r="BA256" s="1231"/>
      <c r="BB256" s="1138"/>
      <c r="BC256" s="1138"/>
      <c r="BD256" s="1138"/>
      <c r="BE256" s="1138"/>
      <c r="BF256" s="1138"/>
      <c r="BG256" s="1138"/>
      <c r="BH256" s="1138"/>
      <c r="BI256" s="1231"/>
      <c r="BJ256" s="1231"/>
      <c r="BK256" s="1231"/>
      <c r="BL256" s="1231"/>
      <c r="BM256" s="1231"/>
      <c r="BN256" s="1231"/>
      <c r="BO256" s="1231"/>
    </row>
    <row r="257" ht="15.75" customHeight="1">
      <c r="A257" s="1228" t="s">
        <v>8021</v>
      </c>
      <c r="B257" s="1229" t="s">
        <v>7498</v>
      </c>
      <c r="C257" s="1131" t="s">
        <v>953</v>
      </c>
      <c r="D257" s="983" t="s">
        <v>1609</v>
      </c>
      <c r="E257" s="1138"/>
      <c r="F257" s="1233"/>
      <c r="G257" s="1022" t="s">
        <v>1316</v>
      </c>
      <c r="H257" s="1138"/>
      <c r="I257" s="1138"/>
      <c r="J257" s="1138"/>
      <c r="K257" s="1138"/>
      <c r="L257" s="1132" t="s">
        <v>953</v>
      </c>
      <c r="M257" s="1132" t="s">
        <v>796</v>
      </c>
      <c r="N257" s="1138"/>
      <c r="O257" s="1138"/>
      <c r="P257" s="1140"/>
      <c r="Q257" s="1138"/>
      <c r="R257" s="1138"/>
      <c r="S257" s="1138"/>
      <c r="T257" s="1138"/>
      <c r="U257" s="1138"/>
      <c r="V257" s="1138"/>
      <c r="W257" s="1231"/>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4" t="s">
        <v>8022</v>
      </c>
      <c r="AS257" s="1138"/>
      <c r="AT257" s="1138"/>
      <c r="AU257" s="1231"/>
      <c r="AV257" s="1138"/>
      <c r="AW257" s="1138"/>
      <c r="AX257" s="1138"/>
      <c r="AY257" s="1138"/>
      <c r="AZ257" s="1138"/>
      <c r="BA257" s="1231"/>
      <c r="BB257" s="1138"/>
      <c r="BC257" s="1138"/>
      <c r="BD257" s="1138"/>
      <c r="BE257" s="1138"/>
      <c r="BF257" s="1138"/>
      <c r="BG257" s="1138"/>
      <c r="BH257" s="1138"/>
      <c r="BI257" s="1231"/>
      <c r="BJ257" s="1231"/>
      <c r="BK257" s="1231"/>
      <c r="BL257" s="1231"/>
      <c r="BM257" s="1231"/>
      <c r="BN257" s="1231"/>
      <c r="BO257" s="1231"/>
    </row>
    <row r="258" ht="15.75" customHeight="1">
      <c r="A258" s="1228" t="s">
        <v>7617</v>
      </c>
      <c r="B258" s="1229" t="s">
        <v>7612</v>
      </c>
      <c r="C258" s="1131" t="s">
        <v>8023</v>
      </c>
      <c r="D258" s="983" t="s">
        <v>1611</v>
      </c>
      <c r="E258" s="1138"/>
      <c r="F258" s="1233"/>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9" t="s">
        <v>7614</v>
      </c>
      <c r="B259" s="1258" t="s">
        <v>7612</v>
      </c>
      <c r="C259" s="1074" t="s">
        <v>8024</v>
      </c>
      <c r="D259" s="1075" t="s">
        <v>8024</v>
      </c>
      <c r="E259" s="1138"/>
      <c r="F259" s="1233"/>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8" t="s">
        <v>75</v>
      </c>
      <c r="B260" s="1229" t="s">
        <v>8025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1"/>
      <c r="B261" s="1235" t="s">
        <v>8026</v>
      </c>
      <c r="C261" s="1131" t="s">
        <v>296</v>
      </c>
      <c r="D261" s="983" t="s">
        <v>1610</v>
      </c>
      <c r="E261" s="1022" t="s">
        <v>406</v>
      </c>
      <c r="F261" s="1233"/>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1"/>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1"/>
      <c r="AV261" s="1040"/>
      <c r="AW261" s="1040"/>
      <c r="AX261" s="1040"/>
      <c r="AY261" s="1040"/>
      <c r="AZ261" s="1040"/>
      <c r="BA261" s="1231"/>
      <c r="BB261" s="1040"/>
      <c r="BC261" s="1040"/>
      <c r="BD261" s="1040"/>
      <c r="BE261" s="1040"/>
      <c r="BF261" s="1040"/>
      <c r="BG261" s="1040"/>
      <c r="BH261" s="1040"/>
      <c r="BI261" s="1231"/>
      <c r="BJ261" s="1231"/>
      <c r="BK261" s="1231"/>
      <c r="BL261" s="1231"/>
      <c r="BM261" s="1231"/>
      <c r="BN261" s="1231"/>
      <c r="BO261" s="1231"/>
    </row>
    <row r="262" ht="15.75" customHeight="1">
      <c r="A262" s="1228" t="s">
        <v>57</v>
      </c>
      <c r="B262" s="1229" t="s">
        <v>8027</v>
      </c>
      <c r="C262" s="1018" t="s">
        <v>613</v>
      </c>
      <c r="D262" s="983" t="s">
        <v>1612</v>
      </c>
      <c r="G262" s="1022" t="s">
        <v>1319</v>
      </c>
      <c r="L262" s="1132" t="s">
        <v>955</v>
      </c>
      <c r="T262" s="1022" t="s">
        <v>514</v>
      </c>
      <c r="X262" s="1022" t="s">
        <v>613</v>
      </c>
      <c r="BL262" s="1032"/>
      <c r="BM262" s="1032"/>
      <c r="BN262" s="1032"/>
      <c r="BO262" s="1032"/>
    </row>
    <row r="263" ht="15.75" customHeight="1">
      <c r="A263" s="1251"/>
      <c r="B263" s="1235" t="s">
        <v>8028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9" t="s">
        <v>8029</v>
      </c>
      <c r="D264" s="1260"/>
      <c r="E264" s="1260"/>
      <c r="F264" s="1261"/>
      <c r="G264" s="1262"/>
      <c r="H264" s="1260"/>
      <c r="I264" s="1260"/>
      <c r="J264" s="1260"/>
      <c r="K264" s="1260"/>
      <c r="L264" s="1260"/>
      <c r="M264" s="1260"/>
      <c r="N264" s="1260"/>
      <c r="O264" s="1260"/>
      <c r="P264" s="1263"/>
      <c r="Q264" s="1260"/>
      <c r="R264" s="1260"/>
      <c r="S264" s="1260"/>
      <c r="T264" s="1260"/>
      <c r="U264" s="1260"/>
      <c r="V264" s="1260"/>
      <c r="W264" s="1264"/>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7497</v>
      </c>
      <c r="B265" s="1266" t="s">
        <v>8030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7" t="s">
        <v>8031</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8"/>
      <c r="AV265" s="1138"/>
      <c r="AW265" s="1138"/>
      <c r="AX265" s="1138"/>
      <c r="AY265" s="1138"/>
      <c r="AZ265" s="1138"/>
      <c r="BA265" s="1268"/>
      <c r="BB265" s="1138"/>
      <c r="BC265" s="1138"/>
      <c r="BD265" s="1138"/>
      <c r="BE265" s="1138"/>
      <c r="BF265" s="1138"/>
      <c r="BG265" s="1138"/>
      <c r="BH265" s="1138"/>
      <c r="BI265" s="1268"/>
      <c r="BJ265" s="1268"/>
      <c r="BK265" s="1268"/>
      <c r="BL265" s="1268"/>
      <c r="BM265" s="1268"/>
      <c r="BN265" s="1268"/>
      <c r="BO265" s="1268"/>
    </row>
    <row r="266" ht="15.75" customHeight="1">
      <c r="A266" s="1269"/>
      <c r="B266" s="1270" t="s">
        <v>8032</v>
      </c>
      <c r="C266" s="1131" t="s">
        <v>4550</v>
      </c>
      <c r="D266" s="1138"/>
      <c r="E266" s="1138"/>
      <c r="F266" s="1271" t="s">
        <v>3773</v>
      </c>
      <c r="G266" s="1040"/>
      <c r="H266" s="1138"/>
      <c r="I266" s="1132" t="str">
        <f>HYPERLINK("https://youtu.be/K8Egs0-qumI","48.41")</f>
        <v>48.41</v>
      </c>
      <c r="J266" s="1138"/>
      <c r="K266" s="1138"/>
      <c r="L266" s="1138"/>
      <c r="M266" s="1138"/>
      <c r="N266" s="1138"/>
      <c r="O266" s="1138"/>
      <c r="P266" s="1140"/>
      <c r="Q266" s="1138"/>
      <c r="R266" s="1022" t="s">
        <v>8033</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2"/>
      <c r="B267" s="1273" t="s">
        <v>8034</v>
      </c>
      <c r="C267" s="1131" t="s">
        <v>428</v>
      </c>
      <c r="D267" s="1138" t="s">
        <v>4550</v>
      </c>
      <c r="E267" s="1138"/>
      <c r="F267" s="1021"/>
      <c r="G267" s="1040"/>
      <c r="H267" s="1138"/>
      <c r="I267" s="1138" t="s">
        <v>8035</v>
      </c>
      <c r="J267" s="1132" t="s">
        <v>4840</v>
      </c>
      <c r="K267" s="1138"/>
      <c r="L267" s="1138"/>
      <c r="M267" s="1138"/>
      <c r="N267" s="1138"/>
      <c r="O267" s="1138"/>
      <c r="P267" s="1140"/>
      <c r="Q267" s="1138"/>
      <c r="R267" s="1138"/>
      <c r="S267" s="1138"/>
      <c r="T267" s="1138"/>
      <c r="U267" s="1138"/>
      <c r="V267" s="1138"/>
      <c r="W267" s="1267" t="s">
        <v>8036</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8"/>
      <c r="AV267" s="1138"/>
      <c r="AW267" s="1138"/>
      <c r="AX267" s="1138"/>
      <c r="AY267" s="1138"/>
      <c r="AZ267" s="1138"/>
      <c r="BA267" s="1268"/>
      <c r="BB267" s="1138"/>
      <c r="BC267" s="1138"/>
      <c r="BD267" s="1138"/>
      <c r="BE267" s="1138"/>
      <c r="BF267" s="1138"/>
      <c r="BG267" s="1138"/>
      <c r="BH267" s="1138"/>
      <c r="BI267" s="1268"/>
      <c r="BJ267" s="1268"/>
      <c r="BK267" s="1268"/>
      <c r="BL267" s="1268"/>
      <c r="BM267" s="1268"/>
      <c r="BN267" s="1268"/>
      <c r="BO267" s="1268"/>
    </row>
    <row r="268" ht="15.75" customHeight="1">
      <c r="A268" s="1269"/>
      <c r="B268" s="1270" t="s">
        <v>8037</v>
      </c>
      <c r="C268" s="1131" t="s">
        <v>3878</v>
      </c>
      <c r="D268" s="1138"/>
      <c r="E268" s="1138"/>
      <c r="F268" s="1274"/>
      <c r="G268" s="1022" t="s">
        <v>6484</v>
      </c>
      <c r="H268" s="1138"/>
      <c r="I268" s="1132" t="s">
        <v>8038</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2"/>
      <c r="B269" s="1273" t="s">
        <v>8039</v>
      </c>
      <c r="C269" s="1048" t="s">
        <v>2924</v>
      </c>
      <c r="D269" s="1132"/>
      <c r="E269" s="1132" t="s">
        <v>1534</v>
      </c>
      <c r="F269" s="1049" t="s">
        <v>2924</v>
      </c>
      <c r="G269" s="1040"/>
      <c r="H269" s="1132" t="s">
        <v>2070</v>
      </c>
      <c r="I269" s="1132"/>
      <c r="J269" s="1132" t="s">
        <v>2204</v>
      </c>
      <c r="K269" s="1132"/>
      <c r="L269" s="1133" t="s">
        <v>8040</v>
      </c>
      <c r="M269" s="1132"/>
      <c r="N269" s="1132"/>
      <c r="O269" s="1132" t="s">
        <v>1395</v>
      </c>
      <c r="P269" s="1133" t="s">
        <v>8041</v>
      </c>
      <c r="Q269" s="1132"/>
      <c r="R269" s="1132"/>
      <c r="S269" s="1132"/>
      <c r="T269" s="1132" t="s">
        <v>2194</v>
      </c>
      <c r="U269" s="1132"/>
      <c r="V269" s="1132"/>
      <c r="W269" s="1268"/>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8"/>
      <c r="AV269" s="1132"/>
      <c r="AW269" s="1132"/>
      <c r="AX269" s="1132"/>
      <c r="AY269" s="1132"/>
      <c r="AZ269" s="1132"/>
      <c r="BA269" s="1268"/>
      <c r="BB269" s="1132"/>
      <c r="BC269" s="1132"/>
      <c r="BD269" s="1132"/>
      <c r="BE269" s="1132"/>
      <c r="BF269" s="1132"/>
      <c r="BG269" s="1132"/>
      <c r="BH269" s="1132"/>
      <c r="BI269" s="1268"/>
      <c r="BJ269" s="1268"/>
      <c r="BK269" s="1268"/>
      <c r="BL269" s="1268"/>
      <c r="BM269" s="1268"/>
      <c r="BN269" s="1268"/>
      <c r="BO269" s="1268"/>
    </row>
    <row r="270" ht="15.75" customHeight="1">
      <c r="A270" s="1269"/>
      <c r="B270" s="1270" t="s">
        <v>8042</v>
      </c>
      <c r="C270" s="1131" t="s">
        <v>2204</v>
      </c>
      <c r="D270" s="1132"/>
      <c r="E270" s="1132" t="s">
        <v>2204</v>
      </c>
      <c r="F270" s="1271" t="s">
        <v>8043</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2"/>
      <c r="B271" s="1273" t="s">
        <v>8044</v>
      </c>
      <c r="C271" s="1275"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8"/>
      <c r="X271" s="1133" t="s">
        <v>8045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7" t="s">
        <v>5712</v>
      </c>
      <c r="AV271" s="1132"/>
      <c r="AW271" s="1132"/>
      <c r="AX271" s="1132"/>
      <c r="AY271" s="1132"/>
      <c r="AZ271" s="1132"/>
      <c r="BA271" s="1268"/>
      <c r="BB271" s="1132"/>
      <c r="BC271" s="1132"/>
      <c r="BD271" s="1132"/>
      <c r="BE271" s="1132"/>
      <c r="BF271" s="1132"/>
      <c r="BG271" s="1132"/>
      <c r="BH271" s="1132"/>
      <c r="BI271" s="1268"/>
      <c r="BJ271" s="1268"/>
      <c r="BK271" s="1268"/>
      <c r="BL271" s="1268"/>
      <c r="BM271" s="1268"/>
      <c r="BN271" s="1268"/>
      <c r="BO271" s="1268"/>
    </row>
    <row r="272" ht="15.75" customHeight="1">
      <c r="A272" s="1269"/>
      <c r="B272" s="1270" t="s">
        <v>8046</v>
      </c>
      <c r="C272" s="1048" t="s">
        <v>2574</v>
      </c>
      <c r="D272" s="1132" t="s">
        <v>846</v>
      </c>
      <c r="E272" s="1132" t="s">
        <v>8047</v>
      </c>
      <c r="F272" s="1049" t="s">
        <v>2574</v>
      </c>
      <c r="G272" s="1022" t="s">
        <v>2722</v>
      </c>
      <c r="H272" s="1132"/>
      <c r="I272" s="1132"/>
      <c r="J272" s="1132"/>
      <c r="K272" s="1132"/>
      <c r="L272" s="1132"/>
      <c r="M272" s="1132"/>
      <c r="N272" s="1132"/>
      <c r="O272" s="1132" t="s">
        <v>8048</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5" t="s">
        <v>7499</v>
      </c>
      <c r="B273" s="1266" t="s">
        <v>7498</v>
      </c>
      <c r="C273" s="1048" t="s">
        <v>8049</v>
      </c>
      <c r="D273" s="1138"/>
      <c r="E273" s="1138"/>
      <c r="F273" s="1049" t="s">
        <v>8049</v>
      </c>
      <c r="G273" s="1040"/>
      <c r="H273" s="1138"/>
      <c r="I273" s="1138"/>
      <c r="J273" s="1138"/>
      <c r="K273" s="1138"/>
      <c r="L273" s="1138"/>
      <c r="M273" s="1138"/>
      <c r="N273" s="1138"/>
      <c r="O273" s="1138"/>
      <c r="P273" s="1140"/>
      <c r="Q273" s="1138"/>
      <c r="R273" s="1138"/>
      <c r="S273" s="1138"/>
      <c r="T273" s="1138"/>
      <c r="U273" s="1138"/>
      <c r="V273" s="1138"/>
      <c r="W273" s="126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8"/>
      <c r="AV273" s="1138"/>
      <c r="AW273" s="1138"/>
      <c r="AX273" s="1138"/>
      <c r="AY273" s="1138"/>
      <c r="AZ273" s="1138"/>
      <c r="BA273" s="1268"/>
      <c r="BB273" s="1138"/>
      <c r="BC273" s="1138"/>
      <c r="BD273" s="1138"/>
      <c r="BE273" s="1138"/>
      <c r="BF273" s="1138"/>
      <c r="BG273" s="1138"/>
      <c r="BH273" s="1138"/>
      <c r="BI273" s="1268"/>
      <c r="BJ273" s="1268"/>
      <c r="BK273" s="1268"/>
      <c r="BL273" s="1268"/>
      <c r="BM273" s="1268"/>
      <c r="BN273" s="1268"/>
      <c r="BO273" s="1268"/>
    </row>
    <row r="274" ht="15.75" customHeight="1">
      <c r="A274" s="1265" t="s">
        <v>7656</v>
      </c>
      <c r="B274" s="1266" t="s">
        <v>8050</v>
      </c>
      <c r="C274" s="1131" t="s">
        <v>1624</v>
      </c>
      <c r="D274" s="1138" t="s">
        <v>1671</v>
      </c>
      <c r="E274" s="1138"/>
      <c r="F274" s="1274"/>
      <c r="G274" s="1022" t="s">
        <v>4233</v>
      </c>
      <c r="H274" s="1138"/>
      <c r="I274" s="1132" t="str">
        <f>HYPERLINK("https://youtu.be/_GZXmZdCc5s","31.80")</f>
        <v>31.80</v>
      </c>
      <c r="J274" s="1138"/>
      <c r="K274" s="1132" t="s">
        <v>8051</v>
      </c>
      <c r="L274" s="1138"/>
      <c r="M274" s="1132" t="s">
        <v>1624</v>
      </c>
      <c r="N274" s="1132" t="str">
        <f>HYPERLINK("https://youtu.be/kUsh0nBBuMY","32.45")</f>
        <v>32.45</v>
      </c>
      <c r="O274" s="1138"/>
      <c r="P274" s="1140" t="s">
        <v>2258</v>
      </c>
      <c r="Q274" s="1138"/>
      <c r="R274" s="1138" t="s">
        <v>1082</v>
      </c>
      <c r="S274" s="1138"/>
      <c r="T274" s="1138"/>
      <c r="U274" s="1181" t="s">
        <v>3950</v>
      </c>
      <c r="V274" s="1138" t="s">
        <v>817</v>
      </c>
      <c r="W274" s="1276"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8"/>
      <c r="AV274" s="1138"/>
      <c r="AW274" s="1138"/>
      <c r="AX274" s="1138"/>
      <c r="AY274" s="1138" t="s">
        <v>1114</v>
      </c>
      <c r="AZ274" s="1138"/>
      <c r="BA274" s="1268"/>
      <c r="BB274" s="1138"/>
      <c r="BC274" s="1138"/>
      <c r="BD274" s="1138"/>
      <c r="BE274" s="1138"/>
      <c r="BF274" s="1138"/>
      <c r="BG274" s="1138"/>
      <c r="BH274" s="1138"/>
      <c r="BI274" s="1268"/>
      <c r="BJ274" s="1268"/>
      <c r="BK274" s="1268"/>
      <c r="BL274" s="1268"/>
      <c r="BM274" s="1268"/>
      <c r="BN274" s="1268"/>
      <c r="BO274" s="1268"/>
    </row>
    <row r="275" ht="15.75" customHeight="1">
      <c r="A275" s="1269"/>
      <c r="B275" s="1270" t="s">
        <v>8052</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2"/>
      <c r="B276" s="1273" t="s">
        <v>8053</v>
      </c>
      <c r="C276" s="1131" t="s">
        <v>5023</v>
      </c>
      <c r="D276" s="1138" t="s">
        <v>3435</v>
      </c>
      <c r="E276" s="1138"/>
      <c r="F276" s="1274"/>
      <c r="G276" s="1040"/>
      <c r="H276" s="1138"/>
      <c r="I276" s="1138"/>
      <c r="J276" s="1138"/>
      <c r="K276" s="1022" t="s">
        <v>968</v>
      </c>
      <c r="L276" s="1138"/>
      <c r="M276" s="1138"/>
      <c r="N276" s="1138"/>
      <c r="O276" s="1138"/>
      <c r="P276" s="1140"/>
      <c r="Q276" s="1138"/>
      <c r="R276" s="1138"/>
      <c r="S276" s="1138"/>
      <c r="T276" s="1138"/>
      <c r="U276" s="1138"/>
      <c r="V276" s="1138"/>
      <c r="W276" s="126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8"/>
      <c r="AV276" s="1138"/>
      <c r="AW276" s="1138"/>
      <c r="AX276" s="1138"/>
      <c r="AY276" s="1138"/>
      <c r="AZ276" s="1138"/>
      <c r="BA276" s="1268"/>
      <c r="BB276" s="1138"/>
      <c r="BC276" s="1138"/>
      <c r="BD276" s="1138"/>
      <c r="BE276" s="1138"/>
      <c r="BF276" s="1138"/>
      <c r="BG276" s="1138"/>
      <c r="BH276" s="1138"/>
      <c r="BI276" s="1268"/>
      <c r="BJ276" s="1268"/>
      <c r="BK276" s="1268"/>
      <c r="BL276" s="1268"/>
      <c r="BM276" s="1268"/>
      <c r="BN276" s="1268"/>
      <c r="BO276" s="1268"/>
    </row>
    <row r="277" ht="15.75" customHeight="1">
      <c r="A277" s="1269"/>
      <c r="B277" s="1270" t="s">
        <v>8054</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132" t="s">
        <v>8055</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5" t="s">
        <v>7545</v>
      </c>
      <c r="B278" s="1266" t="s">
        <v>8056</v>
      </c>
      <c r="C278" s="1131" t="s">
        <v>8057</v>
      </c>
      <c r="D278" s="1132" t="s">
        <v>7671</v>
      </c>
      <c r="E278" s="1132" t="s">
        <v>4157</v>
      </c>
      <c r="F278" s="1271" t="s">
        <v>2524</v>
      </c>
      <c r="G278" s="1022" t="s">
        <v>8058</v>
      </c>
      <c r="H278" s="1132"/>
      <c r="I278" s="1132" t="str">
        <f>HYPERLINK("https://youtu.be/fNmQmNF7N9I","46.93")</f>
        <v>46.93</v>
      </c>
      <c r="J278" s="1132" t="s">
        <v>8057</v>
      </c>
      <c r="K278" s="1132" t="s">
        <v>536</v>
      </c>
      <c r="L278" s="1132" t="s">
        <v>5551</v>
      </c>
      <c r="M278" s="1132" t="s">
        <v>1571</v>
      </c>
      <c r="N278" s="1132"/>
      <c r="O278" s="1132"/>
      <c r="P278" s="1133"/>
      <c r="Q278" s="1132"/>
      <c r="R278" s="1132"/>
      <c r="S278" s="1132" t="s">
        <v>3992</v>
      </c>
      <c r="T278" s="1132" t="s">
        <v>8035</v>
      </c>
      <c r="U278" s="1132"/>
      <c r="V278" s="1132" t="s">
        <v>8059</v>
      </c>
      <c r="W278" s="1268"/>
      <c r="X278" s="1132" t="s">
        <v>4393</v>
      </c>
      <c r="Y278" s="1132" t="s">
        <v>8060</v>
      </c>
      <c r="Z278" s="1132"/>
      <c r="AA278" s="1132"/>
      <c r="AB278" s="1132" t="s">
        <v>8061</v>
      </c>
      <c r="AC278" s="1132" t="s">
        <v>8062</v>
      </c>
      <c r="AD278" s="1132"/>
      <c r="AE278" s="1132"/>
      <c r="AF278" s="1132"/>
      <c r="AG278" s="1132"/>
      <c r="AH278" s="1132"/>
      <c r="AI278" s="1132"/>
      <c r="AJ278" s="1132"/>
      <c r="AK278" s="1135"/>
      <c r="AL278" s="1132"/>
      <c r="AM278" s="1132"/>
      <c r="AN278" s="1132"/>
      <c r="AO278" s="1132"/>
      <c r="AP278" s="1132"/>
      <c r="AQ278" s="1135"/>
      <c r="AR278" s="1135"/>
      <c r="AS278" s="1132" t="s">
        <v>8063</v>
      </c>
      <c r="AT278" s="1132"/>
      <c r="AU278" s="1268"/>
      <c r="AV278" s="1132"/>
      <c r="AW278" s="1132"/>
      <c r="AX278" s="1132"/>
      <c r="AY278" s="1132"/>
      <c r="AZ278" s="1132"/>
      <c r="BA278" s="1268"/>
      <c r="BB278" s="1132"/>
      <c r="BC278" s="1132"/>
      <c r="BD278" s="1132"/>
      <c r="BE278" s="1132"/>
      <c r="BF278" s="1132"/>
      <c r="BG278" s="1132"/>
      <c r="BH278" s="1132"/>
      <c r="BI278" s="1268"/>
      <c r="BJ278" s="1268"/>
      <c r="BK278" s="1268"/>
      <c r="BL278" s="1268"/>
      <c r="BM278" s="1268"/>
      <c r="BN278" s="1268"/>
      <c r="BO278" s="1268"/>
    </row>
    <row r="279" ht="15.75" customHeight="1">
      <c r="A279" s="1269"/>
      <c r="B279" s="1270" t="s">
        <v>8064</v>
      </c>
      <c r="C279" s="1131" t="s">
        <v>3977</v>
      </c>
      <c r="D279" s="1132" t="s">
        <v>5175</v>
      </c>
      <c r="E279" s="1132" t="s">
        <v>3436</v>
      </c>
      <c r="F279" s="1069" t="s">
        <v>8065</v>
      </c>
      <c r="G279" s="1022" t="s">
        <v>8066</v>
      </c>
      <c r="H279" s="1132"/>
      <c r="I279" s="1132" t="str">
        <f>HYPERLINK(" https://youtu.be/dsDcBzsPA5s","45.74")</f>
        <v>45.74</v>
      </c>
      <c r="J279" s="1132" t="s">
        <v>3977</v>
      </c>
      <c r="K279" s="1132" t="s">
        <v>8067</v>
      </c>
      <c r="L279" s="1132" t="s">
        <v>3905</v>
      </c>
      <c r="M279" s="1132" t="s">
        <v>1787</v>
      </c>
      <c r="N279" s="1132" t="s">
        <v>2071</v>
      </c>
      <c r="O279" s="1132" t="s">
        <v>4041</v>
      </c>
      <c r="P279" s="1133" t="s">
        <v>3524</v>
      </c>
      <c r="Q279" s="1132" t="s">
        <v>8068</v>
      </c>
      <c r="R279" s="1132"/>
      <c r="S279" s="1132" t="s">
        <v>8069</v>
      </c>
      <c r="T279" s="1132" t="s">
        <v>286</v>
      </c>
      <c r="U279" s="1132"/>
      <c r="V279" s="1132" t="s">
        <v>8045</v>
      </c>
      <c r="W279" s="1032"/>
      <c r="X279" s="1132" t="s">
        <v>704</v>
      </c>
      <c r="Y279" s="1132" t="s">
        <v>8070</v>
      </c>
      <c r="Z279" s="1132"/>
      <c r="AA279" s="1132"/>
      <c r="AB279" s="1132"/>
      <c r="AC279" s="1132" t="s">
        <v>7730</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2"/>
      <c r="B280" s="1273" t="s">
        <v>8071</v>
      </c>
      <c r="C280" s="1131" t="s">
        <v>1041</v>
      </c>
      <c r="D280" s="1132" t="s">
        <v>4638</v>
      </c>
      <c r="E280" s="1132" t="s">
        <v>410</v>
      </c>
      <c r="F280" s="1049" t="s">
        <v>565</v>
      </c>
      <c r="G280" s="1022" t="s">
        <v>1323</v>
      </c>
      <c r="H280" s="1132" t="s">
        <v>1910</v>
      </c>
      <c r="I280" s="1132" t="str">
        <f>HYPERLINK("https://youtu.be/9O9oqhlyCxY","45.20")</f>
        <v>45.20</v>
      </c>
      <c r="J280" s="1132" t="s">
        <v>8072</v>
      </c>
      <c r="K280" s="1022" t="s">
        <v>3669</v>
      </c>
      <c r="L280" s="1132" t="s">
        <v>321</v>
      </c>
      <c r="M280" s="1132" t="s">
        <v>1396</v>
      </c>
      <c r="N280" s="1132" t="s">
        <v>8038</v>
      </c>
      <c r="O280" s="1132" t="s">
        <v>1041</v>
      </c>
      <c r="P280" s="1133"/>
      <c r="Q280" s="1132" t="s">
        <v>1861</v>
      </c>
      <c r="R280" s="1132"/>
      <c r="S280" s="1132" t="s">
        <v>428</v>
      </c>
      <c r="T280" s="1132" t="s">
        <v>518</v>
      </c>
      <c r="U280" s="1132"/>
      <c r="V280" s="1132"/>
      <c r="W280" s="1268"/>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8"/>
      <c r="AV280" s="1132"/>
      <c r="AW280" s="1132"/>
      <c r="AX280" s="1132"/>
      <c r="AY280" s="1132"/>
      <c r="AZ280" s="1132"/>
      <c r="BA280" s="1268"/>
      <c r="BB280" s="1132"/>
      <c r="BC280" s="1132"/>
      <c r="BD280" s="1132"/>
      <c r="BE280" s="1132"/>
      <c r="BF280" s="1132"/>
      <c r="BG280" s="1132"/>
      <c r="BH280" s="1132"/>
      <c r="BI280" s="1268"/>
      <c r="BJ280" s="1268"/>
      <c r="BK280" s="1268"/>
      <c r="BL280" s="1268"/>
      <c r="BM280" s="1268"/>
      <c r="BN280" s="1268"/>
      <c r="BO280" s="1268"/>
    </row>
    <row r="281" ht="15.75" customHeight="1">
      <c r="A281" s="1278" t="s">
        <v>7735</v>
      </c>
      <c r="B281" s="1279" t="s">
        <v>8073</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280"/>
      <c r="W281" s="1032"/>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7512</v>
      </c>
      <c r="B282" s="1283" t="s">
        <v>8073</v>
      </c>
      <c r="C282" s="1131" t="s">
        <v>8074</v>
      </c>
      <c r="D282" s="1280" t="s">
        <v>1616</v>
      </c>
      <c r="E282" s="1280" t="s">
        <v>412</v>
      </c>
      <c r="F282" s="1035" t="s">
        <v>1578</v>
      </c>
      <c r="G282" s="1040"/>
      <c r="H282" s="1280" t="s">
        <v>8074</v>
      </c>
      <c r="I282" s="1280"/>
      <c r="J282" s="1280"/>
      <c r="K282" s="1280"/>
      <c r="L282" s="1280" t="s">
        <v>957</v>
      </c>
      <c r="M282" s="1280" t="s">
        <v>191</v>
      </c>
      <c r="N282" s="1280"/>
      <c r="O282" s="1280" t="s">
        <v>1043</v>
      </c>
      <c r="P282" s="1281"/>
      <c r="Q282" s="1280"/>
      <c r="R282" s="1280"/>
      <c r="S282" s="1280"/>
      <c r="T282" s="1280" t="s">
        <v>3094</v>
      </c>
      <c r="U282" s="1280"/>
      <c r="V282" s="1280"/>
      <c r="W282" s="1268"/>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7519</v>
      </c>
      <c r="B283" s="1285" t="s">
        <v>7498</v>
      </c>
      <c r="C283" s="1131" t="s">
        <v>5855</v>
      </c>
      <c r="D283" s="1132" t="s">
        <v>5788</v>
      </c>
      <c r="E283" s="1132" t="s">
        <v>2952</v>
      </c>
      <c r="F283" s="1049" t="s">
        <v>432</v>
      </c>
      <c r="G283" s="1022" t="s">
        <v>5761</v>
      </c>
      <c r="H283" s="1132" t="s">
        <v>5855</v>
      </c>
      <c r="I283" s="1132"/>
      <c r="J283" s="1132" t="s">
        <v>5271</v>
      </c>
      <c r="K283" s="1132"/>
      <c r="L283" s="1132" t="s">
        <v>8075</v>
      </c>
      <c r="M283" s="1132"/>
      <c r="N283" s="1132"/>
      <c r="O283" s="1132" t="s">
        <v>5855</v>
      </c>
      <c r="P283" s="1133"/>
      <c r="Q283" s="1132"/>
      <c r="R283" s="1022" t="s">
        <v>8076</v>
      </c>
      <c r="S283" s="1132"/>
      <c r="T283" s="1132" t="s">
        <v>5855</v>
      </c>
      <c r="U283" s="1132"/>
      <c r="V283" s="1132"/>
      <c r="W283" s="1032"/>
      <c r="X283" s="1132" t="s">
        <v>3608</v>
      </c>
      <c r="Y283" s="1132" t="s">
        <v>3595</v>
      </c>
      <c r="Z283" s="1132" t="s">
        <v>8077</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5" t="s">
        <v>7689</v>
      </c>
      <c r="B284" s="1286" t="s">
        <v>8078</v>
      </c>
      <c r="C284" s="1131" t="s">
        <v>8079</v>
      </c>
      <c r="D284" s="1029" t="s">
        <v>1478</v>
      </c>
      <c r="E284" s="1132" t="s">
        <v>4419</v>
      </c>
      <c r="F284" s="1035" t="s">
        <v>3844</v>
      </c>
      <c r="G284" s="1022" t="s">
        <v>1326</v>
      </c>
      <c r="H284" s="1132" t="s">
        <v>8079</v>
      </c>
      <c r="I284" s="1132" t="s">
        <v>1478</v>
      </c>
      <c r="J284" s="1132" t="s">
        <v>3836</v>
      </c>
      <c r="K284" s="1132"/>
      <c r="L284" s="1132" t="s">
        <v>958</v>
      </c>
      <c r="M284" s="1132"/>
      <c r="N284" s="1132"/>
      <c r="O284" s="1132" t="s">
        <v>8080</v>
      </c>
      <c r="P284" s="1133"/>
      <c r="Q284" s="1132" t="s">
        <v>192</v>
      </c>
      <c r="R284" s="1132"/>
      <c r="S284" s="1132"/>
      <c r="T284" s="1132" t="s">
        <v>521</v>
      </c>
      <c r="U284" s="1132"/>
      <c r="V284" s="1132"/>
      <c r="W284" s="1268"/>
      <c r="X284" s="1132" t="s">
        <v>8081</v>
      </c>
      <c r="Y284" s="1132"/>
      <c r="Z284" s="1132"/>
      <c r="AA284" s="1132"/>
      <c r="AB284" s="1132"/>
      <c r="AC284" s="1132"/>
      <c r="AD284" s="1132"/>
      <c r="AE284" s="1132"/>
      <c r="AF284" s="1132"/>
      <c r="AG284" s="1132" t="s">
        <v>8082</v>
      </c>
      <c r="AH284" s="1132"/>
      <c r="AI284" s="1132"/>
      <c r="AJ284" s="1132"/>
      <c r="AK284" s="1135"/>
      <c r="AL284" s="1132"/>
      <c r="AM284" s="1132"/>
      <c r="AN284" s="1132"/>
      <c r="AO284" s="1132"/>
      <c r="AP284" s="1132"/>
      <c r="AQ284" s="1135"/>
      <c r="AR284" s="1135"/>
      <c r="AS284" s="1132"/>
      <c r="AT284" s="1132"/>
      <c r="AU284" s="1268"/>
      <c r="AV284" s="1132"/>
      <c r="AW284" s="1132"/>
      <c r="AX284" s="1132"/>
      <c r="AY284" s="1132"/>
      <c r="AZ284" s="1132"/>
      <c r="BA284" s="1268"/>
      <c r="BB284" s="1132"/>
      <c r="BC284" s="1132"/>
      <c r="BD284" s="1132"/>
      <c r="BE284" s="1132"/>
      <c r="BF284" s="1132"/>
      <c r="BG284" s="1132"/>
      <c r="BH284" s="1132"/>
      <c r="BI284" s="1268"/>
      <c r="BJ284" s="1268"/>
      <c r="BK284" s="1268"/>
      <c r="BL284" s="1268"/>
      <c r="BM284" s="1268"/>
      <c r="BN284" s="1268"/>
      <c r="BO284" s="1268"/>
    </row>
    <row r="285" ht="15.75" customHeight="1">
      <c r="A285" s="1287" t="s">
        <v>7699</v>
      </c>
      <c r="B285" s="1285" t="s">
        <v>8078</v>
      </c>
      <c r="C285" s="1018" t="s">
        <v>8083</v>
      </c>
      <c r="D285" s="1132" t="s">
        <v>8084</v>
      </c>
      <c r="E285" s="1132"/>
      <c r="F285" s="1035" t="s">
        <v>7731</v>
      </c>
      <c r="G285" s="1040"/>
      <c r="H285" s="1022" t="s">
        <v>7403</v>
      </c>
      <c r="I285" s="1132"/>
      <c r="J285" s="1132"/>
      <c r="K285" s="1132"/>
      <c r="L285" s="1132"/>
      <c r="M285" s="1132"/>
      <c r="N285" s="1132"/>
      <c r="O285" s="1132"/>
      <c r="P285" s="1133"/>
      <c r="Q285" s="1132"/>
      <c r="R285" s="1132"/>
      <c r="S285" s="1132"/>
      <c r="T285" s="1132"/>
      <c r="U285" s="1132"/>
      <c r="V285" s="1132"/>
      <c r="W285" s="1268"/>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8" t="s">
        <v>8085</v>
      </c>
      <c r="AV285" s="1132"/>
      <c r="AW285" s="1132"/>
      <c r="AX285" s="1132"/>
      <c r="AY285" s="1132"/>
      <c r="AZ285" s="1132"/>
      <c r="BA285" s="1268"/>
      <c r="BB285" s="1132"/>
      <c r="BC285" s="1132"/>
      <c r="BD285" s="1132"/>
      <c r="BE285" s="1132"/>
      <c r="BF285" s="1132"/>
      <c r="BG285" s="1132"/>
      <c r="BH285" s="1132"/>
      <c r="BI285" s="1268"/>
      <c r="BJ285" s="1268"/>
      <c r="BK285" s="1268"/>
      <c r="BL285" s="1268"/>
      <c r="BM285" s="1268"/>
      <c r="BN285" s="1268"/>
      <c r="BO285" s="1268"/>
    </row>
    <row r="286" ht="15.75" customHeight="1">
      <c r="A286" s="1265" t="s">
        <v>7605</v>
      </c>
      <c r="B286" s="1266" t="s">
        <v>8086</v>
      </c>
      <c r="C286" s="1131" t="s">
        <v>4214</v>
      </c>
      <c r="D286" s="1040"/>
      <c r="E286" s="1022" t="s">
        <v>4352</v>
      </c>
      <c r="F286" s="1274"/>
      <c r="G286" s="1022" t="s">
        <v>3248</v>
      </c>
      <c r="H286" s="1022" t="s">
        <v>4214</v>
      </c>
      <c r="I286" s="1040"/>
      <c r="J286" s="1040"/>
      <c r="K286" s="1040"/>
      <c r="L286" s="1040"/>
      <c r="M286" s="1040"/>
      <c r="N286" s="1040" t="s">
        <v>4332</v>
      </c>
      <c r="O286" s="1040"/>
      <c r="P286" s="1133" t="s">
        <v>8087</v>
      </c>
      <c r="Q286" s="1040"/>
      <c r="R286" s="1040"/>
      <c r="S286" s="1040"/>
      <c r="T286" s="1040"/>
      <c r="U286" s="1022" t="s">
        <v>8017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9"/>
      <c r="B287" s="1270" t="s">
        <v>8088</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7"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8"/>
      <c r="AV287" s="1132"/>
      <c r="AW287" s="1132"/>
      <c r="AX287" s="1132"/>
      <c r="AY287" s="1132"/>
      <c r="AZ287" s="1132"/>
      <c r="BA287" s="1268"/>
      <c r="BB287" s="1132"/>
      <c r="BC287" s="1132"/>
      <c r="BD287" s="1132"/>
      <c r="BE287" s="1132"/>
      <c r="BF287" s="1132"/>
      <c r="BG287" s="1132"/>
      <c r="BH287" s="1132"/>
      <c r="BI287" s="1268"/>
      <c r="BJ287" s="1268"/>
      <c r="BK287" s="1268"/>
      <c r="BL287" s="1268"/>
      <c r="BM287" s="1268"/>
      <c r="BN287" s="1268"/>
      <c r="BO287" s="1268"/>
    </row>
    <row r="288" ht="15.75" customHeight="1">
      <c r="A288" s="1272"/>
      <c r="B288" s="1273" t="s">
        <v>8089</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5" t="s">
        <v>7609</v>
      </c>
      <c r="B289" s="1266" t="s">
        <v>7498</v>
      </c>
      <c r="C289" s="1131" t="s">
        <v>8090</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8"/>
      <c r="AV289" s="1138"/>
      <c r="AW289" s="1138"/>
      <c r="AX289" s="1138"/>
      <c r="AY289" s="1138"/>
      <c r="AZ289" s="1138"/>
      <c r="BA289" s="1268"/>
      <c r="BB289" s="1138"/>
      <c r="BC289" s="1138"/>
      <c r="BD289" s="1138"/>
      <c r="BE289" s="1138"/>
      <c r="BF289" s="1138"/>
      <c r="BG289" s="1138"/>
      <c r="BH289" s="1138"/>
      <c r="BI289" s="1268"/>
      <c r="BJ289" s="1268"/>
      <c r="BK289" s="1268"/>
      <c r="BL289" s="1268"/>
      <c r="BM289" s="1268"/>
      <c r="BN289" s="1268"/>
      <c r="BO289" s="1268"/>
    </row>
    <row r="290" ht="15.75" customHeight="1">
      <c r="A290" s="1265" t="s">
        <v>8091</v>
      </c>
      <c r="B290" s="1266"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7614</v>
      </c>
      <c r="B291" s="1285" t="s">
        <v>7498</v>
      </c>
      <c r="C291" s="1018" t="s">
        <v>8092</v>
      </c>
      <c r="D291" s="1022" t="s">
        <v>8092</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5" t="s">
        <v>6655</v>
      </c>
      <c r="B292" s="1266" t="s">
        <v>7721</v>
      </c>
      <c r="C292" s="1131" t="s">
        <v>4171</v>
      </c>
      <c r="D292" s="980" t="s">
        <v>1618</v>
      </c>
      <c r="E292" s="1138"/>
      <c r="F292" s="1274"/>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9"/>
      <c r="B293" s="1270" t="s">
        <v>7724</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8"/>
      <c r="AV293" s="1138"/>
      <c r="AW293" s="1138"/>
      <c r="AX293" s="1138"/>
      <c r="AY293" s="1138"/>
      <c r="AZ293" s="1138"/>
      <c r="BA293" s="1268"/>
      <c r="BB293" s="1138"/>
      <c r="BC293" s="1138"/>
      <c r="BD293" s="1138"/>
      <c r="BE293" s="1138"/>
      <c r="BF293" s="1138"/>
      <c r="BG293" s="1138"/>
      <c r="BH293" s="1138"/>
      <c r="BI293" s="1268"/>
      <c r="BJ293" s="1268"/>
      <c r="BK293" s="1268"/>
      <c r="BL293" s="1268"/>
      <c r="BM293" s="1268"/>
      <c r="BN293" s="1268"/>
      <c r="BO293" s="1268"/>
    </row>
    <row r="294" ht="15.75" customHeight="1">
      <c r="A294" s="1265" t="s">
        <v>57</v>
      </c>
      <c r="B294" s="1289" t="s">
        <v>7498</v>
      </c>
      <c r="C294" s="1131" t="s">
        <v>6833</v>
      </c>
      <c r="D294" s="1138" t="s">
        <v>8093</v>
      </c>
      <c r="E294" s="1138"/>
      <c r="F294" s="1274"/>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0" t="s">
        <v>8094</v>
      </c>
      <c r="D295" s="1291"/>
      <c r="E295" s="1291"/>
      <c r="F295" s="1292"/>
      <c r="G295" s="1293"/>
      <c r="H295" s="1291"/>
      <c r="I295" s="1291"/>
      <c r="J295" s="1291"/>
      <c r="K295" s="1291"/>
      <c r="L295" s="1291"/>
      <c r="M295" s="1291"/>
      <c r="N295" s="1291"/>
      <c r="O295" s="1291"/>
      <c r="P295" s="1294"/>
      <c r="Q295" s="1291"/>
      <c r="R295" s="1291"/>
      <c r="S295" s="1291"/>
      <c r="T295" s="1291"/>
      <c r="U295" s="1291"/>
      <c r="V295" s="1291"/>
      <c r="W295" s="1295"/>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8095</v>
      </c>
      <c r="B296" s="1297" t="s">
        <v>8096</v>
      </c>
      <c r="C296" s="1018" t="s">
        <v>8097</v>
      </c>
      <c r="D296" s="1254"/>
      <c r="E296" s="1040"/>
      <c r="F296" s="1298"/>
      <c r="G296" s="1022" t="s">
        <v>4849</v>
      </c>
      <c r="H296" s="1040"/>
      <c r="I296" s="1040"/>
      <c r="J296" s="1040"/>
      <c r="K296" s="1040"/>
      <c r="L296" s="1040"/>
      <c r="M296" s="1040"/>
      <c r="N296" s="1040"/>
      <c r="O296" s="1040"/>
      <c r="P296" s="1133"/>
      <c r="Q296" s="1040"/>
      <c r="R296" s="1040"/>
      <c r="S296" s="1040"/>
      <c r="T296" s="1040"/>
      <c r="U296" s="1022" t="s">
        <v>8097</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8098</v>
      </c>
      <c r="C297" s="1131" t="s">
        <v>7161</v>
      </c>
      <c r="D297" s="1132" t="s">
        <v>8099</v>
      </c>
      <c r="E297" s="1132" t="s">
        <v>7161</v>
      </c>
      <c r="F297" s="1021"/>
      <c r="H297" s="1132"/>
      <c r="I297" s="1132"/>
      <c r="J297" s="1132"/>
      <c r="K297" s="1133" t="s">
        <v>8100</v>
      </c>
      <c r="L297" s="1132"/>
      <c r="M297" s="1132"/>
      <c r="N297" s="1132"/>
      <c r="O297" s="1132"/>
      <c r="P297" s="1133" t="s">
        <v>8101</v>
      </c>
      <c r="Q297" s="1132"/>
      <c r="R297" s="1132"/>
      <c r="S297" s="1132"/>
      <c r="T297" s="1132"/>
      <c r="U297" s="1040"/>
      <c r="V297" s="1132"/>
      <c r="W297" s="1299"/>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9"/>
      <c r="AV297" s="1132"/>
      <c r="AW297" s="1132"/>
      <c r="AX297" s="1132"/>
      <c r="AY297" s="1132"/>
      <c r="AZ297" s="1132"/>
      <c r="BA297" s="1299"/>
      <c r="BB297" s="1132"/>
      <c r="BC297" s="1132"/>
      <c r="BD297" s="1132"/>
      <c r="BE297" s="1132"/>
      <c r="BF297" s="1132"/>
      <c r="BG297" s="1132"/>
      <c r="BH297" s="1132"/>
      <c r="BI297" s="1299"/>
      <c r="BJ297" s="1299"/>
      <c r="BK297" s="1299"/>
      <c r="BL297" s="1299"/>
      <c r="BM297" s="1299"/>
      <c r="BN297" s="1299"/>
      <c r="BO297" s="1299"/>
    </row>
    <row r="298" ht="15.75" customHeight="1">
      <c r="A298" s="1095"/>
      <c r="B298" s="1096" t="s">
        <v>8102</v>
      </c>
      <c r="C298" s="1131" t="s">
        <v>424</v>
      </c>
      <c r="D298" s="1029" t="s">
        <v>1623</v>
      </c>
      <c r="E298" s="1022" t="s">
        <v>424</v>
      </c>
      <c r="F298" s="1055" t="s">
        <v>270</v>
      </c>
      <c r="G298" s="1022" t="s">
        <v>1337</v>
      </c>
      <c r="H298" s="1022" t="s">
        <v>8103</v>
      </c>
      <c r="I298" s="1022" t="str">
        <f>HYPERLINK("https://youtu.be/ZpzmhXUsVhA","1:19.38")</f>
        <v>1:19.38</v>
      </c>
      <c r="J298" s="1040"/>
      <c r="K298" s="1022" t="s">
        <v>3675</v>
      </c>
      <c r="L298" s="1040" t="s">
        <v>967</v>
      </c>
      <c r="M298" s="1040" t="s">
        <v>6111</v>
      </c>
      <c r="N298" s="1040" t="s">
        <v>8104</v>
      </c>
      <c r="O298" s="1022" t="s">
        <v>8105</v>
      </c>
      <c r="P298" s="1133" t="s">
        <v>8106</v>
      </c>
      <c r="Q298" s="1040"/>
      <c r="R298" s="1040"/>
      <c r="S298" s="1040"/>
      <c r="T298" s="1040"/>
      <c r="U298" s="1277" t="s">
        <v>8107</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0" t="s">
        <v>8108</v>
      </c>
      <c r="B299" s="1301" t="s">
        <v>8096</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132"/>
      <c r="W299" s="1299"/>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9"/>
      <c r="AV299" s="1132"/>
      <c r="AW299" s="1132"/>
      <c r="AX299" s="1132"/>
      <c r="AY299" s="1132"/>
      <c r="AZ299" s="1132"/>
      <c r="BA299" s="1299"/>
      <c r="BB299" s="1132"/>
      <c r="BC299" s="1132"/>
      <c r="BD299" s="1132"/>
      <c r="BE299" s="1132"/>
      <c r="BF299" s="1132"/>
      <c r="BG299" s="1132"/>
      <c r="BH299" s="1132"/>
      <c r="BI299" s="1299"/>
      <c r="BJ299" s="1299"/>
      <c r="BK299" s="1299"/>
      <c r="BL299" s="1299"/>
      <c r="BM299" s="1299"/>
      <c r="BN299" s="1299"/>
      <c r="BO299" s="1299"/>
    </row>
    <row r="300" ht="15.75" customHeight="1">
      <c r="A300" s="1092"/>
      <c r="B300" s="1302" t="s">
        <v>8098</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9"/>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9"/>
      <c r="AV300" s="1132"/>
      <c r="AW300" s="1132"/>
      <c r="AX300" s="1132"/>
      <c r="AY300" s="1132"/>
      <c r="AZ300" s="1132"/>
      <c r="BA300" s="1299"/>
      <c r="BB300" s="1132"/>
      <c r="BC300" s="1132"/>
      <c r="BD300" s="1132"/>
      <c r="BE300" s="1132"/>
      <c r="BF300" s="1132"/>
      <c r="BG300" s="1132"/>
      <c r="BH300" s="1132"/>
      <c r="BI300" s="1299"/>
      <c r="BJ300" s="1299"/>
      <c r="BK300" s="1299"/>
      <c r="BL300" s="1299"/>
      <c r="BM300" s="1299"/>
      <c r="BN300" s="1299"/>
      <c r="BO300" s="1299"/>
    </row>
    <row r="301" ht="15.75" customHeight="1">
      <c r="A301" s="1095"/>
      <c r="B301" s="1096" t="s">
        <v>8102</v>
      </c>
      <c r="C301" s="1131" t="s">
        <v>2221</v>
      </c>
      <c r="D301" s="1303" t="s">
        <v>8109</v>
      </c>
      <c r="E301" s="1132" t="s">
        <v>3586</v>
      </c>
      <c r="F301" s="1103" t="s">
        <v>683</v>
      </c>
      <c r="G301" s="1022" t="s">
        <v>2837</v>
      </c>
      <c r="H301" s="1176"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0" t="s">
        <v>8110</v>
      </c>
      <c r="B302" s="1304" t="s">
        <v>8111</v>
      </c>
      <c r="C302" s="1131" t="s">
        <v>2578</v>
      </c>
      <c r="D302" s="1256" t="s">
        <v>1711</v>
      </c>
      <c r="E302" s="1132" t="s">
        <v>2578</v>
      </c>
      <c r="F302" s="1021"/>
      <c r="G302" s="1040"/>
      <c r="H302" s="1132"/>
      <c r="I302" s="1132"/>
      <c r="J302" s="1132"/>
      <c r="K302" s="1132" t="s">
        <v>2338</v>
      </c>
      <c r="L302" s="1132"/>
      <c r="M302" s="1132"/>
      <c r="N302" s="1132"/>
      <c r="O302" s="1132"/>
      <c r="P302" s="1133" t="s">
        <v>8112</v>
      </c>
      <c r="Q302" s="1132"/>
      <c r="R302" s="1132"/>
      <c r="S302" s="1132" t="s">
        <v>2635</v>
      </c>
      <c r="T302" s="1132"/>
      <c r="U302" s="1132"/>
      <c r="V302" s="1132"/>
      <c r="W302" s="1299"/>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9"/>
      <c r="AV302" s="1132"/>
      <c r="AW302" s="1132"/>
      <c r="AX302" s="1132"/>
      <c r="AY302" s="1132"/>
      <c r="AZ302" s="1132"/>
      <c r="BA302" s="1299"/>
      <c r="BB302" s="1132"/>
      <c r="BC302" s="1132"/>
      <c r="BD302" s="1132"/>
      <c r="BE302" s="1132"/>
      <c r="BF302" s="1132"/>
      <c r="BG302" s="1132"/>
      <c r="BH302" s="1132"/>
      <c r="BI302" s="1299"/>
      <c r="BJ302" s="1299"/>
      <c r="BK302" s="1299"/>
      <c r="BL302" s="1299"/>
      <c r="BM302" s="1299"/>
      <c r="BN302" s="1299"/>
      <c r="BO302" s="1299"/>
    </row>
    <row r="303" ht="15.75" customHeight="1">
      <c r="A303" s="1092"/>
      <c r="B303" s="1093" t="s">
        <v>8113</v>
      </c>
      <c r="C303" s="1131" t="s">
        <v>8055</v>
      </c>
      <c r="D303" s="1029" t="s">
        <v>1624</v>
      </c>
      <c r="E303" s="1022" t="s">
        <v>425</v>
      </c>
      <c r="F303" s="1055" t="s">
        <v>2578</v>
      </c>
      <c r="G303" s="1022" t="s">
        <v>1338</v>
      </c>
      <c r="H303" s="1022" t="s">
        <v>1939</v>
      </c>
      <c r="I303" s="1040"/>
      <c r="J303" s="1040"/>
      <c r="K303" s="1040"/>
      <c r="L303" s="1022" t="s">
        <v>968</v>
      </c>
      <c r="M303" s="1040" t="s">
        <v>815</v>
      </c>
      <c r="N303" s="1040"/>
      <c r="O303" s="1022" t="s">
        <v>8055</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6" t="s">
        <v>8114</v>
      </c>
      <c r="B304" s="1297" t="s">
        <v>8115</v>
      </c>
      <c r="C304" s="1131" t="s">
        <v>6317</v>
      </c>
      <c r="D304" s="1132"/>
      <c r="E304" s="1132" t="s">
        <v>6317</v>
      </c>
      <c r="F304" s="1021"/>
      <c r="G304" s="1040"/>
      <c r="H304" s="1132"/>
      <c r="I304" s="1132" t="s">
        <v>7987</v>
      </c>
      <c r="J304" s="1132"/>
      <c r="K304" s="1132"/>
      <c r="L304" s="1132"/>
      <c r="M304" s="1132"/>
      <c r="N304" s="1132"/>
      <c r="O304" s="1132"/>
      <c r="P304" s="1133"/>
      <c r="Q304" s="1132"/>
      <c r="R304" s="1132"/>
      <c r="S304" s="1132"/>
      <c r="T304" s="1132"/>
      <c r="U304" s="1132"/>
      <c r="V304" s="1132"/>
      <c r="W304" s="1299"/>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9"/>
      <c r="AV304" s="1132"/>
      <c r="AW304" s="1132"/>
      <c r="AX304" s="1132"/>
      <c r="AY304" s="1132"/>
      <c r="AZ304" s="1132"/>
      <c r="BA304" s="1299"/>
      <c r="BB304" s="1132"/>
      <c r="BC304" s="1132"/>
      <c r="BD304" s="1132"/>
      <c r="BE304" s="1132"/>
      <c r="BF304" s="1132"/>
      <c r="BG304" s="1132"/>
      <c r="BH304" s="1132"/>
      <c r="BI304" s="1299"/>
      <c r="BJ304" s="1299"/>
      <c r="BK304" s="1299"/>
      <c r="BL304" s="1299"/>
      <c r="BM304" s="1299"/>
      <c r="BN304" s="1299"/>
      <c r="BO304" s="1299"/>
    </row>
    <row r="305" ht="15.75" customHeight="1">
      <c r="A305" s="1108"/>
      <c r="B305" s="1302" t="s">
        <v>8116</v>
      </c>
      <c r="C305" s="1131" t="s">
        <v>7906</v>
      </c>
      <c r="D305" s="1132"/>
      <c r="E305" s="1132" t="s">
        <v>1406</v>
      </c>
      <c r="F305" s="1094"/>
      <c r="G305" s="1040"/>
      <c r="H305" s="1132"/>
      <c r="I305" s="1132" t="s">
        <v>7906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6" t="s">
        <v>74</v>
      </c>
      <c r="B306" s="1305" t="s">
        <v>8117</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9"/>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9"/>
      <c r="AV306" s="1138"/>
      <c r="AW306" s="1138"/>
      <c r="AX306" s="1138"/>
      <c r="AY306" s="1138"/>
      <c r="AZ306" s="1138"/>
      <c r="BA306" s="1299"/>
      <c r="BB306" s="1138"/>
      <c r="BC306" s="1138"/>
      <c r="BD306" s="1138"/>
      <c r="BE306" s="1138"/>
      <c r="BF306" s="1138"/>
      <c r="BG306" s="1138"/>
      <c r="BH306" s="1138"/>
      <c r="BI306" s="1299"/>
      <c r="BJ306" s="1299"/>
      <c r="BK306" s="1299"/>
      <c r="BL306" s="1299"/>
      <c r="BM306" s="1299"/>
      <c r="BN306" s="1299"/>
      <c r="BO306" s="1299"/>
    </row>
    <row r="307" ht="15.75" customHeight="1">
      <c r="A307" s="1092"/>
      <c r="B307" s="1093" t="s">
        <v>8118</v>
      </c>
      <c r="C307" s="1131" t="s">
        <v>2609</v>
      </c>
      <c r="D307" s="1181"/>
      <c r="E307" s="1181"/>
      <c r="F307" s="1094"/>
      <c r="G307" s="1040"/>
      <c r="H307" s="1181"/>
      <c r="I307" s="1181" t="s">
        <v>2609</v>
      </c>
      <c r="J307" s="1181"/>
      <c r="K307" s="1181"/>
      <c r="L307" s="1181"/>
      <c r="M307" s="1181"/>
      <c r="N307" s="1181"/>
      <c r="O307" s="1181"/>
      <c r="P307" s="1133"/>
      <c r="Q307" s="1181"/>
      <c r="R307" s="1181"/>
      <c r="S307" s="1181"/>
      <c r="T307" s="1181"/>
      <c r="U307" s="1181"/>
      <c r="V307" s="1181"/>
      <c r="W307" s="1032"/>
      <c r="X307" s="1181"/>
      <c r="Y307" s="1181"/>
      <c r="Z307" s="1181"/>
      <c r="AA307" s="1181"/>
      <c r="AB307" s="1181"/>
      <c r="AC307" s="1181"/>
      <c r="AD307" s="1181"/>
      <c r="AE307" s="1181"/>
      <c r="AF307" s="1181"/>
      <c r="AG307" s="1181"/>
      <c r="AH307" s="1181"/>
      <c r="AI307" s="1181"/>
      <c r="AJ307" s="1181"/>
      <c r="AK307" s="1135"/>
      <c r="AL307" s="1181"/>
      <c r="AM307" s="1181"/>
      <c r="AN307" s="1181"/>
      <c r="AO307" s="1181"/>
      <c r="AP307" s="1181"/>
      <c r="AQ307" s="1135"/>
      <c r="AR307" s="1135"/>
      <c r="AS307" s="1181"/>
      <c r="AT307" s="1181"/>
      <c r="AU307" s="1032"/>
      <c r="AV307" s="1181"/>
      <c r="AW307" s="1181"/>
      <c r="AX307" s="1181"/>
      <c r="AY307" s="1181"/>
      <c r="AZ307" s="1181"/>
      <c r="BA307" s="1032"/>
      <c r="BB307" s="1181"/>
      <c r="BC307" s="1181"/>
      <c r="BD307" s="1181"/>
      <c r="BE307" s="1181"/>
      <c r="BF307" s="1181"/>
      <c r="BG307" s="1181"/>
      <c r="BH307" s="1181"/>
      <c r="BI307" s="1032"/>
      <c r="BJ307" s="1032"/>
      <c r="BK307" s="1032"/>
      <c r="BL307" s="1032"/>
      <c r="BM307" s="1032"/>
      <c r="BN307" s="1032"/>
      <c r="BO307" s="1032"/>
    </row>
    <row r="308" ht="15.75" customHeight="1">
      <c r="A308" s="1095"/>
      <c r="B308" s="1096" t="s">
        <v>8119</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9"/>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9"/>
      <c r="AV308" s="1138"/>
      <c r="AW308" s="1138"/>
      <c r="AX308" s="1138"/>
      <c r="AY308" s="1138"/>
      <c r="AZ308" s="1138"/>
      <c r="BA308" s="1299"/>
      <c r="BB308" s="1138"/>
      <c r="BC308" s="1138"/>
      <c r="BD308" s="1138"/>
      <c r="BE308" s="1138"/>
      <c r="BF308" s="1138"/>
      <c r="BG308" s="1138"/>
      <c r="BH308" s="1138"/>
      <c r="BI308" s="1299"/>
      <c r="BJ308" s="1299"/>
      <c r="BK308" s="1299"/>
      <c r="BL308" s="1299"/>
      <c r="BM308" s="1299"/>
      <c r="BN308" s="1299"/>
      <c r="BO308" s="1299"/>
    </row>
    <row r="309" ht="15.75" customHeight="1">
      <c r="A309" s="1296" t="s">
        <v>8120</v>
      </c>
      <c r="B309" s="1305"/>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9"/>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9"/>
      <c r="AV309" s="1138"/>
      <c r="AW309" s="1138"/>
      <c r="AX309" s="1138"/>
      <c r="AY309" s="1138"/>
      <c r="AZ309" s="1138"/>
      <c r="BA309" s="1299"/>
      <c r="BB309" s="1138"/>
      <c r="BC309" s="1138"/>
      <c r="BD309" s="1138"/>
      <c r="BE309" s="1138"/>
      <c r="BF309" s="1138"/>
      <c r="BG309" s="1138"/>
      <c r="BH309" s="1138"/>
      <c r="BI309" s="1299"/>
      <c r="BJ309" s="1299"/>
      <c r="BK309" s="1299"/>
      <c r="BL309" s="1299"/>
      <c r="BM309" s="1299"/>
      <c r="BN309" s="1299"/>
      <c r="BO309" s="1299"/>
    </row>
    <row r="310" ht="15.75" customHeight="1">
      <c r="A310" s="1300" t="s">
        <v>7512</v>
      </c>
      <c r="B310" s="1304"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9"/>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9"/>
      <c r="AV310" s="1132"/>
      <c r="AW310" s="1132"/>
      <c r="AX310" s="1132"/>
      <c r="AY310" s="1132"/>
      <c r="AZ310" s="1132"/>
      <c r="BA310" s="1299"/>
      <c r="BB310" s="1132"/>
      <c r="BC310" s="1132"/>
      <c r="BD310" s="1132"/>
      <c r="BE310" s="1132"/>
      <c r="BF310" s="1132"/>
      <c r="BG310" s="1132"/>
      <c r="BH310" s="1132"/>
      <c r="BI310" s="1299"/>
      <c r="BJ310" s="1299"/>
      <c r="BK310" s="1299"/>
      <c r="BL310" s="1299"/>
      <c r="BM310" s="1299"/>
      <c r="BN310" s="1299"/>
      <c r="BO310" s="1299"/>
    </row>
    <row r="311" ht="15.75" customHeight="1">
      <c r="A311" s="1296" t="s">
        <v>8121</v>
      </c>
      <c r="B311" s="1306"/>
      <c r="C311" s="1018" t="s">
        <v>8122</v>
      </c>
      <c r="D311" s="1138"/>
      <c r="E311" s="1138"/>
      <c r="F311" s="1094"/>
      <c r="G311" s="1040"/>
      <c r="H311" s="1022" t="s">
        <v>8122</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0" t="s">
        <v>8123</v>
      </c>
      <c r="B312" s="1304" t="s">
        <v>8124</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9"/>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9"/>
      <c r="AV312" s="1138"/>
      <c r="AW312" s="1138"/>
      <c r="AX312" s="1138"/>
      <c r="AY312" s="1138"/>
      <c r="AZ312" s="1138"/>
      <c r="BA312" s="1299"/>
      <c r="BB312" s="1138"/>
      <c r="BC312" s="1138"/>
      <c r="BD312" s="1138"/>
      <c r="BE312" s="1138"/>
      <c r="BF312" s="1138"/>
      <c r="BG312" s="1138"/>
      <c r="BH312" s="1138"/>
      <c r="BI312" s="1299"/>
      <c r="BJ312" s="1299"/>
      <c r="BK312" s="1299"/>
      <c r="BL312" s="1299"/>
      <c r="BM312" s="1299"/>
      <c r="BN312" s="1299"/>
      <c r="BO312" s="1299"/>
    </row>
    <row r="313" ht="15.75" customHeight="1">
      <c r="A313" s="1092"/>
      <c r="B313" s="1302" t="s">
        <v>8125</v>
      </c>
      <c r="C313" s="1131" t="s">
        <v>3942</v>
      </c>
      <c r="D313" s="1178"/>
      <c r="E313" s="1178" t="s">
        <v>4180</v>
      </c>
      <c r="F313" s="1094"/>
      <c r="G313" s="1040"/>
      <c r="H313" s="1178"/>
      <c r="I313" s="1022" t="s">
        <v>3942</v>
      </c>
      <c r="J313" s="1178"/>
      <c r="K313" s="1178"/>
      <c r="L313" s="1178"/>
      <c r="M313" s="1178" t="s">
        <v>7551</v>
      </c>
      <c r="N313" s="1178"/>
      <c r="O313" s="1178"/>
      <c r="P313" s="1176"/>
      <c r="Q313" s="1178"/>
      <c r="R313" s="1178"/>
      <c r="S313" s="1178"/>
      <c r="T313" s="1178"/>
      <c r="U313" s="1178"/>
      <c r="V313" s="1178"/>
      <c r="W313" s="1032"/>
      <c r="X313" s="1178"/>
      <c r="Y313" s="1178"/>
      <c r="Z313" s="1178"/>
      <c r="AA313" s="1178"/>
      <c r="AB313" s="1178"/>
      <c r="AC313" s="1178"/>
      <c r="AD313" s="1178"/>
      <c r="AE313" s="1178"/>
      <c r="AF313" s="1178"/>
      <c r="AG313" s="1178"/>
      <c r="AH313" s="1178"/>
      <c r="AI313" s="1178"/>
      <c r="AJ313" s="1178"/>
      <c r="AK313" s="1135"/>
      <c r="AL313" s="1178"/>
      <c r="AM313" s="1178"/>
      <c r="AN313" s="1178"/>
      <c r="AO313" s="1178"/>
      <c r="AP313" s="1178"/>
      <c r="AQ313" s="1135"/>
      <c r="AR313" s="1135"/>
      <c r="AS313" s="1178"/>
      <c r="AT313" s="1178"/>
      <c r="AU313" s="1032"/>
      <c r="AV313" s="1178"/>
      <c r="AW313" s="1178"/>
      <c r="AX313" s="1178"/>
      <c r="AY313" s="1178"/>
      <c r="AZ313" s="1178"/>
      <c r="BA313" s="1032"/>
      <c r="BB313" s="1178"/>
      <c r="BC313" s="1178"/>
      <c r="BD313" s="1178"/>
      <c r="BE313" s="1178"/>
      <c r="BF313" s="1178"/>
      <c r="BG313" s="1178"/>
      <c r="BH313" s="1178"/>
      <c r="BI313" s="1032"/>
      <c r="BJ313" s="1032"/>
      <c r="BK313" s="1032"/>
      <c r="BL313" s="1032"/>
      <c r="BM313" s="1032"/>
      <c r="BN313" s="1032"/>
      <c r="BO313" s="1032"/>
    </row>
    <row r="314" ht="15.75" customHeight="1">
      <c r="A314" s="1296" t="s">
        <v>8126</v>
      </c>
      <c r="B314" s="1305" t="s">
        <v>8127</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9"/>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9"/>
      <c r="AV314" s="1138"/>
      <c r="AW314" s="1138"/>
      <c r="AX314" s="1138"/>
      <c r="AY314" s="1138"/>
      <c r="AZ314" s="1138"/>
      <c r="BA314" s="1299"/>
      <c r="BB314" s="1138"/>
      <c r="BC314" s="1138"/>
      <c r="BD314" s="1138"/>
      <c r="BE314" s="1138"/>
      <c r="BF314" s="1138"/>
      <c r="BG314" s="1138"/>
      <c r="BH314" s="1138"/>
      <c r="BI314" s="1299"/>
      <c r="BJ314" s="1299"/>
      <c r="BK314" s="1299"/>
      <c r="BL314" s="1299"/>
      <c r="BM314" s="1299"/>
      <c r="BN314" s="1299"/>
      <c r="BO314" s="1299"/>
    </row>
    <row r="315" ht="15.75" customHeight="1">
      <c r="A315" s="1092"/>
      <c r="B315" s="1093" t="s">
        <v>8128</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6" t="s">
        <v>8129</v>
      </c>
      <c r="B316" s="1305" t="s">
        <v>8130</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2" t="s">
        <v>8131</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8132</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6" t="s">
        <v>70</v>
      </c>
      <c r="B319" s="1305" t="s">
        <v>8133</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9"/>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9"/>
      <c r="AV319" s="1138"/>
      <c r="AW319" s="1138"/>
      <c r="AX319" s="1138"/>
      <c r="AY319" s="1138"/>
      <c r="AZ319" s="1138"/>
      <c r="BA319" s="1299"/>
      <c r="BB319" s="1138"/>
      <c r="BC319" s="1138"/>
      <c r="BD319" s="1138"/>
      <c r="BE319" s="1138"/>
      <c r="BF319" s="1138"/>
      <c r="BG319" s="1138"/>
      <c r="BH319" s="1138"/>
      <c r="BI319" s="1299"/>
      <c r="BJ319" s="1299"/>
      <c r="BK319" s="1299"/>
      <c r="BL319" s="1299"/>
      <c r="BM319" s="1299"/>
      <c r="BN319" s="1299"/>
      <c r="BO319" s="1299"/>
    </row>
    <row r="320" ht="15.75" customHeight="1">
      <c r="A320" s="1296" t="s">
        <v>71</v>
      </c>
      <c r="B320" s="1305" t="s">
        <v>8133</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0" t="s">
        <v>8134</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7" t="s">
        <v>8135</v>
      </c>
      <c r="B322" s="1308" t="s">
        <v>8136</v>
      </c>
      <c r="C322" s="1131" t="s">
        <v>533</v>
      </c>
      <c r="D322" s="1142" t="s">
        <v>3435</v>
      </c>
      <c r="E322" s="1142"/>
      <c r="F322" s="1021"/>
      <c r="G322" s="1040"/>
      <c r="H322" s="1142"/>
      <c r="I322" s="1142"/>
      <c r="J322" s="1142"/>
      <c r="K322" s="1142"/>
      <c r="L322" s="1142"/>
      <c r="M322" s="1142"/>
      <c r="N322" s="1142"/>
      <c r="O322" s="1142"/>
      <c r="P322" s="1309"/>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2" t="s">
        <v>8137</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9"/>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9"/>
      <c r="AV323" s="1040"/>
      <c r="AW323" s="1040"/>
      <c r="AX323" s="1040"/>
      <c r="AY323" s="1040"/>
      <c r="AZ323" s="1040"/>
      <c r="BA323" s="1299"/>
      <c r="BB323" s="1040"/>
      <c r="BC323" s="1040"/>
      <c r="BD323" s="1040"/>
      <c r="BE323" s="1040"/>
      <c r="BF323" s="1040"/>
      <c r="BG323" s="1040"/>
      <c r="BH323" s="1040"/>
      <c r="BI323" s="1299"/>
      <c r="BJ323" s="1299"/>
      <c r="BK323" s="1299"/>
      <c r="BL323" s="1299"/>
      <c r="BM323" s="1299"/>
      <c r="BN323" s="1299"/>
      <c r="BO323" s="1299"/>
    </row>
    <row r="324" ht="15.75" customHeight="1">
      <c r="A324" s="1095"/>
      <c r="B324" s="1099" t="s">
        <v>8138</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8139</v>
      </c>
      <c r="B325" s="1308"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9"/>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9"/>
      <c r="AV325" s="1040"/>
      <c r="AW325" s="1040"/>
      <c r="AX325" s="1040"/>
      <c r="AY325" s="1040"/>
      <c r="AZ325" s="1040"/>
      <c r="BA325" s="1299"/>
      <c r="BB325" s="1040"/>
      <c r="BC325" s="1040"/>
      <c r="BD325" s="1040"/>
      <c r="BE325" s="1040"/>
      <c r="BF325" s="1040"/>
      <c r="BG325" s="1040"/>
      <c r="BH325" s="1040"/>
      <c r="BI325" s="1299"/>
      <c r="BJ325" s="1299"/>
      <c r="BK325" s="1299"/>
      <c r="BL325" s="1299"/>
      <c r="BM325" s="1299"/>
      <c r="BN325" s="1299"/>
      <c r="BO325" s="1299"/>
    </row>
    <row r="326" ht="15.75" customHeight="1">
      <c r="A326" s="1092"/>
      <c r="B326" s="1302"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8140</v>
      </c>
      <c r="B327" s="1308" t="s">
        <v>7498</v>
      </c>
      <c r="C327" s="1107" t="s">
        <v>3529</v>
      </c>
      <c r="D327" s="1062"/>
      <c r="E327" s="1061" t="s">
        <v>1698</v>
      </c>
      <c r="F327" s="1103" t="s">
        <v>3529</v>
      </c>
      <c r="G327" s="1040"/>
      <c r="H327" s="1061" t="s">
        <v>2388</v>
      </c>
      <c r="I327" s="1062"/>
      <c r="J327" s="1061" t="s">
        <v>1698</v>
      </c>
      <c r="K327" s="1062"/>
      <c r="L327" s="1061" t="s">
        <v>8141</v>
      </c>
      <c r="M327" s="1061" t="s">
        <v>8142</v>
      </c>
      <c r="N327" s="1062"/>
      <c r="O327" s="1062"/>
      <c r="P327" s="1060"/>
      <c r="Q327" s="1062"/>
      <c r="R327" s="1062"/>
      <c r="S327" s="1062"/>
      <c r="T327" s="1062"/>
      <c r="U327" s="1062"/>
      <c r="V327" s="1062"/>
      <c r="W327" s="1299"/>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9"/>
      <c r="AV327" s="1062"/>
      <c r="AW327" s="1062"/>
      <c r="AX327" s="1062"/>
      <c r="AY327" s="1062"/>
      <c r="AZ327" s="1062"/>
      <c r="BA327" s="1299"/>
      <c r="BB327" s="1062"/>
      <c r="BC327" s="1062"/>
      <c r="BD327" s="1062"/>
      <c r="BE327" s="1062"/>
      <c r="BF327" s="1062"/>
      <c r="BG327" s="1062"/>
      <c r="BH327" s="1062"/>
      <c r="BI327" s="1299"/>
      <c r="BJ327" s="1299"/>
      <c r="BK327" s="1299"/>
      <c r="BL327" s="1299"/>
      <c r="BM327" s="1299"/>
      <c r="BN327" s="1299"/>
      <c r="BO327" s="1299"/>
    </row>
    <row r="328" ht="15.75" customHeight="1">
      <c r="A328" s="1087" t="s">
        <v>8143</v>
      </c>
      <c r="B328" s="1308" t="s">
        <v>8144</v>
      </c>
      <c r="C328" s="1131" t="s">
        <v>8145</v>
      </c>
      <c r="D328" s="1040"/>
      <c r="E328" s="1022" t="s">
        <v>8145</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8146</v>
      </c>
      <c r="C329" s="1107" t="s">
        <v>8147</v>
      </c>
      <c r="D329" s="1040"/>
      <c r="E329" s="1022" t="s">
        <v>8148</v>
      </c>
      <c r="F329" s="1103" t="s">
        <v>8147</v>
      </c>
      <c r="G329" s="1040"/>
      <c r="H329" s="1040" t="s">
        <v>1422</v>
      </c>
      <c r="I329" s="1040"/>
      <c r="J329" s="1040"/>
      <c r="K329" s="1040"/>
      <c r="L329" s="1040"/>
      <c r="M329" s="1040"/>
      <c r="N329" s="1040"/>
      <c r="O329" s="1040"/>
      <c r="P329" s="1133"/>
      <c r="Q329" s="1040"/>
      <c r="R329" s="1040"/>
      <c r="S329" s="1040"/>
      <c r="T329" s="1040"/>
      <c r="U329" s="1040"/>
      <c r="V329" s="1040"/>
      <c r="W329" s="1299"/>
      <c r="X329" s="1040"/>
      <c r="Y329" s="1040"/>
      <c r="Z329" s="1022" t="s">
        <v>8149</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9"/>
      <c r="AV329" s="1040"/>
      <c r="AW329" s="1040"/>
      <c r="AX329" s="1040"/>
      <c r="AY329" s="1040"/>
      <c r="AZ329" s="1040"/>
      <c r="BA329" s="1299"/>
      <c r="BB329" s="1040"/>
      <c r="BC329" s="1040"/>
      <c r="BD329" s="1040"/>
      <c r="BE329" s="1040"/>
      <c r="BF329" s="1040"/>
      <c r="BG329" s="1040"/>
      <c r="BH329" s="1040"/>
      <c r="BI329" s="1299"/>
      <c r="BJ329" s="1299"/>
      <c r="BK329" s="1299"/>
      <c r="BL329" s="1299"/>
      <c r="BM329" s="1299"/>
      <c r="BN329" s="1299"/>
      <c r="BO329" s="1299"/>
    </row>
    <row r="330" ht="15.75" customHeight="1">
      <c r="A330" s="1296" t="s">
        <v>8150</v>
      </c>
      <c r="B330" s="1297" t="s">
        <v>8151</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2" t="s">
        <v>8152</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9"/>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9"/>
      <c r="AV331" s="1040"/>
      <c r="AW331" s="1040"/>
      <c r="AX331" s="1040"/>
      <c r="AY331" s="1040"/>
      <c r="AZ331" s="1040"/>
      <c r="BA331" s="1299"/>
      <c r="BB331" s="1040"/>
      <c r="BC331" s="1040"/>
      <c r="BD331" s="1040"/>
      <c r="BE331" s="1040"/>
      <c r="BF331" s="1040"/>
      <c r="BG331" s="1040"/>
      <c r="BH331" s="1040"/>
      <c r="BI331" s="1299"/>
      <c r="BJ331" s="1299"/>
      <c r="BK331" s="1299"/>
      <c r="BL331" s="1299"/>
      <c r="BM331" s="1299"/>
      <c r="BN331" s="1299"/>
      <c r="BO331" s="1299"/>
    </row>
    <row r="332" ht="15.75" customHeight="1">
      <c r="A332" s="1095"/>
      <c r="B332" s="1099" t="s">
        <v>8153</v>
      </c>
      <c r="C332" s="1131" t="s">
        <v>8154</v>
      </c>
      <c r="D332" s="1040"/>
      <c r="E332" s="1022" t="s">
        <v>8154</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2" t="s">
        <v>8155</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9"/>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9"/>
      <c r="AV333" s="1040"/>
      <c r="AW333" s="1040"/>
      <c r="AX333" s="1040"/>
      <c r="AY333" s="1040"/>
      <c r="AZ333" s="1040"/>
      <c r="BA333" s="1299"/>
      <c r="BB333" s="1040"/>
      <c r="BC333" s="1040"/>
      <c r="BD333" s="1040"/>
      <c r="BE333" s="1040"/>
      <c r="BF333" s="1040"/>
      <c r="BG333" s="1040"/>
      <c r="BH333" s="1040"/>
      <c r="BI333" s="1299"/>
      <c r="BJ333" s="1299"/>
      <c r="BK333" s="1299"/>
      <c r="BL333" s="1299"/>
      <c r="BM333" s="1299"/>
      <c r="BN333" s="1299"/>
      <c r="BO333" s="1299"/>
    </row>
    <row r="334" ht="15.75" customHeight="1">
      <c r="A334" s="1095"/>
      <c r="B334" s="1099" t="s">
        <v>8156</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2" t="s">
        <v>8157</v>
      </c>
      <c r="C335" s="1131" t="s">
        <v>8158</v>
      </c>
      <c r="D335" s="1040"/>
      <c r="E335" s="1022" t="s">
        <v>3921</v>
      </c>
      <c r="F335" s="1103" t="s">
        <v>1102</v>
      </c>
      <c r="G335" s="1040"/>
      <c r="H335" s="1022" t="s">
        <v>8158</v>
      </c>
      <c r="I335" s="1040"/>
      <c r="J335" s="1040"/>
      <c r="K335" s="1040"/>
      <c r="L335" s="1040"/>
      <c r="M335" s="1040"/>
      <c r="N335" s="1040"/>
      <c r="O335" s="1040"/>
      <c r="P335" s="1133"/>
      <c r="Q335" s="1040"/>
      <c r="R335" s="1040"/>
      <c r="S335" s="1040"/>
      <c r="T335" s="1040"/>
      <c r="U335" s="1040"/>
      <c r="V335" s="1040"/>
      <c r="W335" s="1299"/>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9"/>
      <c r="AV335" s="1040"/>
      <c r="AW335" s="1040"/>
      <c r="AX335" s="1040"/>
      <c r="AY335" s="1040"/>
      <c r="AZ335" s="1040"/>
      <c r="BA335" s="1299"/>
      <c r="BB335" s="1040"/>
      <c r="BC335" s="1040"/>
      <c r="BD335" s="1040"/>
      <c r="BE335" s="1040"/>
      <c r="BF335" s="1040"/>
      <c r="BG335" s="1040"/>
      <c r="BH335" s="1040"/>
      <c r="BI335" s="1299"/>
      <c r="BJ335" s="1299"/>
      <c r="BK335" s="1299"/>
      <c r="BL335" s="1299"/>
      <c r="BM335" s="1299"/>
      <c r="BN335" s="1299"/>
      <c r="BO335" s="1299"/>
    </row>
    <row r="336" ht="15.75" customHeight="1">
      <c r="A336" s="1095"/>
      <c r="B336" s="1099" t="s">
        <v>8159</v>
      </c>
      <c r="C336" s="1131" t="s">
        <v>8160</v>
      </c>
      <c r="D336" s="1138" t="s">
        <v>8161</v>
      </c>
      <c r="E336" s="1138"/>
      <c r="F336" s="1049" t="s">
        <v>8162</v>
      </c>
      <c r="G336" s="1040"/>
      <c r="H336" s="1022" t="s">
        <v>8163</v>
      </c>
      <c r="I336" s="1138"/>
      <c r="J336" s="1138"/>
      <c r="K336" s="1138"/>
      <c r="L336" s="1138"/>
      <c r="M336" s="1138"/>
      <c r="N336" s="1138"/>
      <c r="O336" s="1138"/>
      <c r="P336" s="1140"/>
      <c r="Q336" s="1138"/>
      <c r="R336" s="1022" t="s">
        <v>8164</v>
      </c>
      <c r="S336" s="1138"/>
      <c r="T336" s="1022" t="s">
        <v>8165</v>
      </c>
      <c r="U336" s="1138"/>
      <c r="V336" s="1138"/>
      <c r="W336" s="1032"/>
      <c r="X336" s="1138"/>
      <c r="Y336" s="1138"/>
      <c r="Z336" s="1022" t="s">
        <v>8160</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6" t="s">
        <v>8166</v>
      </c>
      <c r="B337" s="1297" t="s">
        <v>8167</v>
      </c>
      <c r="C337" s="1131"/>
      <c r="D337" s="1142"/>
      <c r="E337" s="1138"/>
      <c r="F337" s="1310"/>
      <c r="G337" s="1040"/>
      <c r="H337" s="1040"/>
      <c r="I337" s="1138"/>
      <c r="J337" s="1040"/>
      <c r="K337" s="1138"/>
      <c r="L337" s="1138"/>
      <c r="M337" s="1138"/>
      <c r="N337" s="1138"/>
      <c r="O337" s="1138"/>
      <c r="P337" s="1140"/>
      <c r="Q337" s="1138"/>
      <c r="R337" s="1138"/>
      <c r="S337" s="1138"/>
      <c r="T337" s="1138"/>
      <c r="U337" s="1138"/>
      <c r="V337" s="1138"/>
      <c r="W337" s="1299"/>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9"/>
      <c r="AV337" s="1138"/>
      <c r="AW337" s="1138"/>
      <c r="AX337" s="1138"/>
      <c r="AY337" s="1138"/>
      <c r="AZ337" s="1138"/>
      <c r="BA337" s="1299"/>
      <c r="BB337" s="1138"/>
      <c r="BC337" s="1138"/>
      <c r="BD337" s="1138"/>
      <c r="BE337" s="1138"/>
      <c r="BF337" s="1138"/>
      <c r="BG337" s="1138"/>
      <c r="BH337" s="1138"/>
      <c r="BI337" s="1299"/>
      <c r="BJ337" s="1299"/>
      <c r="BK337" s="1299"/>
      <c r="BL337" s="1299"/>
      <c r="BM337" s="1299"/>
      <c r="BN337" s="1299"/>
      <c r="BO337" s="1299"/>
    </row>
    <row r="338" ht="15.75" customHeight="1">
      <c r="A338" s="1092"/>
      <c r="B338" s="1302" t="s">
        <v>8168</v>
      </c>
      <c r="C338" s="1131"/>
      <c r="D338" s="1142"/>
      <c r="E338" s="1138"/>
      <c r="F338" s="1310"/>
      <c r="G338" s="1040"/>
      <c r="H338" s="1040"/>
      <c r="I338" s="1138"/>
      <c r="J338" s="1040"/>
      <c r="K338" s="1138"/>
      <c r="L338" s="1138"/>
      <c r="M338" s="1138"/>
      <c r="N338" s="1138"/>
      <c r="O338" s="1138"/>
      <c r="P338" s="1140"/>
      <c r="Q338" s="1138"/>
      <c r="R338" s="1138"/>
      <c r="S338" s="1138"/>
      <c r="T338" s="1138"/>
      <c r="U338" s="1138"/>
      <c r="V338" s="1138"/>
      <c r="W338" s="1299"/>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9"/>
      <c r="AV338" s="1138"/>
      <c r="AW338" s="1138"/>
      <c r="AX338" s="1138"/>
      <c r="AY338" s="1138"/>
      <c r="AZ338" s="1138"/>
      <c r="BA338" s="1299"/>
      <c r="BB338" s="1138"/>
      <c r="BC338" s="1138"/>
      <c r="BD338" s="1138"/>
      <c r="BE338" s="1138"/>
      <c r="BF338" s="1138"/>
      <c r="BG338" s="1138"/>
      <c r="BH338" s="1138"/>
      <c r="BI338" s="1299"/>
      <c r="BJ338" s="1299"/>
      <c r="BK338" s="1299"/>
      <c r="BL338" s="1299"/>
      <c r="BM338" s="1299"/>
      <c r="BN338" s="1299"/>
      <c r="BO338" s="1299"/>
    </row>
    <row r="339" ht="15.75" customHeight="1">
      <c r="A339" s="1296" t="s">
        <v>8169</v>
      </c>
      <c r="B339" s="1297"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9"/>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9"/>
      <c r="AV339" s="1138"/>
      <c r="AW339" s="1138"/>
      <c r="AX339" s="1138"/>
      <c r="AY339" s="1138"/>
      <c r="AZ339" s="1138"/>
      <c r="BA339" s="1299"/>
      <c r="BB339" s="1138"/>
      <c r="BC339" s="1138"/>
      <c r="BD339" s="1138"/>
      <c r="BE339" s="1138"/>
      <c r="BF339" s="1138"/>
      <c r="BG339" s="1138"/>
      <c r="BH339" s="1138"/>
      <c r="BI339" s="1299"/>
      <c r="BJ339" s="1299"/>
      <c r="BK339" s="1299"/>
      <c r="BL339" s="1299"/>
      <c r="BM339" s="1299"/>
      <c r="BN339" s="1299"/>
      <c r="BO339" s="1299"/>
    </row>
    <row r="340" ht="15.75" customHeight="1">
      <c r="A340" s="1296" t="s">
        <v>8170</v>
      </c>
      <c r="B340" s="1297" t="s">
        <v>8171</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2" t="s">
        <v>8172</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8173</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6" t="s">
        <v>8174</v>
      </c>
      <c r="B343" s="1297" t="s">
        <v>8175</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2" t="s">
        <v>8176</v>
      </c>
      <c r="C344" s="1018" t="s">
        <v>8177</v>
      </c>
      <c r="D344" s="1040" t="s">
        <v>1006</v>
      </c>
      <c r="E344" s="1022" t="s">
        <v>8178</v>
      </c>
      <c r="F344" s="1110" t="s">
        <v>8179</v>
      </c>
      <c r="G344" s="1040"/>
      <c r="H344" s="1040"/>
      <c r="I344" s="1040"/>
      <c r="J344" s="1022" t="s">
        <v>8180</v>
      </c>
      <c r="K344" s="1040"/>
      <c r="L344" s="1040"/>
      <c r="M344" s="1040"/>
      <c r="N344" s="1040"/>
      <c r="O344" s="1040"/>
      <c r="P344" s="1133"/>
      <c r="Q344" s="1040"/>
      <c r="R344" s="1040"/>
      <c r="S344" s="1040"/>
      <c r="T344" s="1040"/>
      <c r="U344" s="1040"/>
      <c r="V344" s="1040"/>
      <c r="W344" s="1299"/>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9"/>
      <c r="AV344" s="1040"/>
      <c r="AW344" s="1040"/>
      <c r="AX344" s="1040"/>
      <c r="AY344" s="1040"/>
      <c r="AZ344" s="1040"/>
      <c r="BA344" s="1299"/>
      <c r="BB344" s="1040"/>
      <c r="BC344" s="1040"/>
      <c r="BD344" s="1040"/>
      <c r="BE344" s="1040"/>
      <c r="BF344" s="1040"/>
      <c r="BG344" s="1040"/>
      <c r="BH344" s="1040"/>
      <c r="BI344" s="1299"/>
      <c r="BJ344" s="1299"/>
      <c r="BK344" s="1299"/>
      <c r="BL344" s="1299"/>
      <c r="BM344" s="1299"/>
      <c r="BN344" s="1299"/>
      <c r="BO344" s="1299"/>
    </row>
    <row r="345" ht="15.75" customHeight="1">
      <c r="A345" s="1095"/>
      <c r="B345" s="1099" t="s">
        <v>8181</v>
      </c>
      <c r="C345" s="1018" t="s">
        <v>8182</v>
      </c>
      <c r="D345" s="1040"/>
      <c r="E345" s="1040"/>
      <c r="F345" s="1102"/>
      <c r="G345" s="1040"/>
      <c r="H345" s="1040" t="s">
        <v>8183</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8182</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6" t="s">
        <v>8184</v>
      </c>
      <c r="B346" s="1305" t="s">
        <v>8185</v>
      </c>
      <c r="C346" s="1131" t="s">
        <v>5788</v>
      </c>
      <c r="D346" s="1311"/>
      <c r="E346" s="1311"/>
      <c r="F346" s="1103" t="s">
        <v>8076</v>
      </c>
      <c r="G346" s="1040"/>
      <c r="H346" s="1022" t="s">
        <v>1386</v>
      </c>
      <c r="I346" s="1311"/>
      <c r="J346" s="1022" t="s">
        <v>5788</v>
      </c>
      <c r="K346" s="1311"/>
      <c r="L346" s="1311"/>
      <c r="M346" s="1311"/>
      <c r="N346" s="1311"/>
      <c r="O346" s="1311"/>
      <c r="P346" s="1133"/>
      <c r="Q346" s="1311"/>
      <c r="R346" s="1311"/>
      <c r="S346" s="1311"/>
      <c r="T346" s="1311"/>
      <c r="U346" s="1311"/>
      <c r="V346" s="1311"/>
      <c r="W346" s="1299"/>
      <c r="X346" s="1311"/>
      <c r="Y346" s="1311"/>
      <c r="Z346" s="1022" t="s">
        <v>4473</v>
      </c>
      <c r="AA346" s="1311"/>
      <c r="AB346" s="1311"/>
      <c r="AC346" s="1311"/>
      <c r="AD346" s="1311"/>
      <c r="AE346" s="1311"/>
      <c r="AF346" s="1311"/>
      <c r="AG346" s="1311"/>
      <c r="AH346" s="1311"/>
      <c r="AI346" s="1311"/>
      <c r="AJ346" s="1311"/>
      <c r="AK346" s="1135"/>
      <c r="AL346" s="1311"/>
      <c r="AM346" s="1311"/>
      <c r="AN346" s="1311"/>
      <c r="AO346" s="1311"/>
      <c r="AP346" s="1311"/>
      <c r="AQ346" s="1135"/>
      <c r="AR346" s="1135"/>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2"/>
      <c r="B347" s="1117" t="s">
        <v>8186</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6" t="s">
        <v>8187</v>
      </c>
      <c r="B348" s="1297" t="s">
        <v>8167</v>
      </c>
      <c r="C348" s="1131"/>
      <c r="D348" s="1177"/>
      <c r="E348" s="1177"/>
      <c r="F348" s="1094"/>
      <c r="G348" s="1040"/>
      <c r="H348" s="1040"/>
      <c r="I348" s="1177"/>
      <c r="J348" s="1177"/>
      <c r="K348" s="1177"/>
      <c r="L348" s="1177"/>
      <c r="M348" s="1040"/>
      <c r="N348" s="1177"/>
      <c r="O348" s="1177"/>
      <c r="P348" s="1133"/>
      <c r="Q348" s="1177"/>
      <c r="R348" s="1177"/>
      <c r="S348" s="1177"/>
      <c r="T348" s="1177"/>
      <c r="U348" s="1177"/>
      <c r="V348" s="1177"/>
      <c r="W348" s="1299"/>
      <c r="X348" s="1177"/>
      <c r="Y348" s="1177"/>
      <c r="Z348" s="1177"/>
      <c r="AA348" s="1177"/>
      <c r="AB348" s="1177"/>
      <c r="AC348" s="1177"/>
      <c r="AD348" s="1177"/>
      <c r="AE348" s="1177"/>
      <c r="AF348" s="1177"/>
      <c r="AG348" s="1177"/>
      <c r="AH348" s="1177"/>
      <c r="AI348" s="1177"/>
      <c r="AJ348" s="1177"/>
      <c r="AK348" s="1135"/>
      <c r="AL348" s="1177"/>
      <c r="AM348" s="1177"/>
      <c r="AN348" s="1177"/>
      <c r="AO348" s="1177"/>
      <c r="AP348" s="1177"/>
      <c r="AQ348" s="1135"/>
      <c r="AR348" s="1135"/>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2"/>
      <c r="B349" s="1302" t="s">
        <v>8188</v>
      </c>
      <c r="C349" s="1131"/>
      <c r="D349" s="1177"/>
      <c r="E349" s="1177"/>
      <c r="F349" s="1094"/>
      <c r="G349" s="1040"/>
      <c r="H349" s="1040"/>
      <c r="I349" s="1177"/>
      <c r="J349" s="1177"/>
      <c r="K349" s="1177"/>
      <c r="L349" s="1177"/>
      <c r="M349" s="1040"/>
      <c r="N349" s="1177"/>
      <c r="O349" s="1177"/>
      <c r="P349" s="1133"/>
      <c r="Q349" s="1177"/>
      <c r="R349" s="1177"/>
      <c r="S349" s="1177"/>
      <c r="T349" s="1177"/>
      <c r="U349" s="1177"/>
      <c r="V349" s="1177"/>
      <c r="W349" s="1299"/>
      <c r="X349" s="1177"/>
      <c r="Y349" s="1177"/>
      <c r="Z349" s="1177"/>
      <c r="AA349" s="1177"/>
      <c r="AB349" s="1177"/>
      <c r="AC349" s="1177"/>
      <c r="AD349" s="1177"/>
      <c r="AE349" s="1177"/>
      <c r="AF349" s="1177"/>
      <c r="AG349" s="1177"/>
      <c r="AH349" s="1177"/>
      <c r="AI349" s="1177"/>
      <c r="AJ349" s="1177"/>
      <c r="AK349" s="1135"/>
      <c r="AL349" s="1177"/>
      <c r="AM349" s="1177"/>
      <c r="AN349" s="1177"/>
      <c r="AO349" s="1177"/>
      <c r="AP349" s="1177"/>
      <c r="AQ349" s="1135"/>
      <c r="AR349" s="1135"/>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8189</v>
      </c>
      <c r="B350" s="1297" t="s">
        <v>7498</v>
      </c>
      <c r="C350" s="1131" t="s">
        <v>8190</v>
      </c>
      <c r="D350" s="1177"/>
      <c r="E350" s="1177"/>
      <c r="F350" s="1094"/>
      <c r="G350" s="1040"/>
      <c r="H350" s="1022" t="s">
        <v>8190</v>
      </c>
      <c r="I350" s="1177"/>
      <c r="J350" s="1177"/>
      <c r="K350" s="1177"/>
      <c r="L350" s="1177"/>
      <c r="M350" s="1022" t="s">
        <v>8191</v>
      </c>
      <c r="N350" s="1177"/>
      <c r="O350" s="1177"/>
      <c r="P350" s="1133"/>
      <c r="Q350" s="1177"/>
      <c r="R350" s="1177"/>
      <c r="S350" s="1177"/>
      <c r="T350" s="1177"/>
      <c r="U350" s="1177"/>
      <c r="V350" s="1177"/>
      <c r="W350" s="1299"/>
      <c r="X350" s="1177"/>
      <c r="Y350" s="1177"/>
      <c r="Z350" s="1177"/>
      <c r="AA350" s="1177"/>
      <c r="AB350" s="1177"/>
      <c r="AC350" s="1177"/>
      <c r="AD350" s="1177"/>
      <c r="AE350" s="1177"/>
      <c r="AF350" s="1177"/>
      <c r="AG350" s="1177"/>
      <c r="AH350" s="1177"/>
      <c r="AI350" s="1177"/>
      <c r="AJ350" s="1177"/>
      <c r="AK350" s="1135"/>
      <c r="AL350" s="1177"/>
      <c r="AM350" s="1177"/>
      <c r="AN350" s="1177"/>
      <c r="AO350" s="1177"/>
      <c r="AP350" s="1177"/>
      <c r="AQ350" s="1135"/>
      <c r="AR350" s="1135"/>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8192</v>
      </c>
      <c r="B351" s="1297" t="s">
        <v>8193</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2"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2" t="s">
        <v>8194</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2"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8195</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9"/>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299"/>
      <c r="AV353" s="1040"/>
      <c r="AW353" s="1040"/>
      <c r="AX353" s="1040"/>
      <c r="AY353" s="1040"/>
      <c r="AZ353" s="1040"/>
      <c r="BA353" s="1299"/>
      <c r="BB353" s="1040"/>
      <c r="BC353" s="1040"/>
      <c r="BD353" s="1040"/>
      <c r="BE353" s="1040"/>
      <c r="BF353" s="1040"/>
      <c r="BG353" s="1040"/>
      <c r="BH353" s="1040"/>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W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W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W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W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C136"/>
    <hyperlink r:id="rId664" ref="R136"/>
    <hyperlink r:id="rId665" ref="Y136"/>
    <hyperlink r:id="rId666" ref="AA136"/>
    <hyperlink r:id="rId667" ref="C137"/>
    <hyperlink r:id="rId668" ref="AG137"/>
    <hyperlink r:id="rId669" ref="C138"/>
    <hyperlink r:id="rId670" ref="D138"/>
    <hyperlink r:id="rId671" ref="E138"/>
    <hyperlink r:id="rId672" ref="F138"/>
    <hyperlink r:id="rId673" ref="G138"/>
    <hyperlink r:id="rId674" ref="I138"/>
    <hyperlink r:id="rId675" ref="L138"/>
    <hyperlink r:id="rId676" ref="M138"/>
    <hyperlink r:id="rId677" ref="O138"/>
    <hyperlink r:id="rId678" ref="R138"/>
    <hyperlink r:id="rId679" ref="U138"/>
    <hyperlink r:id="rId680" ref="AA138"/>
    <hyperlink r:id="rId681" ref="C139"/>
    <hyperlink r:id="rId682" ref="J139"/>
    <hyperlink r:id="rId683" ref="K139"/>
    <hyperlink r:id="rId684" ref="O139"/>
    <hyperlink r:id="rId685" ref="S139"/>
    <hyperlink r:id="rId686" ref="C140"/>
    <hyperlink r:id="rId687" ref="J140"/>
    <hyperlink r:id="rId688" ref="R140"/>
    <hyperlink r:id="rId689" ref="C141"/>
    <hyperlink r:id="rId690" ref="D141"/>
    <hyperlink r:id="rId691" ref="F141"/>
    <hyperlink r:id="rId692" ref="G141"/>
    <hyperlink r:id="rId693" ref="H141"/>
    <hyperlink r:id="rId694" ref="L141"/>
    <hyperlink r:id="rId695" ref="M141"/>
    <hyperlink r:id="rId696" ref="O141"/>
    <hyperlink r:id="rId697" ref="AV141"/>
    <hyperlink r:id="rId698" ref="C142"/>
    <hyperlink r:id="rId699" ref="C143"/>
    <hyperlink r:id="rId700" ref="G143"/>
    <hyperlink r:id="rId701" ref="J143"/>
    <hyperlink r:id="rId702" ref="O143"/>
    <hyperlink r:id="rId703" ref="AR144"/>
    <hyperlink r:id="rId704" ref="C145"/>
    <hyperlink r:id="rId705" ref="D145"/>
    <hyperlink r:id="rId706" ref="AR145"/>
    <hyperlink r:id="rId707" ref="C147"/>
    <hyperlink r:id="rId708" ref="D147"/>
    <hyperlink r:id="rId709" ref="G147"/>
    <hyperlink r:id="rId710" ref="C148"/>
    <hyperlink r:id="rId711" ref="E148"/>
    <hyperlink r:id="rId712" ref="G148"/>
    <hyperlink r:id="rId713" ref="K148"/>
    <hyperlink r:id="rId714" ref="M148"/>
    <hyperlink r:id="rId715" ref="AF148"/>
    <hyperlink r:id="rId716" ref="C149"/>
    <hyperlink r:id="rId717" ref="D149"/>
    <hyperlink r:id="rId718" ref="E149"/>
    <hyperlink r:id="rId719" ref="F149"/>
    <hyperlink r:id="rId720" ref="G149"/>
    <hyperlink r:id="rId721" ref="J149"/>
    <hyperlink r:id="rId722" ref="K149"/>
    <hyperlink r:id="rId723" ref="M149"/>
    <hyperlink r:id="rId724" ref="O149"/>
    <hyperlink r:id="rId725" ref="S149"/>
    <hyperlink r:id="rId726" ref="C150"/>
    <hyperlink r:id="rId727" ref="G150"/>
    <hyperlink r:id="rId728" ref="O150"/>
    <hyperlink r:id="rId729" ref="C151"/>
    <hyperlink r:id="rId730" ref="E151"/>
    <hyperlink r:id="rId731" ref="J151"/>
    <hyperlink r:id="rId732" ref="L151"/>
    <hyperlink r:id="rId733" ref="AJ151"/>
    <hyperlink r:id="rId734" ref="C152"/>
    <hyperlink r:id="rId735" ref="O152"/>
    <hyperlink r:id="rId736" ref="C153"/>
    <hyperlink r:id="rId737" ref="E153"/>
    <hyperlink r:id="rId738" ref="F153"/>
    <hyperlink r:id="rId739" ref="H153"/>
    <hyperlink r:id="rId740" ref="I153"/>
    <hyperlink r:id="rId741" ref="J153"/>
    <hyperlink r:id="rId742" ref="U153"/>
    <hyperlink r:id="rId743" ref="BB153"/>
    <hyperlink r:id="rId744" ref="C154"/>
    <hyperlink r:id="rId745" ref="D154"/>
    <hyperlink r:id="rId746" ref="G154"/>
    <hyperlink r:id="rId747" ref="M154"/>
    <hyperlink r:id="rId748" ref="O154"/>
    <hyperlink r:id="rId749" ref="S154"/>
    <hyperlink r:id="rId750" ref="C155"/>
    <hyperlink r:id="rId751" ref="I155"/>
    <hyperlink r:id="rId752" ref="U156"/>
    <hyperlink r:id="rId753" ref="C157"/>
    <hyperlink r:id="rId754" ref="F157"/>
    <hyperlink r:id="rId755" ref="H157"/>
    <hyperlink r:id="rId756" ref="X157"/>
    <hyperlink r:id="rId757" ref="C158"/>
    <hyperlink r:id="rId758" ref="F158"/>
    <hyperlink r:id="rId759" ref="C160"/>
    <hyperlink r:id="rId760" ref="G160"/>
    <hyperlink r:id="rId761" ref="I160"/>
    <hyperlink r:id="rId762" ref="M160"/>
    <hyperlink r:id="rId763" ref="S160"/>
    <hyperlink r:id="rId764" ref="C161"/>
    <hyperlink r:id="rId765" ref="C163"/>
    <hyperlink r:id="rId766" ref="F163"/>
    <hyperlink r:id="rId767" ref="G163"/>
    <hyperlink r:id="rId768" ref="H163"/>
    <hyperlink r:id="rId769" ref="I163"/>
    <hyperlink r:id="rId770" ref="M163"/>
    <hyperlink r:id="rId771" ref="S163"/>
    <hyperlink r:id="rId772" ref="U163"/>
    <hyperlink r:id="rId773" ref="C164"/>
    <hyperlink r:id="rId774" ref="F164"/>
    <hyperlink r:id="rId775" ref="H164"/>
    <hyperlink r:id="rId776" ref="C165"/>
    <hyperlink r:id="rId777" ref="F165"/>
    <hyperlink r:id="rId778" ref="H165"/>
    <hyperlink r:id="rId779" ref="I165"/>
    <hyperlink r:id="rId780" ref="Z165"/>
    <hyperlink r:id="rId781" ref="C166"/>
    <hyperlink r:id="rId782" ref="F166"/>
    <hyperlink r:id="rId783" ref="H166"/>
    <hyperlink r:id="rId784" ref="M166"/>
    <hyperlink r:id="rId785" ref="X166"/>
    <hyperlink r:id="rId786" ref="C167"/>
    <hyperlink r:id="rId787" ref="F167"/>
    <hyperlink r:id="rId788" ref="G167"/>
    <hyperlink r:id="rId789" ref="H167"/>
    <hyperlink r:id="rId790" ref="K167"/>
    <hyperlink r:id="rId791" ref="O167"/>
    <hyperlink r:id="rId792" ref="R167"/>
    <hyperlink r:id="rId793" ref="S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G169"/>
    <hyperlink r:id="rId808" ref="J169"/>
    <hyperlink r:id="rId809" ref="C170"/>
    <hyperlink r:id="rId810" ref="G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G177"/>
    <hyperlink r:id="rId827" ref="I177"/>
    <hyperlink r:id="rId828" ref="L177"/>
    <hyperlink r:id="rId829" ref="C179"/>
    <hyperlink r:id="rId830" ref="E179"/>
    <hyperlink r:id="rId831" ref="F179"/>
    <hyperlink r:id="rId832" ref="G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H180"/>
    <hyperlink r:id="rId843" ref="AA180"/>
    <hyperlink r:id="rId844" ref="C181"/>
    <hyperlink r:id="rId845" ref="E181"/>
    <hyperlink r:id="rId846" ref="F181"/>
    <hyperlink r:id="rId847" ref="G181"/>
    <hyperlink r:id="rId848" ref="S181"/>
    <hyperlink r:id="rId849" ref="AC181"/>
    <hyperlink r:id="rId850" ref="C182"/>
    <hyperlink r:id="rId851" ref="F182"/>
    <hyperlink r:id="rId852" ref="H182"/>
    <hyperlink r:id="rId853" ref="C183"/>
    <hyperlink r:id="rId854" ref="J183"/>
    <hyperlink r:id="rId855" ref="C184"/>
    <hyperlink r:id="rId856" ref="D184"/>
    <hyperlink r:id="rId857" ref="E184"/>
    <hyperlink r:id="rId858" ref="F184"/>
    <hyperlink r:id="rId859" ref="G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W186"/>
    <hyperlink r:id="rId878" ref="C187"/>
    <hyperlink r:id="rId879" ref="E187"/>
    <hyperlink r:id="rId880" ref="M187"/>
    <hyperlink r:id="rId881" ref="O187"/>
    <hyperlink r:id="rId882" ref="C188"/>
    <hyperlink r:id="rId883" ref="F188"/>
    <hyperlink r:id="rId884" ref="C189"/>
    <hyperlink r:id="rId885" ref="E189"/>
    <hyperlink r:id="rId886" ref="G189"/>
    <hyperlink r:id="rId887" ref="K189"/>
    <hyperlink r:id="rId888" ref="S189"/>
    <hyperlink r:id="rId889" ref="Z189"/>
    <hyperlink r:id="rId890" ref="AU189"/>
    <hyperlink r:id="rId891" ref="C190"/>
    <hyperlink r:id="rId892" ref="F190"/>
    <hyperlink r:id="rId893" ref="H190"/>
    <hyperlink r:id="rId894" ref="J190"/>
    <hyperlink r:id="rId895" ref="C191"/>
    <hyperlink r:id="rId896" ref="E191"/>
    <hyperlink r:id="rId897" ref="Z191"/>
    <hyperlink r:id="rId898" ref="C192"/>
    <hyperlink r:id="rId899" ref="G192"/>
    <hyperlink r:id="rId900" ref="U192"/>
    <hyperlink r:id="rId901" ref="C193"/>
    <hyperlink r:id="rId902" ref="F193"/>
    <hyperlink r:id="rId903" ref="I193"/>
    <hyperlink r:id="rId904" ref="K193"/>
    <hyperlink r:id="rId905" ref="C194"/>
    <hyperlink r:id="rId906" ref="D194"/>
    <hyperlink r:id="rId907" ref="F194"/>
    <hyperlink r:id="rId908" ref="G194"/>
    <hyperlink r:id="rId909" ref="H194"/>
    <hyperlink r:id="rId910" ref="J194"/>
    <hyperlink r:id="rId911" ref="L194"/>
    <hyperlink r:id="rId912" ref="O194"/>
    <hyperlink r:id="rId913" ref="T194"/>
    <hyperlink r:id="rId914" ref="U194"/>
    <hyperlink r:id="rId915" ref="AA194"/>
    <hyperlink r:id="rId916" ref="C196"/>
    <hyperlink r:id="rId917" ref="C197"/>
    <hyperlink r:id="rId918" ref="F197"/>
    <hyperlink r:id="rId919" ref="C198"/>
    <hyperlink r:id="rId920" ref="F198"/>
    <hyperlink r:id="rId921" ref="T198"/>
    <hyperlink r:id="rId922" ref="AC198"/>
    <hyperlink r:id="rId923" ref="C199"/>
    <hyperlink r:id="rId924" ref="G199"/>
    <hyperlink r:id="rId925" ref="C200"/>
    <hyperlink r:id="rId926" ref="F200"/>
    <hyperlink r:id="rId927" ref="G200"/>
    <hyperlink r:id="rId928" ref="K200"/>
    <hyperlink r:id="rId929" ref="C201"/>
    <hyperlink r:id="rId930" ref="I201"/>
    <hyperlink r:id="rId931" ref="C202"/>
    <hyperlink r:id="rId932" ref="E202"/>
    <hyperlink r:id="rId933" ref="F202"/>
    <hyperlink r:id="rId934" ref="J202"/>
    <hyperlink r:id="rId935" ref="C203"/>
    <hyperlink r:id="rId936" ref="D203"/>
    <hyperlink r:id="rId937" ref="F203"/>
    <hyperlink r:id="rId938" ref="G203"/>
    <hyperlink r:id="rId939" ref="H203"/>
    <hyperlink r:id="rId940" ref="L203"/>
    <hyperlink r:id="rId941" ref="M203"/>
    <hyperlink r:id="rId942" ref="C204"/>
    <hyperlink r:id="rId943" ref="J204"/>
    <hyperlink r:id="rId944" ref="Y204"/>
    <hyperlink r:id="rId945" ref="AD204"/>
    <hyperlink r:id="rId946" ref="C205"/>
    <hyperlink r:id="rId947" ref="F205"/>
    <hyperlink r:id="rId948" ref="G205"/>
    <hyperlink r:id="rId949" ref="W205"/>
    <hyperlink r:id="rId950" ref="C206"/>
    <hyperlink r:id="rId951" ref="C207"/>
    <hyperlink r:id="rId952" ref="E207"/>
    <hyperlink r:id="rId953" ref="F207"/>
    <hyperlink r:id="rId954" ref="J207"/>
    <hyperlink r:id="rId955" ref="K207"/>
    <hyperlink r:id="rId956" ref="M207"/>
    <hyperlink r:id="rId957" ref="O207"/>
    <hyperlink r:id="rId958" ref="P207"/>
    <hyperlink r:id="rId959" ref="R207"/>
    <hyperlink r:id="rId960" ref="AL207"/>
    <hyperlink r:id="rId961" ref="C208"/>
    <hyperlink r:id="rId962" ref="D208"/>
    <hyperlink r:id="rId963" ref="F208"/>
    <hyperlink r:id="rId964" ref="H208"/>
    <hyperlink r:id="rId965" ref="T208"/>
    <hyperlink r:id="rId966" ref="AA208"/>
    <hyperlink r:id="rId967" ref="C209"/>
    <hyperlink r:id="rId968" ref="E209"/>
    <hyperlink r:id="rId969" ref="F209"/>
    <hyperlink r:id="rId970" ref="G209"/>
    <hyperlink r:id="rId971" ref="AA209"/>
    <hyperlink r:id="rId972" ref="AC209"/>
    <hyperlink r:id="rId973" ref="C210"/>
    <hyperlink r:id="rId974" ref="E210"/>
    <hyperlink r:id="rId975" ref="F210"/>
    <hyperlink r:id="rId976" ref="O210"/>
    <hyperlink r:id="rId977" ref="C211"/>
    <hyperlink r:id="rId978" ref="D211"/>
    <hyperlink r:id="rId979" ref="E211"/>
    <hyperlink r:id="rId980" ref="F211"/>
    <hyperlink r:id="rId981" ref="G211"/>
    <hyperlink r:id="rId982" ref="C212"/>
    <hyperlink r:id="rId983" ref="E212"/>
    <hyperlink r:id="rId984" ref="F212"/>
    <hyperlink r:id="rId985" ref="G212"/>
    <hyperlink r:id="rId986" ref="S212"/>
    <hyperlink r:id="rId987" ref="X212"/>
    <hyperlink r:id="rId988" ref="AF212"/>
    <hyperlink r:id="rId989" ref="C213"/>
    <hyperlink r:id="rId990" ref="F213"/>
    <hyperlink r:id="rId991" ref="C215"/>
    <hyperlink r:id="rId992" ref="F215"/>
    <hyperlink r:id="rId993" ref="G215"/>
    <hyperlink r:id="rId994" ref="O215"/>
    <hyperlink r:id="rId995" ref="R215"/>
    <hyperlink r:id="rId996" ref="S215"/>
    <hyperlink r:id="rId997" ref="C216"/>
    <hyperlink r:id="rId998" ref="D216"/>
    <hyperlink r:id="rId999" ref="F216"/>
    <hyperlink r:id="rId1000" ref="G216"/>
    <hyperlink r:id="rId1001" ref="L216"/>
    <hyperlink r:id="rId1002" ref="M216"/>
    <hyperlink r:id="rId1003" ref="O216"/>
    <hyperlink r:id="rId1004" ref="R216"/>
    <hyperlink r:id="rId1005" ref="C217"/>
    <hyperlink r:id="rId1006" ref="D217"/>
    <hyperlink r:id="rId1007" ref="I217"/>
    <hyperlink r:id="rId1008" ref="J217"/>
    <hyperlink r:id="rId1009" ref="D218"/>
    <hyperlink r:id="rId1010" ref="G218"/>
    <hyperlink r:id="rId1011" ref="J218"/>
    <hyperlink r:id="rId1012" ref="K218"/>
    <hyperlink r:id="rId1013" ref="M218"/>
    <hyperlink r:id="rId1014" ref="C219"/>
    <hyperlink r:id="rId1015" ref="D219"/>
    <hyperlink r:id="rId1016" ref="J219"/>
    <hyperlink r:id="rId1017" ref="C220"/>
    <hyperlink r:id="rId1018" ref="J220"/>
    <hyperlink r:id="rId1019" ref="C221"/>
    <hyperlink r:id="rId1020" ref="J221"/>
    <hyperlink r:id="rId1021" ref="C222"/>
    <hyperlink r:id="rId1022" ref="D222"/>
    <hyperlink r:id="rId1023" ref="E222"/>
    <hyperlink r:id="rId1024" ref="J222"/>
    <hyperlink r:id="rId1025" ref="AM222"/>
    <hyperlink r:id="rId1026" ref="AR222"/>
    <hyperlink r:id="rId1027" ref="AT222"/>
    <hyperlink r:id="rId1028" ref="C223"/>
    <hyperlink r:id="rId1029" ref="D223"/>
    <hyperlink r:id="rId1030" ref="AT223"/>
    <hyperlink r:id="rId1031" ref="C224"/>
    <hyperlink r:id="rId1032" ref="D224"/>
    <hyperlink r:id="rId1033" ref="G224"/>
    <hyperlink r:id="rId1034" ref="I224"/>
    <hyperlink r:id="rId1035" ref="L224"/>
    <hyperlink r:id="rId1036" ref="C226"/>
    <hyperlink r:id="rId1037" ref="D226"/>
    <hyperlink r:id="rId1038" ref="F226"/>
    <hyperlink r:id="rId1039" ref="G226"/>
    <hyperlink r:id="rId1040" ref="H226"/>
    <hyperlink r:id="rId1041" ref="J226"/>
    <hyperlink r:id="rId1042" ref="K226"/>
    <hyperlink r:id="rId1043" ref="L226"/>
    <hyperlink r:id="rId1044" ref="M226"/>
    <hyperlink r:id="rId1045" ref="O226"/>
    <hyperlink r:id="rId1046" ref="AA226"/>
    <hyperlink r:id="rId1047" ref="C227"/>
    <hyperlink r:id="rId1048" ref="D227"/>
    <hyperlink r:id="rId1049" ref="E227"/>
    <hyperlink r:id="rId1050" ref="F227"/>
    <hyperlink r:id="rId1051" ref="G227"/>
    <hyperlink r:id="rId1052" ref="H227"/>
    <hyperlink r:id="rId1053" ref="I227"/>
    <hyperlink r:id="rId1054" ref="K227"/>
    <hyperlink r:id="rId1055" ref="L227"/>
    <hyperlink r:id="rId1056" ref="M227"/>
    <hyperlink r:id="rId1057" ref="O227"/>
    <hyperlink r:id="rId1058" ref="W227"/>
    <hyperlink r:id="rId1059" ref="G228"/>
    <hyperlink r:id="rId1060" ref="H228"/>
    <hyperlink r:id="rId1061" ref="I228"/>
    <hyperlink r:id="rId1062" ref="K228"/>
    <hyperlink r:id="rId1063" ref="L228"/>
    <hyperlink r:id="rId1064" ref="O228"/>
    <hyperlink r:id="rId1065" ref="W228"/>
    <hyperlink r:id="rId1066" ref="C229"/>
    <hyperlink r:id="rId1067" ref="D229"/>
    <hyperlink r:id="rId1068" ref="G229"/>
    <hyperlink r:id="rId1069" ref="U229"/>
    <hyperlink r:id="rId1070" ref="C230"/>
    <hyperlink r:id="rId1071" ref="D230"/>
    <hyperlink r:id="rId1072" ref="F230"/>
    <hyperlink r:id="rId1073" ref="G230"/>
    <hyperlink r:id="rId1074" ref="J230"/>
    <hyperlink r:id="rId1075" ref="M230"/>
    <hyperlink r:id="rId1076" ref="T230"/>
    <hyperlink r:id="rId1077" ref="C231"/>
    <hyperlink r:id="rId1078" ref="AC231"/>
    <hyperlink r:id="rId1079" ref="AO231"/>
    <hyperlink r:id="rId1080" ref="C232"/>
    <hyperlink r:id="rId1081" ref="F232"/>
    <hyperlink r:id="rId1082" ref="H232"/>
    <hyperlink r:id="rId1083" ref="AC232"/>
    <hyperlink r:id="rId1084" ref="W233"/>
    <hyperlink r:id="rId1085" ref="C234"/>
    <hyperlink r:id="rId1086" ref="D234"/>
    <hyperlink r:id="rId1087" ref="C236"/>
    <hyperlink r:id="rId1088" ref="F236"/>
    <hyperlink r:id="rId1089" ref="H236"/>
    <hyperlink r:id="rId1090" ref="C237"/>
    <hyperlink r:id="rId1091" ref="F237"/>
    <hyperlink r:id="rId1092" ref="G237"/>
    <hyperlink r:id="rId1093" ref="J237"/>
    <hyperlink r:id="rId1094" ref="R237"/>
    <hyperlink r:id="rId1095" ref="X237"/>
    <hyperlink r:id="rId1096" ref="AC237"/>
    <hyperlink r:id="rId1097" ref="C238"/>
    <hyperlink r:id="rId1098" ref="E238"/>
    <hyperlink r:id="rId1099" ref="F238"/>
    <hyperlink r:id="rId1100" ref="G238"/>
    <hyperlink r:id="rId1101" ref="S238"/>
    <hyperlink r:id="rId1102" ref="Z238"/>
    <hyperlink r:id="rId1103" ref="AC238"/>
    <hyperlink r:id="rId1104" ref="C239"/>
    <hyperlink r:id="rId1105" ref="F239"/>
    <hyperlink r:id="rId1106" ref="AU239"/>
    <hyperlink r:id="rId1107" ref="C240"/>
    <hyperlink r:id="rId1108" ref="D240"/>
    <hyperlink r:id="rId1109" ref="F240"/>
    <hyperlink r:id="rId1110" ref="C241"/>
    <hyperlink r:id="rId1111" ref="K241"/>
    <hyperlink r:id="rId1112" ref="S241"/>
    <hyperlink r:id="rId1113" ref="C242"/>
    <hyperlink r:id="rId1114" ref="D242"/>
    <hyperlink r:id="rId1115" ref="F242"/>
    <hyperlink r:id="rId1116" ref="G242"/>
    <hyperlink r:id="rId1117" ref="J242"/>
    <hyperlink r:id="rId1118" ref="K242"/>
    <hyperlink r:id="rId1119" ref="O242"/>
    <hyperlink r:id="rId1120" ref="R242"/>
    <hyperlink r:id="rId1121" ref="S242"/>
    <hyperlink r:id="rId1122" ref="T242"/>
    <hyperlink r:id="rId1123" ref="C243"/>
    <hyperlink r:id="rId1124" ref="E243"/>
    <hyperlink r:id="rId1125" ref="F243"/>
    <hyperlink r:id="rId1126" ref="BB243"/>
    <hyperlink r:id="rId1127" ref="C244"/>
    <hyperlink r:id="rId1128" ref="K244"/>
    <hyperlink r:id="rId1129" ref="C245"/>
    <hyperlink r:id="rId1130" ref="E245"/>
    <hyperlink r:id="rId1131" ref="F245"/>
    <hyperlink r:id="rId1132" ref="R245"/>
    <hyperlink r:id="rId1133" ref="BA245"/>
    <hyperlink r:id="rId1134" ref="C246"/>
    <hyperlink r:id="rId1135" ref="R246"/>
    <hyperlink r:id="rId1136" ref="U246"/>
    <hyperlink r:id="rId1137" ref="F247"/>
    <hyperlink r:id="rId1138" ref="G247"/>
    <hyperlink r:id="rId1139" ref="K247"/>
    <hyperlink r:id="rId1140" ref="AF247"/>
    <hyperlink r:id="rId1141" ref="AG247"/>
    <hyperlink r:id="rId1142" ref="AM247"/>
    <hyperlink r:id="rId1143" ref="C248"/>
    <hyperlink r:id="rId1144" ref="D248"/>
    <hyperlink r:id="rId1145" ref="F248"/>
    <hyperlink r:id="rId1146" ref="H248"/>
    <hyperlink r:id="rId1147" ref="J248"/>
    <hyperlink r:id="rId1148" ref="L248"/>
    <hyperlink r:id="rId1149" ref="M248"/>
    <hyperlink r:id="rId1150" ref="O248"/>
    <hyperlink r:id="rId1151" ref="R248"/>
    <hyperlink r:id="rId1152" ref="AI248"/>
    <hyperlink r:id="rId1153" ref="C249"/>
    <hyperlink r:id="rId1154" ref="E249"/>
    <hyperlink r:id="rId1155" ref="W249"/>
    <hyperlink r:id="rId1156" ref="Y249"/>
    <hyperlink r:id="rId1157" ref="C250"/>
    <hyperlink r:id="rId1158" ref="E250"/>
    <hyperlink r:id="rId1159" ref="G250"/>
    <hyperlink r:id="rId1160" ref="H250"/>
    <hyperlink r:id="rId1161" ref="J250"/>
    <hyperlink r:id="rId1162" ref="K250"/>
    <hyperlink r:id="rId1163" ref="R250"/>
    <hyperlink r:id="rId1164" ref="S250"/>
    <hyperlink r:id="rId1165" ref="X250"/>
    <hyperlink r:id="rId1166" ref="AG250"/>
    <hyperlink r:id="rId1167" ref="C251"/>
    <hyperlink r:id="rId1168" ref="F251"/>
    <hyperlink r:id="rId1169" ref="U251"/>
    <hyperlink r:id="rId1170" ref="C252"/>
    <hyperlink r:id="rId1171" ref="D252"/>
    <hyperlink r:id="rId1172" ref="E252"/>
    <hyperlink r:id="rId1173" ref="F252"/>
    <hyperlink r:id="rId1174" ref="K252"/>
    <hyperlink r:id="rId1175" ref="O252"/>
    <hyperlink r:id="rId1176" ref="R252"/>
    <hyperlink r:id="rId1177" ref="AN252"/>
    <hyperlink r:id="rId1178" ref="C253"/>
    <hyperlink r:id="rId1179" ref="E253"/>
    <hyperlink r:id="rId1180" ref="F253"/>
    <hyperlink r:id="rId1181" ref="H253"/>
    <hyperlink r:id="rId1182" ref="R253"/>
    <hyperlink r:id="rId1183" ref="T253"/>
    <hyperlink r:id="rId1184" ref="C254"/>
    <hyperlink r:id="rId1185" ref="E254"/>
    <hyperlink r:id="rId1186" ref="H254"/>
    <hyperlink r:id="rId1187" ref="T254"/>
    <hyperlink r:id="rId1188" ref="C255"/>
    <hyperlink r:id="rId1189" ref="D255"/>
    <hyperlink r:id="rId1190" ref="E255"/>
    <hyperlink r:id="rId1191" ref="F255"/>
    <hyperlink r:id="rId1192" ref="G255"/>
    <hyperlink r:id="rId1193" ref="H255"/>
    <hyperlink r:id="rId1194" ref="I255"/>
    <hyperlink r:id="rId1195" ref="K255"/>
    <hyperlink r:id="rId1196" ref="L255"/>
    <hyperlink r:id="rId1197" ref="O255"/>
    <hyperlink r:id="rId1198" ref="C256"/>
    <hyperlink r:id="rId1199" ref="F256"/>
    <hyperlink r:id="rId1200" ref="H256"/>
    <hyperlink r:id="rId1201" ref="C257"/>
    <hyperlink r:id="rId1202" ref="D257"/>
    <hyperlink r:id="rId1203" ref="G257"/>
    <hyperlink r:id="rId1204" ref="L257"/>
    <hyperlink r:id="rId1205" ref="M257"/>
    <hyperlink r:id="rId1206" ref="C258"/>
    <hyperlink r:id="rId1207" ref="D258"/>
    <hyperlink r:id="rId1208" ref="J258"/>
    <hyperlink r:id="rId1209" ref="C259"/>
    <hyperlink r:id="rId1210" ref="D259"/>
    <hyperlink r:id="rId1211" ref="C260"/>
    <hyperlink r:id="rId1212" ref="E260"/>
    <hyperlink r:id="rId1213" ref="C261"/>
    <hyperlink r:id="rId1214" ref="D261"/>
    <hyperlink r:id="rId1215" ref="E261"/>
    <hyperlink r:id="rId1216" ref="G261"/>
    <hyperlink r:id="rId1217" ref="H261"/>
    <hyperlink r:id="rId1218" ref="J261"/>
    <hyperlink r:id="rId1219" ref="M261"/>
    <hyperlink r:id="rId1220" ref="O261"/>
    <hyperlink r:id="rId1221" ref="C262"/>
    <hyperlink r:id="rId1222" ref="D262"/>
    <hyperlink r:id="rId1223" ref="G262"/>
    <hyperlink r:id="rId1224" ref="L262"/>
    <hyperlink r:id="rId1225" ref="T262"/>
    <hyperlink r:id="rId1226" ref="X262"/>
    <hyperlink r:id="rId1227" ref="C263"/>
    <hyperlink r:id="rId1228" ref="AT263"/>
    <hyperlink r:id="rId1229" ref="C265"/>
    <hyperlink r:id="rId1230" ref="J265"/>
    <hyperlink r:id="rId1231" ref="W265"/>
    <hyperlink r:id="rId1232" ref="C266"/>
    <hyperlink r:id="rId1233" ref="F266"/>
    <hyperlink r:id="rId1234" ref="R266"/>
    <hyperlink r:id="rId1235" ref="T266"/>
    <hyperlink r:id="rId1236" ref="C267"/>
    <hyperlink r:id="rId1237" ref="J267"/>
    <hyperlink r:id="rId1238" ref="W267"/>
    <hyperlink r:id="rId1239" ref="C268"/>
    <hyperlink r:id="rId1240" ref="G268"/>
    <hyperlink r:id="rId1241" ref="I268"/>
    <hyperlink r:id="rId1242" ref="C269"/>
    <hyperlink r:id="rId1243" ref="E269"/>
    <hyperlink r:id="rId1244" ref="F269"/>
    <hyperlink r:id="rId1245" ref="H269"/>
    <hyperlink r:id="rId1246" ref="J269"/>
    <hyperlink r:id="rId1247" ref="O269"/>
    <hyperlink r:id="rId1248" ref="Z269"/>
    <hyperlink r:id="rId1249" ref="C270"/>
    <hyperlink r:id="rId1250" ref="E270"/>
    <hyperlink r:id="rId1251" ref="F270"/>
    <hyperlink r:id="rId1252" ref="Q270"/>
    <hyperlink r:id="rId1253" ref="C271"/>
    <hyperlink r:id="rId1254" ref="E271"/>
    <hyperlink r:id="rId1255" ref="F271"/>
    <hyperlink r:id="rId1256" ref="O271"/>
    <hyperlink r:id="rId1257" ref="AU271"/>
    <hyperlink r:id="rId1258" ref="C272"/>
    <hyperlink r:id="rId1259" ref="D272"/>
    <hyperlink r:id="rId1260" ref="E272"/>
    <hyperlink r:id="rId1261" ref="F272"/>
    <hyperlink r:id="rId1262" ref="G272"/>
    <hyperlink r:id="rId1263" ref="O272"/>
    <hyperlink r:id="rId1264" ref="U272"/>
    <hyperlink r:id="rId1265" ref="C273"/>
    <hyperlink r:id="rId1266" ref="F273"/>
    <hyperlink r:id="rId1267" ref="C274"/>
    <hyperlink r:id="rId1268" ref="G274"/>
    <hyperlink r:id="rId1269" ref="K274"/>
    <hyperlink r:id="rId1270" ref="M274"/>
    <hyperlink r:id="rId1271" ref="R274"/>
    <hyperlink r:id="rId1272" ref="C275"/>
    <hyperlink r:id="rId1273" ref="K275"/>
    <hyperlink r:id="rId1274" ref="T275"/>
    <hyperlink r:id="rId1275" ref="C276"/>
    <hyperlink r:id="rId1276" ref="K276"/>
    <hyperlink r:id="rId1277" ref="C277"/>
    <hyperlink r:id="rId1278" ref="D277"/>
    <hyperlink r:id="rId1279" ref="E277"/>
    <hyperlink r:id="rId1280" ref="F277"/>
    <hyperlink r:id="rId1281" ref="G277"/>
    <hyperlink r:id="rId1282" ref="H277"/>
    <hyperlink r:id="rId1283" ref="J277"/>
    <hyperlink r:id="rId1284" ref="K277"/>
    <hyperlink r:id="rId1285" ref="M277"/>
    <hyperlink r:id="rId1286" ref="O277"/>
    <hyperlink r:id="rId1287" ref="U277"/>
    <hyperlink r:id="rId1288" ref="C278"/>
    <hyperlink r:id="rId1289" ref="E278"/>
    <hyperlink r:id="rId1290" ref="F278"/>
    <hyperlink r:id="rId1291" ref="G278"/>
    <hyperlink r:id="rId1292" ref="J278"/>
    <hyperlink r:id="rId1293" ref="K278"/>
    <hyperlink r:id="rId1294" ref="AS278"/>
    <hyperlink r:id="rId1295" ref="C279"/>
    <hyperlink r:id="rId1296" ref="E279"/>
    <hyperlink r:id="rId1297" ref="F279"/>
    <hyperlink r:id="rId1298" ref="G279"/>
    <hyperlink r:id="rId1299" ref="J279"/>
    <hyperlink r:id="rId1300" ref="K279"/>
    <hyperlink r:id="rId1301" ref="O279"/>
    <hyperlink r:id="rId1302" ref="AS279"/>
    <hyperlink r:id="rId1303" ref="C280"/>
    <hyperlink r:id="rId1304" ref="D280"/>
    <hyperlink r:id="rId1305" ref="E280"/>
    <hyperlink r:id="rId1306" ref="F280"/>
    <hyperlink r:id="rId1307" ref="G280"/>
    <hyperlink r:id="rId1308" ref="J280"/>
    <hyperlink r:id="rId1309" ref="K280"/>
    <hyperlink r:id="rId1310" ref="O280"/>
    <hyperlink r:id="rId1311" ref="X280"/>
    <hyperlink r:id="rId1312" ref="AB280"/>
    <hyperlink r:id="rId1313" ref="C281"/>
    <hyperlink r:id="rId1314" ref="D281"/>
    <hyperlink r:id="rId1315" ref="E281"/>
    <hyperlink r:id="rId1316" ref="F281"/>
    <hyperlink r:id="rId1317" ref="G281"/>
    <hyperlink r:id="rId1318" ref="H281"/>
    <hyperlink r:id="rId1319" ref="O281"/>
    <hyperlink r:id="rId1320" ref="C282"/>
    <hyperlink r:id="rId1321" ref="D282"/>
    <hyperlink r:id="rId1322" ref="E282"/>
    <hyperlink r:id="rId1323" ref="F282"/>
    <hyperlink r:id="rId1324" ref="H282"/>
    <hyperlink r:id="rId1325" ref="L282"/>
    <hyperlink r:id="rId1326" ref="M282"/>
    <hyperlink r:id="rId1327" ref="O282"/>
    <hyperlink r:id="rId1328" ref="C283"/>
    <hyperlink r:id="rId1329" ref="E283"/>
    <hyperlink r:id="rId1330" ref="F283"/>
    <hyperlink r:id="rId1331" ref="G283"/>
    <hyperlink r:id="rId1332" ref="J283"/>
    <hyperlink r:id="rId1333" ref="O283"/>
    <hyperlink r:id="rId1334" ref="R283"/>
    <hyperlink r:id="rId1335" ref="T283"/>
    <hyperlink r:id="rId1336" ref="X283"/>
    <hyperlink r:id="rId1337" ref="Z283"/>
    <hyperlink r:id="rId1338" ref="AF283"/>
    <hyperlink r:id="rId1339" ref="C284"/>
    <hyperlink r:id="rId1340" ref="D284"/>
    <hyperlink r:id="rId1341" ref="E284"/>
    <hyperlink r:id="rId1342" ref="F284"/>
    <hyperlink r:id="rId1343" ref="G284"/>
    <hyperlink r:id="rId1344" ref="H284"/>
    <hyperlink r:id="rId1345" ref="I284"/>
    <hyperlink r:id="rId1346" ref="J284"/>
    <hyperlink r:id="rId1347" ref="O284"/>
    <hyperlink r:id="rId1348" ref="T284"/>
    <hyperlink r:id="rId1349" ref="X284"/>
    <hyperlink r:id="rId1350" ref="AG284"/>
    <hyperlink r:id="rId1351" ref="C285"/>
    <hyperlink r:id="rId1352" ref="F285"/>
    <hyperlink r:id="rId1353" ref="H285"/>
    <hyperlink r:id="rId1354" ref="C286"/>
    <hyperlink r:id="rId1355" ref="E286"/>
    <hyperlink r:id="rId1356" ref="G286"/>
    <hyperlink r:id="rId1357" ref="H286"/>
    <hyperlink r:id="rId1358" ref="U286"/>
    <hyperlink r:id="rId1359" ref="C287"/>
    <hyperlink r:id="rId1360" ref="D287"/>
    <hyperlink r:id="rId1361" ref="E287"/>
    <hyperlink r:id="rId1362" ref="F287"/>
    <hyperlink r:id="rId1363" ref="R287"/>
    <hyperlink r:id="rId1364" ref="T287"/>
    <hyperlink r:id="rId1365" ref="W287"/>
    <hyperlink r:id="rId1366" ref="AB287"/>
    <hyperlink r:id="rId1367" ref="C288"/>
    <hyperlink r:id="rId1368" ref="E288"/>
    <hyperlink r:id="rId1369" ref="F288"/>
    <hyperlink r:id="rId1370" ref="G288"/>
    <hyperlink r:id="rId1371" ref="J288"/>
    <hyperlink r:id="rId1372" ref="M288"/>
    <hyperlink r:id="rId1373" ref="O288"/>
    <hyperlink r:id="rId1374" ref="T288"/>
    <hyperlink r:id="rId1375" ref="X288"/>
    <hyperlink r:id="rId1376" ref="C289"/>
    <hyperlink r:id="rId1377" ref="D289"/>
    <hyperlink r:id="rId1378" ref="G289"/>
    <hyperlink r:id="rId1379" ref="C291"/>
    <hyperlink r:id="rId1380" ref="D291"/>
    <hyperlink r:id="rId1381" ref="C292"/>
    <hyperlink r:id="rId1382" ref="G292"/>
    <hyperlink r:id="rId1383" ref="I292"/>
    <hyperlink r:id="rId1384" ref="C293"/>
    <hyperlink r:id="rId1385" ref="G293"/>
    <hyperlink r:id="rId1386" ref="S293"/>
    <hyperlink r:id="rId1387" ref="C294"/>
    <hyperlink r:id="rId1388" ref="D294"/>
    <hyperlink r:id="rId1389" ref="G294"/>
    <hyperlink r:id="rId1390" ref="L294"/>
    <hyperlink r:id="rId1391" ref="C296"/>
    <hyperlink r:id="rId1392" ref="G296"/>
    <hyperlink r:id="rId1393" ref="U296"/>
    <hyperlink r:id="rId1394" ref="C297"/>
    <hyperlink r:id="rId1395" ref="E297"/>
    <hyperlink r:id="rId1396" ref="C298"/>
    <hyperlink r:id="rId1397" ref="D298"/>
    <hyperlink r:id="rId1398" ref="E298"/>
    <hyperlink r:id="rId1399" ref="F298"/>
    <hyperlink r:id="rId1400" ref="G298"/>
    <hyperlink r:id="rId1401" ref="H298"/>
    <hyperlink r:id="rId1402" ref="K298"/>
    <hyperlink r:id="rId1403" ref="O298"/>
    <hyperlink r:id="rId1404" ref="U298"/>
    <hyperlink r:id="rId1405" ref="C299"/>
    <hyperlink r:id="rId1406" ref="U299"/>
    <hyperlink r:id="rId1407" ref="C300"/>
    <hyperlink r:id="rId1408" ref="E300"/>
    <hyperlink r:id="rId1409" ref="C301"/>
    <hyperlink r:id="rId1410" ref="E301"/>
    <hyperlink r:id="rId1411" ref="F301"/>
    <hyperlink r:id="rId1412" ref="G301"/>
    <hyperlink r:id="rId1413" ref="O301"/>
    <hyperlink r:id="rId1414" ref="U301"/>
    <hyperlink r:id="rId1415" ref="C302"/>
    <hyperlink r:id="rId1416" ref="E302"/>
    <hyperlink r:id="rId1417" ref="K302"/>
    <hyperlink r:id="rId1418" ref="C303"/>
    <hyperlink r:id="rId1419" ref="D303"/>
    <hyperlink r:id="rId1420" ref="E303"/>
    <hyperlink r:id="rId1421" ref="F303"/>
    <hyperlink r:id="rId1422" ref="G303"/>
    <hyperlink r:id="rId1423" ref="H303"/>
    <hyperlink r:id="rId1424" ref="L303"/>
    <hyperlink r:id="rId1425" ref="O303"/>
    <hyperlink r:id="rId1426" ref="AA303"/>
    <hyperlink r:id="rId1427" ref="C304"/>
    <hyperlink r:id="rId1428" ref="E304"/>
    <hyperlink r:id="rId1429" ref="I304"/>
    <hyperlink r:id="rId1430" ref="C305"/>
    <hyperlink r:id="rId1431" ref="E305"/>
    <hyperlink r:id="rId1432" ref="I305"/>
    <hyperlink r:id="rId1433" ref="C308"/>
    <hyperlink r:id="rId1434" ref="I308"/>
    <hyperlink r:id="rId1435" ref="AG308"/>
    <hyperlink r:id="rId1436" ref="C310"/>
    <hyperlink r:id="rId1437" ref="E310"/>
    <hyperlink r:id="rId1438" ref="H310"/>
    <hyperlink r:id="rId1439" ref="AT310"/>
    <hyperlink r:id="rId1440" ref="C311"/>
    <hyperlink r:id="rId1441" ref="H311"/>
    <hyperlink r:id="rId1442" ref="C312"/>
    <hyperlink r:id="rId1443" ref="D312"/>
    <hyperlink r:id="rId1444" ref="I312"/>
    <hyperlink r:id="rId1445" ref="C313"/>
    <hyperlink r:id="rId1446" ref="I313"/>
    <hyperlink r:id="rId1447" ref="C320"/>
    <hyperlink r:id="rId1448" ref="I320"/>
    <hyperlink r:id="rId1449" ref="C322"/>
    <hyperlink r:id="rId1450" ref="C323"/>
    <hyperlink r:id="rId1451" ref="E323"/>
    <hyperlink r:id="rId1452" ref="C324"/>
    <hyperlink r:id="rId1453" ref="D324"/>
    <hyperlink r:id="rId1454" ref="E324"/>
    <hyperlink r:id="rId1455" ref="F324"/>
    <hyperlink r:id="rId1456" ref="R324"/>
    <hyperlink r:id="rId1457" ref="T324"/>
    <hyperlink r:id="rId1458" ref="Z324"/>
    <hyperlink r:id="rId1459" ref="AS324"/>
    <hyperlink r:id="rId1460" ref="C325"/>
    <hyperlink r:id="rId1461" ref="E325"/>
    <hyperlink r:id="rId1462" ref="C326"/>
    <hyperlink r:id="rId1463" ref="E326"/>
    <hyperlink r:id="rId1464" ref="F326"/>
    <hyperlink r:id="rId1465" ref="H326"/>
    <hyperlink r:id="rId1466" ref="R326"/>
    <hyperlink r:id="rId1467" ref="X326"/>
    <hyperlink r:id="rId1468" ref="Z326"/>
    <hyperlink r:id="rId1469" ref="AS326"/>
    <hyperlink r:id="rId1470" ref="C327"/>
    <hyperlink r:id="rId1471" ref="E327"/>
    <hyperlink r:id="rId1472" ref="F327"/>
    <hyperlink r:id="rId1473" ref="H327"/>
    <hyperlink r:id="rId1474" ref="J327"/>
    <hyperlink r:id="rId1475" ref="L327"/>
    <hyperlink r:id="rId1476" ref="M327"/>
    <hyperlink r:id="rId1477" ref="X327"/>
    <hyperlink r:id="rId1478" ref="Z327"/>
    <hyperlink r:id="rId1479" ref="C328"/>
    <hyperlink r:id="rId1480" ref="E328"/>
    <hyperlink r:id="rId1481" ref="C329"/>
    <hyperlink r:id="rId1482" ref="E329"/>
    <hyperlink r:id="rId1483" ref="F329"/>
    <hyperlink r:id="rId1484" ref="Z329"/>
    <hyperlink r:id="rId1485" ref="C330"/>
    <hyperlink r:id="rId1486" ref="E330"/>
    <hyperlink r:id="rId1487" ref="C331"/>
    <hyperlink r:id="rId1488" ref="E331"/>
    <hyperlink r:id="rId1489" ref="C332"/>
    <hyperlink r:id="rId1490" ref="E332"/>
    <hyperlink r:id="rId1491" ref="C333"/>
    <hyperlink r:id="rId1492" ref="E333"/>
    <hyperlink r:id="rId1493" ref="C334"/>
    <hyperlink r:id="rId1494" ref="E334"/>
    <hyperlink r:id="rId1495" ref="C335"/>
    <hyperlink r:id="rId1496" ref="E335"/>
    <hyperlink r:id="rId1497" ref="F335"/>
    <hyperlink r:id="rId1498" ref="H335"/>
    <hyperlink r:id="rId1499" ref="C336"/>
    <hyperlink r:id="rId1500" ref="F336"/>
    <hyperlink r:id="rId1501" ref="H336"/>
    <hyperlink r:id="rId1502" ref="R336"/>
    <hyperlink r:id="rId1503" ref="T336"/>
    <hyperlink r:id="rId1504" ref="Z336"/>
    <hyperlink r:id="rId1505" ref="C339"/>
    <hyperlink r:id="rId1506" ref="F339"/>
    <hyperlink r:id="rId1507" ref="H339"/>
    <hyperlink r:id="rId1508" ref="J339"/>
    <hyperlink r:id="rId1509" ref="AD339"/>
    <hyperlink r:id="rId1510" ref="AJ339"/>
    <hyperlink r:id="rId1511" ref="C343"/>
    <hyperlink r:id="rId1512" ref="E343"/>
    <hyperlink r:id="rId1513" ref="C344"/>
    <hyperlink r:id="rId1514" ref="E344"/>
    <hyperlink r:id="rId1515" ref="F344"/>
    <hyperlink r:id="rId1516" ref="J344"/>
    <hyperlink r:id="rId1517" ref="C345"/>
    <hyperlink r:id="rId1518" ref="AQ345"/>
    <hyperlink r:id="rId1519" ref="C346"/>
    <hyperlink r:id="rId1520" ref="F346"/>
    <hyperlink r:id="rId1521" ref="H346"/>
    <hyperlink r:id="rId1522" ref="J346"/>
    <hyperlink r:id="rId1523" ref="Z346"/>
    <hyperlink r:id="rId1524" ref="C347"/>
    <hyperlink r:id="rId1525" ref="E347"/>
    <hyperlink r:id="rId1526" ref="F347"/>
    <hyperlink r:id="rId1527" ref="R347"/>
    <hyperlink r:id="rId1528" ref="Z347"/>
    <hyperlink r:id="rId1529" ref="C350"/>
    <hyperlink r:id="rId1530" ref="H350"/>
    <hyperlink r:id="rId1531" ref="M350"/>
    <hyperlink r:id="rId1532" ref="C351"/>
    <hyperlink r:id="rId1533" ref="AD351"/>
    <hyperlink r:id="rId1534" ref="C352"/>
    <hyperlink r:id="rId1535" ref="F352"/>
    <hyperlink r:id="rId1536" ref="H352"/>
    <hyperlink r:id="rId1537" ref="O352"/>
    <hyperlink r:id="rId1538" ref="Z352"/>
    <hyperlink r:id="rId1539" ref="C353"/>
    <hyperlink r:id="rId1540" ref="E353"/>
  </hyperlinks>
  <drawing r:id="rId1541"/>
  <legacyDrawing r:id="rId1542"/>
  <tableParts count="10">
    <tablePart r:id="rId1553"/>
    <tablePart r:id="rId1554"/>
    <tablePart r:id="rId1555"/>
    <tablePart r:id="rId1556"/>
    <tablePart r:id="rId1557"/>
    <tablePart r:id="rId1558"/>
    <tablePart r:id="rId1559"/>
    <tablePart r:id="rId1560"/>
    <tablePart r:id="rId1561"/>
    <tablePart r:id="rId15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8196</v>
      </c>
      <c r="C1" s="23" t="s">
        <v>10</v>
      </c>
      <c r="F1" s="23" t="s">
        <v>34</v>
      </c>
      <c r="H1" s="24" t="s">
        <v>35</v>
      </c>
      <c r="K1" s="26" t="s">
        <v>36</v>
      </c>
      <c r="O1" s="28" t="s">
        <v>7719</v>
      </c>
      <c r="R1" s="29" t="s">
        <v>38</v>
      </c>
      <c r="U1" s="30" t="s">
        <v>39</v>
      </c>
      <c r="X1" s="32" t="s">
        <v>7963</v>
      </c>
      <c r="AA1" s="33" t="s">
        <v>8029</v>
      </c>
      <c r="AD1" s="34" t="s">
        <v>42</v>
      </c>
      <c r="AG1" s="1313"/>
      <c r="AH1" s="1313"/>
    </row>
    <row r="2" ht="38.25" customHeight="1">
      <c r="A2" s="35" t="s">
        <v>43</v>
      </c>
      <c r="B2" s="36" t="s">
        <v>44</v>
      </c>
      <c r="C2" s="36" t="s">
        <v>45</v>
      </c>
      <c r="F2" s="36" t="s">
        <v>8197</v>
      </c>
      <c r="H2" s="1314" t="s">
        <v>8198</v>
      </c>
      <c r="I2" s="1315"/>
      <c r="J2" s="1315"/>
      <c r="K2" s="1316" t="s">
        <v>8199</v>
      </c>
      <c r="L2" s="1317" t="s">
        <v>8200</v>
      </c>
      <c r="M2" s="1316" t="s">
        <v>8201</v>
      </c>
      <c r="N2" s="1316" t="s">
        <v>8202</v>
      </c>
      <c r="O2" s="1318" t="s">
        <v>8203</v>
      </c>
      <c r="P2" s="1318" t="s">
        <v>8204</v>
      </c>
      <c r="Q2" s="1318"/>
      <c r="R2" s="42" t="s">
        <v>48</v>
      </c>
      <c r="S2" s="42" t="s">
        <v>8205</v>
      </c>
      <c r="T2" s="42"/>
      <c r="U2" s="44" t="s">
        <v>50</v>
      </c>
      <c r="V2" s="44" t="s">
        <v>54</v>
      </c>
      <c r="W2" s="44" t="s">
        <v>62</v>
      </c>
      <c r="X2" s="45" t="s">
        <v>52</v>
      </c>
      <c r="Y2" s="45"/>
      <c r="Z2" s="45"/>
      <c r="AA2" s="47" t="s">
        <v>51</v>
      </c>
      <c r="AB2" s="1319" t="s">
        <v>8206</v>
      </c>
      <c r="AC2" s="47"/>
      <c r="AD2" s="1320" t="s">
        <v>8207</v>
      </c>
      <c r="AE2" s="1320"/>
      <c r="AF2" s="1320"/>
      <c r="AG2" s="1321"/>
      <c r="AH2" s="1321"/>
    </row>
    <row r="3">
      <c r="A3" s="1322" t="s">
        <v>4258</v>
      </c>
      <c r="B3" s="1323" t="s">
        <v>6311</v>
      </c>
      <c r="C3" s="1324" t="s">
        <v>546</v>
      </c>
      <c r="D3" s="1325" t="s">
        <v>546</v>
      </c>
      <c r="E3" s="1326" t="s">
        <v>437</v>
      </c>
      <c r="F3" s="1327" t="s">
        <v>332</v>
      </c>
      <c r="G3" s="1323" t="s">
        <v>332</v>
      </c>
      <c r="H3" s="1328"/>
      <c r="I3" s="1329"/>
      <c r="J3" s="1330"/>
      <c r="K3" s="1331"/>
      <c r="L3" s="981"/>
      <c r="M3" s="981"/>
      <c r="N3" s="981"/>
      <c r="O3" s="981"/>
      <c r="P3" s="981"/>
      <c r="Q3" s="1332"/>
      <c r="R3" s="1333" t="s">
        <v>6305</v>
      </c>
      <c r="S3" s="1328"/>
      <c r="T3" s="1328"/>
      <c r="U3" s="1334" t="s">
        <v>7956</v>
      </c>
      <c r="V3" s="1332"/>
      <c r="W3" s="1332"/>
      <c r="X3" s="1334" t="s">
        <v>8208</v>
      </c>
      <c r="Y3" s="1332"/>
      <c r="Z3" s="1332"/>
      <c r="AA3" s="1335" t="s">
        <v>8209</v>
      </c>
      <c r="AB3" s="1332"/>
      <c r="AC3" s="981"/>
      <c r="AD3" s="1332"/>
      <c r="AE3" s="1332"/>
      <c r="AF3" s="1332"/>
      <c r="AG3" s="1336"/>
      <c r="AH3" s="1336"/>
    </row>
    <row r="4">
      <c r="A4" s="1337" t="s">
        <v>5227</v>
      </c>
      <c r="B4" s="1323" t="s">
        <v>2680</v>
      </c>
      <c r="C4" s="1324" t="s">
        <v>546</v>
      </c>
      <c r="D4" s="1325" t="s">
        <v>546</v>
      </c>
      <c r="E4" s="1326" t="s">
        <v>546</v>
      </c>
      <c r="F4" s="1327" t="s">
        <v>332</v>
      </c>
      <c r="G4" s="1323" t="s">
        <v>332</v>
      </c>
      <c r="H4" s="981"/>
      <c r="I4" s="97"/>
      <c r="J4" s="92"/>
      <c r="K4" s="981"/>
      <c r="L4" s="981"/>
      <c r="M4" s="981"/>
      <c r="N4" s="981"/>
      <c r="O4" s="981"/>
      <c r="P4" s="981"/>
      <c r="Q4" s="1332"/>
      <c r="R4" s="1338" t="s">
        <v>6098</v>
      </c>
      <c r="S4" s="981"/>
      <c r="T4" s="981"/>
      <c r="U4" s="1339" t="s">
        <v>2116</v>
      </c>
      <c r="V4" s="1332"/>
      <c r="W4" s="1332"/>
      <c r="X4" s="1333" t="s">
        <v>8210</v>
      </c>
      <c r="Y4" s="1332"/>
      <c r="Z4" s="1332"/>
      <c r="AA4" s="983" t="s">
        <v>1243</v>
      </c>
      <c r="AB4" s="1332"/>
      <c r="AC4" s="981"/>
      <c r="AD4" s="1332"/>
      <c r="AE4" s="1332"/>
      <c r="AF4" s="1332"/>
      <c r="AG4" s="1336"/>
      <c r="AH4" s="1336"/>
    </row>
    <row r="5">
      <c r="A5" s="1322" t="s">
        <v>4048</v>
      </c>
      <c r="B5" s="1323" t="s">
        <v>333</v>
      </c>
      <c r="C5" s="1324" t="s">
        <v>1256</v>
      </c>
      <c r="D5" s="1325" t="s">
        <v>546</v>
      </c>
      <c r="E5" s="1326" t="s">
        <v>1256</v>
      </c>
      <c r="F5" s="1327" t="s">
        <v>647</v>
      </c>
      <c r="G5" s="1323" t="s">
        <v>334</v>
      </c>
      <c r="H5" s="981"/>
      <c r="I5" s="97"/>
      <c r="J5" s="92"/>
      <c r="K5" s="981"/>
      <c r="L5" s="981"/>
      <c r="M5" s="981"/>
      <c r="N5" s="981"/>
      <c r="O5" s="981"/>
      <c r="P5" s="981"/>
      <c r="Q5" s="1332"/>
      <c r="R5" s="1339" t="s">
        <v>4512</v>
      </c>
      <c r="S5" s="1340" t="s">
        <v>1750</v>
      </c>
      <c r="T5" s="981"/>
      <c r="U5" s="983" t="s">
        <v>1037</v>
      </c>
      <c r="V5" s="1332"/>
      <c r="W5" s="1332"/>
      <c r="X5" s="983" t="s">
        <v>8211</v>
      </c>
      <c r="Y5" s="1332"/>
      <c r="Z5" s="1332"/>
      <c r="AA5" s="1341" t="s">
        <v>8212</v>
      </c>
      <c r="AB5" s="1332"/>
      <c r="AC5" s="981"/>
      <c r="AD5" s="1332"/>
      <c r="AE5" s="1332"/>
      <c r="AF5" s="1332"/>
      <c r="AG5" s="1336"/>
      <c r="AH5" s="1336"/>
    </row>
    <row r="6">
      <c r="A6" s="1322" t="s">
        <v>2460</v>
      </c>
      <c r="B6" s="1323" t="s">
        <v>333</v>
      </c>
      <c r="C6" s="1324" t="s">
        <v>546</v>
      </c>
      <c r="D6" s="1325" t="s">
        <v>546</v>
      </c>
      <c r="E6" s="1326" t="s">
        <v>1256</v>
      </c>
      <c r="F6" s="1327" t="s">
        <v>647</v>
      </c>
      <c r="G6" s="1323" t="s">
        <v>647</v>
      </c>
      <c r="H6" s="981"/>
      <c r="I6" s="97"/>
      <c r="J6" s="1330"/>
      <c r="K6" s="981"/>
      <c r="L6" s="981"/>
      <c r="M6" s="981"/>
      <c r="N6" s="981"/>
      <c r="O6" s="981"/>
      <c r="P6" s="981"/>
      <c r="Q6" s="1332"/>
      <c r="R6" s="1332"/>
      <c r="S6" s="981"/>
      <c r="T6" s="981"/>
      <c r="U6" s="1342" t="s">
        <v>1648</v>
      </c>
      <c r="V6" s="97"/>
      <c r="W6" s="1059" t="s">
        <v>7307</v>
      </c>
      <c r="X6" s="981"/>
      <c r="Y6" s="1332"/>
      <c r="Z6" s="1332"/>
      <c r="AA6" s="981"/>
      <c r="AB6" s="1332"/>
      <c r="AC6" s="981"/>
      <c r="AD6" s="983" t="s">
        <v>217</v>
      </c>
      <c r="AE6" s="1332"/>
      <c r="AF6" s="1332"/>
      <c r="AG6" s="1336"/>
      <c r="AH6" s="1336"/>
    </row>
    <row r="7">
      <c r="A7" s="1322" t="s">
        <v>979</v>
      </c>
      <c r="B7" s="1323" t="s">
        <v>3291</v>
      </c>
      <c r="C7" s="1324" t="s">
        <v>437</v>
      </c>
      <c r="D7" s="1325" t="s">
        <v>546</v>
      </c>
      <c r="E7" s="1326" t="s">
        <v>1256</v>
      </c>
      <c r="F7" s="1327" t="s">
        <v>647</v>
      </c>
      <c r="G7" s="1323" t="s">
        <v>647</v>
      </c>
      <c r="H7" s="981"/>
      <c r="I7" s="97"/>
      <c r="J7" s="92"/>
      <c r="K7" s="1328"/>
      <c r="L7" s="1328"/>
      <c r="M7" s="1328"/>
      <c r="N7" s="980"/>
      <c r="O7" s="1343"/>
      <c r="P7" s="981"/>
      <c r="Q7" s="1332"/>
      <c r="R7" s="1332"/>
      <c r="S7" s="1339" t="s">
        <v>8213</v>
      </c>
      <c r="T7" s="981"/>
      <c r="U7" s="1332"/>
      <c r="V7" s="1332"/>
      <c r="W7" s="1332"/>
      <c r="X7" s="981"/>
      <c r="Y7" s="1332"/>
      <c r="Z7" s="1332"/>
      <c r="AA7" s="1333" t="s">
        <v>8214</v>
      </c>
      <c r="AB7" s="1333" t="s">
        <v>6437</v>
      </c>
      <c r="AC7" s="981"/>
      <c r="AD7" s="1332"/>
      <c r="AE7" s="1332"/>
      <c r="AF7" s="1332"/>
      <c r="AG7" s="1336"/>
      <c r="AH7" s="1336"/>
    </row>
    <row r="8">
      <c r="A8" s="1322" t="s">
        <v>1056</v>
      </c>
      <c r="B8" s="1323" t="s">
        <v>3291</v>
      </c>
      <c r="C8" s="1324" t="s">
        <v>546</v>
      </c>
      <c r="D8" s="1325" t="s">
        <v>437</v>
      </c>
      <c r="E8" s="1326" t="s">
        <v>546</v>
      </c>
      <c r="F8" s="1327" t="s">
        <v>332</v>
      </c>
      <c r="G8" s="1323" t="s">
        <v>332</v>
      </c>
      <c r="H8" s="981"/>
      <c r="I8" s="97"/>
      <c r="J8" s="92"/>
      <c r="K8" s="1339" t="s">
        <v>8215</v>
      </c>
      <c r="L8" s="1338" t="s">
        <v>6269</v>
      </c>
      <c r="M8" s="981"/>
      <c r="N8" s="981"/>
      <c r="O8" s="981"/>
      <c r="P8" s="1339" t="s">
        <v>8216</v>
      </c>
      <c r="Q8" s="1332"/>
      <c r="R8" s="1332"/>
      <c r="S8" s="981"/>
      <c r="T8" s="981"/>
      <c r="U8" s="1332"/>
      <c r="V8" s="1332"/>
      <c r="W8" s="1332"/>
      <c r="X8" s="1333" t="s">
        <v>8210</v>
      </c>
      <c r="Y8" s="1332"/>
      <c r="Z8" s="1332"/>
      <c r="AA8" s="981"/>
      <c r="AB8" s="1332"/>
      <c r="AC8" s="981"/>
      <c r="AD8" s="1332"/>
      <c r="AE8" s="1332"/>
      <c r="AF8" s="1332"/>
      <c r="AG8" s="1336"/>
      <c r="AH8" s="1336"/>
    </row>
    <row r="9">
      <c r="A9" s="987" t="s">
        <v>7447</v>
      </c>
      <c r="B9" s="1323" t="s">
        <v>981</v>
      </c>
      <c r="C9" s="1324" t="s">
        <v>1256</v>
      </c>
      <c r="D9" s="1325" t="s">
        <v>1256</v>
      </c>
      <c r="E9" s="1326" t="s">
        <v>1256</v>
      </c>
      <c r="F9" s="1327" t="s">
        <v>332</v>
      </c>
      <c r="G9" s="1323" t="s">
        <v>332</v>
      </c>
      <c r="H9" s="1328"/>
      <c r="I9" s="1329"/>
      <c r="J9" s="1330"/>
      <c r="K9" s="1331"/>
      <c r="L9" s="1331"/>
      <c r="M9" s="1331"/>
      <c r="N9" s="1344"/>
      <c r="O9" s="1344"/>
      <c r="P9" s="1344"/>
      <c r="Q9" s="1345"/>
      <c r="R9" s="983" t="s">
        <v>358</v>
      </c>
      <c r="S9" s="1328"/>
      <c r="T9" s="1328"/>
      <c r="U9" s="1346" t="s">
        <v>1779</v>
      </c>
      <c r="V9" s="1332"/>
      <c r="W9" s="1332"/>
      <c r="X9" s="1346" t="s">
        <v>643</v>
      </c>
      <c r="Y9" s="1345"/>
      <c r="Z9" s="1345"/>
      <c r="AA9" s="1346" t="s">
        <v>7840</v>
      </c>
      <c r="AB9" s="1345"/>
      <c r="AC9" s="1344"/>
      <c r="AD9" s="1332"/>
      <c r="AE9" s="1345"/>
      <c r="AF9" s="1345"/>
      <c r="AG9" s="1347"/>
      <c r="AH9" s="1347"/>
    </row>
    <row r="10">
      <c r="A10" s="865" t="s">
        <v>897</v>
      </c>
      <c r="B10" s="1323" t="s">
        <v>1197</v>
      </c>
      <c r="C10" s="1324" t="s">
        <v>1256</v>
      </c>
      <c r="D10" s="1325" t="s">
        <v>546</v>
      </c>
      <c r="E10" s="1326" t="s">
        <v>1256</v>
      </c>
      <c r="F10" s="1327" t="s">
        <v>437</v>
      </c>
      <c r="G10" s="1323" t="s">
        <v>437</v>
      </c>
      <c r="H10" s="1348"/>
      <c r="I10" s="97"/>
      <c r="J10" s="92"/>
      <c r="K10" s="981"/>
      <c r="L10" s="981"/>
      <c r="M10" s="981"/>
      <c r="N10" s="981"/>
      <c r="O10" s="981"/>
      <c r="P10" s="981"/>
      <c r="Q10" s="1332"/>
      <c r="R10" s="1349"/>
      <c r="S10" s="1348"/>
      <c r="T10" s="1348"/>
      <c r="U10" s="1350"/>
      <c r="V10" s="97"/>
      <c r="W10" s="1339" t="s">
        <v>3196</v>
      </c>
      <c r="X10" s="981"/>
      <c r="Y10" s="1332"/>
      <c r="Z10" s="1332"/>
      <c r="AA10" s="981"/>
      <c r="AB10" s="1332"/>
      <c r="AC10" s="981"/>
      <c r="AD10" s="1339" t="s">
        <v>8217</v>
      </c>
      <c r="AE10" s="1332"/>
      <c r="AF10" s="1332"/>
      <c r="AG10" s="1336"/>
      <c r="AH10" s="1336"/>
    </row>
    <row r="11">
      <c r="A11" s="865" t="s">
        <v>435</v>
      </c>
      <c r="B11" s="1323" t="s">
        <v>438</v>
      </c>
      <c r="C11" s="1324" t="s">
        <v>546</v>
      </c>
      <c r="D11" s="1325" t="s">
        <v>1256</v>
      </c>
      <c r="E11" s="1326" t="s">
        <v>1256</v>
      </c>
      <c r="F11" s="1327" t="s">
        <v>546</v>
      </c>
      <c r="G11" s="1323" t="s">
        <v>546</v>
      </c>
      <c r="H11" s="981"/>
      <c r="I11" s="97"/>
      <c r="J11" s="92"/>
      <c r="K11" s="981"/>
      <c r="L11" s="981"/>
      <c r="M11" s="981"/>
      <c r="N11" s="981"/>
      <c r="O11" s="981"/>
      <c r="P11" s="981"/>
      <c r="Q11" s="1332"/>
      <c r="R11" s="1332"/>
      <c r="S11" s="981"/>
      <c r="T11" s="981"/>
      <c r="U11" s="1332"/>
      <c r="V11" s="97"/>
      <c r="W11" s="1332"/>
      <c r="X11" s="981"/>
      <c r="Y11" s="1332"/>
      <c r="Z11" s="1332"/>
      <c r="AA11" s="981"/>
      <c r="AB11" s="1332"/>
      <c r="AC11" s="981"/>
      <c r="AD11" s="1351" t="s">
        <v>7875</v>
      </c>
      <c r="AE11" s="1332"/>
      <c r="AF11" s="1332"/>
      <c r="AG11" s="1336"/>
      <c r="AH11" s="1336"/>
    </row>
    <row r="12">
      <c r="A12" s="987" t="s">
        <v>4539</v>
      </c>
      <c r="B12" s="1323" t="s">
        <v>438</v>
      </c>
      <c r="C12" s="1324" t="s">
        <v>546</v>
      </c>
      <c r="D12" s="1325" t="s">
        <v>1256</v>
      </c>
      <c r="E12" s="1326" t="s">
        <v>1256</v>
      </c>
      <c r="F12" s="1327" t="s">
        <v>546</v>
      </c>
      <c r="G12" s="1323" t="s">
        <v>546</v>
      </c>
      <c r="H12" s="981"/>
      <c r="I12" s="97"/>
      <c r="J12" s="92"/>
      <c r="K12" s="981"/>
      <c r="L12" s="981"/>
      <c r="M12" s="981"/>
      <c r="N12" s="981"/>
      <c r="O12" s="981"/>
      <c r="P12" s="981"/>
      <c r="Q12" s="1332"/>
      <c r="R12" s="1332"/>
      <c r="S12" s="981"/>
      <c r="T12" s="981"/>
      <c r="U12" s="1350"/>
      <c r="V12" s="1332"/>
      <c r="W12" s="983" t="s">
        <v>8218</v>
      </c>
      <c r="X12" s="981"/>
      <c r="Y12" s="1332"/>
      <c r="Z12" s="1332"/>
      <c r="AA12" s="981"/>
      <c r="AB12" s="1332"/>
      <c r="AC12" s="981"/>
      <c r="AD12" s="1332"/>
      <c r="AE12" s="1332"/>
      <c r="AF12" s="1332"/>
      <c r="AG12" s="1336"/>
      <c r="AH12" s="1336"/>
    </row>
    <row r="13">
      <c r="A13" s="1322" t="s">
        <v>8219</v>
      </c>
      <c r="B13" s="1323" t="s">
        <v>438</v>
      </c>
      <c r="C13" s="1324" t="s">
        <v>647</v>
      </c>
      <c r="D13" s="1325" t="s">
        <v>1256</v>
      </c>
      <c r="E13" s="1326" t="s">
        <v>1256</v>
      </c>
      <c r="F13" s="1327" t="s">
        <v>647</v>
      </c>
      <c r="G13" s="1323" t="s">
        <v>647</v>
      </c>
      <c r="H13" s="981"/>
      <c r="I13" s="97"/>
      <c r="J13" s="92"/>
      <c r="K13" s="1333" t="s">
        <v>8220</v>
      </c>
      <c r="L13" s="1333" t="s">
        <v>8221</v>
      </c>
      <c r="M13" s="1333" t="s">
        <v>639</v>
      </c>
      <c r="N13" s="981"/>
      <c r="O13" s="981"/>
      <c r="P13" s="981"/>
      <c r="Q13" s="1332"/>
      <c r="R13" s="1332"/>
      <c r="S13" s="981"/>
      <c r="T13" s="981"/>
      <c r="U13" s="1332"/>
      <c r="V13" s="1332"/>
      <c r="W13" s="1332"/>
      <c r="X13" s="981"/>
      <c r="Y13" s="1332"/>
      <c r="Z13" s="1332"/>
      <c r="AA13" s="941"/>
      <c r="AB13" s="1332"/>
      <c r="AC13" s="981"/>
      <c r="AD13" s="1332"/>
      <c r="AE13" s="1332"/>
      <c r="AF13" s="1332"/>
      <c r="AG13" s="1336"/>
      <c r="AH13" s="1336"/>
    </row>
    <row r="14">
      <c r="A14" s="1322" t="s">
        <v>2713</v>
      </c>
      <c r="B14" s="1323" t="s">
        <v>334</v>
      </c>
      <c r="C14" s="1324" t="s">
        <v>1256</v>
      </c>
      <c r="D14" s="1325" t="s">
        <v>1256</v>
      </c>
      <c r="E14" s="1326" t="s">
        <v>546</v>
      </c>
      <c r="F14" s="1327" t="s">
        <v>437</v>
      </c>
      <c r="G14" s="1323" t="s">
        <v>437</v>
      </c>
      <c r="H14" s="981"/>
      <c r="I14" s="97"/>
      <c r="J14" s="92"/>
      <c r="K14" s="981"/>
      <c r="L14" s="983" t="s">
        <v>6825</v>
      </c>
      <c r="M14" s="981"/>
      <c r="N14" s="981"/>
      <c r="O14" s="981"/>
      <c r="P14" s="981"/>
      <c r="Q14" s="1332"/>
      <c r="R14" s="1332"/>
      <c r="S14" s="981"/>
      <c r="T14" s="981"/>
      <c r="U14" s="1332"/>
      <c r="V14" s="1332"/>
      <c r="W14" s="1332"/>
      <c r="X14" s="981"/>
      <c r="Y14" s="1332"/>
      <c r="Z14" s="1332"/>
      <c r="AA14" s="1338" t="s">
        <v>1102</v>
      </c>
      <c r="AB14" s="1332"/>
      <c r="AC14" s="981"/>
      <c r="AD14" s="1332"/>
      <c r="AE14" s="1332"/>
      <c r="AF14" s="1332"/>
      <c r="AG14" s="1336"/>
      <c r="AH14" s="1336"/>
    </row>
    <row r="15">
      <c r="A15" s="1322" t="s">
        <v>1124</v>
      </c>
      <c r="B15" s="1323" t="s">
        <v>332</v>
      </c>
      <c r="C15" s="1324" t="s">
        <v>1256</v>
      </c>
      <c r="D15" s="1325" t="s">
        <v>1256</v>
      </c>
      <c r="E15" s="1326" t="s">
        <v>546</v>
      </c>
      <c r="F15" s="1327" t="s">
        <v>546</v>
      </c>
      <c r="G15" s="1323" t="s">
        <v>546</v>
      </c>
      <c r="H15" s="981"/>
      <c r="I15" s="97"/>
      <c r="J15" s="92"/>
      <c r="K15" s="1328"/>
      <c r="L15" s="980"/>
      <c r="M15" s="980"/>
      <c r="N15" s="1343"/>
      <c r="O15" s="981"/>
      <c r="P15" s="981"/>
      <c r="Q15" s="1332"/>
      <c r="R15" s="1332"/>
      <c r="S15" s="981"/>
      <c r="T15" s="981"/>
      <c r="U15" s="1332"/>
      <c r="V15" s="97"/>
      <c r="W15" s="1332"/>
      <c r="X15" s="981"/>
      <c r="Y15" s="1332"/>
      <c r="Z15" s="1332"/>
      <c r="AA15" s="981"/>
      <c r="AB15" s="1332"/>
      <c r="AC15" s="981"/>
      <c r="AD15" s="1338" t="s">
        <v>8222</v>
      </c>
      <c r="AE15" s="1332"/>
      <c r="AF15" s="1332"/>
      <c r="AG15" s="1336"/>
      <c r="AH15" s="1336"/>
    </row>
    <row r="16">
      <c r="A16" s="1322" t="s">
        <v>644</v>
      </c>
      <c r="B16" s="1323" t="s">
        <v>332</v>
      </c>
      <c r="C16" s="1324" t="s">
        <v>1256</v>
      </c>
      <c r="D16" s="1325" t="s">
        <v>1256</v>
      </c>
      <c r="E16" s="1326" t="s">
        <v>546</v>
      </c>
      <c r="F16" s="1327" t="s">
        <v>546</v>
      </c>
      <c r="G16" s="1323" t="s">
        <v>546</v>
      </c>
      <c r="H16" s="981"/>
      <c r="I16" s="97"/>
      <c r="J16" s="92"/>
      <c r="K16" s="981"/>
      <c r="L16" s="981"/>
      <c r="M16" s="981"/>
      <c r="N16" s="981"/>
      <c r="O16" s="981"/>
      <c r="P16" s="981"/>
      <c r="Q16" s="1332"/>
      <c r="R16" s="1332"/>
      <c r="S16" s="981"/>
      <c r="T16" s="981"/>
      <c r="U16" s="1350"/>
      <c r="V16" s="97"/>
      <c r="W16" s="983" t="s">
        <v>5709</v>
      </c>
      <c r="X16" s="981"/>
      <c r="Y16" s="1332"/>
      <c r="Z16" s="1332"/>
      <c r="AA16" s="981"/>
      <c r="AB16" s="1332"/>
      <c r="AC16" s="981"/>
      <c r="AD16" s="1332"/>
      <c r="AE16" s="1332"/>
      <c r="AF16" s="1332"/>
      <c r="AG16" s="1336"/>
      <c r="AH16" s="1336"/>
    </row>
    <row r="17">
      <c r="A17" s="1322" t="s">
        <v>8223</v>
      </c>
      <c r="B17" s="1323" t="s">
        <v>332</v>
      </c>
      <c r="C17" s="1324" t="s">
        <v>546</v>
      </c>
      <c r="D17" s="1325" t="s">
        <v>1256</v>
      </c>
      <c r="E17" s="1326" t="s">
        <v>1256</v>
      </c>
      <c r="F17" s="1327" t="s">
        <v>546</v>
      </c>
      <c r="G17" s="1323" t="s">
        <v>546</v>
      </c>
      <c r="H17" s="981"/>
      <c r="I17" s="97"/>
      <c r="J17" s="92"/>
      <c r="K17" s="981"/>
      <c r="L17" s="981"/>
      <c r="M17" s="981"/>
      <c r="N17" s="981"/>
      <c r="O17" s="981"/>
      <c r="P17" s="981"/>
      <c r="Q17" s="1332"/>
      <c r="R17" s="1332"/>
      <c r="S17" s="1333" t="s">
        <v>5285</v>
      </c>
      <c r="T17" s="981"/>
      <c r="U17" s="1332"/>
      <c r="V17" s="1332"/>
      <c r="W17" s="1332"/>
      <c r="X17" s="981"/>
      <c r="Y17" s="1332"/>
      <c r="Z17" s="1332"/>
      <c r="AA17" s="981"/>
      <c r="AB17" s="1332"/>
      <c r="AC17" s="981"/>
      <c r="AD17" s="1332"/>
      <c r="AE17" s="1332"/>
      <c r="AF17" s="1332"/>
      <c r="AG17" s="1336"/>
      <c r="AH17" s="1336"/>
    </row>
    <row r="18">
      <c r="A18" s="1322" t="s">
        <v>8224</v>
      </c>
      <c r="B18" s="1323" t="s">
        <v>647</v>
      </c>
      <c r="C18" s="1324" t="s">
        <v>546</v>
      </c>
      <c r="D18" s="1325" t="s">
        <v>1256</v>
      </c>
      <c r="E18" s="1326" t="s">
        <v>1256</v>
      </c>
      <c r="F18" s="1327" t="s">
        <v>546</v>
      </c>
      <c r="G18" s="1323" t="s">
        <v>546</v>
      </c>
      <c r="H18" s="981"/>
      <c r="I18" s="97"/>
      <c r="J18" s="92"/>
      <c r="K18" s="981"/>
      <c r="L18" s="1333" t="s">
        <v>8221</v>
      </c>
      <c r="M18" s="981"/>
      <c r="N18" s="981"/>
      <c r="O18" s="981"/>
      <c r="P18" s="981"/>
      <c r="Q18" s="1332"/>
      <c r="R18" s="1332"/>
      <c r="S18" s="981"/>
      <c r="T18" s="981"/>
      <c r="U18" s="1332"/>
      <c r="V18" s="1332"/>
      <c r="W18" s="1332"/>
      <c r="X18" s="981"/>
      <c r="Y18" s="1332"/>
      <c r="Z18" s="1332"/>
      <c r="AA18" s="981"/>
      <c r="AB18" s="1332"/>
      <c r="AC18" s="981"/>
      <c r="AD18" s="1332"/>
      <c r="AE18" s="1332"/>
      <c r="AF18" s="1332"/>
      <c r="AG18" s="1336"/>
      <c r="AH18" s="1336"/>
    </row>
    <row r="19">
      <c r="A19" s="987" t="s">
        <v>5275</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3" t="s">
        <v>3741</v>
      </c>
      <c r="S19" s="1328"/>
      <c r="T19" s="1328"/>
      <c r="U19" s="1346" t="s">
        <v>7607</v>
      </c>
      <c r="V19" s="981"/>
      <c r="W19" s="981"/>
      <c r="X19" s="1346" t="s">
        <v>1344</v>
      </c>
      <c r="Y19" s="1331"/>
      <c r="Z19" s="1331"/>
      <c r="AA19" s="1344"/>
      <c r="AB19" s="1331"/>
      <c r="AC19" s="1331"/>
      <c r="AD19" s="980"/>
      <c r="AE19" s="1352"/>
      <c r="AF19" s="1352"/>
      <c r="AG19" s="1353"/>
      <c r="AH19" s="1354"/>
    </row>
    <row r="20">
      <c r="A20" s="865" t="s">
        <v>1413</v>
      </c>
      <c r="B20" s="1323" t="s">
        <v>647</v>
      </c>
      <c r="C20" s="1324" t="s">
        <v>1256</v>
      </c>
      <c r="D20" s="1325" t="s">
        <v>1256</v>
      </c>
      <c r="E20" s="1326" t="s">
        <v>1256</v>
      </c>
      <c r="F20" s="1327" t="s">
        <v>546</v>
      </c>
      <c r="G20" s="1323" t="s">
        <v>546</v>
      </c>
      <c r="H20" s="981"/>
      <c r="I20" s="97"/>
      <c r="J20" s="92"/>
      <c r="K20" s="981"/>
      <c r="L20" s="1328"/>
      <c r="M20" s="1328"/>
      <c r="N20" s="1328"/>
      <c r="O20" s="1328"/>
      <c r="P20" s="981"/>
      <c r="Q20" s="1332"/>
      <c r="R20" s="1332"/>
      <c r="S20" s="981"/>
      <c r="T20" s="981"/>
      <c r="U20" s="1332"/>
      <c r="V20" s="97"/>
      <c r="W20" s="1332"/>
      <c r="X20" s="981"/>
      <c r="Y20" s="1332"/>
      <c r="Z20" s="1332"/>
      <c r="AA20" s="981"/>
      <c r="AB20" s="1341"/>
      <c r="AC20" s="981"/>
      <c r="AD20" s="1059" t="s">
        <v>8225</v>
      </c>
      <c r="AE20" s="1332"/>
      <c r="AF20" s="1332"/>
      <c r="AG20" s="1336"/>
      <c r="AH20" s="1336"/>
    </row>
    <row r="21">
      <c r="A21" s="865" t="s">
        <v>6612</v>
      </c>
      <c r="B21" s="1323" t="s">
        <v>647</v>
      </c>
      <c r="C21" s="1324" t="s">
        <v>1256</v>
      </c>
      <c r="D21" s="1325" t="s">
        <v>1256</v>
      </c>
      <c r="E21" s="1326" t="s">
        <v>1256</v>
      </c>
      <c r="F21" s="1327" t="s">
        <v>546</v>
      </c>
      <c r="G21" s="1323" t="s">
        <v>546</v>
      </c>
      <c r="H21" s="981"/>
      <c r="I21" s="97"/>
      <c r="J21" s="1330"/>
      <c r="K21" s="1328"/>
      <c r="L21" s="980"/>
      <c r="M21" s="980"/>
      <c r="N21" s="1343"/>
      <c r="O21" s="981"/>
      <c r="P21" s="981"/>
      <c r="Q21" s="1332"/>
      <c r="R21" s="1332"/>
      <c r="S21" s="981"/>
      <c r="T21" s="981"/>
      <c r="U21" s="1350"/>
      <c r="V21" s="97"/>
      <c r="W21" s="1338" t="s">
        <v>8226</v>
      </c>
      <c r="X21" s="981"/>
      <c r="Y21" s="1332"/>
      <c r="Z21" s="1332"/>
      <c r="AA21" s="981"/>
      <c r="AB21" s="1332"/>
      <c r="AC21" s="981"/>
      <c r="AD21" s="1332"/>
      <c r="AE21" s="1332"/>
      <c r="AF21" s="1332"/>
      <c r="AG21" s="1336"/>
      <c r="AH21" s="1336"/>
    </row>
    <row r="22">
      <c r="A22" s="1322" t="s">
        <v>4912</v>
      </c>
      <c r="B22" s="1323" t="s">
        <v>647</v>
      </c>
      <c r="C22" s="1324" t="s">
        <v>546</v>
      </c>
      <c r="D22" s="1325" t="s">
        <v>1256</v>
      </c>
      <c r="E22" s="1326" t="s">
        <v>1256</v>
      </c>
      <c r="F22" s="1327" t="s">
        <v>546</v>
      </c>
      <c r="G22" s="1323" t="s">
        <v>546</v>
      </c>
      <c r="H22" s="981"/>
      <c r="I22" s="97"/>
      <c r="J22" s="92"/>
      <c r="K22" s="981"/>
      <c r="L22" s="981"/>
      <c r="M22" s="981"/>
      <c r="N22" s="981"/>
      <c r="O22" s="981"/>
      <c r="P22" s="1333" t="s">
        <v>8227</v>
      </c>
      <c r="Q22" s="1332"/>
      <c r="R22" s="1332"/>
      <c r="S22" s="981"/>
      <c r="T22" s="981"/>
      <c r="U22" s="1332"/>
      <c r="V22" s="1332"/>
      <c r="W22" s="1332"/>
      <c r="X22" s="981"/>
      <c r="Y22" s="1332"/>
      <c r="Z22" s="1332"/>
      <c r="AA22" s="981"/>
      <c r="AB22" s="1332"/>
      <c r="AC22" s="981"/>
      <c r="AD22" s="1332"/>
      <c r="AE22" s="1332"/>
      <c r="AF22" s="1332"/>
      <c r="AG22" s="1336"/>
      <c r="AH22" s="1336"/>
    </row>
    <row r="23">
      <c r="A23" s="1322" t="s">
        <v>2026</v>
      </c>
      <c r="B23" s="1323" t="s">
        <v>437</v>
      </c>
      <c r="C23" s="1324" t="s">
        <v>1256</v>
      </c>
      <c r="D23" s="1325" t="s">
        <v>1256</v>
      </c>
      <c r="E23" s="1326" t="s">
        <v>1256</v>
      </c>
      <c r="F23" s="1327" t="s">
        <v>546</v>
      </c>
      <c r="G23" s="1323" t="s">
        <v>546</v>
      </c>
      <c r="H23" s="981"/>
      <c r="I23" s="97"/>
      <c r="J23" s="92"/>
      <c r="K23" s="981"/>
      <c r="L23" s="981"/>
      <c r="M23" s="981"/>
      <c r="N23" s="981"/>
      <c r="O23" s="981"/>
      <c r="P23" s="981"/>
      <c r="Q23" s="1332"/>
      <c r="R23" s="1332"/>
      <c r="S23" s="981"/>
      <c r="T23" s="981"/>
      <c r="U23" s="1332"/>
      <c r="V23" s="97"/>
      <c r="W23" s="1332"/>
      <c r="X23" s="981"/>
      <c r="Y23" s="1332"/>
      <c r="Z23" s="1332"/>
      <c r="AA23" s="981"/>
      <c r="AB23" s="1332"/>
      <c r="AC23" s="981"/>
      <c r="AD23" s="1059" t="s">
        <v>8228</v>
      </c>
      <c r="AE23" s="1332"/>
      <c r="AF23" s="1332"/>
      <c r="AG23" s="1336"/>
      <c r="AH23" s="1336"/>
    </row>
    <row r="24">
      <c r="A24" s="1322" t="s">
        <v>7010</v>
      </c>
      <c r="B24" s="1323" t="s">
        <v>437</v>
      </c>
      <c r="C24" s="1324" t="s">
        <v>1256</v>
      </c>
      <c r="D24" s="1325" t="s">
        <v>1256</v>
      </c>
      <c r="E24" s="1326" t="s">
        <v>546</v>
      </c>
      <c r="F24" s="1327" t="s">
        <v>546</v>
      </c>
      <c r="G24" s="1323" t="s">
        <v>546</v>
      </c>
      <c r="H24" s="981"/>
      <c r="I24" s="97"/>
      <c r="J24" s="92"/>
      <c r="K24" s="981"/>
      <c r="L24" s="981"/>
      <c r="M24" s="981"/>
      <c r="N24" s="981"/>
      <c r="O24" s="981"/>
      <c r="P24" s="981"/>
      <c r="Q24" s="1332"/>
      <c r="R24" s="1332"/>
      <c r="S24" s="1338" t="s">
        <v>193</v>
      </c>
      <c r="T24" s="981"/>
      <c r="U24" s="1332"/>
      <c r="V24" s="1332"/>
      <c r="W24" s="1332"/>
      <c r="X24" s="981"/>
      <c r="Y24" s="1332"/>
      <c r="Z24" s="1332"/>
      <c r="AA24" s="981"/>
      <c r="AB24" s="1332"/>
      <c r="AC24" s="981"/>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1"/>
      <c r="L25" s="981"/>
      <c r="M25" s="981"/>
      <c r="N25" s="981"/>
      <c r="O25" s="981"/>
      <c r="P25" s="981"/>
      <c r="Q25" s="1332"/>
      <c r="R25" s="1349"/>
      <c r="S25" s="1348"/>
      <c r="T25" s="1348"/>
      <c r="U25" s="1355"/>
      <c r="V25" s="97"/>
      <c r="W25" s="1342" t="s">
        <v>8229</v>
      </c>
      <c r="X25" s="981"/>
      <c r="Y25" s="1332"/>
      <c r="Z25" s="1332"/>
      <c r="AA25" s="981"/>
      <c r="AB25" s="1332"/>
      <c r="AC25" s="981"/>
      <c r="AD25" s="1332"/>
      <c r="AE25" s="1332"/>
      <c r="AF25" s="1332"/>
      <c r="AG25" s="1336"/>
      <c r="AH25" s="1336"/>
    </row>
    <row r="26">
      <c r="A26" s="1322" t="s">
        <v>2579</v>
      </c>
      <c r="B26" s="1323" t="s">
        <v>546</v>
      </c>
      <c r="C26" s="1324" t="s">
        <v>546</v>
      </c>
      <c r="D26" s="1325" t="s">
        <v>1256</v>
      </c>
      <c r="E26" s="1326" t="s">
        <v>1256</v>
      </c>
      <c r="F26" s="1327" t="s">
        <v>546</v>
      </c>
      <c r="G26" s="1323" t="s">
        <v>546</v>
      </c>
      <c r="H26" s="981"/>
      <c r="I26" s="97"/>
      <c r="J26" s="92"/>
      <c r="K26" s="981"/>
      <c r="L26" s="981"/>
      <c r="M26" s="981"/>
      <c r="N26" s="981"/>
      <c r="O26" s="981"/>
      <c r="P26" s="981"/>
      <c r="Q26" s="1332"/>
      <c r="R26" s="1332"/>
      <c r="S26" s="981"/>
      <c r="T26" s="981"/>
      <c r="U26" s="1332"/>
      <c r="V26" s="1333" t="s">
        <v>8230</v>
      </c>
      <c r="W26" s="1332"/>
      <c r="X26" s="981"/>
      <c r="Y26" s="1332"/>
      <c r="Z26" s="1332"/>
      <c r="AA26" s="981"/>
      <c r="AB26" s="1332"/>
      <c r="AC26" s="981"/>
      <c r="AD26" s="1332"/>
      <c r="AE26" s="1332"/>
      <c r="AF26" s="1332"/>
      <c r="AG26" s="1336"/>
      <c r="AH26" s="1336"/>
    </row>
    <row r="27">
      <c r="A27" s="1356" t="s">
        <v>5751</v>
      </c>
      <c r="B27" s="1323" t="s">
        <v>546</v>
      </c>
      <c r="C27" s="1324" t="s">
        <v>1256</v>
      </c>
      <c r="D27" s="1325" t="s">
        <v>1256</v>
      </c>
      <c r="E27" s="1326" t="s">
        <v>546</v>
      </c>
      <c r="F27" s="1327" t="s">
        <v>546</v>
      </c>
      <c r="G27" s="1323" t="s">
        <v>546</v>
      </c>
      <c r="H27" s="981"/>
      <c r="I27" s="97"/>
      <c r="J27" s="92"/>
      <c r="K27" s="981"/>
      <c r="L27" s="981"/>
      <c r="M27" s="981"/>
      <c r="N27" s="981"/>
      <c r="O27" s="981"/>
      <c r="P27" s="1338" t="s">
        <v>710</v>
      </c>
      <c r="Q27" s="1332"/>
      <c r="R27" s="1332"/>
      <c r="S27" s="981"/>
      <c r="T27" s="981"/>
      <c r="U27" s="1332"/>
      <c r="V27" s="1332"/>
      <c r="W27" s="1332"/>
      <c r="X27" s="981"/>
      <c r="Y27" s="1332"/>
      <c r="Z27" s="1332"/>
      <c r="AA27" s="981"/>
      <c r="AB27" s="1332"/>
      <c r="AC27" s="981"/>
      <c r="AD27" s="1332"/>
      <c r="AE27" s="1332"/>
      <c r="AF27" s="1332"/>
      <c r="AG27" s="1336"/>
      <c r="AH27" s="1336"/>
    </row>
    <row r="28">
      <c r="A28" s="987" t="s">
        <v>6400</v>
      </c>
      <c r="B28" s="1323" t="s">
        <v>1256</v>
      </c>
      <c r="C28" s="1324" t="s">
        <v>1256</v>
      </c>
      <c r="D28" s="1325" t="s">
        <v>1256</v>
      </c>
      <c r="E28" s="1326" t="s">
        <v>1256</v>
      </c>
      <c r="F28" s="1327" t="s">
        <v>1256</v>
      </c>
      <c r="G28" s="1323" t="s">
        <v>1256</v>
      </c>
      <c r="H28" s="981"/>
      <c r="I28" s="97"/>
      <c r="J28" s="92"/>
      <c r="K28" s="981"/>
      <c r="L28" s="981"/>
      <c r="M28" s="981"/>
      <c r="N28" s="981"/>
      <c r="O28" s="1328"/>
      <c r="P28" s="981"/>
      <c r="Q28" s="1332"/>
      <c r="R28" s="1332"/>
      <c r="S28" s="981"/>
      <c r="T28" s="981"/>
      <c r="U28" s="1332"/>
      <c r="V28" s="1332"/>
      <c r="W28" s="1332"/>
      <c r="X28" s="981"/>
      <c r="Y28" s="1332"/>
      <c r="Z28" s="1332"/>
      <c r="AA28" s="981"/>
      <c r="AB28" s="1332"/>
      <c r="AC28" s="981"/>
      <c r="AD28" s="1332"/>
      <c r="AE28" s="1332"/>
      <c r="AF28" s="1332"/>
      <c r="AG28" s="1336"/>
      <c r="AH28" s="1336"/>
    </row>
    <row r="29">
      <c r="A29" s="1322"/>
      <c r="B29" s="1323" t="s">
        <v>1256</v>
      </c>
      <c r="C29" s="1324" t="s">
        <v>1256</v>
      </c>
      <c r="D29" s="1325" t="s">
        <v>1256</v>
      </c>
      <c r="E29" s="1326" t="s">
        <v>1256</v>
      </c>
      <c r="F29" s="1327" t="s">
        <v>1256</v>
      </c>
      <c r="G29" s="1323" t="s">
        <v>1256</v>
      </c>
      <c r="H29" s="981"/>
      <c r="I29" s="97"/>
      <c r="J29" s="92"/>
      <c r="K29" s="981"/>
      <c r="L29" s="981"/>
      <c r="M29" s="981"/>
      <c r="N29" s="981"/>
      <c r="O29" s="981"/>
      <c r="P29" s="981"/>
      <c r="Q29" s="1332"/>
      <c r="R29" s="1332"/>
      <c r="S29" s="981"/>
      <c r="T29" s="981"/>
      <c r="U29" s="1332"/>
      <c r="V29" s="1332"/>
      <c r="W29" s="1332"/>
      <c r="X29" s="981"/>
      <c r="Y29" s="1332"/>
      <c r="Z29" s="1332"/>
      <c r="AA29" s="981"/>
      <c r="AB29" s="1332"/>
      <c r="AC29" s="981"/>
      <c r="AD29" s="1332"/>
      <c r="AE29" s="1332"/>
      <c r="AF29" s="1332"/>
      <c r="AG29" s="1336"/>
      <c r="AH29" s="1336"/>
    </row>
    <row r="30">
      <c r="A30" s="1322"/>
      <c r="B30" s="1323" t="s">
        <v>1256</v>
      </c>
      <c r="C30" s="1324" t="s">
        <v>1256</v>
      </c>
      <c r="D30" s="1325" t="s">
        <v>1256</v>
      </c>
      <c r="E30" s="1326" t="s">
        <v>1256</v>
      </c>
      <c r="F30" s="1327" t="s">
        <v>1256</v>
      </c>
      <c r="G30" s="1323" t="s">
        <v>1256</v>
      </c>
      <c r="H30" s="981"/>
      <c r="I30" s="97"/>
      <c r="J30" s="92"/>
      <c r="K30" s="981"/>
      <c r="L30" s="981"/>
      <c r="M30" s="981"/>
      <c r="N30" s="981"/>
      <c r="O30" s="981"/>
      <c r="P30" s="981"/>
      <c r="Q30" s="1332"/>
      <c r="R30" s="1332"/>
      <c r="S30" s="981"/>
      <c r="T30" s="981"/>
      <c r="U30" s="1332"/>
      <c r="V30" s="1332"/>
      <c r="W30" s="1332"/>
      <c r="X30" s="981"/>
      <c r="Y30" s="1332"/>
      <c r="Z30" s="1332"/>
      <c r="AA30" s="981"/>
      <c r="AB30" s="1332"/>
      <c r="AC30" s="981"/>
      <c r="AD30" s="1332"/>
      <c r="AE30" s="1332"/>
      <c r="AF30" s="1332"/>
      <c r="AG30" s="1336"/>
      <c r="AH30" s="1336"/>
    </row>
    <row r="31">
      <c r="A31" s="1322"/>
      <c r="B31" s="1323" t="s">
        <v>1256</v>
      </c>
      <c r="C31" s="1324" t="s">
        <v>1256</v>
      </c>
      <c r="D31" s="1325" t="s">
        <v>1256</v>
      </c>
      <c r="E31" s="1326" t="s">
        <v>1256</v>
      </c>
      <c r="F31" s="1327" t="s">
        <v>1256</v>
      </c>
      <c r="G31" s="1323" t="s">
        <v>1256</v>
      </c>
      <c r="H31" s="981"/>
      <c r="I31" s="97"/>
      <c r="J31" s="92"/>
      <c r="K31" s="981"/>
      <c r="L31" s="981"/>
      <c r="M31" s="981"/>
      <c r="N31" s="981"/>
      <c r="O31" s="981"/>
      <c r="P31" s="981"/>
      <c r="Q31" s="1332"/>
      <c r="R31" s="1332"/>
      <c r="S31" s="981"/>
      <c r="T31" s="981"/>
      <c r="U31" s="1332"/>
      <c r="V31" s="1332"/>
      <c r="W31" s="1332"/>
      <c r="X31" s="981"/>
      <c r="Y31" s="1332"/>
      <c r="Z31" s="1332"/>
      <c r="AA31" s="981"/>
      <c r="AB31" s="1332"/>
      <c r="AC31" s="981"/>
      <c r="AD31" s="1332"/>
      <c r="AE31" s="1332"/>
      <c r="AF31" s="1332"/>
      <c r="AG31" s="1336"/>
      <c r="AH31" s="1336"/>
    </row>
    <row r="32">
      <c r="A32" s="1322"/>
      <c r="B32" s="1323" t="s">
        <v>1256</v>
      </c>
      <c r="C32" s="1324" t="s">
        <v>1256</v>
      </c>
      <c r="D32" s="1325" t="s">
        <v>1256</v>
      </c>
      <c r="E32" s="1326" t="s">
        <v>1256</v>
      </c>
      <c r="F32" s="1327" t="s">
        <v>1256</v>
      </c>
      <c r="G32" s="1323" t="s">
        <v>1256</v>
      </c>
      <c r="H32" s="981"/>
      <c r="I32" s="97"/>
      <c r="J32" s="92"/>
      <c r="K32" s="981"/>
      <c r="L32" s="981"/>
      <c r="M32" s="981"/>
      <c r="N32" s="981"/>
      <c r="O32" s="981"/>
      <c r="P32" s="981"/>
      <c r="Q32" s="1332"/>
      <c r="R32" s="1332"/>
      <c r="S32" s="981"/>
      <c r="T32" s="981"/>
      <c r="U32" s="1332"/>
      <c r="V32" s="1332"/>
      <c r="W32" s="1332"/>
      <c r="X32" s="981"/>
      <c r="Y32" s="1332"/>
      <c r="Z32" s="1332"/>
      <c r="AA32" s="981"/>
      <c r="AB32" s="1332"/>
      <c r="AC32" s="981"/>
      <c r="AD32" s="1332"/>
      <c r="AE32" s="1332"/>
      <c r="AF32" s="1332"/>
      <c r="AG32" s="1336"/>
      <c r="AH32" s="1336"/>
    </row>
    <row r="33">
      <c r="A33" s="1322"/>
      <c r="B33" s="1323" t="s">
        <v>1256</v>
      </c>
      <c r="C33" s="1324" t="s">
        <v>1256</v>
      </c>
      <c r="D33" s="1325" t="s">
        <v>1256</v>
      </c>
      <c r="E33" s="1326" t="s">
        <v>1256</v>
      </c>
      <c r="F33" s="1327" t="s">
        <v>1256</v>
      </c>
      <c r="G33" s="1323" t="s">
        <v>1256</v>
      </c>
      <c r="H33" s="981"/>
      <c r="I33" s="97"/>
      <c r="J33" s="92"/>
      <c r="K33" s="981"/>
      <c r="L33" s="981"/>
      <c r="M33" s="981"/>
      <c r="N33" s="981"/>
      <c r="O33" s="981"/>
      <c r="P33" s="981"/>
      <c r="Q33" s="1332"/>
      <c r="R33" s="1332"/>
      <c r="S33" s="981"/>
      <c r="T33" s="981"/>
      <c r="U33" s="1332"/>
      <c r="V33" s="1332"/>
      <c r="W33" s="1332"/>
      <c r="X33" s="981"/>
      <c r="Y33" s="1332"/>
      <c r="Z33" s="1332"/>
      <c r="AA33" s="981"/>
      <c r="AB33" s="1332"/>
      <c r="AC33" s="981"/>
      <c r="AD33" s="1332"/>
      <c r="AE33" s="1332"/>
      <c r="AF33" s="1332"/>
      <c r="AG33" s="1336"/>
      <c r="AH33" s="1336"/>
    </row>
    <row r="34">
      <c r="A34" s="1322"/>
      <c r="B34" s="1323" t="s">
        <v>1256</v>
      </c>
      <c r="C34" s="1324" t="s">
        <v>1256</v>
      </c>
      <c r="D34" s="1325" t="s">
        <v>1256</v>
      </c>
      <c r="E34" s="1326" t="s">
        <v>1256</v>
      </c>
      <c r="F34" s="1327" t="s">
        <v>1256</v>
      </c>
      <c r="G34" s="1323" t="s">
        <v>1256</v>
      </c>
      <c r="H34" s="981"/>
      <c r="I34" s="97"/>
      <c r="J34" s="92"/>
      <c r="K34" s="981"/>
      <c r="L34" s="981"/>
      <c r="M34" s="981"/>
      <c r="N34" s="981"/>
      <c r="O34" s="981"/>
      <c r="P34" s="981"/>
      <c r="Q34" s="1332"/>
      <c r="R34" s="1332"/>
      <c r="S34" s="981"/>
      <c r="T34" s="981"/>
      <c r="U34" s="1332"/>
      <c r="V34" s="1332"/>
      <c r="W34" s="1332"/>
      <c r="X34" s="981"/>
      <c r="Y34" s="1332"/>
      <c r="Z34" s="1332"/>
      <c r="AA34" s="981"/>
      <c r="AB34" s="1332"/>
      <c r="AC34" s="981"/>
      <c r="AD34" s="1332"/>
      <c r="AE34" s="1332"/>
      <c r="AF34" s="1332"/>
      <c r="AG34" s="1336"/>
      <c r="AH34" s="1336"/>
    </row>
    <row r="35">
      <c r="A35" s="1322"/>
      <c r="B35" s="1323" t="s">
        <v>1256</v>
      </c>
      <c r="C35" s="1324" t="s">
        <v>1256</v>
      </c>
      <c r="D35" s="1325" t="s">
        <v>1256</v>
      </c>
      <c r="E35" s="1326" t="s">
        <v>1256</v>
      </c>
      <c r="F35" s="1327" t="s">
        <v>1256</v>
      </c>
      <c r="G35" s="1323" t="s">
        <v>1256</v>
      </c>
      <c r="H35" s="981"/>
      <c r="I35" s="97"/>
      <c r="J35" s="92"/>
      <c r="K35" s="981"/>
      <c r="L35" s="981"/>
      <c r="M35" s="981"/>
      <c r="N35" s="981"/>
      <c r="O35" s="981"/>
      <c r="P35" s="981"/>
      <c r="Q35" s="1332"/>
      <c r="R35" s="1332"/>
      <c r="S35" s="981"/>
      <c r="T35" s="981"/>
      <c r="U35" s="1332"/>
      <c r="V35" s="1332"/>
      <c r="W35" s="1332"/>
      <c r="X35" s="981"/>
      <c r="Y35" s="1332"/>
      <c r="Z35" s="1332"/>
      <c r="AA35" s="981"/>
      <c r="AB35" s="1332"/>
      <c r="AC35" s="981"/>
      <c r="AD35" s="1332"/>
      <c r="AE35" s="1332"/>
      <c r="AF35" s="1332"/>
      <c r="AG35" s="1336"/>
      <c r="AH35" s="1336"/>
    </row>
    <row r="36">
      <c r="A36" s="1322"/>
      <c r="B36" s="1323" t="s">
        <v>1256</v>
      </c>
      <c r="C36" s="1324" t="s">
        <v>1256</v>
      </c>
      <c r="D36" s="1325" t="s">
        <v>1256</v>
      </c>
      <c r="E36" s="1326" t="s">
        <v>1256</v>
      </c>
      <c r="F36" s="1327" t="s">
        <v>1256</v>
      </c>
      <c r="G36" s="1323" t="s">
        <v>1256</v>
      </c>
      <c r="H36" s="981"/>
      <c r="I36" s="97"/>
      <c r="J36" s="92"/>
      <c r="K36" s="981"/>
      <c r="L36" s="981"/>
      <c r="M36" s="981"/>
      <c r="N36" s="981"/>
      <c r="O36" s="981"/>
      <c r="P36" s="981"/>
      <c r="Q36" s="1332"/>
      <c r="R36" s="1332"/>
      <c r="S36" s="981"/>
      <c r="T36" s="981"/>
      <c r="U36" s="1332"/>
      <c r="V36" s="1332"/>
      <c r="W36" s="1332"/>
      <c r="X36" s="981"/>
      <c r="Y36" s="1332"/>
      <c r="Z36" s="1332"/>
      <c r="AA36" s="981"/>
      <c r="AB36" s="1332"/>
      <c r="AC36" s="981"/>
      <c r="AD36" s="1332"/>
      <c r="AE36" s="1332"/>
      <c r="AF36" s="1332"/>
      <c r="AG36" s="1336"/>
      <c r="AH36" s="1336"/>
    </row>
    <row r="37">
      <c r="A37" s="1322"/>
      <c r="B37" s="1323" t="s">
        <v>1256</v>
      </c>
      <c r="C37" s="1324" t="s">
        <v>1256</v>
      </c>
      <c r="D37" s="1325" t="s">
        <v>1256</v>
      </c>
      <c r="E37" s="1326" t="s">
        <v>1256</v>
      </c>
      <c r="F37" s="1327" t="s">
        <v>1256</v>
      </c>
      <c r="G37" s="1323" t="s">
        <v>1256</v>
      </c>
      <c r="H37" s="981"/>
      <c r="I37" s="97"/>
      <c r="J37" s="92"/>
      <c r="K37" s="981"/>
      <c r="L37" s="981"/>
      <c r="M37" s="981"/>
      <c r="N37" s="981"/>
      <c r="O37" s="981"/>
      <c r="P37" s="981"/>
      <c r="Q37" s="1332"/>
      <c r="R37" s="1332"/>
      <c r="S37" s="981"/>
      <c r="T37" s="981"/>
      <c r="U37" s="1332"/>
      <c r="V37" s="1332"/>
      <c r="W37" s="1332"/>
      <c r="X37" s="981"/>
      <c r="Y37" s="1332"/>
      <c r="Z37" s="1332"/>
      <c r="AA37" s="981"/>
      <c r="AB37" s="1332"/>
      <c r="AC37" s="981"/>
      <c r="AD37" s="1332"/>
      <c r="AE37" s="1332"/>
      <c r="AF37" s="1332"/>
      <c r="AG37" s="1336"/>
      <c r="AH37" s="1336"/>
    </row>
    <row r="38">
      <c r="A38" s="1322"/>
      <c r="B38" s="1323" t="s">
        <v>1256</v>
      </c>
      <c r="C38" s="1324" t="s">
        <v>1256</v>
      </c>
      <c r="D38" s="1325" t="s">
        <v>1256</v>
      </c>
      <c r="E38" s="1326" t="s">
        <v>1256</v>
      </c>
      <c r="F38" s="1327" t="s">
        <v>1256</v>
      </c>
      <c r="G38" s="1323" t="s">
        <v>1256</v>
      </c>
      <c r="H38" s="981"/>
      <c r="I38" s="97"/>
      <c r="J38" s="92"/>
      <c r="K38" s="981"/>
      <c r="L38" s="981"/>
      <c r="M38" s="981"/>
      <c r="N38" s="981"/>
      <c r="O38" s="981"/>
      <c r="P38" s="981"/>
      <c r="Q38" s="1332"/>
      <c r="R38" s="1332"/>
      <c r="S38" s="981"/>
      <c r="T38" s="981"/>
      <c r="U38" s="1332"/>
      <c r="V38" s="1332"/>
      <c r="W38" s="1332"/>
      <c r="X38" s="981"/>
      <c r="Y38" s="1332"/>
      <c r="Z38" s="1332"/>
      <c r="AA38" s="981"/>
      <c r="AB38" s="1332"/>
      <c r="AC38" s="981"/>
      <c r="AD38" s="1332"/>
      <c r="AE38" s="1332"/>
      <c r="AF38" s="1332"/>
      <c r="AG38" s="1336"/>
      <c r="AH38" s="1336"/>
    </row>
    <row r="39">
      <c r="A39" s="1322"/>
      <c r="B39" s="1323" t="s">
        <v>1256</v>
      </c>
      <c r="C39" s="1324" t="s">
        <v>1256</v>
      </c>
      <c r="D39" s="1325" t="s">
        <v>1256</v>
      </c>
      <c r="E39" s="1326" t="s">
        <v>1256</v>
      </c>
      <c r="F39" s="1327" t="s">
        <v>1256</v>
      </c>
      <c r="G39" s="1323" t="s">
        <v>1256</v>
      </c>
      <c r="H39" s="981"/>
      <c r="I39" s="97"/>
      <c r="J39" s="92"/>
      <c r="K39" s="981"/>
      <c r="L39" s="981"/>
      <c r="M39" s="981"/>
      <c r="N39" s="981"/>
      <c r="O39" s="981"/>
      <c r="P39" s="981"/>
      <c r="Q39" s="1332"/>
      <c r="R39" s="1332"/>
      <c r="S39" s="981"/>
      <c r="T39" s="981"/>
      <c r="U39" s="1332"/>
      <c r="V39" s="1332"/>
      <c r="W39" s="1332"/>
      <c r="X39" s="981"/>
      <c r="Y39" s="1332"/>
      <c r="Z39" s="1332"/>
      <c r="AA39" s="981"/>
      <c r="AB39" s="1332"/>
      <c r="AC39" s="981"/>
      <c r="AD39" s="1332"/>
      <c r="AE39" s="1332"/>
      <c r="AF39" s="1332"/>
      <c r="AG39" s="1336"/>
      <c r="AH39" s="1336"/>
    </row>
    <row r="40">
      <c r="A40" s="1322"/>
      <c r="B40" s="1323" t="s">
        <v>1256</v>
      </c>
      <c r="C40" s="1324" t="s">
        <v>1256</v>
      </c>
      <c r="D40" s="1325" t="s">
        <v>1256</v>
      </c>
      <c r="E40" s="1326" t="s">
        <v>1256</v>
      </c>
      <c r="F40" s="1327" t="s">
        <v>1256</v>
      </c>
      <c r="G40" s="1323" t="s">
        <v>1256</v>
      </c>
      <c r="H40" s="981"/>
      <c r="I40" s="97"/>
      <c r="J40" s="92"/>
      <c r="K40" s="981"/>
      <c r="L40" s="981"/>
      <c r="M40" s="981"/>
      <c r="N40" s="981"/>
      <c r="O40" s="981"/>
      <c r="P40" s="981"/>
      <c r="Q40" s="1332"/>
      <c r="R40" s="1332"/>
      <c r="S40" s="981"/>
      <c r="T40" s="981"/>
      <c r="U40" s="1332"/>
      <c r="V40" s="1332"/>
      <c r="W40" s="1332"/>
      <c r="X40" s="981"/>
      <c r="Y40" s="1332"/>
      <c r="Z40" s="1332"/>
      <c r="AA40" s="981"/>
      <c r="AB40" s="1332"/>
      <c r="AC40" s="981"/>
      <c r="AD40" s="1332"/>
      <c r="AE40" s="1332"/>
      <c r="AF40" s="1332"/>
      <c r="AG40" s="1336"/>
      <c r="AH40" s="1336"/>
    </row>
    <row r="41">
      <c r="A41" s="1322"/>
      <c r="B41" s="1323" t="s">
        <v>1256</v>
      </c>
      <c r="C41" s="1324" t="s">
        <v>1256</v>
      </c>
      <c r="D41" s="1325" t="s">
        <v>1256</v>
      </c>
      <c r="E41" s="1326" t="s">
        <v>1256</v>
      </c>
      <c r="F41" s="1327" t="s">
        <v>1256</v>
      </c>
      <c r="G41" s="1323" t="s">
        <v>1256</v>
      </c>
      <c r="H41" s="981"/>
      <c r="I41" s="97"/>
      <c r="J41" s="92"/>
      <c r="K41" s="981"/>
      <c r="L41" s="981"/>
      <c r="M41" s="981"/>
      <c r="N41" s="981"/>
      <c r="O41" s="981"/>
      <c r="P41" s="981"/>
      <c r="Q41" s="1332"/>
      <c r="R41" s="1332"/>
      <c r="S41" s="981"/>
      <c r="T41" s="981"/>
      <c r="U41" s="1332"/>
      <c r="V41" s="1332"/>
      <c r="W41" s="1332"/>
      <c r="X41" s="981"/>
      <c r="Y41" s="1332"/>
      <c r="Z41" s="1332"/>
      <c r="AA41" s="981"/>
      <c r="AB41" s="1332"/>
      <c r="AC41" s="981"/>
      <c r="AD41" s="1332"/>
      <c r="AE41" s="1332"/>
      <c r="AF41" s="1332"/>
      <c r="AG41" s="1336"/>
      <c r="AH41" s="1336"/>
    </row>
    <row r="42">
      <c r="A42" s="1322"/>
      <c r="B42" s="1323" t="s">
        <v>1256</v>
      </c>
      <c r="C42" s="1324" t="s">
        <v>1256</v>
      </c>
      <c r="D42" s="1325" t="s">
        <v>1256</v>
      </c>
      <c r="E42" s="1326" t="s">
        <v>1256</v>
      </c>
      <c r="F42" s="1327" t="s">
        <v>1256</v>
      </c>
      <c r="G42" s="1323" t="s">
        <v>1256</v>
      </c>
      <c r="H42" s="981"/>
      <c r="I42" s="97"/>
      <c r="J42" s="92"/>
      <c r="K42" s="981"/>
      <c r="L42" s="981"/>
      <c r="M42" s="981"/>
      <c r="N42" s="981"/>
      <c r="O42" s="981"/>
      <c r="P42" s="981"/>
      <c r="Q42" s="1332"/>
      <c r="R42" s="1332"/>
      <c r="S42" s="981"/>
      <c r="T42" s="981"/>
      <c r="U42" s="1332"/>
      <c r="V42" s="1332"/>
      <c r="W42" s="1332"/>
      <c r="X42" s="981"/>
      <c r="Y42" s="1332"/>
      <c r="Z42" s="1332"/>
      <c r="AA42" s="981"/>
      <c r="AB42" s="1332"/>
      <c r="AC42" s="981"/>
      <c r="AD42" s="1332"/>
      <c r="AE42" s="1332"/>
      <c r="AF42" s="1332"/>
      <c r="AG42" s="1336"/>
      <c r="AH42" s="1336"/>
    </row>
    <row r="43">
      <c r="A43" s="1322"/>
      <c r="B43" s="1323" t="s">
        <v>1256</v>
      </c>
      <c r="C43" s="1324" t="s">
        <v>1256</v>
      </c>
      <c r="D43" s="1325" t="s">
        <v>1256</v>
      </c>
      <c r="E43" s="1326" t="s">
        <v>1256</v>
      </c>
      <c r="F43" s="1327" t="s">
        <v>1256</v>
      </c>
      <c r="G43" s="1323" t="s">
        <v>1256</v>
      </c>
      <c r="H43" s="981"/>
      <c r="I43" s="97"/>
      <c r="J43" s="92"/>
      <c r="K43" s="981"/>
      <c r="L43" s="981"/>
      <c r="M43" s="981"/>
      <c r="N43" s="981"/>
      <c r="O43" s="981"/>
      <c r="P43" s="981"/>
      <c r="Q43" s="1332"/>
      <c r="R43" s="1332"/>
      <c r="S43" s="981"/>
      <c r="T43" s="981"/>
      <c r="U43" s="1332"/>
      <c r="V43" s="1332"/>
      <c r="W43" s="1332"/>
      <c r="X43" s="981"/>
      <c r="Y43" s="1332"/>
      <c r="Z43" s="1332"/>
      <c r="AA43" s="981"/>
      <c r="AB43" s="1332"/>
      <c r="AC43" s="981"/>
      <c r="AD43" s="1332"/>
      <c r="AE43" s="1332"/>
      <c r="AF43" s="1332"/>
      <c r="AG43" s="1336"/>
      <c r="AH43" s="1336"/>
    </row>
    <row r="44">
      <c r="A44" s="1322"/>
      <c r="B44" s="1323" t="s">
        <v>1256</v>
      </c>
      <c r="C44" s="1324" t="s">
        <v>1256</v>
      </c>
      <c r="D44" s="1325" t="s">
        <v>1256</v>
      </c>
      <c r="E44" s="1326" t="s">
        <v>1256</v>
      </c>
      <c r="F44" s="1327" t="s">
        <v>1256</v>
      </c>
      <c r="G44" s="1323" t="s">
        <v>1256</v>
      </c>
      <c r="H44" s="981"/>
      <c r="I44" s="97"/>
      <c r="J44" s="92"/>
      <c r="K44" s="981"/>
      <c r="L44" s="981"/>
      <c r="M44" s="981"/>
      <c r="N44" s="981"/>
      <c r="O44" s="981"/>
      <c r="P44" s="981"/>
      <c r="Q44" s="1332"/>
      <c r="R44" s="1332"/>
      <c r="S44" s="981"/>
      <c r="T44" s="981"/>
      <c r="U44" s="1332"/>
      <c r="V44" s="1332"/>
      <c r="W44" s="1332"/>
      <c r="X44" s="981"/>
      <c r="Y44" s="1332"/>
      <c r="Z44" s="1332"/>
      <c r="AA44" s="981"/>
      <c r="AB44" s="1332"/>
      <c r="AC44" s="981"/>
      <c r="AD44" s="1332"/>
      <c r="AE44" s="1332"/>
      <c r="AF44" s="1332"/>
      <c r="AG44" s="1336"/>
      <c r="AH44" s="1336"/>
    </row>
    <row r="45">
      <c r="A45" s="1322"/>
      <c r="B45" s="1323" t="s">
        <v>1256</v>
      </c>
      <c r="C45" s="1324" t="s">
        <v>1256</v>
      </c>
      <c r="D45" s="1325" t="s">
        <v>1256</v>
      </c>
      <c r="E45" s="1326" t="s">
        <v>1256</v>
      </c>
      <c r="F45" s="1327" t="s">
        <v>1256</v>
      </c>
      <c r="G45" s="1323" t="s">
        <v>1256</v>
      </c>
      <c r="H45" s="981"/>
      <c r="I45" s="97"/>
      <c r="J45" s="92"/>
      <c r="K45" s="981"/>
      <c r="L45" s="981"/>
      <c r="M45" s="981"/>
      <c r="N45" s="981"/>
      <c r="O45" s="981"/>
      <c r="P45" s="981"/>
      <c r="Q45" s="1332"/>
      <c r="R45" s="1332"/>
      <c r="S45" s="981"/>
      <c r="T45" s="981"/>
      <c r="U45" s="1332"/>
      <c r="V45" s="1332"/>
      <c r="W45" s="1332"/>
      <c r="X45" s="981"/>
      <c r="Y45" s="1332"/>
      <c r="Z45" s="1332"/>
      <c r="AA45" s="981"/>
      <c r="AB45" s="1332"/>
      <c r="AC45" s="981"/>
      <c r="AD45" s="1332"/>
      <c r="AE45" s="1332"/>
      <c r="AF45" s="1332"/>
      <c r="AG45" s="1336"/>
      <c r="AH45" s="1336"/>
    </row>
    <row r="46">
      <c r="A46" s="1322"/>
      <c r="B46" s="1323" t="s">
        <v>1256</v>
      </c>
      <c r="C46" s="1324" t="s">
        <v>1256</v>
      </c>
      <c r="D46" s="1325" t="s">
        <v>1256</v>
      </c>
      <c r="E46" s="1326" t="s">
        <v>1256</v>
      </c>
      <c r="F46" s="1327" t="s">
        <v>1256</v>
      </c>
      <c r="G46" s="1323" t="s">
        <v>1256</v>
      </c>
      <c r="H46" s="981"/>
      <c r="I46" s="97"/>
      <c r="J46" s="92"/>
      <c r="K46" s="981"/>
      <c r="L46" s="981"/>
      <c r="M46" s="981"/>
      <c r="N46" s="981"/>
      <c r="O46" s="981"/>
      <c r="P46" s="981"/>
      <c r="Q46" s="1332"/>
      <c r="R46" s="1332"/>
      <c r="S46" s="981"/>
      <c r="T46" s="981"/>
      <c r="U46" s="1332"/>
      <c r="V46" s="1332"/>
      <c r="W46" s="1332"/>
      <c r="X46" s="981"/>
      <c r="Y46" s="1332"/>
      <c r="Z46" s="1332"/>
      <c r="AA46" s="981"/>
      <c r="AB46" s="1332"/>
      <c r="AC46" s="981"/>
      <c r="AD46" s="1332"/>
      <c r="AE46" s="1332"/>
      <c r="AF46" s="1332"/>
      <c r="AG46" s="1336"/>
      <c r="AH46" s="1336"/>
    </row>
    <row r="47">
      <c r="A47" s="1322"/>
      <c r="B47" s="1323" t="s">
        <v>1256</v>
      </c>
      <c r="C47" s="1324" t="s">
        <v>1256</v>
      </c>
      <c r="D47" s="1325" t="s">
        <v>1256</v>
      </c>
      <c r="E47" s="1326" t="s">
        <v>1256</v>
      </c>
      <c r="F47" s="1327" t="s">
        <v>1256</v>
      </c>
      <c r="G47" s="1323" t="s">
        <v>1256</v>
      </c>
      <c r="H47" s="981"/>
      <c r="I47" s="97"/>
      <c r="J47" s="92"/>
      <c r="K47" s="981"/>
      <c r="L47" s="981"/>
      <c r="M47" s="981"/>
      <c r="N47" s="981"/>
      <c r="O47" s="981"/>
      <c r="P47" s="981"/>
      <c r="Q47" s="1332"/>
      <c r="R47" s="1332"/>
      <c r="S47" s="981"/>
      <c r="T47" s="981"/>
      <c r="U47" s="1332"/>
      <c r="V47" s="1332"/>
      <c r="W47" s="1332"/>
      <c r="X47" s="981"/>
      <c r="Y47" s="1332"/>
      <c r="Z47" s="1332"/>
      <c r="AA47" s="981"/>
      <c r="AB47" s="1332"/>
      <c r="AC47" s="981"/>
      <c r="AD47" s="1332"/>
      <c r="AE47" s="1332"/>
      <c r="AF47" s="1332"/>
      <c r="AG47" s="1336"/>
      <c r="AH47" s="1336"/>
    </row>
    <row r="48">
      <c r="A48" s="1322"/>
      <c r="B48" s="1323" t="s">
        <v>1256</v>
      </c>
      <c r="C48" s="1324" t="s">
        <v>1256</v>
      </c>
      <c r="D48" s="1325" t="s">
        <v>1256</v>
      </c>
      <c r="E48" s="1326" t="s">
        <v>1256</v>
      </c>
      <c r="F48" s="1327" t="s">
        <v>1256</v>
      </c>
      <c r="G48" s="1323" t="s">
        <v>1256</v>
      </c>
      <c r="H48" s="981"/>
      <c r="I48" s="97"/>
      <c r="J48" s="92"/>
      <c r="K48" s="981"/>
      <c r="L48" s="981"/>
      <c r="M48" s="981"/>
      <c r="N48" s="981"/>
      <c r="O48" s="981"/>
      <c r="P48" s="981"/>
      <c r="Q48" s="1332"/>
      <c r="R48" s="1332"/>
      <c r="S48" s="981"/>
      <c r="T48" s="981"/>
      <c r="U48" s="1332"/>
      <c r="V48" s="1332"/>
      <c r="W48" s="1332"/>
      <c r="X48" s="981"/>
      <c r="Y48" s="1332"/>
      <c r="Z48" s="1332"/>
      <c r="AA48" s="981"/>
      <c r="AB48" s="1332"/>
      <c r="AC48" s="981"/>
      <c r="AD48" s="1332"/>
      <c r="AE48" s="1332"/>
      <c r="AF48" s="1332"/>
      <c r="AG48" s="1336"/>
      <c r="AH48" s="1336"/>
    </row>
    <row r="49">
      <c r="A49" s="1322"/>
      <c r="B49" s="1323" t="s">
        <v>1256</v>
      </c>
      <c r="C49" s="1324" t="s">
        <v>1256</v>
      </c>
      <c r="D49" s="1325" t="s">
        <v>1256</v>
      </c>
      <c r="E49" s="1326" t="s">
        <v>1256</v>
      </c>
      <c r="F49" s="1327" t="s">
        <v>1256</v>
      </c>
      <c r="G49" s="1323" t="s">
        <v>1256</v>
      </c>
      <c r="H49" s="981"/>
      <c r="I49" s="97"/>
      <c r="J49" s="92"/>
      <c r="K49" s="981"/>
      <c r="L49" s="981"/>
      <c r="M49" s="981"/>
      <c r="N49" s="981"/>
      <c r="O49" s="981"/>
      <c r="P49" s="981"/>
      <c r="Q49" s="1332"/>
      <c r="R49" s="1332"/>
      <c r="S49" s="981"/>
      <c r="T49" s="981"/>
      <c r="U49" s="1332"/>
      <c r="V49" s="1332"/>
      <c r="W49" s="1332"/>
      <c r="X49" s="981"/>
      <c r="Y49" s="1332"/>
      <c r="Z49" s="1332"/>
      <c r="AA49" s="981"/>
      <c r="AB49" s="1332"/>
      <c r="AC49" s="981"/>
      <c r="AD49" s="1332"/>
      <c r="AE49" s="1332"/>
      <c r="AF49" s="1332"/>
      <c r="AG49" s="1336"/>
      <c r="AH49" s="1336"/>
    </row>
    <row r="50">
      <c r="A50" s="1322"/>
      <c r="B50" s="1323" t="s">
        <v>1256</v>
      </c>
      <c r="C50" s="1324" t="s">
        <v>1256</v>
      </c>
      <c r="D50" s="1325" t="s">
        <v>1256</v>
      </c>
      <c r="E50" s="1326" t="s">
        <v>1256</v>
      </c>
      <c r="F50" s="1327" t="s">
        <v>1256</v>
      </c>
      <c r="G50" s="1323" t="s">
        <v>1256</v>
      </c>
      <c r="H50" s="981"/>
      <c r="I50" s="97"/>
      <c r="J50" s="92"/>
      <c r="K50" s="981"/>
      <c r="L50" s="981"/>
      <c r="M50" s="981"/>
      <c r="N50" s="981"/>
      <c r="O50" s="981"/>
      <c r="P50" s="981"/>
      <c r="Q50" s="1332"/>
      <c r="R50" s="1332"/>
      <c r="S50" s="981"/>
      <c r="T50" s="981"/>
      <c r="U50" s="1332"/>
      <c r="V50" s="1332"/>
      <c r="W50" s="1332"/>
      <c r="X50" s="981"/>
      <c r="Y50" s="1332"/>
      <c r="Z50" s="1332"/>
      <c r="AA50" s="981"/>
      <c r="AB50" s="1332"/>
      <c r="AC50" s="981"/>
      <c r="AD50" s="1332"/>
      <c r="AE50" s="1332"/>
      <c r="AF50" s="1332"/>
      <c r="AG50" s="1336"/>
      <c r="AH50" s="1336"/>
    </row>
    <row r="51">
      <c r="A51" s="1322"/>
      <c r="B51" s="1323" t="s">
        <v>1256</v>
      </c>
      <c r="C51" s="1324" t="s">
        <v>1256</v>
      </c>
      <c r="D51" s="1325" t="s">
        <v>1256</v>
      </c>
      <c r="E51" s="1326" t="s">
        <v>1256</v>
      </c>
      <c r="F51" s="1327" t="s">
        <v>1256</v>
      </c>
      <c r="G51" s="1323" t="s">
        <v>1256</v>
      </c>
      <c r="H51" s="981"/>
      <c r="I51" s="97"/>
      <c r="J51" s="92"/>
      <c r="K51" s="981"/>
      <c r="L51" s="981"/>
      <c r="M51" s="981"/>
      <c r="N51" s="981"/>
      <c r="O51" s="981"/>
      <c r="P51" s="981"/>
      <c r="Q51" s="1332"/>
      <c r="R51" s="1332"/>
      <c r="S51" s="981"/>
      <c r="T51" s="981"/>
      <c r="U51" s="1332"/>
      <c r="V51" s="1332"/>
      <c r="W51" s="1332"/>
      <c r="X51" s="981"/>
      <c r="Y51" s="1332"/>
      <c r="Z51" s="1332"/>
      <c r="AA51" s="981"/>
      <c r="AB51" s="1332"/>
      <c r="AC51" s="981"/>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1"/>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1"/>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1"/>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1"/>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1"/>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1"/>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1"/>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1"/>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1"/>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1"/>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1"/>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1"/>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1"/>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1"/>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1"/>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1"/>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1"/>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1"/>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1"/>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1"/>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1"/>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1"/>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1"/>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1"/>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1"/>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1"/>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1"/>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1"/>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1"/>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1"/>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1"/>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1"/>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1"/>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1"/>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1"/>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1"/>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1"/>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1"/>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1"/>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1"/>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1"/>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1"/>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1"/>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1"/>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1"/>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1"/>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1"/>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1"/>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1"/>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1"/>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1"/>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1"/>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1"/>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1"/>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1"/>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1"/>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1"/>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1"/>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1"/>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1"/>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1"/>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1"/>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1"/>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1"/>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1"/>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1"/>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1"/>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1"/>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1"/>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1"/>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1"/>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1"/>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1"/>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1"/>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1"/>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1"/>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1"/>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1"/>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1"/>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1"/>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1"/>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1"/>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1"/>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1"/>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1"/>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1"/>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1"/>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1"/>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1"/>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8231</v>
      </c>
      <c r="C1" s="23" t="s">
        <v>10</v>
      </c>
      <c r="F1" s="23" t="s">
        <v>34</v>
      </c>
      <c r="H1" s="1357" t="s">
        <v>8232</v>
      </c>
      <c r="W1" s="1358" t="s">
        <v>8233</v>
      </c>
      <c r="AM1" s="1359" t="s">
        <v>8234</v>
      </c>
      <c r="BG1" s="1360" t="s">
        <v>8235</v>
      </c>
      <c r="BQ1" s="1361" t="s">
        <v>8236</v>
      </c>
      <c r="BV1" s="1362" t="s">
        <v>8237</v>
      </c>
      <c r="CE1" s="1357" t="s">
        <v>8238</v>
      </c>
      <c r="CM1" s="1363" t="s">
        <v>8239</v>
      </c>
      <c r="CP1" s="1364" t="s">
        <v>8240</v>
      </c>
      <c r="CT1" s="1365" t="s">
        <v>8241</v>
      </c>
      <c r="CU1" s="1366" t="s">
        <v>8242</v>
      </c>
    </row>
    <row r="2">
      <c r="A2" s="1367" t="s">
        <v>43</v>
      </c>
      <c r="B2" s="36" t="s">
        <v>44</v>
      </c>
      <c r="C2" s="36" t="s">
        <v>45</v>
      </c>
      <c r="F2" s="36" t="s">
        <v>8243</v>
      </c>
      <c r="H2" s="1368" t="s">
        <v>8244</v>
      </c>
      <c r="I2" s="1368" t="s">
        <v>8245</v>
      </c>
      <c r="J2" s="1368" t="s">
        <v>8246</v>
      </c>
      <c r="K2" s="1368" t="s">
        <v>8247</v>
      </c>
      <c r="L2" s="1368" t="s">
        <v>8248</v>
      </c>
      <c r="M2" s="1368" t="s">
        <v>8249</v>
      </c>
      <c r="N2" s="1368" t="s">
        <v>8250</v>
      </c>
      <c r="O2" s="1368" t="s">
        <v>8251</v>
      </c>
      <c r="P2" s="1368" t="s">
        <v>8252</v>
      </c>
      <c r="Q2" s="1368" t="s">
        <v>8253</v>
      </c>
      <c r="R2" s="1368" t="s">
        <v>8254</v>
      </c>
      <c r="S2" s="1368" t="s">
        <v>8255</v>
      </c>
      <c r="T2" s="1368" t="s">
        <v>8256</v>
      </c>
      <c r="U2" s="1368" t="s">
        <v>8257</v>
      </c>
      <c r="V2" s="1368" t="s">
        <v>8258</v>
      </c>
      <c r="W2" s="1369" t="s">
        <v>8259</v>
      </c>
      <c r="X2" s="1369" t="s">
        <v>8260</v>
      </c>
      <c r="Y2" s="1369" t="s">
        <v>8261</v>
      </c>
      <c r="Z2" s="1369" t="s">
        <v>8262</v>
      </c>
      <c r="AA2" s="1369" t="s">
        <v>8263</v>
      </c>
      <c r="AB2" s="1369" t="s">
        <v>8264</v>
      </c>
      <c r="AC2" s="1369" t="s">
        <v>8265</v>
      </c>
      <c r="AD2" s="1369" t="s">
        <v>8266</v>
      </c>
      <c r="AE2" s="1369" t="s">
        <v>8267</v>
      </c>
      <c r="AF2" s="1369" t="s">
        <v>8268</v>
      </c>
      <c r="AG2" s="1369" t="s">
        <v>8269</v>
      </c>
      <c r="AH2" s="1369" t="s">
        <v>8270</v>
      </c>
      <c r="AI2" s="1369" t="s">
        <v>8271</v>
      </c>
      <c r="AJ2" s="1369" t="s">
        <v>8272</v>
      </c>
      <c r="AK2" s="1369" t="s">
        <v>8273</v>
      </c>
      <c r="AL2" s="1369" t="s">
        <v>8274</v>
      </c>
      <c r="AM2" s="1370" t="s">
        <v>8275</v>
      </c>
      <c r="AN2" s="1370" t="s">
        <v>8276</v>
      </c>
      <c r="AO2" s="1370" t="s">
        <v>8277</v>
      </c>
      <c r="AP2" s="1370" t="s">
        <v>8278</v>
      </c>
      <c r="AQ2" s="1370" t="s">
        <v>8279</v>
      </c>
      <c r="AR2" s="1370" t="s">
        <v>8280</v>
      </c>
      <c r="AS2" s="1370" t="s">
        <v>8281</v>
      </c>
      <c r="AT2" s="1370" t="s">
        <v>8282</v>
      </c>
      <c r="AU2" s="1370" t="s">
        <v>8283</v>
      </c>
      <c r="AV2" s="1370" t="s">
        <v>8284</v>
      </c>
      <c r="AW2" s="1370" t="s">
        <v>8285</v>
      </c>
      <c r="AX2" s="1370" t="s">
        <v>8286</v>
      </c>
      <c r="AY2" s="1370" t="s">
        <v>8287</v>
      </c>
      <c r="AZ2" s="1370" t="s">
        <v>8288</v>
      </c>
      <c r="BA2" s="1370" t="s">
        <v>8289</v>
      </c>
      <c r="BB2" s="1370" t="s">
        <v>8290</v>
      </c>
      <c r="BC2" s="1370" t="s">
        <v>8291</v>
      </c>
      <c r="BD2" s="1370" t="s">
        <v>8292</v>
      </c>
      <c r="BE2" s="1370" t="s">
        <v>8293</v>
      </c>
      <c r="BF2" s="1370" t="s">
        <v>8294</v>
      </c>
      <c r="BG2" s="1371" t="s">
        <v>8295</v>
      </c>
      <c r="BH2" s="1371" t="s">
        <v>8296</v>
      </c>
      <c r="BI2" s="1371" t="s">
        <v>8297</v>
      </c>
      <c r="BJ2" s="1371" t="s">
        <v>8298</v>
      </c>
      <c r="BK2" s="1371" t="s">
        <v>8299</v>
      </c>
      <c r="BL2" s="1371" t="s">
        <v>8300</v>
      </c>
      <c r="BM2" s="1371" t="s">
        <v>8301</v>
      </c>
      <c r="BN2" s="1371" t="s">
        <v>8302</v>
      </c>
      <c r="BO2" s="1371" t="s">
        <v>8303</v>
      </c>
      <c r="BP2" s="1371" t="s">
        <v>8304</v>
      </c>
      <c r="BQ2" s="1372" t="s">
        <v>8305</v>
      </c>
      <c r="BR2" s="1372" t="s">
        <v>8306</v>
      </c>
      <c r="BS2" s="1372" t="s">
        <v>8307</v>
      </c>
      <c r="BT2" s="1372" t="s">
        <v>8308</v>
      </c>
      <c r="BU2" s="1372" t="s">
        <v>8309</v>
      </c>
      <c r="BV2" s="1373" t="s">
        <v>8310</v>
      </c>
      <c r="BW2" s="1373" t="s">
        <v>8311</v>
      </c>
      <c r="BX2" s="1373" t="s">
        <v>8312</v>
      </c>
      <c r="BY2" s="1373" t="s">
        <v>8313</v>
      </c>
      <c r="BZ2" s="1373" t="s">
        <v>8314</v>
      </c>
      <c r="CA2" s="1373" t="s">
        <v>8315</v>
      </c>
      <c r="CB2" s="1373" t="s">
        <v>8316</v>
      </c>
      <c r="CC2" s="1373" t="s">
        <v>8317</v>
      </c>
      <c r="CD2" s="1373" t="s">
        <v>8318</v>
      </c>
      <c r="CE2" s="1374" t="s">
        <v>8244</v>
      </c>
      <c r="CF2" s="1374" t="s">
        <v>8247</v>
      </c>
      <c r="CG2" s="1374" t="s">
        <v>8251</v>
      </c>
      <c r="CH2" s="1374" t="s">
        <v>8253</v>
      </c>
      <c r="CI2" s="1374" t="s">
        <v>8254</v>
      </c>
      <c r="CJ2" s="1374" t="s">
        <v>8257</v>
      </c>
      <c r="CK2" s="1374" t="s">
        <v>8319</v>
      </c>
      <c r="CL2" s="1374" t="s">
        <v>8320</v>
      </c>
      <c r="CM2" s="1375" t="s">
        <v>8321</v>
      </c>
      <c r="CN2" s="1375" t="s">
        <v>8322</v>
      </c>
      <c r="CO2" s="1375" t="s">
        <v>8323</v>
      </c>
      <c r="CP2" s="1316" t="s">
        <v>8324</v>
      </c>
      <c r="CQ2" s="1316" t="s">
        <v>8325</v>
      </c>
      <c r="CR2" s="1316" t="s">
        <v>8326</v>
      </c>
      <c r="CS2" s="1316" t="s">
        <v>8327</v>
      </c>
      <c r="CT2" s="1376" t="s">
        <v>8328</v>
      </c>
      <c r="CU2" s="1377" t="s">
        <v>8329</v>
      </c>
    </row>
    <row r="3">
      <c r="A3" s="1378" t="s">
        <v>2460</v>
      </c>
      <c r="B3" s="788" t="s">
        <v>8330</v>
      </c>
      <c r="C3" s="784" t="s">
        <v>1948</v>
      </c>
      <c r="D3" s="785" t="s">
        <v>5683</v>
      </c>
      <c r="E3" s="786" t="s">
        <v>333</v>
      </c>
      <c r="F3" s="787" t="s">
        <v>1347</v>
      </c>
      <c r="G3" s="788" t="s">
        <v>1347</v>
      </c>
      <c r="H3" s="983" t="s">
        <v>8331</v>
      </c>
      <c r="I3" s="983" t="s">
        <v>8332</v>
      </c>
      <c r="J3" s="1334" t="s">
        <v>8333</v>
      </c>
      <c r="K3" s="983" t="s">
        <v>8334</v>
      </c>
      <c r="L3" s="1059" t="s">
        <v>8335</v>
      </c>
      <c r="M3" s="1339" t="s">
        <v>8336</v>
      </c>
      <c r="N3" s="1339" t="s">
        <v>8337</v>
      </c>
      <c r="O3" s="1338" t="s">
        <v>8338</v>
      </c>
      <c r="P3" s="1338" t="s">
        <v>8339</v>
      </c>
      <c r="Q3" s="983" t="s">
        <v>8340</v>
      </c>
      <c r="R3" s="983" t="s">
        <v>8341</v>
      </c>
      <c r="S3" s="983" t="s">
        <v>8342</v>
      </c>
      <c r="T3" s="983" t="s">
        <v>8343</v>
      </c>
      <c r="U3" s="983" t="s">
        <v>8344</v>
      </c>
      <c r="V3" s="983" t="s">
        <v>8345</v>
      </c>
      <c r="W3" s="1338" t="s">
        <v>2131</v>
      </c>
      <c r="X3" s="983" t="s">
        <v>1822</v>
      </c>
      <c r="Y3" s="983" t="s">
        <v>2739</v>
      </c>
      <c r="Z3" s="1333" t="s">
        <v>8346</v>
      </c>
      <c r="AA3" s="1339" t="s">
        <v>8347</v>
      </c>
      <c r="AB3" s="1333" t="s">
        <v>8348</v>
      </c>
      <c r="AC3" s="983" t="s">
        <v>8349</v>
      </c>
      <c r="AD3" s="983" t="s">
        <v>4472</v>
      </c>
      <c r="AE3" s="1339" t="s">
        <v>8350</v>
      </c>
      <c r="AF3" s="983" t="s">
        <v>8351</v>
      </c>
      <c r="AG3" s="1338" t="s">
        <v>8352</v>
      </c>
      <c r="AH3" s="1339" t="s">
        <v>8353</v>
      </c>
      <c r="AI3" s="983" t="s">
        <v>6698</v>
      </c>
      <c r="AJ3" s="1339" t="s">
        <v>8354</v>
      </c>
      <c r="AK3" s="983" t="s">
        <v>8355</v>
      </c>
      <c r="AL3" s="1333" t="s">
        <v>5547</v>
      </c>
      <c r="AM3" s="1339" t="s">
        <v>8356</v>
      </c>
      <c r="AN3" s="1333" t="s">
        <v>8357</v>
      </c>
      <c r="AO3" s="1339" t="s">
        <v>8358</v>
      </c>
      <c r="AP3" s="1339" t="s">
        <v>8359</v>
      </c>
      <c r="AQ3" s="1339" t="s">
        <v>8360</v>
      </c>
      <c r="AR3" s="1339" t="s">
        <v>8361</v>
      </c>
      <c r="AS3" s="1339" t="s">
        <v>8362</v>
      </c>
      <c r="AT3" s="1339" t="s">
        <v>8363</v>
      </c>
      <c r="AU3" s="983" t="s">
        <v>8364</v>
      </c>
      <c r="AV3" s="1379" t="s">
        <v>8365</v>
      </c>
      <c r="AW3" s="1338" t="s">
        <v>8366</v>
      </c>
      <c r="AX3" s="1339" t="s">
        <v>8367</v>
      </c>
      <c r="AY3" s="1339" t="s">
        <v>8368</v>
      </c>
      <c r="AZ3" s="1339" t="s">
        <v>8369</v>
      </c>
      <c r="BA3" s="1339" t="s">
        <v>8370</v>
      </c>
      <c r="BB3" s="1338" t="s">
        <v>8371</v>
      </c>
      <c r="BC3" s="983" t="s">
        <v>8372</v>
      </c>
      <c r="BD3" s="983" t="s">
        <v>8373</v>
      </c>
      <c r="BE3" s="1338" t="s">
        <v>8374</v>
      </c>
      <c r="BF3" s="1339" t="s">
        <v>8375</v>
      </c>
      <c r="BG3" s="983" t="s">
        <v>8376</v>
      </c>
      <c r="BH3" s="1333" t="s">
        <v>8377</v>
      </c>
      <c r="BI3" s="1333" t="s">
        <v>8378</v>
      </c>
      <c r="BJ3" s="1339" t="s">
        <v>8379</v>
      </c>
      <c r="BK3" s="1339" t="s">
        <v>8380</v>
      </c>
      <c r="BL3" s="1339" t="s">
        <v>8381</v>
      </c>
      <c r="BM3" s="1338" t="s">
        <v>8382</v>
      </c>
      <c r="BN3" s="1339" t="s">
        <v>8383</v>
      </c>
      <c r="BO3" s="1339" t="s">
        <v>8384</v>
      </c>
      <c r="BP3" s="1333" t="s">
        <v>8385</v>
      </c>
      <c r="BQ3" s="1333" t="s">
        <v>8386</v>
      </c>
      <c r="BR3" s="1333" t="s">
        <v>8387</v>
      </c>
      <c r="BS3" s="1333" t="s">
        <v>8388</v>
      </c>
      <c r="BT3" s="1333" t="s">
        <v>8389</v>
      </c>
      <c r="BU3" s="1333" t="s">
        <v>8390</v>
      </c>
      <c r="BV3" s="1380" t="s">
        <v>4631</v>
      </c>
      <c r="BW3" s="1339" t="s">
        <v>2478</v>
      </c>
      <c r="BX3" s="1338" t="s">
        <v>2490</v>
      </c>
      <c r="BY3" s="1333" t="s">
        <v>8391</v>
      </c>
      <c r="BZ3" s="1339" t="s">
        <v>8392</v>
      </c>
      <c r="CA3" s="1333" t="s">
        <v>1278</v>
      </c>
      <c r="CB3" s="1333" t="s">
        <v>8393</v>
      </c>
      <c r="CC3" s="1333" t="s">
        <v>476</v>
      </c>
      <c r="CD3" s="1381" t="s">
        <v>2519</v>
      </c>
      <c r="CE3" s="1338" t="s">
        <v>8394</v>
      </c>
      <c r="CF3" s="1339" t="s">
        <v>8395</v>
      </c>
      <c r="CG3" s="1339" t="s">
        <v>8396</v>
      </c>
      <c r="CH3" s="1333" t="s">
        <v>8397</v>
      </c>
      <c r="CI3" s="1339" t="s">
        <v>8398</v>
      </c>
      <c r="CJ3" s="1338" t="s">
        <v>8399</v>
      </c>
      <c r="CK3" s="1333" t="s">
        <v>8400</v>
      </c>
      <c r="CL3" s="983" t="s">
        <v>8401</v>
      </c>
      <c r="CM3" s="1333" t="s">
        <v>8402</v>
      </c>
      <c r="CN3" s="1333" t="s">
        <v>8403</v>
      </c>
      <c r="CO3" s="1339" t="s">
        <v>8404</v>
      </c>
      <c r="CP3" s="1339" t="s">
        <v>8405</v>
      </c>
      <c r="CQ3" s="1333" t="s">
        <v>8406</v>
      </c>
      <c r="CR3" s="1333" t="s">
        <v>8407</v>
      </c>
      <c r="CS3" s="1339" t="s">
        <v>8408</v>
      </c>
      <c r="CT3" s="1333" t="s">
        <v>8409</v>
      </c>
      <c r="CU3" s="1333" t="s">
        <v>8410</v>
      </c>
    </row>
    <row r="4">
      <c r="A4" s="1382" t="s">
        <v>7491</v>
      </c>
      <c r="B4" s="788" t="s">
        <v>8411</v>
      </c>
      <c r="C4" s="784" t="s">
        <v>3571</v>
      </c>
      <c r="D4" s="785" t="s">
        <v>1197</v>
      </c>
      <c r="E4" s="786" t="s">
        <v>647</v>
      </c>
      <c r="F4" s="787" t="s">
        <v>4777</v>
      </c>
      <c r="G4" s="788" t="s">
        <v>3842</v>
      </c>
      <c r="H4" s="1338" t="s">
        <v>8412</v>
      </c>
      <c r="I4" s="1333" t="s">
        <v>4261</v>
      </c>
      <c r="J4" s="1333" t="s">
        <v>8413</v>
      </c>
      <c r="K4" s="983" t="s">
        <v>8414</v>
      </c>
      <c r="L4" s="1333" t="s">
        <v>8415</v>
      </c>
      <c r="M4" s="981"/>
      <c r="N4" s="981"/>
      <c r="O4" s="983" t="s">
        <v>8416</v>
      </c>
      <c r="P4" s="981"/>
      <c r="Q4" s="980" t="s">
        <v>8417</v>
      </c>
      <c r="R4" s="1339" t="s">
        <v>8418</v>
      </c>
      <c r="S4" s="981"/>
      <c r="T4" s="1333" t="s">
        <v>8419</v>
      </c>
      <c r="U4" s="1333" t="s">
        <v>8420</v>
      </c>
      <c r="V4" s="980" t="s">
        <v>8421</v>
      </c>
      <c r="W4" s="981"/>
      <c r="X4" s="1338" t="s">
        <v>6265</v>
      </c>
      <c r="Y4" s="1339" t="s">
        <v>2541</v>
      </c>
      <c r="Z4" s="981"/>
      <c r="AA4" s="1333" t="s">
        <v>8422</v>
      </c>
      <c r="AB4" s="981"/>
      <c r="AC4" s="981"/>
      <c r="AD4" s="980" t="s">
        <v>8423</v>
      </c>
      <c r="AE4" s="1328"/>
      <c r="AF4" s="983" t="s">
        <v>464</v>
      </c>
      <c r="AG4" s="1328"/>
      <c r="AH4" s="1333" t="s">
        <v>8424</v>
      </c>
      <c r="AI4" s="981"/>
      <c r="AJ4" s="1333" t="s">
        <v>8425</v>
      </c>
      <c r="AK4" s="1339" t="s">
        <v>6240</v>
      </c>
      <c r="AL4" s="1383" t="s">
        <v>8426</v>
      </c>
      <c r="AM4" s="1333" t="s">
        <v>8427</v>
      </c>
      <c r="AN4" s="981"/>
      <c r="AO4" s="981"/>
      <c r="AP4" s="1333" t="s">
        <v>8428</v>
      </c>
      <c r="AQ4" s="1333" t="s">
        <v>8429</v>
      </c>
      <c r="AR4" s="1333" t="s">
        <v>8430</v>
      </c>
      <c r="AS4" s="1333" t="s">
        <v>8431</v>
      </c>
      <c r="AT4" s="1333" t="s">
        <v>8432</v>
      </c>
      <c r="AU4" s="1333" t="s">
        <v>8433</v>
      </c>
      <c r="AV4" s="1333" t="s">
        <v>8434</v>
      </c>
      <c r="AW4" s="1333" t="s">
        <v>8435</v>
      </c>
      <c r="AX4" s="1333" t="s">
        <v>8430</v>
      </c>
      <c r="AY4" s="981"/>
      <c r="AZ4" s="1333" t="s">
        <v>8436</v>
      </c>
      <c r="BA4" s="1333" t="s">
        <v>8437</v>
      </c>
      <c r="BB4" s="1333" t="s">
        <v>8438</v>
      </c>
      <c r="BC4" s="1333" t="s">
        <v>8439</v>
      </c>
      <c r="BD4" s="1333" t="s">
        <v>8440</v>
      </c>
      <c r="BE4" s="1333" t="s">
        <v>8441</v>
      </c>
      <c r="BF4" s="1333" t="s">
        <v>8442</v>
      </c>
      <c r="BG4" s="1384" t="s">
        <v>8443</v>
      </c>
      <c r="BH4" s="917"/>
      <c r="BI4" s="917"/>
      <c r="BJ4" s="917"/>
      <c r="BK4" s="1384" t="s">
        <v>8444</v>
      </c>
      <c r="BL4" s="917"/>
      <c r="BM4" s="849" t="s">
        <v>8445</v>
      </c>
      <c r="BN4" s="892" t="s">
        <v>8446</v>
      </c>
      <c r="BO4" s="917"/>
      <c r="BP4" s="917"/>
      <c r="BQ4" s="1385"/>
      <c r="BR4" s="981"/>
      <c r="BS4" s="1339" t="s">
        <v>8447</v>
      </c>
      <c r="BT4" s="981"/>
      <c r="BU4" s="981"/>
      <c r="BV4" s="981"/>
      <c r="BW4" s="981"/>
      <c r="BX4" s="981"/>
      <c r="BY4" s="981"/>
      <c r="BZ4" s="981"/>
      <c r="CA4" s="981"/>
      <c r="CB4" s="981"/>
      <c r="CC4" s="1339" t="s">
        <v>450</v>
      </c>
      <c r="CD4" s="1328"/>
      <c r="CE4" s="1386" t="s">
        <v>8448</v>
      </c>
      <c r="CF4" s="1386" t="s">
        <v>8449</v>
      </c>
      <c r="CG4" s="1386" t="s">
        <v>8450</v>
      </c>
      <c r="CH4" s="1387"/>
      <c r="CI4" s="1386" t="s">
        <v>8451</v>
      </c>
      <c r="CJ4" s="1386" t="s">
        <v>8410</v>
      </c>
      <c r="CK4" s="1387"/>
      <c r="CL4" s="1386" t="s">
        <v>8452</v>
      </c>
      <c r="CM4" s="1388" t="s">
        <v>2153</v>
      </c>
      <c r="CN4" s="1389" t="s">
        <v>3380</v>
      </c>
      <c r="CO4" s="1390"/>
      <c r="CP4" s="1386" t="s">
        <v>8453</v>
      </c>
      <c r="CQ4" s="1390"/>
      <c r="CR4" s="1390"/>
      <c r="CS4" s="1386" t="s">
        <v>8454</v>
      </c>
      <c r="CT4" s="981"/>
      <c r="CU4" s="981"/>
    </row>
    <row r="5">
      <c r="A5" s="1391" t="s">
        <v>7493</v>
      </c>
      <c r="B5" s="788" t="s">
        <v>8455</v>
      </c>
      <c r="C5" s="784" t="s">
        <v>334</v>
      </c>
      <c r="D5" s="785" t="s">
        <v>1197</v>
      </c>
      <c r="E5" s="786" t="s">
        <v>982</v>
      </c>
      <c r="F5" s="787" t="s">
        <v>3098</v>
      </c>
      <c r="G5" s="788" t="s">
        <v>1415</v>
      </c>
      <c r="H5" s="980" t="s">
        <v>8456</v>
      </c>
      <c r="I5" s="983" t="s">
        <v>8457</v>
      </c>
      <c r="J5" s="980" t="s">
        <v>6457</v>
      </c>
      <c r="K5" s="1338" t="s">
        <v>8458</v>
      </c>
      <c r="L5" s="1338" t="s">
        <v>8459</v>
      </c>
      <c r="M5" s="1338" t="s">
        <v>3754</v>
      </c>
      <c r="N5" s="980" t="s">
        <v>8460</v>
      </c>
      <c r="O5" s="983" t="s">
        <v>8461</v>
      </c>
      <c r="P5" s="1333" t="s">
        <v>8462</v>
      </c>
      <c r="Q5" s="1339" t="s">
        <v>8463</v>
      </c>
      <c r="R5" s="983" t="s">
        <v>8464</v>
      </c>
      <c r="S5" s="1338" t="s">
        <v>8465</v>
      </c>
      <c r="T5" s="983" t="s">
        <v>8466</v>
      </c>
      <c r="U5" s="1339" t="s">
        <v>8467</v>
      </c>
      <c r="V5" s="1338" t="s">
        <v>8468</v>
      </c>
      <c r="W5" s="980" t="s">
        <v>2357</v>
      </c>
      <c r="X5" s="1341" t="s">
        <v>1691</v>
      </c>
      <c r="Y5" s="980" t="s">
        <v>2018</v>
      </c>
      <c r="Z5" s="1341" t="s">
        <v>8469</v>
      </c>
      <c r="AA5" s="980" t="s">
        <v>4449</v>
      </c>
      <c r="AB5" s="980"/>
      <c r="AC5" s="980" t="s">
        <v>3454</v>
      </c>
      <c r="AD5" s="980" t="s">
        <v>3880</v>
      </c>
      <c r="AE5" s="980" t="s">
        <v>8470</v>
      </c>
      <c r="AF5" s="1341" t="s">
        <v>8471</v>
      </c>
      <c r="AG5" s="983" t="s">
        <v>8472</v>
      </c>
      <c r="AH5" s="983" t="s">
        <v>8473</v>
      </c>
      <c r="AI5" s="1341" t="s">
        <v>8474</v>
      </c>
      <c r="AJ5" s="981"/>
      <c r="AK5" s="980"/>
      <c r="AL5" s="980"/>
      <c r="AM5" s="983" t="s">
        <v>8475</v>
      </c>
      <c r="AN5" s="983" t="s">
        <v>8476</v>
      </c>
      <c r="AO5" s="1338" t="s">
        <v>8477</v>
      </c>
      <c r="AP5" s="1338" t="s">
        <v>8478</v>
      </c>
      <c r="AQ5" s="1338" t="s">
        <v>8479</v>
      </c>
      <c r="AR5" s="983" t="s">
        <v>8480</v>
      </c>
      <c r="AS5" s="1338" t="s">
        <v>8481</v>
      </c>
      <c r="AT5" s="1338" t="s">
        <v>8482</v>
      </c>
      <c r="AU5" s="1339" t="s">
        <v>8483</v>
      </c>
      <c r="AV5" s="1338" t="s">
        <v>8484</v>
      </c>
      <c r="AW5" s="983" t="s">
        <v>8485</v>
      </c>
      <c r="AX5" s="1338" t="s">
        <v>8486</v>
      </c>
      <c r="AY5" s="1338" t="s">
        <v>8487</v>
      </c>
      <c r="AZ5" s="1341" t="s">
        <v>1634</v>
      </c>
      <c r="BA5" s="1338" t="s">
        <v>6692</v>
      </c>
      <c r="BB5" s="983" t="s">
        <v>8488</v>
      </c>
      <c r="BC5" s="1338" t="s">
        <v>8489</v>
      </c>
      <c r="BD5" s="1339" t="s">
        <v>4668</v>
      </c>
      <c r="BE5" s="980"/>
      <c r="BF5" s="1338" t="s">
        <v>8490</v>
      </c>
      <c r="BG5" s="1339" t="s">
        <v>8491</v>
      </c>
      <c r="BH5" s="980"/>
      <c r="BI5" s="1341" t="s">
        <v>8492</v>
      </c>
      <c r="BJ5" s="1333" t="s">
        <v>8384</v>
      </c>
      <c r="BK5" s="980"/>
      <c r="BL5" s="1333" t="s">
        <v>8493</v>
      </c>
      <c r="BM5" s="1341" t="s">
        <v>8494</v>
      </c>
      <c r="BN5" s="980"/>
      <c r="BO5" s="1333" t="s">
        <v>8495</v>
      </c>
      <c r="BP5" s="980"/>
      <c r="BQ5" s="980" t="s">
        <v>8496</v>
      </c>
      <c r="BR5" s="981"/>
      <c r="BS5" s="980" t="s">
        <v>8497</v>
      </c>
      <c r="BT5" s="981"/>
      <c r="BU5" s="980" t="s">
        <v>8498</v>
      </c>
      <c r="BV5" s="981"/>
      <c r="BW5" s="1332"/>
      <c r="BX5" s="1341" t="s">
        <v>3963</v>
      </c>
      <c r="BY5" s="981"/>
      <c r="BZ5" s="981"/>
      <c r="CA5" s="1341" t="s">
        <v>3487</v>
      </c>
      <c r="CB5" s="1339" t="s">
        <v>257</v>
      </c>
      <c r="CC5" s="983" t="s">
        <v>1607</v>
      </c>
      <c r="CD5" s="1341"/>
      <c r="CE5" s="980" t="s">
        <v>8499</v>
      </c>
      <c r="CF5" s="980" t="s">
        <v>8500</v>
      </c>
      <c r="CG5" s="980"/>
      <c r="CH5" s="980"/>
      <c r="CI5" s="980"/>
      <c r="CJ5" s="980"/>
      <c r="CK5" s="980"/>
      <c r="CL5" s="980"/>
      <c r="CM5" s="980"/>
      <c r="CN5" s="1339" t="s">
        <v>8501</v>
      </c>
      <c r="CO5" s="1333" t="s">
        <v>8502</v>
      </c>
      <c r="CP5" s="980" t="s">
        <v>8503</v>
      </c>
      <c r="CQ5" s="980" t="s">
        <v>8504</v>
      </c>
      <c r="CR5" s="980"/>
      <c r="CS5" s="980"/>
      <c r="CT5" s="1341" t="s">
        <v>8505</v>
      </c>
      <c r="CU5" s="980"/>
    </row>
    <row r="6">
      <c r="A6" s="1392" t="s">
        <v>7010</v>
      </c>
      <c r="B6" s="788" t="s">
        <v>7036</v>
      </c>
      <c r="C6" s="784" t="s">
        <v>437</v>
      </c>
      <c r="D6" s="785" t="s">
        <v>437</v>
      </c>
      <c r="E6" s="786" t="s">
        <v>437</v>
      </c>
      <c r="F6" s="787" t="s">
        <v>6274</v>
      </c>
      <c r="G6" s="788" t="s">
        <v>3571</v>
      </c>
      <c r="H6" s="1393" t="s">
        <v>8506</v>
      </c>
      <c r="I6" s="1393" t="s">
        <v>8507</v>
      </c>
      <c r="J6" s="981"/>
      <c r="K6" s="980" t="s">
        <v>8508</v>
      </c>
      <c r="L6" s="981"/>
      <c r="M6" s="983" t="s">
        <v>8509</v>
      </c>
      <c r="N6" s="981"/>
      <c r="O6" s="983" t="s">
        <v>8510</v>
      </c>
      <c r="P6" s="983" t="s">
        <v>8511</v>
      </c>
      <c r="Q6" s="981"/>
      <c r="R6" s="983" t="s">
        <v>8512</v>
      </c>
      <c r="S6" s="981"/>
      <c r="T6" s="980" t="s">
        <v>8513</v>
      </c>
      <c r="U6" s="983" t="s">
        <v>7042</v>
      </c>
      <c r="V6" s="1333" t="s">
        <v>8514</v>
      </c>
      <c r="W6" s="983" t="s">
        <v>1293</v>
      </c>
      <c r="X6" s="983" t="s">
        <v>1635</v>
      </c>
      <c r="Y6" s="983" t="s">
        <v>1581</v>
      </c>
      <c r="Z6" s="1339" t="s">
        <v>5365</v>
      </c>
      <c r="AA6" s="1328"/>
      <c r="AB6" s="1394" t="s">
        <v>8515</v>
      </c>
      <c r="AC6" s="983" t="s">
        <v>3413</v>
      </c>
      <c r="AD6" s="983" t="s">
        <v>4721</v>
      </c>
      <c r="AE6" s="1328"/>
      <c r="AF6" s="1338" t="s">
        <v>7353</v>
      </c>
      <c r="AG6" s="981"/>
      <c r="AH6" s="983" t="s">
        <v>8516</v>
      </c>
      <c r="AI6" s="1339" t="s">
        <v>5050</v>
      </c>
      <c r="AJ6" s="981"/>
      <c r="AK6" s="983" t="s">
        <v>8517</v>
      </c>
      <c r="AL6" s="981"/>
      <c r="AM6" s="983" t="s">
        <v>8518</v>
      </c>
      <c r="AN6" s="980" t="s">
        <v>8519</v>
      </c>
      <c r="AO6" s="980" t="s">
        <v>8520</v>
      </c>
      <c r="AP6" s="983" t="s">
        <v>8521</v>
      </c>
      <c r="AQ6" s="981"/>
      <c r="AR6" s="980" t="s">
        <v>8522</v>
      </c>
      <c r="AS6" s="981"/>
      <c r="AT6" s="983" t="s">
        <v>8523</v>
      </c>
      <c r="AU6" s="983" t="s">
        <v>8524</v>
      </c>
      <c r="AV6" s="981"/>
      <c r="AW6" s="983" t="s">
        <v>8525</v>
      </c>
      <c r="AX6" s="981"/>
      <c r="AY6" s="981"/>
      <c r="AZ6" s="983" t="s">
        <v>1574</v>
      </c>
      <c r="BA6" s="983" t="s">
        <v>5308</v>
      </c>
      <c r="BB6" s="983" t="s">
        <v>8526</v>
      </c>
      <c r="BC6" s="983" t="s">
        <v>8527</v>
      </c>
      <c r="BD6" s="983" t="s">
        <v>8528</v>
      </c>
      <c r="BE6" s="981"/>
      <c r="BF6" s="981"/>
      <c r="BG6" s="981"/>
      <c r="BH6" s="981"/>
      <c r="BI6" s="981"/>
      <c r="BJ6" s="981"/>
      <c r="BK6" s="981"/>
      <c r="BL6" s="981"/>
      <c r="BM6" s="981"/>
      <c r="BN6" s="981"/>
      <c r="BO6" s="981"/>
      <c r="BP6" s="981"/>
      <c r="BQ6" s="981"/>
      <c r="BR6" s="981"/>
      <c r="BS6" s="981"/>
      <c r="BT6" s="981"/>
      <c r="BU6" s="981"/>
      <c r="BV6" s="981"/>
      <c r="BW6" s="1333" t="s">
        <v>5387</v>
      </c>
      <c r="BX6" s="983" t="s">
        <v>1733</v>
      </c>
      <c r="BY6" s="981"/>
      <c r="BZ6" s="981"/>
      <c r="CA6" s="1332"/>
      <c r="CB6" s="981"/>
      <c r="CC6" s="981"/>
      <c r="CD6" s="1332"/>
      <c r="CE6" s="981"/>
      <c r="CF6" s="981"/>
      <c r="CG6" s="981"/>
      <c r="CH6" s="981"/>
      <c r="CI6" s="981"/>
      <c r="CJ6" s="981"/>
      <c r="CK6" s="981"/>
      <c r="CL6" s="981"/>
      <c r="CM6" s="981"/>
      <c r="CN6" s="981"/>
      <c r="CO6" s="981"/>
      <c r="CP6" s="981"/>
      <c r="CQ6" s="981"/>
      <c r="CR6" s="981"/>
      <c r="CS6" s="981"/>
      <c r="CT6" s="981"/>
      <c r="CU6" s="981"/>
    </row>
    <row r="7">
      <c r="A7" s="1395" t="s">
        <v>7126</v>
      </c>
      <c r="B7" s="788" t="s">
        <v>8529</v>
      </c>
      <c r="C7" s="784" t="s">
        <v>546</v>
      </c>
      <c r="D7" s="785" t="s">
        <v>332</v>
      </c>
      <c r="E7" s="786" t="s">
        <v>437</v>
      </c>
      <c r="F7" s="787" t="s">
        <v>1196</v>
      </c>
      <c r="G7" s="788" t="s">
        <v>5683</v>
      </c>
      <c r="H7" s="980" t="s">
        <v>8530</v>
      </c>
      <c r="I7" s="980" t="s">
        <v>7303</v>
      </c>
      <c r="J7" s="980"/>
      <c r="K7" s="1339" t="s">
        <v>8531</v>
      </c>
      <c r="L7" s="1339" t="s">
        <v>8532</v>
      </c>
      <c r="M7" s="980"/>
      <c r="N7" s="980"/>
      <c r="O7" s="983" t="s">
        <v>8533</v>
      </c>
      <c r="P7" s="980" t="s">
        <v>8534</v>
      </c>
      <c r="Q7" s="980" t="s">
        <v>8535</v>
      </c>
      <c r="R7" s="1333" t="s">
        <v>8536</v>
      </c>
      <c r="S7" s="980"/>
      <c r="T7" s="983" t="s">
        <v>8537</v>
      </c>
      <c r="U7" s="1338" t="s">
        <v>8538</v>
      </c>
      <c r="V7" s="980"/>
      <c r="W7" s="980" t="s">
        <v>7516</v>
      </c>
      <c r="X7" s="980"/>
      <c r="Y7" s="980" t="s">
        <v>8539</v>
      </c>
      <c r="Z7" s="1338" t="s">
        <v>122</v>
      </c>
      <c r="AA7" s="1328"/>
      <c r="AB7" s="1328"/>
      <c r="AC7" s="980" t="s">
        <v>8540</v>
      </c>
      <c r="AD7" s="981"/>
      <c r="AE7" s="980"/>
      <c r="AF7" s="980" t="s">
        <v>8541</v>
      </c>
      <c r="AG7" s="980"/>
      <c r="AH7" s="980" t="s">
        <v>2553</v>
      </c>
      <c r="AI7" s="980" t="s">
        <v>1893</v>
      </c>
      <c r="AJ7" s="981"/>
      <c r="AK7" s="980"/>
      <c r="AL7" s="980"/>
      <c r="AM7" s="980" t="s">
        <v>8542</v>
      </c>
      <c r="AN7" s="981"/>
      <c r="AO7" s="981"/>
      <c r="AP7" s="980" t="s">
        <v>8543</v>
      </c>
      <c r="AQ7" s="983" t="s">
        <v>8544</v>
      </c>
      <c r="AR7" s="980" t="s">
        <v>8545</v>
      </c>
      <c r="AS7" s="980"/>
      <c r="AT7" s="980" t="s">
        <v>8546</v>
      </c>
      <c r="AU7" s="983" t="s">
        <v>8547</v>
      </c>
      <c r="AV7" s="980"/>
      <c r="AW7" s="1379" t="s">
        <v>8548</v>
      </c>
      <c r="AX7" s="113"/>
      <c r="AY7" s="113" t="s">
        <v>8549</v>
      </c>
      <c r="AZ7" s="980" t="s">
        <v>3098</v>
      </c>
      <c r="BA7" s="980"/>
      <c r="BB7" s="980" t="s">
        <v>8528</v>
      </c>
      <c r="BC7" s="1339" t="s">
        <v>8550</v>
      </c>
      <c r="BD7" s="980" t="s">
        <v>8551</v>
      </c>
      <c r="BE7" s="980"/>
      <c r="BF7" s="980"/>
      <c r="BG7" s="980" t="s">
        <v>8552</v>
      </c>
      <c r="BH7" s="980"/>
      <c r="BI7" s="980"/>
      <c r="BJ7" s="980"/>
      <c r="BK7" s="980" t="s">
        <v>8553</v>
      </c>
      <c r="BL7" s="980"/>
      <c r="BM7" s="980"/>
      <c r="BN7" s="980"/>
      <c r="BO7" s="980"/>
      <c r="BP7" s="980" t="s">
        <v>8554</v>
      </c>
      <c r="BQ7" s="981"/>
      <c r="BR7" s="981"/>
      <c r="BS7" s="981"/>
      <c r="BT7" s="981"/>
      <c r="BU7" s="981"/>
      <c r="BV7" s="980"/>
      <c r="BW7" s="980" t="s">
        <v>7781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6" t="s">
        <v>4926</v>
      </c>
      <c r="B8" s="788" t="s">
        <v>8555</v>
      </c>
      <c r="C8" s="784" t="s">
        <v>546</v>
      </c>
      <c r="D8" s="785" t="s">
        <v>332</v>
      </c>
      <c r="E8" s="786" t="s">
        <v>438</v>
      </c>
      <c r="F8" s="787" t="s">
        <v>4111</v>
      </c>
      <c r="G8" s="788" t="s">
        <v>1811</v>
      </c>
      <c r="H8" s="1397"/>
      <c r="I8" s="1393" t="s">
        <v>8556</v>
      </c>
      <c r="J8" s="981"/>
      <c r="K8" s="983" t="s">
        <v>8557</v>
      </c>
      <c r="L8" s="980" t="s">
        <v>8558</v>
      </c>
      <c r="M8" s="1019" t="s">
        <v>8559</v>
      </c>
      <c r="N8" s="981"/>
      <c r="O8" s="983" t="s">
        <v>8560</v>
      </c>
      <c r="P8" s="983" t="s">
        <v>8561</v>
      </c>
      <c r="Q8" s="981"/>
      <c r="R8" s="1338" t="s">
        <v>8562</v>
      </c>
      <c r="S8" s="983" t="s">
        <v>8563</v>
      </c>
      <c r="T8" s="981"/>
      <c r="U8" s="983" t="s">
        <v>8564</v>
      </c>
      <c r="V8" s="1328"/>
      <c r="W8" s="980" t="s">
        <v>5130</v>
      </c>
      <c r="X8" s="983" t="s">
        <v>8565</v>
      </c>
      <c r="Y8" s="983" t="s">
        <v>3038</v>
      </c>
      <c r="Z8" s="981"/>
      <c r="AA8" s="981"/>
      <c r="AB8" s="981"/>
      <c r="AC8" s="983" t="s">
        <v>4152</v>
      </c>
      <c r="AD8" s="1019" t="s">
        <v>4274</v>
      </c>
      <c r="AE8" s="981"/>
      <c r="AF8" s="981"/>
      <c r="AG8" s="1333" t="s">
        <v>8566</v>
      </c>
      <c r="AH8" s="1341" t="s">
        <v>5416</v>
      </c>
      <c r="AI8" s="1338" t="s">
        <v>1295</v>
      </c>
      <c r="AJ8" s="981"/>
      <c r="AK8" s="1341" t="s">
        <v>4830</v>
      </c>
      <c r="AL8" s="980"/>
      <c r="AM8" s="983" t="s">
        <v>8567</v>
      </c>
      <c r="AN8" s="981"/>
      <c r="AO8" s="981"/>
      <c r="AP8" s="983" t="s">
        <v>8568</v>
      </c>
      <c r="AQ8" s="983" t="s">
        <v>8543</v>
      </c>
      <c r="AR8" s="983" t="s">
        <v>8569</v>
      </c>
      <c r="AS8" s="980" t="s">
        <v>8570</v>
      </c>
      <c r="AT8" s="983" t="s">
        <v>8571</v>
      </c>
      <c r="AU8" s="983" t="s">
        <v>8572</v>
      </c>
      <c r="AV8" s="981"/>
      <c r="AW8" s="980" t="s">
        <v>8567</v>
      </c>
      <c r="AX8" s="981"/>
      <c r="AY8" s="981"/>
      <c r="AZ8" s="1338" t="s">
        <v>8573</v>
      </c>
      <c r="BA8" s="1328"/>
      <c r="BB8" s="983" t="s">
        <v>8574</v>
      </c>
      <c r="BC8" s="983" t="s">
        <v>8575</v>
      </c>
      <c r="BD8" s="1338" t="s">
        <v>8576</v>
      </c>
      <c r="BE8" s="981"/>
      <c r="BF8" s="981"/>
      <c r="BG8" s="917"/>
      <c r="BH8" s="917"/>
      <c r="BI8" s="917"/>
      <c r="BJ8" s="917"/>
      <c r="BK8" s="917"/>
      <c r="BL8" s="917"/>
      <c r="BM8" s="917"/>
      <c r="BN8" s="917"/>
      <c r="BO8" s="917"/>
      <c r="BP8" s="917"/>
      <c r="BQ8" s="981"/>
      <c r="BR8" s="981"/>
      <c r="BS8" s="981"/>
      <c r="BT8" s="981"/>
      <c r="BU8" s="981"/>
      <c r="BV8" s="981"/>
      <c r="BW8" s="1332"/>
      <c r="BX8" s="981"/>
      <c r="BY8" s="981"/>
      <c r="BZ8" s="981"/>
      <c r="CA8" s="1332"/>
      <c r="CB8" s="981"/>
      <c r="CC8" s="981"/>
      <c r="CD8" s="1332"/>
      <c r="CE8" s="1388" t="s">
        <v>8577</v>
      </c>
      <c r="CF8" s="1389" t="s">
        <v>8578</v>
      </c>
      <c r="CG8" s="1389" t="s">
        <v>8579</v>
      </c>
      <c r="CH8" s="1387"/>
      <c r="CI8" s="1387"/>
      <c r="CJ8" s="1388" t="s">
        <v>8580</v>
      </c>
      <c r="CK8" s="1387"/>
      <c r="CL8" s="1388" t="s">
        <v>4111</v>
      </c>
      <c r="CM8" s="1387"/>
      <c r="CN8" s="1398" t="s">
        <v>6243</v>
      </c>
      <c r="CO8" s="1387"/>
      <c r="CP8" s="1387"/>
      <c r="CQ8" s="1387"/>
      <c r="CR8" s="1388" t="s">
        <v>6993</v>
      </c>
      <c r="CS8" s="1387"/>
      <c r="CT8" s="981"/>
      <c r="CU8" s="981"/>
    </row>
    <row r="9">
      <c r="A9" s="1399" t="s">
        <v>8581</v>
      </c>
      <c r="B9" s="788" t="s">
        <v>6405</v>
      </c>
      <c r="C9" s="784" t="s">
        <v>1256</v>
      </c>
      <c r="D9" s="785" t="s">
        <v>437</v>
      </c>
      <c r="E9" s="786" t="s">
        <v>438</v>
      </c>
      <c r="F9" s="787" t="s">
        <v>222</v>
      </c>
      <c r="G9" s="788" t="s">
        <v>6993</v>
      </c>
      <c r="H9" s="983" t="s">
        <v>8582</v>
      </c>
      <c r="I9" s="983" t="s">
        <v>8583</v>
      </c>
      <c r="J9" s="1328"/>
      <c r="K9" s="981"/>
      <c r="L9" s="981"/>
      <c r="M9" s="981"/>
      <c r="N9" s="981"/>
      <c r="O9" s="981"/>
      <c r="P9" s="980" t="s">
        <v>8584</v>
      </c>
      <c r="Q9" s="981"/>
      <c r="R9" s="983" t="s">
        <v>8585</v>
      </c>
      <c r="S9" s="981"/>
      <c r="T9" s="981"/>
      <c r="U9" s="1400" t="s">
        <v>8586</v>
      </c>
      <c r="V9" s="1328"/>
      <c r="W9" s="1401" t="s">
        <v>782</v>
      </c>
      <c r="X9" s="1350" t="s">
        <v>3773</v>
      </c>
      <c r="Y9" s="1402" t="s">
        <v>5047</v>
      </c>
      <c r="Z9" s="1328"/>
      <c r="AA9" s="1328" t="s">
        <v>8587</v>
      </c>
      <c r="AB9" s="1328"/>
      <c r="AC9" s="1338" t="s">
        <v>8588</v>
      </c>
      <c r="AD9" s="983" t="s">
        <v>817</v>
      </c>
      <c r="AE9" s="1328"/>
      <c r="AF9" s="1328"/>
      <c r="AG9" s="1328"/>
      <c r="AH9" s="981"/>
      <c r="AI9" s="981"/>
      <c r="AJ9" s="981"/>
      <c r="AK9" s="1341" t="s">
        <v>325</v>
      </c>
      <c r="AL9" s="980"/>
      <c r="AM9" s="1338" t="s">
        <v>8589</v>
      </c>
      <c r="AN9" s="1341" t="s">
        <v>8567</v>
      </c>
      <c r="AO9" s="981"/>
      <c r="AP9" s="983" t="s">
        <v>8590</v>
      </c>
      <c r="AQ9" s="1328"/>
      <c r="AR9" s="981"/>
      <c r="AS9" s="981"/>
      <c r="AT9" s="983" t="s">
        <v>8591</v>
      </c>
      <c r="AU9" s="980"/>
      <c r="AV9" s="980"/>
      <c r="AW9" s="983" t="s">
        <v>8592</v>
      </c>
      <c r="AX9" s="981"/>
      <c r="AY9" s="981"/>
      <c r="AZ9" s="981"/>
      <c r="BA9" s="981"/>
      <c r="BB9" s="983" t="s">
        <v>8593</v>
      </c>
      <c r="BC9" s="1341" t="s">
        <v>8594</v>
      </c>
      <c r="BD9" s="981"/>
      <c r="BE9" s="981"/>
      <c r="BF9" s="981"/>
      <c r="BG9" s="917"/>
      <c r="BH9" s="879" t="s">
        <v>8595</v>
      </c>
      <c r="BI9" s="917"/>
      <c r="BJ9" s="917"/>
      <c r="BK9" s="917"/>
      <c r="BL9" s="917"/>
      <c r="BM9" s="917"/>
      <c r="BN9" s="917"/>
      <c r="BO9" s="917"/>
      <c r="BP9" s="917"/>
      <c r="BQ9" s="981"/>
      <c r="BR9" s="981"/>
      <c r="BS9" s="1338" t="s">
        <v>8596</v>
      </c>
      <c r="BT9" s="981"/>
      <c r="BU9" s="981"/>
      <c r="BV9" s="1403" t="s">
        <v>1133</v>
      </c>
      <c r="BW9" s="1338" t="s">
        <v>3637</v>
      </c>
      <c r="BX9" s="1339" t="s">
        <v>2316</v>
      </c>
      <c r="BY9" s="1400" t="s">
        <v>3275</v>
      </c>
      <c r="BZ9" s="1328"/>
      <c r="CA9" s="1339" t="s">
        <v>2043</v>
      </c>
      <c r="CB9" s="1400" t="s">
        <v>2855</v>
      </c>
      <c r="CC9" s="1394" t="s">
        <v>3510</v>
      </c>
      <c r="CD9" s="1343"/>
      <c r="CE9" s="1387"/>
      <c r="CF9" s="1387"/>
      <c r="CG9" s="1387"/>
      <c r="CH9" s="1387"/>
      <c r="CI9" s="1387"/>
      <c r="CJ9" s="1387"/>
      <c r="CK9" s="1387"/>
      <c r="CL9" s="1387"/>
      <c r="CM9" s="1389" t="s">
        <v>2154</v>
      </c>
      <c r="CN9" s="1387"/>
      <c r="CO9" s="1387"/>
      <c r="CP9" s="1387"/>
      <c r="CQ9" s="1404" t="s">
        <v>8597</v>
      </c>
      <c r="CR9" s="1387"/>
      <c r="CS9" s="1387"/>
      <c r="CT9" s="1328"/>
      <c r="CU9" s="1328"/>
    </row>
    <row r="10">
      <c r="A10" s="1405" t="s">
        <v>8598</v>
      </c>
      <c r="B10" s="788" t="s">
        <v>8599</v>
      </c>
      <c r="C10" s="784" t="s">
        <v>1256</v>
      </c>
      <c r="D10" s="785" t="s">
        <v>437</v>
      </c>
      <c r="E10" s="786" t="s">
        <v>647</v>
      </c>
      <c r="F10" s="787" t="s">
        <v>4111</v>
      </c>
      <c r="G10" s="788" t="s">
        <v>2994</v>
      </c>
      <c r="H10" s="1393" t="s">
        <v>8600</v>
      </c>
      <c r="I10" s="1393" t="s">
        <v>8601</v>
      </c>
      <c r="J10" s="981"/>
      <c r="K10" s="983" t="s">
        <v>8602</v>
      </c>
      <c r="L10" s="983" t="s">
        <v>8603</v>
      </c>
      <c r="M10" s="981"/>
      <c r="N10" s="981"/>
      <c r="O10" s="983" t="s">
        <v>8604</v>
      </c>
      <c r="P10" s="983" t="s">
        <v>8605</v>
      </c>
      <c r="Q10" s="1338" t="s">
        <v>5115</v>
      </c>
      <c r="R10" s="983" t="s">
        <v>8606</v>
      </c>
      <c r="S10" s="983" t="s">
        <v>8607</v>
      </c>
      <c r="T10" s="983" t="s">
        <v>8608</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8503</v>
      </c>
      <c r="AN10" s="1339" t="s">
        <v>8609</v>
      </c>
      <c r="AO10" s="981"/>
      <c r="AP10" s="1186" t="s">
        <v>8503</v>
      </c>
      <c r="AQ10" s="983" t="s">
        <v>8610</v>
      </c>
      <c r="AR10" s="983" t="s">
        <v>8611</v>
      </c>
      <c r="AS10" s="981"/>
      <c r="AT10" s="983" t="s">
        <v>8612</v>
      </c>
      <c r="AU10" s="983" t="s">
        <v>8613</v>
      </c>
      <c r="AV10" s="983" t="s">
        <v>8614</v>
      </c>
      <c r="AW10" s="983" t="s">
        <v>8615</v>
      </c>
      <c r="AX10" s="983" t="s">
        <v>8616</v>
      </c>
      <c r="AY10" s="981"/>
      <c r="AZ10" s="981"/>
      <c r="BA10" s="981"/>
      <c r="BB10" s="983" t="s">
        <v>8613</v>
      </c>
      <c r="BC10" s="981"/>
      <c r="BD10" s="983" t="s">
        <v>8617</v>
      </c>
      <c r="BE10" s="1339" t="s">
        <v>8618</v>
      </c>
      <c r="BF10" s="981"/>
      <c r="BG10" s="1406" t="s">
        <v>8619</v>
      </c>
      <c r="BH10" s="1407"/>
      <c r="BI10" s="1407"/>
      <c r="BJ10" s="1407"/>
      <c r="BK10" s="1407"/>
      <c r="BL10" s="1407"/>
      <c r="BM10" s="1407"/>
      <c r="BN10" s="1407"/>
      <c r="BO10" s="1407"/>
      <c r="BP10" s="1407"/>
      <c r="BQ10" s="981"/>
      <c r="BR10" s="981"/>
      <c r="BS10" s="981"/>
      <c r="BT10" s="981"/>
      <c r="BU10" s="981"/>
      <c r="BV10" s="981"/>
      <c r="BW10" s="1332"/>
      <c r="BX10" s="981"/>
      <c r="BY10" s="981"/>
      <c r="BZ10" s="981"/>
      <c r="CA10" s="1332"/>
      <c r="CB10" s="981"/>
      <c r="CC10" s="981"/>
      <c r="CD10" s="1332"/>
      <c r="CE10" s="1387"/>
      <c r="CF10" s="1387"/>
      <c r="CG10" s="1387"/>
      <c r="CH10" s="1387"/>
      <c r="CI10" s="1387"/>
      <c r="CJ10" s="1387"/>
      <c r="CK10" s="1387"/>
      <c r="CL10" s="1387"/>
      <c r="CM10" s="1387"/>
      <c r="CN10" s="1387"/>
      <c r="CO10" s="1387"/>
      <c r="CP10" s="1387"/>
      <c r="CQ10" s="1387"/>
      <c r="CR10" s="1387"/>
      <c r="CS10" s="1387"/>
      <c r="CT10" s="1338" t="s">
        <v>8620</v>
      </c>
      <c r="CU10" s="981"/>
    </row>
    <row r="11">
      <c r="A11" s="1408" t="s">
        <v>2992</v>
      </c>
      <c r="B11" s="788" t="s">
        <v>8621</v>
      </c>
      <c r="C11" s="784" t="s">
        <v>437</v>
      </c>
      <c r="D11" s="785" t="s">
        <v>546</v>
      </c>
      <c r="E11" s="786" t="s">
        <v>437</v>
      </c>
      <c r="F11" s="787" t="s">
        <v>1196</v>
      </c>
      <c r="G11" s="788" t="s">
        <v>1811</v>
      </c>
      <c r="H11" s="1397"/>
      <c r="I11" s="1397" t="s">
        <v>8622</v>
      </c>
      <c r="J11" s="981"/>
      <c r="K11" s="980" t="s">
        <v>8623</v>
      </c>
      <c r="L11" s="983" t="s">
        <v>8624</v>
      </c>
      <c r="M11" s="980" t="s">
        <v>8557</v>
      </c>
      <c r="N11" s="981"/>
      <c r="O11" s="980" t="s">
        <v>8625</v>
      </c>
      <c r="P11" s="980" t="s">
        <v>8626</v>
      </c>
      <c r="Q11" s="980" t="s">
        <v>8627</v>
      </c>
      <c r="R11" s="980" t="s">
        <v>8628</v>
      </c>
      <c r="S11" s="983" t="s">
        <v>3029</v>
      </c>
      <c r="T11" s="981"/>
      <c r="U11" s="980" t="s">
        <v>4002</v>
      </c>
      <c r="V11" s="981"/>
      <c r="W11" s="980" t="s">
        <v>5005</v>
      </c>
      <c r="X11" s="983" t="s">
        <v>3667</v>
      </c>
      <c r="Y11" s="983" t="s">
        <v>8629</v>
      </c>
      <c r="Z11" s="981"/>
      <c r="AA11" s="983" t="s">
        <v>5763</v>
      </c>
      <c r="AB11" s="981"/>
      <c r="AC11" s="980" t="s">
        <v>5902</v>
      </c>
      <c r="AD11" s="980" t="s">
        <v>2058</v>
      </c>
      <c r="AE11" s="980"/>
      <c r="AF11" s="980" t="s">
        <v>5709</v>
      </c>
      <c r="AG11" s="981"/>
      <c r="AH11" s="981"/>
      <c r="AI11" s="981"/>
      <c r="AJ11" s="981"/>
      <c r="AK11" s="981"/>
      <c r="AL11" s="981"/>
      <c r="AM11" s="983" t="s">
        <v>8630</v>
      </c>
      <c r="AN11" s="1339" t="s">
        <v>8609</v>
      </c>
      <c r="AO11" s="1333" t="s">
        <v>8631</v>
      </c>
      <c r="AP11" s="980" t="s">
        <v>8615</v>
      </c>
      <c r="AQ11" s="980" t="s">
        <v>8615</v>
      </c>
      <c r="AR11" s="1338" t="s">
        <v>8632</v>
      </c>
      <c r="AS11" s="980" t="s">
        <v>8378</v>
      </c>
      <c r="AT11" s="980"/>
      <c r="AU11" s="1338" t="s">
        <v>8633</v>
      </c>
      <c r="AV11" s="980" t="s">
        <v>8591</v>
      </c>
      <c r="AW11" s="980" t="s">
        <v>8634</v>
      </c>
      <c r="AX11" s="981"/>
      <c r="AY11" s="1333" t="s">
        <v>8635</v>
      </c>
      <c r="AZ11" s="980" t="s">
        <v>1634</v>
      </c>
      <c r="BA11" s="980"/>
      <c r="BB11" s="980" t="s">
        <v>8373</v>
      </c>
      <c r="BC11" s="1341" t="s">
        <v>8636</v>
      </c>
      <c r="BD11" s="1341" t="s">
        <v>8637</v>
      </c>
      <c r="BE11" s="980"/>
      <c r="BF11" s="980"/>
      <c r="BG11" s="917"/>
      <c r="BH11" s="917"/>
      <c r="BI11" s="917"/>
      <c r="BJ11" s="917"/>
      <c r="BK11" s="917"/>
      <c r="BL11" s="917"/>
      <c r="BM11" s="917"/>
      <c r="BN11" s="917"/>
      <c r="BO11" s="917"/>
      <c r="BP11" s="917"/>
      <c r="BQ11" s="981"/>
      <c r="BR11" s="981"/>
      <c r="BS11" s="981"/>
      <c r="BT11" s="981"/>
      <c r="BU11" s="981"/>
      <c r="BV11" s="1409" t="s">
        <v>1303</v>
      </c>
      <c r="BW11" s="1332"/>
      <c r="BX11" s="980" t="s">
        <v>1522</v>
      </c>
      <c r="BY11" s="980" t="s">
        <v>3553</v>
      </c>
      <c r="BZ11" s="981"/>
      <c r="CA11" s="1332"/>
      <c r="CB11" s="980" t="s">
        <v>3644</v>
      </c>
      <c r="CC11" s="981"/>
      <c r="CD11" s="1332"/>
      <c r="CE11" s="1387"/>
      <c r="CF11" s="1387"/>
      <c r="CG11" s="1387"/>
      <c r="CH11" s="1387"/>
      <c r="CI11" s="1387"/>
      <c r="CJ11" s="1387"/>
      <c r="CK11" s="1387"/>
      <c r="CL11" s="1387"/>
      <c r="CM11" s="1387"/>
      <c r="CN11" s="1387"/>
      <c r="CO11" s="1387"/>
      <c r="CP11" s="1387"/>
      <c r="CQ11" s="1387"/>
      <c r="CR11" s="1387"/>
      <c r="CS11" s="1390" t="s">
        <v>8638</v>
      </c>
      <c r="CT11" s="981"/>
      <c r="CU11" s="981"/>
    </row>
    <row r="12">
      <c r="A12" s="1410" t="s">
        <v>3192</v>
      </c>
      <c r="B12" s="788" t="s">
        <v>8639</v>
      </c>
      <c r="C12" s="784" t="s">
        <v>1256</v>
      </c>
      <c r="D12" s="785" t="s">
        <v>1256</v>
      </c>
      <c r="E12" s="786" t="s">
        <v>546</v>
      </c>
      <c r="F12" s="787" t="s">
        <v>8640</v>
      </c>
      <c r="G12" s="788" t="s">
        <v>6274</v>
      </c>
      <c r="H12" s="1397"/>
      <c r="I12" s="1393" t="s">
        <v>8641</v>
      </c>
      <c r="J12" s="981"/>
      <c r="K12" s="983" t="s">
        <v>8642</v>
      </c>
      <c r="L12" s="983" t="s">
        <v>8643</v>
      </c>
      <c r="M12" s="983" t="s">
        <v>8644</v>
      </c>
      <c r="N12" s="981"/>
      <c r="O12" s="1019" t="s">
        <v>8645</v>
      </c>
      <c r="P12" s="983" t="s">
        <v>8646</v>
      </c>
      <c r="Q12" s="981"/>
      <c r="R12" s="983" t="s">
        <v>8647</v>
      </c>
      <c r="S12" s="983" t="s">
        <v>8648</v>
      </c>
      <c r="T12" s="980" t="s">
        <v>8649</v>
      </c>
      <c r="U12" s="983" t="s">
        <v>8650</v>
      </c>
      <c r="V12" s="981"/>
      <c r="W12" s="981"/>
      <c r="X12" s="1019" t="s">
        <v>8651</v>
      </c>
      <c r="Y12" s="983" t="s">
        <v>8652</v>
      </c>
      <c r="Z12" s="981"/>
      <c r="AA12" s="1019" t="s">
        <v>8653</v>
      </c>
      <c r="AB12" s="980" t="s">
        <v>8654</v>
      </c>
      <c r="AC12" s="983" t="s">
        <v>8655</v>
      </c>
      <c r="AD12" s="983" t="s">
        <v>8656</v>
      </c>
      <c r="AE12" s="983" t="s">
        <v>4533</v>
      </c>
      <c r="AF12" s="983" t="s">
        <v>8657</v>
      </c>
      <c r="AG12" s="981"/>
      <c r="AH12" s="981"/>
      <c r="AI12" s="981"/>
      <c r="AJ12" s="981"/>
      <c r="AK12" s="981"/>
      <c r="AL12" s="981"/>
      <c r="AM12" s="983" t="s">
        <v>8658</v>
      </c>
      <c r="AN12" s="983" t="s">
        <v>8659</v>
      </c>
      <c r="AO12" s="983" t="s">
        <v>8660</v>
      </c>
      <c r="AP12" s="981"/>
      <c r="AQ12" s="980" t="s">
        <v>8567</v>
      </c>
      <c r="AR12" s="983" t="s">
        <v>8661</v>
      </c>
      <c r="AS12" s="981"/>
      <c r="AT12" s="983" t="s">
        <v>8662</v>
      </c>
      <c r="AU12" s="983" t="s">
        <v>8663</v>
      </c>
      <c r="AV12" s="981"/>
      <c r="AW12" s="983" t="s">
        <v>8664</v>
      </c>
      <c r="AX12" s="981"/>
      <c r="AY12" s="981"/>
      <c r="AZ12" s="981"/>
      <c r="BA12" s="981"/>
      <c r="BB12" s="983" t="s">
        <v>8665</v>
      </c>
      <c r="BC12" s="983" t="s">
        <v>8666</v>
      </c>
      <c r="BD12" s="981"/>
      <c r="BE12" s="981"/>
      <c r="BF12" s="981"/>
      <c r="BG12" s="1407"/>
      <c r="BH12" s="1407"/>
      <c r="BI12" s="1407"/>
      <c r="BJ12" s="1407"/>
      <c r="BK12" s="1407"/>
      <c r="BL12" s="1406" t="s">
        <v>8667</v>
      </c>
      <c r="BM12" s="1407"/>
      <c r="BN12" s="1407"/>
      <c r="BO12" s="1407"/>
      <c r="BP12" s="1407"/>
      <c r="BQ12" s="981"/>
      <c r="BR12" s="981"/>
      <c r="BS12" s="981"/>
      <c r="BT12" s="981"/>
      <c r="BU12" s="981"/>
      <c r="BV12" s="983" t="s">
        <v>3200</v>
      </c>
      <c r="BW12" s="1332"/>
      <c r="BX12" s="981"/>
      <c r="BY12" s="981"/>
      <c r="BZ12" s="981"/>
      <c r="CA12" s="1332"/>
      <c r="CB12" s="981"/>
      <c r="CC12" s="981"/>
      <c r="CD12" s="1332"/>
      <c r="CE12" s="983" t="s">
        <v>8668</v>
      </c>
      <c r="CF12" s="981"/>
      <c r="CG12" s="981"/>
      <c r="CH12" s="981"/>
      <c r="CI12" s="981"/>
      <c r="CJ12" s="981"/>
      <c r="CK12" s="981"/>
      <c r="CL12" s="981"/>
      <c r="CM12" s="981"/>
      <c r="CN12" s="981"/>
      <c r="CO12" s="981"/>
      <c r="CP12" s="981"/>
      <c r="CQ12" s="981"/>
      <c r="CR12" s="981"/>
      <c r="CS12" s="981"/>
      <c r="CT12" s="981"/>
      <c r="CU12" s="981"/>
    </row>
    <row r="13">
      <c r="A13" s="1395" t="s">
        <v>3901</v>
      </c>
      <c r="B13" s="788" t="s">
        <v>8669</v>
      </c>
      <c r="C13" s="784" t="s">
        <v>1256</v>
      </c>
      <c r="D13" s="785" t="s">
        <v>1256</v>
      </c>
      <c r="E13" s="786" t="s">
        <v>1256</v>
      </c>
      <c r="F13" s="787" t="s">
        <v>546</v>
      </c>
      <c r="G13" s="788" t="s">
        <v>2432</v>
      </c>
      <c r="H13" s="1397"/>
      <c r="I13" s="1397" t="s">
        <v>3910</v>
      </c>
      <c r="J13" s="980" t="s">
        <v>8670</v>
      </c>
      <c r="K13" s="980" t="s">
        <v>8671</v>
      </c>
      <c r="L13" s="980" t="s">
        <v>8672</v>
      </c>
      <c r="M13" s="980" t="s">
        <v>8673</v>
      </c>
      <c r="N13" s="980" t="s">
        <v>8674</v>
      </c>
      <c r="O13" s="980" t="s">
        <v>8675</v>
      </c>
      <c r="P13" s="980" t="s">
        <v>8676</v>
      </c>
      <c r="Q13" s="981"/>
      <c r="R13" s="1341" t="s">
        <v>8677</v>
      </c>
      <c r="S13" s="980" t="s">
        <v>8678</v>
      </c>
      <c r="T13" s="980" t="s">
        <v>8679</v>
      </c>
      <c r="U13" s="980" t="s">
        <v>8680</v>
      </c>
      <c r="V13" s="980" t="s">
        <v>4084</v>
      </c>
      <c r="W13" s="980" t="s">
        <v>5013</v>
      </c>
      <c r="X13" s="980" t="s">
        <v>8681</v>
      </c>
      <c r="Y13" s="980" t="s">
        <v>377</v>
      </c>
      <c r="Z13" s="1341" t="s">
        <v>3224</v>
      </c>
      <c r="AA13" s="980" t="s">
        <v>8682</v>
      </c>
      <c r="AB13" s="980"/>
      <c r="AC13" s="1341" t="s">
        <v>8683</v>
      </c>
      <c r="AD13" s="1341" t="s">
        <v>8684</v>
      </c>
      <c r="AE13" s="980" t="s">
        <v>5182</v>
      </c>
      <c r="AF13" s="980" t="s">
        <v>4091</v>
      </c>
      <c r="AG13" s="1341" t="s">
        <v>8685</v>
      </c>
      <c r="AH13" s="981"/>
      <c r="AI13" s="981"/>
      <c r="AJ13" s="981"/>
      <c r="AK13" s="981"/>
      <c r="AL13" s="980" t="s">
        <v>5618</v>
      </c>
      <c r="AM13" s="1341" t="s">
        <v>8686</v>
      </c>
      <c r="AN13" s="1341" t="s">
        <v>8687</v>
      </c>
      <c r="AO13" s="981"/>
      <c r="AP13" s="980" t="s">
        <v>8688</v>
      </c>
      <c r="AQ13" s="980" t="s">
        <v>8503</v>
      </c>
      <c r="AR13" s="1341" t="s">
        <v>8689</v>
      </c>
      <c r="AS13" s="980" t="s">
        <v>8690</v>
      </c>
      <c r="AT13" s="980" t="s">
        <v>8691</v>
      </c>
      <c r="AU13" s="980" t="s">
        <v>8443</v>
      </c>
      <c r="AV13" s="113" t="s">
        <v>8692</v>
      </c>
      <c r="AW13" s="980" t="s">
        <v>8693</v>
      </c>
      <c r="AX13" s="980" t="s">
        <v>8694</v>
      </c>
      <c r="AY13" s="981"/>
      <c r="AZ13" s="1341" t="s">
        <v>4949</v>
      </c>
      <c r="BA13" s="980"/>
      <c r="BB13" s="1341" t="s">
        <v>8695</v>
      </c>
      <c r="BC13" s="1341" t="s">
        <v>8696</v>
      </c>
      <c r="BD13" s="980" t="s">
        <v>8697</v>
      </c>
      <c r="BE13" s="980"/>
      <c r="BF13" s="981"/>
      <c r="BG13" s="1407"/>
      <c r="BH13" s="1407"/>
      <c r="BI13" s="1407"/>
      <c r="BJ13" s="1407"/>
      <c r="BK13" s="1407"/>
      <c r="BL13" s="1407"/>
      <c r="BM13" s="1407"/>
      <c r="BN13" s="1407"/>
      <c r="BO13" s="1407"/>
      <c r="BP13" s="1407"/>
      <c r="BQ13" s="981"/>
      <c r="BR13" s="981"/>
      <c r="BS13" s="981"/>
      <c r="BT13" s="981"/>
      <c r="BU13" s="981"/>
      <c r="BV13" s="980" t="s">
        <v>4207</v>
      </c>
      <c r="BW13" s="1332"/>
      <c r="BX13" s="980" t="s">
        <v>4538</v>
      </c>
      <c r="BY13" s="980" t="s">
        <v>5443</v>
      </c>
      <c r="BZ13" s="981"/>
      <c r="CA13" s="1332"/>
      <c r="CB13" s="980" t="s">
        <v>1754</v>
      </c>
      <c r="CC13" s="981"/>
      <c r="CD13" s="1332"/>
      <c r="CE13" s="1387"/>
      <c r="CF13" s="980" t="s">
        <v>8636</v>
      </c>
      <c r="CG13" s="981"/>
      <c r="CH13" s="1387"/>
      <c r="CI13" s="1404" t="s">
        <v>8504</v>
      </c>
      <c r="CJ13" s="1390" t="s">
        <v>8578</v>
      </c>
      <c r="CK13" s="1390"/>
      <c r="CL13" s="1398" t="s">
        <v>6274</v>
      </c>
      <c r="CM13" s="1390" t="s">
        <v>8698</v>
      </c>
      <c r="CN13" s="1390" t="s">
        <v>6243</v>
      </c>
      <c r="CO13" s="1390" t="s">
        <v>5862</v>
      </c>
      <c r="CP13" s="1390" t="s">
        <v>8699</v>
      </c>
      <c r="CQ13" s="1390" t="s">
        <v>8700</v>
      </c>
      <c r="CR13" s="1387"/>
      <c r="CS13" s="1387"/>
      <c r="CT13" s="981"/>
      <c r="CU13" s="981"/>
    </row>
    <row r="14">
      <c r="A14" s="1411" t="s">
        <v>2189</v>
      </c>
      <c r="B14" s="788" t="s">
        <v>8701</v>
      </c>
      <c r="C14" s="784" t="s">
        <v>1256</v>
      </c>
      <c r="D14" s="785" t="s">
        <v>1256</v>
      </c>
      <c r="E14" s="786" t="s">
        <v>546</v>
      </c>
      <c r="F14" s="787" t="s">
        <v>332</v>
      </c>
      <c r="G14" s="788" t="s">
        <v>4628</v>
      </c>
      <c r="H14" s="1397" t="s">
        <v>8702</v>
      </c>
      <c r="I14" s="1393" t="s">
        <v>2201</v>
      </c>
      <c r="J14" s="980" t="s">
        <v>8703</v>
      </c>
      <c r="K14" s="980" t="s">
        <v>8704</v>
      </c>
      <c r="L14" s="980" t="s">
        <v>8705</v>
      </c>
      <c r="M14" s="980" t="s">
        <v>8706</v>
      </c>
      <c r="N14" s="980" t="s">
        <v>8707</v>
      </c>
      <c r="O14" s="980" t="s">
        <v>8708</v>
      </c>
      <c r="P14" s="980" t="s">
        <v>8709</v>
      </c>
      <c r="Q14" s="980" t="s">
        <v>8710</v>
      </c>
      <c r="R14" s="980" t="s">
        <v>8711</v>
      </c>
      <c r="S14" s="983" t="s">
        <v>8712</v>
      </c>
      <c r="T14" s="980" t="s">
        <v>8713</v>
      </c>
      <c r="U14" s="980" t="s">
        <v>8714</v>
      </c>
      <c r="V14" s="983" t="s">
        <v>8715</v>
      </c>
      <c r="W14" s="980" t="s">
        <v>2758</v>
      </c>
      <c r="X14" s="980" t="s">
        <v>8716</v>
      </c>
      <c r="Y14" s="1341" t="s">
        <v>2058</v>
      </c>
      <c r="Z14" s="981"/>
      <c r="AA14" s="981"/>
      <c r="AB14" s="981"/>
      <c r="AC14" s="1341" t="s">
        <v>8717</v>
      </c>
      <c r="AD14" s="1341" t="s">
        <v>5253</v>
      </c>
      <c r="AE14" s="1338" t="s">
        <v>2529</v>
      </c>
      <c r="AF14" s="1341" t="s">
        <v>8718</v>
      </c>
      <c r="AG14" s="980" t="s">
        <v>8719</v>
      </c>
      <c r="AH14" s="981"/>
      <c r="AI14" s="981"/>
      <c r="AJ14" s="981"/>
      <c r="AK14" s="980" t="s">
        <v>8720</v>
      </c>
      <c r="AL14" s="980" t="s">
        <v>2925</v>
      </c>
      <c r="AM14" s="981"/>
      <c r="AN14" s="981"/>
      <c r="AO14" s="981"/>
      <c r="AP14" s="981"/>
      <c r="AQ14" s="981"/>
      <c r="AR14" s="981"/>
      <c r="AS14" s="981"/>
      <c r="AT14" s="980" t="s">
        <v>8721</v>
      </c>
      <c r="AU14" s="980" t="s">
        <v>8373</v>
      </c>
      <c r="AV14" s="981"/>
      <c r="AW14" s="980" t="s">
        <v>8722</v>
      </c>
      <c r="AX14" s="980" t="s">
        <v>8723</v>
      </c>
      <c r="AY14" s="981"/>
      <c r="AZ14" s="980"/>
      <c r="BA14" s="980"/>
      <c r="BB14" s="1328"/>
      <c r="BC14" s="980" t="s">
        <v>8636</v>
      </c>
      <c r="BD14" s="980" t="s">
        <v>8611</v>
      </c>
      <c r="BE14" s="980"/>
      <c r="BF14" s="980" t="s">
        <v>8724</v>
      </c>
      <c r="BG14" s="981"/>
      <c r="BH14" s="981"/>
      <c r="BI14" s="981"/>
      <c r="BJ14" s="981"/>
      <c r="BK14" s="981"/>
      <c r="BL14" s="981"/>
      <c r="BM14" s="981"/>
      <c r="BN14" s="981"/>
      <c r="BO14" s="981"/>
      <c r="BP14" s="981"/>
      <c r="BQ14" s="981"/>
      <c r="BR14" s="981"/>
      <c r="BS14" s="981"/>
      <c r="BT14" s="981"/>
      <c r="BU14" s="981"/>
      <c r="BV14" s="980"/>
      <c r="BW14" s="1341" t="s">
        <v>949</v>
      </c>
      <c r="BX14" s="1341" t="s">
        <v>2218</v>
      </c>
      <c r="BY14" s="1341" t="s">
        <v>6093</v>
      </c>
      <c r="BZ14" s="980"/>
      <c r="CA14" s="1341" t="s">
        <v>3487</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8725</v>
      </c>
      <c r="CU14" s="980"/>
    </row>
    <row r="15">
      <c r="A15" s="1395" t="s">
        <v>1809</v>
      </c>
      <c r="B15" s="788" t="s">
        <v>8726</v>
      </c>
      <c r="C15" s="784" t="s">
        <v>647</v>
      </c>
      <c r="D15" s="785" t="s">
        <v>437</v>
      </c>
      <c r="E15" s="786" t="s">
        <v>546</v>
      </c>
      <c r="F15" s="787" t="s">
        <v>646</v>
      </c>
      <c r="G15" s="788" t="s">
        <v>2680</v>
      </c>
      <c r="H15" s="1397"/>
      <c r="I15" s="1412" t="s">
        <v>8727</v>
      </c>
      <c r="J15" s="981"/>
      <c r="K15" s="980" t="s">
        <v>8728</v>
      </c>
      <c r="L15" s="981"/>
      <c r="M15" s="1333" t="s">
        <v>8729</v>
      </c>
      <c r="N15" s="981"/>
      <c r="O15" s="981"/>
      <c r="P15" s="981"/>
      <c r="Q15" s="1333" t="s">
        <v>8730</v>
      </c>
      <c r="R15" s="981"/>
      <c r="S15" s="981"/>
      <c r="T15" s="981"/>
      <c r="U15" s="981"/>
      <c r="V15" s="981"/>
      <c r="W15" s="1341" t="s">
        <v>1644</v>
      </c>
      <c r="X15" s="980"/>
      <c r="Y15" s="983" t="s">
        <v>1150</v>
      </c>
      <c r="Z15" s="981"/>
      <c r="AA15" s="981"/>
      <c r="AB15" s="981"/>
      <c r="AC15" s="1341" t="s">
        <v>5539</v>
      </c>
      <c r="AD15" s="1339" t="s">
        <v>610</v>
      </c>
      <c r="AE15" s="981"/>
      <c r="AF15" s="981"/>
      <c r="AG15" s="981"/>
      <c r="AH15" s="981"/>
      <c r="AI15" s="981"/>
      <c r="AJ15" s="981"/>
      <c r="AK15" s="981"/>
      <c r="AL15" s="981"/>
      <c r="AM15" s="981"/>
      <c r="AN15" s="981"/>
      <c r="AO15" s="981"/>
      <c r="AP15" s="1341" t="s">
        <v>8590</v>
      </c>
      <c r="AQ15" s="980"/>
      <c r="AR15" s="1341" t="s">
        <v>8731</v>
      </c>
      <c r="AS15" s="980"/>
      <c r="AT15" s="981"/>
      <c r="AU15" s="1341" t="s">
        <v>8613</v>
      </c>
      <c r="AV15" s="980"/>
      <c r="AW15" s="1341" t="s">
        <v>8732</v>
      </c>
      <c r="AX15" s="981"/>
      <c r="AY15" s="981"/>
      <c r="AZ15" s="981"/>
      <c r="BA15" s="981"/>
      <c r="BB15" s="1339" t="s">
        <v>8733</v>
      </c>
      <c r="BC15" s="983" t="s">
        <v>8499</v>
      </c>
      <c r="BD15" s="981"/>
      <c r="BE15" s="981"/>
      <c r="BF15" s="981"/>
      <c r="BG15" s="981"/>
      <c r="BH15" s="981"/>
      <c r="BI15" s="981"/>
      <c r="BJ15" s="981"/>
      <c r="BK15" s="981"/>
      <c r="BL15" s="981"/>
      <c r="BM15" s="1333" t="s">
        <v>8734</v>
      </c>
      <c r="BN15" s="981"/>
      <c r="BO15" s="981"/>
      <c r="BP15" s="981"/>
      <c r="BQ15" s="981"/>
      <c r="BR15" s="981"/>
      <c r="BS15" s="981"/>
      <c r="BT15" s="981"/>
      <c r="BU15" s="981"/>
      <c r="BV15" s="981"/>
      <c r="BW15" s="1332"/>
      <c r="BX15" s="981"/>
      <c r="BY15" s="981"/>
      <c r="BZ15" s="981"/>
      <c r="CA15" s="1332"/>
      <c r="CB15" s="981"/>
      <c r="CC15" s="981"/>
      <c r="CD15" s="1332"/>
      <c r="CE15" s="981"/>
      <c r="CF15" s="981"/>
      <c r="CG15" s="981"/>
      <c r="CH15" s="981"/>
      <c r="CI15" s="981"/>
      <c r="CJ15" s="981"/>
      <c r="CK15" s="981"/>
      <c r="CL15" s="981"/>
      <c r="CM15" s="981"/>
      <c r="CN15" s="981"/>
      <c r="CO15" s="981"/>
      <c r="CP15" s="981"/>
      <c r="CQ15" s="981"/>
      <c r="CR15" s="981"/>
      <c r="CS15" s="981"/>
      <c r="CT15" s="981"/>
      <c r="CU15" s="981"/>
    </row>
    <row r="16">
      <c r="A16" s="1413" t="s">
        <v>7429</v>
      </c>
      <c r="B16" s="788" t="s">
        <v>8735</v>
      </c>
      <c r="C16" s="784" t="s">
        <v>1256</v>
      </c>
      <c r="D16" s="785" t="s">
        <v>334</v>
      </c>
      <c r="E16" s="786" t="s">
        <v>546</v>
      </c>
      <c r="F16" s="787" t="s">
        <v>222</v>
      </c>
      <c r="G16" s="788" t="s">
        <v>1058</v>
      </c>
      <c r="H16" s="1414" t="str">
        <f>HYPERLINK("https://www.twitch.tv/videos/990301696","3:46.19")</f>
        <v>3:46.19</v>
      </c>
      <c r="I16" s="1397" t="s">
        <v>8736</v>
      </c>
      <c r="J16" s="980"/>
      <c r="K16" s="980" t="s">
        <v>8737</v>
      </c>
      <c r="L16" s="981"/>
      <c r="M16" s="1415" t="str">
        <f>HYPERLINK("https://youtu.be/muKa7MrNAp8","2:59.41")</f>
        <v>2:59.41</v>
      </c>
      <c r="N16" s="1401"/>
      <c r="O16" s="113" t="s">
        <v>8738</v>
      </c>
      <c r="P16" s="1416" t="str">
        <f>HYPERLINK("https://www.twitch.tv/videos/979252942","3:20.49")</f>
        <v>3:20.49</v>
      </c>
      <c r="Q16" s="981"/>
      <c r="R16" s="1416" t="str">
        <f>HYPERLINK("https://www.twitch.tv/videos/871584642","2:58.46")</f>
        <v>2:58.46</v>
      </c>
      <c r="S16" s="1416" t="str">
        <f>HYPERLINK("https://youtu.be/CJTaXhFHcQg","2:38.94")</f>
        <v>2:38.94</v>
      </c>
      <c r="T16" s="981"/>
      <c r="U16" s="1417" t="str">
        <f>HYPERLINK("https://www.twitch.tv/videos/1004615722","1:57.68")</f>
        <v>1:57.68</v>
      </c>
      <c r="V16" s="1418" t="str">
        <f>HYPERLINK("https://www.twitch.tv/videos/1004263632","2:18.81")</f>
        <v>2:18.81</v>
      </c>
      <c r="W16" s="980" t="s">
        <v>8739</v>
      </c>
      <c r="X16" s="980"/>
      <c r="Y16" s="980" t="s">
        <v>8740</v>
      </c>
      <c r="Z16" s="981"/>
      <c r="AA16" s="981"/>
      <c r="AB16" s="981"/>
      <c r="AC16" s="981"/>
      <c r="AD16" s="980" t="s">
        <v>4274</v>
      </c>
      <c r="AE16" s="981"/>
      <c r="AF16" s="981"/>
      <c r="AG16" s="981"/>
      <c r="AH16" s="980" t="s">
        <v>5529</v>
      </c>
      <c r="AI16" s="980"/>
      <c r="AJ16" s="980"/>
      <c r="AK16" s="1338" t="s">
        <v>8741</v>
      </c>
      <c r="AL16" s="1328"/>
      <c r="AM16" s="1341" t="s">
        <v>8615</v>
      </c>
      <c r="AN16" s="981"/>
      <c r="AO16" s="981"/>
      <c r="AP16" s="981"/>
      <c r="AQ16" s="981"/>
      <c r="AR16" s="981"/>
      <c r="AS16" s="981"/>
      <c r="AT16" s="980" t="s">
        <v>8694</v>
      </c>
      <c r="AU16" s="980" t="s">
        <v>8491</v>
      </c>
      <c r="AV16" s="981"/>
      <c r="AW16" s="981"/>
      <c r="AX16" s="981"/>
      <c r="AY16" s="981"/>
      <c r="AZ16" s="980" t="s">
        <v>3098</v>
      </c>
      <c r="BA16" s="980"/>
      <c r="BB16" s="981"/>
      <c r="BC16" s="981"/>
      <c r="BD16" s="981"/>
      <c r="BE16" s="981"/>
      <c r="BF16" s="981"/>
      <c r="BG16" s="1419" t="str">
        <f>HYPERLINK("https://youtu.be/bkbjkIxiol8","3:06")</f>
        <v>3:06</v>
      </c>
      <c r="BH16" s="1420" t="str">
        <f>HYPERLINK("https://youtu.be/EiQPLe-OzQM","4:27")</f>
        <v>4:27</v>
      </c>
      <c r="BI16" s="1387"/>
      <c r="BJ16" s="1387"/>
      <c r="BK16" s="1387"/>
      <c r="BL16" s="1387"/>
      <c r="BM16" s="1387"/>
      <c r="BN16" s="1387"/>
      <c r="BO16" s="1387"/>
      <c r="BP16" s="1387"/>
      <c r="BQ16" s="981"/>
      <c r="BR16" s="981"/>
      <c r="BS16" s="981"/>
      <c r="BT16" s="981"/>
      <c r="BU16" s="981"/>
      <c r="BV16" s="981"/>
      <c r="BW16" s="1332"/>
      <c r="BX16" s="981"/>
      <c r="BY16" s="1418" t="str">
        <f>HYPERLINK("https://clips.twitch.tv/NiceImportantPidgeonBuddhaBar-rtnvj3c2frKXHMdy","35.38")</f>
        <v>35.38</v>
      </c>
      <c r="BZ16" s="981"/>
      <c r="CA16" s="1332"/>
      <c r="CB16" s="981"/>
      <c r="CC16" s="981"/>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0"/>
    </row>
    <row r="17">
      <c r="A17" s="1382" t="s">
        <v>4433</v>
      </c>
      <c r="B17" s="788" t="s">
        <v>8742</v>
      </c>
      <c r="C17" s="784" t="s">
        <v>1256</v>
      </c>
      <c r="D17" s="785" t="s">
        <v>437</v>
      </c>
      <c r="E17" s="786" t="s">
        <v>437</v>
      </c>
      <c r="F17" s="787" t="s">
        <v>1197</v>
      </c>
      <c r="G17" s="788" t="s">
        <v>2937</v>
      </c>
      <c r="H17" s="1425" t="s">
        <v>8743</v>
      </c>
      <c r="I17" s="1397" t="s">
        <v>8744</v>
      </c>
      <c r="J17" s="980" t="s">
        <v>8745</v>
      </c>
      <c r="K17" s="1397" t="s">
        <v>8746</v>
      </c>
      <c r="L17" s="980" t="s">
        <v>4557</v>
      </c>
      <c r="M17" s="980" t="s">
        <v>8331</v>
      </c>
      <c r="N17" s="980" t="s">
        <v>8747</v>
      </c>
      <c r="O17" s="980" t="s">
        <v>8748</v>
      </c>
      <c r="P17" s="980" t="s">
        <v>8749</v>
      </c>
      <c r="Q17" s="980" t="s">
        <v>7136</v>
      </c>
      <c r="R17" s="980" t="s">
        <v>8750</v>
      </c>
      <c r="S17" s="1335" t="s">
        <v>8751</v>
      </c>
      <c r="T17" s="1338" t="s">
        <v>8752</v>
      </c>
      <c r="U17" s="1426" t="s">
        <v>8753</v>
      </c>
      <c r="V17" s="980" t="s">
        <v>8754</v>
      </c>
      <c r="W17" s="1341" t="s">
        <v>8755</v>
      </c>
      <c r="X17" s="980" t="s">
        <v>8756</v>
      </c>
      <c r="Y17" s="980" t="s">
        <v>248</v>
      </c>
      <c r="Z17" s="981"/>
      <c r="AA17" s="1338" t="s">
        <v>8757</v>
      </c>
      <c r="AB17" s="981"/>
      <c r="AC17" s="1341" t="s">
        <v>8758</v>
      </c>
      <c r="AD17" s="980" t="s">
        <v>6169</v>
      </c>
      <c r="AE17" s="983" t="s">
        <v>891</v>
      </c>
      <c r="AF17" s="981"/>
      <c r="AG17" s="981"/>
      <c r="AH17" s="981"/>
      <c r="AI17" s="981"/>
      <c r="AJ17" s="981"/>
      <c r="AK17" s="981"/>
      <c r="AL17" s="981"/>
      <c r="AM17" s="980"/>
      <c r="AN17" s="981"/>
      <c r="AO17" s="981"/>
      <c r="AP17" s="980" t="s">
        <v>8759</v>
      </c>
      <c r="AQ17" s="980" t="s">
        <v>8609</v>
      </c>
      <c r="AR17" s="981"/>
      <c r="AS17" s="983" t="s">
        <v>8760</v>
      </c>
      <c r="AT17" s="983" t="s">
        <v>8761</v>
      </c>
      <c r="AU17" s="981"/>
      <c r="AV17" s="981"/>
      <c r="AW17" s="981"/>
      <c r="AX17" s="981"/>
      <c r="AY17" s="980" t="s">
        <v>8696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2"/>
      <c r="BX17" s="981"/>
      <c r="BY17" s="981"/>
      <c r="BZ17" s="981"/>
      <c r="CA17" s="1332"/>
      <c r="CB17" s="981"/>
      <c r="CC17" s="981"/>
      <c r="CD17" s="1332"/>
      <c r="CE17" s="981"/>
      <c r="CF17" s="981"/>
      <c r="CG17" s="981"/>
      <c r="CH17" s="981"/>
      <c r="CI17" s="981"/>
      <c r="CJ17" s="981"/>
      <c r="CK17" s="981"/>
      <c r="CL17" s="981"/>
      <c r="CM17" s="981"/>
      <c r="CN17" s="981"/>
      <c r="CO17" s="981"/>
      <c r="CP17" s="981"/>
      <c r="CQ17" s="981"/>
      <c r="CR17" s="981"/>
      <c r="CS17" s="981"/>
      <c r="CT17" s="981"/>
      <c r="CU17" s="981"/>
    </row>
    <row r="18">
      <c r="A18" s="1427" t="s">
        <v>2935</v>
      </c>
      <c r="B18" s="788" t="s">
        <v>8762</v>
      </c>
      <c r="C18" s="784" t="s">
        <v>332</v>
      </c>
      <c r="D18" s="785" t="s">
        <v>332</v>
      </c>
      <c r="E18" s="786" t="s">
        <v>1256</v>
      </c>
      <c r="F18" s="787" t="s">
        <v>646</v>
      </c>
      <c r="G18" s="788" t="s">
        <v>221</v>
      </c>
      <c r="H18" s="1428" t="s">
        <v>8763</v>
      </c>
      <c r="I18" s="1425" t="s">
        <v>8764</v>
      </c>
      <c r="J18" s="1339" t="s">
        <v>8765</v>
      </c>
      <c r="K18" s="1333" t="s">
        <v>8766</v>
      </c>
      <c r="L18" s="980" t="s">
        <v>8767</v>
      </c>
      <c r="M18" s="981"/>
      <c r="N18" s="1333" t="s">
        <v>3698</v>
      </c>
      <c r="O18" s="1339" t="s">
        <v>8768</v>
      </c>
      <c r="P18" s="981"/>
      <c r="Q18" s="980" t="s">
        <v>8769</v>
      </c>
      <c r="R18" s="980" t="s">
        <v>8770</v>
      </c>
      <c r="S18" s="1333" t="s">
        <v>8771</v>
      </c>
      <c r="T18" s="1339" t="s">
        <v>8772</v>
      </c>
      <c r="U18" s="980" t="s">
        <v>8773</v>
      </c>
      <c r="V18" s="980" t="s">
        <v>8774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7"/>
      <c r="BH18" s="1407"/>
      <c r="BI18" s="1407"/>
      <c r="BJ18" s="1407"/>
      <c r="BK18" s="1407"/>
      <c r="BL18" s="1407"/>
      <c r="BM18" s="1407"/>
      <c r="BN18" s="1407"/>
      <c r="BO18" s="1407"/>
      <c r="BP18" s="1407"/>
      <c r="BQ18" s="981"/>
      <c r="BR18" s="981"/>
      <c r="BS18" s="981"/>
      <c r="BT18" s="981"/>
      <c r="BU18" s="981"/>
      <c r="BV18" s="981"/>
      <c r="BW18" s="1332"/>
      <c r="BX18" s="981"/>
      <c r="BY18" s="981"/>
      <c r="BZ18" s="981"/>
      <c r="CA18" s="1332"/>
      <c r="CB18" s="981"/>
      <c r="CC18" s="981"/>
      <c r="CD18" s="1332"/>
      <c r="CE18" s="1387"/>
      <c r="CF18" s="1387"/>
      <c r="CG18" s="1387"/>
      <c r="CH18" s="1387"/>
      <c r="CI18" s="1387"/>
      <c r="CJ18" s="1387"/>
      <c r="CK18" s="1387"/>
      <c r="CL18" s="1387"/>
      <c r="CM18" s="1387"/>
      <c r="CN18" s="1387"/>
      <c r="CO18" s="1387"/>
      <c r="CP18" s="1387"/>
      <c r="CQ18" s="1387"/>
      <c r="CR18" s="1387"/>
      <c r="CS18" s="1387"/>
      <c r="CT18" s="981"/>
      <c r="CU18" s="981"/>
    </row>
    <row r="19">
      <c r="A19" s="1429" t="s">
        <v>8223</v>
      </c>
      <c r="B19" s="788" t="s">
        <v>8775</v>
      </c>
      <c r="C19" s="784" t="s">
        <v>332</v>
      </c>
      <c r="D19" s="785" t="s">
        <v>647</v>
      </c>
      <c r="E19" s="786" t="s">
        <v>546</v>
      </c>
      <c r="F19" s="787" t="s">
        <v>3291</v>
      </c>
      <c r="G19" s="788" t="s">
        <v>1196</v>
      </c>
      <c r="H19" s="1397"/>
      <c r="I19" s="1397"/>
      <c r="J19" s="981"/>
      <c r="K19" s="981"/>
      <c r="L19" s="981"/>
      <c r="M19" s="981"/>
      <c r="N19" s="981"/>
      <c r="O19" s="981"/>
      <c r="P19" s="981"/>
      <c r="Q19" s="981"/>
      <c r="R19" s="981"/>
      <c r="S19" s="981"/>
      <c r="T19" s="981"/>
      <c r="U19" s="981"/>
      <c r="V19" s="981"/>
      <c r="W19" s="1333" t="s">
        <v>8776</v>
      </c>
      <c r="X19" s="1339" t="s">
        <v>1653</v>
      </c>
      <c r="Y19" s="981"/>
      <c r="Z19" s="981"/>
      <c r="AA19" s="981"/>
      <c r="AB19" s="1339" t="s">
        <v>8777</v>
      </c>
      <c r="AC19" s="1339" t="s">
        <v>2462</v>
      </c>
      <c r="AD19" s="983" t="s">
        <v>2719</v>
      </c>
      <c r="AE19" s="1328"/>
      <c r="AF19" s="1333" t="s">
        <v>8778</v>
      </c>
      <c r="AG19" s="981"/>
      <c r="AH19" s="1338" t="s">
        <v>1787</v>
      </c>
      <c r="AI19" s="1333" t="s">
        <v>3148</v>
      </c>
      <c r="AJ19" s="981"/>
      <c r="AK19" s="980" t="s">
        <v>4276</v>
      </c>
      <c r="AL19" s="981"/>
      <c r="AM19" s="981"/>
      <c r="AN19" s="981"/>
      <c r="AO19" s="981"/>
      <c r="AP19" s="983" t="s">
        <v>8779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3" t="s">
        <v>3446</v>
      </c>
      <c r="BW19" s="1332"/>
      <c r="BX19" s="981"/>
      <c r="BY19" s="981"/>
      <c r="BZ19" s="981"/>
      <c r="CA19" s="1332"/>
      <c r="CB19" s="981"/>
      <c r="CC19" s="981"/>
      <c r="CD19" s="1332"/>
      <c r="CE19" s="981"/>
      <c r="CF19" s="981"/>
      <c r="CG19" s="981"/>
      <c r="CH19" s="981"/>
      <c r="CI19" s="981"/>
      <c r="CJ19" s="981"/>
      <c r="CK19" s="981"/>
      <c r="CL19" s="981"/>
      <c r="CM19" s="981"/>
      <c r="CN19" s="981"/>
      <c r="CO19" s="981"/>
      <c r="CP19" s="981"/>
      <c r="CQ19" s="981"/>
      <c r="CR19" s="981"/>
      <c r="CS19" s="981"/>
      <c r="CT19" s="981"/>
      <c r="CU19" s="981"/>
    </row>
    <row r="20">
      <c r="A20" s="1430" t="s">
        <v>4048</v>
      </c>
      <c r="B20" s="788" t="s">
        <v>8780</v>
      </c>
      <c r="C20" s="784" t="s">
        <v>1256</v>
      </c>
      <c r="D20" s="785" t="s">
        <v>546</v>
      </c>
      <c r="E20" s="786" t="s">
        <v>1256</v>
      </c>
      <c r="F20" s="787" t="s">
        <v>437</v>
      </c>
      <c r="G20" s="788" t="s">
        <v>3098</v>
      </c>
      <c r="H20" s="1397"/>
      <c r="I20" s="1397" t="s">
        <v>8781</v>
      </c>
      <c r="J20" s="980"/>
      <c r="K20" s="1341" t="s">
        <v>8782</v>
      </c>
      <c r="L20" s="980"/>
      <c r="M20" s="1341" t="s">
        <v>8783</v>
      </c>
      <c r="N20" s="981"/>
      <c r="O20" s="1341" t="s">
        <v>8784</v>
      </c>
      <c r="P20" s="981"/>
      <c r="Q20" s="981"/>
      <c r="R20" s="980" t="s">
        <v>8785</v>
      </c>
      <c r="S20" s="1401" t="s">
        <v>8786</v>
      </c>
      <c r="T20" s="1341" t="s">
        <v>8787</v>
      </c>
      <c r="U20" s="980" t="s">
        <v>3784</v>
      </c>
      <c r="V20" s="980"/>
      <c r="W20" s="1341" t="s">
        <v>4440</v>
      </c>
      <c r="X20" s="980" t="s">
        <v>3817</v>
      </c>
      <c r="Y20" s="1341" t="s">
        <v>2832</v>
      </c>
      <c r="Z20" s="981"/>
      <c r="AA20" s="981"/>
      <c r="AB20" s="981"/>
      <c r="AC20" s="1341" t="s">
        <v>8788</v>
      </c>
      <c r="AD20" s="980" t="s">
        <v>5423</v>
      </c>
      <c r="AE20" s="980"/>
      <c r="AF20" s="1341" t="s">
        <v>8789</v>
      </c>
      <c r="AG20" s="1339" t="s">
        <v>8790</v>
      </c>
      <c r="AH20" s="983" t="s">
        <v>1265</v>
      </c>
      <c r="AI20" s="981"/>
      <c r="AJ20" s="981"/>
      <c r="AK20" s="1341" t="s">
        <v>707</v>
      </c>
      <c r="AL20" s="981"/>
      <c r="AM20" s="1341" t="s">
        <v>8617</v>
      </c>
      <c r="AN20" s="981"/>
      <c r="AO20" s="981"/>
      <c r="AP20" s="980" t="s">
        <v>8519</v>
      </c>
      <c r="AQ20" s="980"/>
      <c r="AR20" s="980" t="s">
        <v>8546</v>
      </c>
      <c r="AS20" s="980" t="s">
        <v>8791</v>
      </c>
      <c r="AT20" s="980" t="s">
        <v>8792</v>
      </c>
      <c r="AU20" s="980" t="s">
        <v>8793</v>
      </c>
      <c r="AV20" s="980"/>
      <c r="AW20" s="981"/>
      <c r="AX20" s="981"/>
      <c r="AY20" s="981"/>
      <c r="AZ20" s="1341" t="s">
        <v>4776</v>
      </c>
      <c r="BA20" s="980"/>
      <c r="BB20" s="1341" t="s">
        <v>8613</v>
      </c>
      <c r="BC20" s="1341" t="s">
        <v>8794</v>
      </c>
      <c r="BD20" s="1341" t="s">
        <v>8444</v>
      </c>
      <c r="BE20" s="980"/>
      <c r="BF20" s="980"/>
      <c r="BG20" s="981"/>
      <c r="BH20" s="981"/>
      <c r="BI20" s="981"/>
      <c r="BJ20" s="981"/>
      <c r="BK20" s="981"/>
      <c r="BL20" s="981"/>
      <c r="BM20" s="981"/>
      <c r="BN20" s="1341" t="s">
        <v>8795</v>
      </c>
      <c r="BO20" s="1341" t="s">
        <v>8796</v>
      </c>
      <c r="BP20" s="980"/>
      <c r="BQ20" s="981"/>
      <c r="BR20" s="981"/>
      <c r="BS20" s="981"/>
      <c r="BT20" s="981"/>
      <c r="BU20" s="981"/>
      <c r="BV20" s="1409" t="s">
        <v>4694</v>
      </c>
      <c r="BW20" s="1332"/>
      <c r="BX20" s="981"/>
      <c r="BY20" s="980" t="s">
        <v>2229</v>
      </c>
      <c r="BZ20" s="981"/>
      <c r="CA20" s="1332"/>
      <c r="CB20" s="980" t="s">
        <v>4533</v>
      </c>
      <c r="CC20" s="1341" t="s">
        <v>8797</v>
      </c>
      <c r="CD20" s="1341"/>
      <c r="CE20" s="981"/>
      <c r="CF20" s="981"/>
      <c r="CG20" s="981"/>
      <c r="CH20" s="981"/>
      <c r="CI20" s="981"/>
      <c r="CJ20" s="981"/>
      <c r="CK20" s="981"/>
      <c r="CL20" s="981"/>
      <c r="CM20" s="1341" t="s">
        <v>8798</v>
      </c>
      <c r="CN20" s="1341" t="s">
        <v>1948</v>
      </c>
      <c r="CO20" s="1341" t="s">
        <v>1811</v>
      </c>
      <c r="CP20" s="1341" t="s">
        <v>8799</v>
      </c>
      <c r="CQ20" s="980" t="s">
        <v>8800</v>
      </c>
      <c r="CR20" s="1341" t="s">
        <v>3345</v>
      </c>
      <c r="CS20" s="980" t="s">
        <v>8801</v>
      </c>
      <c r="CT20" s="981"/>
      <c r="CU20" s="981"/>
    </row>
    <row r="21">
      <c r="A21" s="1431" t="s">
        <v>4795</v>
      </c>
      <c r="B21" s="788" t="s">
        <v>8802</v>
      </c>
      <c r="C21" s="784" t="s">
        <v>1256</v>
      </c>
      <c r="D21" s="785" t="s">
        <v>1256</v>
      </c>
      <c r="E21" s="786" t="s">
        <v>1256</v>
      </c>
      <c r="F21" s="787" t="s">
        <v>546</v>
      </c>
      <c r="G21" s="788" t="s">
        <v>3380</v>
      </c>
      <c r="H21" s="1397"/>
      <c r="I21" s="1397" t="s">
        <v>8803</v>
      </c>
      <c r="J21" s="980"/>
      <c r="K21" s="980" t="s">
        <v>6803</v>
      </c>
      <c r="L21" s="980"/>
      <c r="M21" s="981"/>
      <c r="N21" s="981"/>
      <c r="O21" s="981"/>
      <c r="P21" s="981"/>
      <c r="Q21" s="981"/>
      <c r="R21" s="1341" t="s">
        <v>8804</v>
      </c>
      <c r="S21" s="981"/>
      <c r="T21" s="1341" t="s">
        <v>8805</v>
      </c>
      <c r="U21" s="1341" t="s">
        <v>8806</v>
      </c>
      <c r="V21" s="1341" t="s">
        <v>8807</v>
      </c>
      <c r="W21" s="1341" t="s">
        <v>3544</v>
      </c>
      <c r="X21" s="980" t="s">
        <v>2622</v>
      </c>
      <c r="Y21" s="1341" t="s">
        <v>8808</v>
      </c>
      <c r="Z21" s="981"/>
      <c r="AA21" s="981"/>
      <c r="AB21" s="981"/>
      <c r="AC21" s="983" t="s">
        <v>344</v>
      </c>
      <c r="AD21" s="1341" t="s">
        <v>3878</v>
      </c>
      <c r="AE21" s="980"/>
      <c r="AF21" s="1341" t="s">
        <v>8809</v>
      </c>
      <c r="AG21" s="980"/>
      <c r="AH21" s="1341" t="s">
        <v>8810</v>
      </c>
      <c r="AI21" s="981"/>
      <c r="AJ21" s="981"/>
      <c r="AK21" s="981"/>
      <c r="AL21" s="981"/>
      <c r="AM21" s="981"/>
      <c r="AN21" s="981"/>
      <c r="AO21" s="981"/>
      <c r="AP21" s="980" t="s">
        <v>8519</v>
      </c>
      <c r="AQ21" s="981"/>
      <c r="AR21" s="980" t="s">
        <v>8811</v>
      </c>
      <c r="AS21" s="981"/>
      <c r="AT21" s="981"/>
      <c r="AU21" s="980" t="s">
        <v>8812</v>
      </c>
      <c r="AV21" s="980"/>
      <c r="AW21" s="980" t="s">
        <v>8551</v>
      </c>
      <c r="AX21" s="981"/>
      <c r="AY21" s="981"/>
      <c r="AZ21" s="1341" t="s">
        <v>2153</v>
      </c>
      <c r="BA21" s="980"/>
      <c r="BB21" s="981"/>
      <c r="BC21" s="1341" t="s">
        <v>8813</v>
      </c>
      <c r="BD21" s="980" t="s">
        <v>8376</v>
      </c>
      <c r="BE21" s="981"/>
      <c r="BF21" s="981"/>
      <c r="BG21" s="981"/>
      <c r="BH21" s="981"/>
      <c r="BI21" s="981"/>
      <c r="BJ21" s="981"/>
      <c r="BK21" s="981"/>
      <c r="BL21" s="981"/>
      <c r="BM21" s="981"/>
      <c r="BN21" s="981"/>
      <c r="BO21" s="981"/>
      <c r="BP21" s="981"/>
      <c r="BQ21" s="981"/>
      <c r="BR21" s="981"/>
      <c r="BS21" s="981"/>
      <c r="BT21" s="981"/>
      <c r="BU21" s="981"/>
      <c r="BV21" s="981"/>
      <c r="BW21" s="1332"/>
      <c r="BX21" s="981"/>
      <c r="BY21" s="981"/>
      <c r="BZ21" s="981"/>
      <c r="CA21" s="1332"/>
      <c r="CB21" s="981"/>
      <c r="CC21" s="981"/>
      <c r="CD21" s="1332"/>
      <c r="CE21" s="981"/>
      <c r="CF21" s="981"/>
      <c r="CG21" s="981"/>
      <c r="CH21" s="981"/>
      <c r="CI21" s="981"/>
      <c r="CJ21" s="981"/>
      <c r="CK21" s="981"/>
      <c r="CL21" s="981"/>
      <c r="CM21" s="981"/>
      <c r="CN21" s="981"/>
      <c r="CO21" s="981"/>
      <c r="CP21" s="981"/>
      <c r="CQ21" s="981"/>
      <c r="CR21" s="981"/>
      <c r="CS21" s="981"/>
      <c r="CT21" s="981"/>
      <c r="CU21" s="981"/>
    </row>
    <row r="22">
      <c r="A22" s="1432" t="s">
        <v>6626</v>
      </c>
      <c r="B22" s="788" t="s">
        <v>8814</v>
      </c>
      <c r="C22" s="784" t="s">
        <v>1256</v>
      </c>
      <c r="D22" s="785" t="s">
        <v>1256</v>
      </c>
      <c r="E22" s="786" t="s">
        <v>1256</v>
      </c>
      <c r="F22" s="787" t="s">
        <v>1256</v>
      </c>
      <c r="G22" s="788" t="s">
        <v>222</v>
      </c>
      <c r="H22" s="1397"/>
      <c r="I22" s="1397" t="s">
        <v>8815</v>
      </c>
      <c r="J22" s="980"/>
      <c r="K22" s="1341" t="s">
        <v>8816</v>
      </c>
      <c r="L22" s="980"/>
      <c r="M22" s="980"/>
      <c r="N22" s="980"/>
      <c r="O22" s="1341" t="s">
        <v>8817</v>
      </c>
      <c r="P22" s="980"/>
      <c r="Q22" s="981"/>
      <c r="R22" s="981"/>
      <c r="S22" s="981"/>
      <c r="T22" s="980"/>
      <c r="U22" s="1341" t="s">
        <v>8818</v>
      </c>
      <c r="V22" s="980"/>
      <c r="W22" s="1341" t="s">
        <v>2306</v>
      </c>
      <c r="X22" s="980"/>
      <c r="Y22" s="1341" t="s">
        <v>3239</v>
      </c>
      <c r="Z22" s="980"/>
      <c r="AA22" s="980"/>
      <c r="AB22" s="980"/>
      <c r="AC22" s="1341" t="s">
        <v>8819</v>
      </c>
      <c r="AD22" s="1341" t="s">
        <v>4906</v>
      </c>
      <c r="AE22" s="980"/>
      <c r="AF22" s="980"/>
      <c r="AG22" s="980"/>
      <c r="AH22" s="981"/>
      <c r="AI22" s="981"/>
      <c r="AJ22" s="981"/>
      <c r="AK22" s="981"/>
      <c r="AL22" s="981"/>
      <c r="AM22" s="1341" t="s">
        <v>8820</v>
      </c>
      <c r="AN22" s="981"/>
      <c r="AO22" s="981"/>
      <c r="AP22" s="1341" t="s">
        <v>8821</v>
      </c>
      <c r="AQ22" s="980"/>
      <c r="AR22" s="1341" t="s">
        <v>8822</v>
      </c>
      <c r="AS22" s="980"/>
      <c r="AT22" s="1341" t="s">
        <v>8823</v>
      </c>
      <c r="AU22" s="1341" t="s">
        <v>8824</v>
      </c>
      <c r="AV22" s="980"/>
      <c r="AW22" s="980"/>
      <c r="AX22" s="981"/>
      <c r="AY22" s="981"/>
      <c r="AZ22" s="1341" t="s">
        <v>1634</v>
      </c>
      <c r="BA22" s="980"/>
      <c r="BB22" s="1341" t="s">
        <v>8552</v>
      </c>
      <c r="BC22" s="1341" t="s">
        <v>8610</v>
      </c>
      <c r="BD22" s="1341" t="s">
        <v>8697</v>
      </c>
      <c r="BE22" s="980"/>
      <c r="BF22" s="980"/>
      <c r="BG22" s="981"/>
      <c r="BH22" s="981"/>
      <c r="BI22" s="981"/>
      <c r="BJ22" s="981"/>
      <c r="BK22" s="981"/>
      <c r="BL22" s="981"/>
      <c r="BM22" s="981"/>
      <c r="BN22" s="981"/>
      <c r="BO22" s="981"/>
      <c r="BP22" s="981"/>
      <c r="BQ22" s="980"/>
      <c r="BR22" s="980"/>
      <c r="BS22" s="980"/>
      <c r="BT22" s="980"/>
      <c r="BU22" s="980"/>
      <c r="BV22" s="460"/>
      <c r="BW22" s="1332"/>
      <c r="BX22" s="981"/>
      <c r="BY22" s="981"/>
      <c r="BZ22" s="981"/>
      <c r="CA22" s="1332"/>
      <c r="CB22" s="981"/>
      <c r="CC22" s="981"/>
      <c r="CD22" s="1332"/>
      <c r="CE22" s="981"/>
      <c r="CF22" s="981"/>
      <c r="CG22" s="981"/>
      <c r="CH22" s="981"/>
      <c r="CI22" s="981"/>
      <c r="CJ22" s="981"/>
      <c r="CK22" s="981"/>
      <c r="CL22" s="981"/>
      <c r="CM22" s="981"/>
      <c r="CN22" s="981"/>
      <c r="CO22" s="981"/>
      <c r="CP22" s="981"/>
      <c r="CQ22" s="981"/>
      <c r="CR22" s="981"/>
      <c r="CS22" s="981"/>
      <c r="CT22" s="980"/>
      <c r="CU22" s="980"/>
    </row>
    <row r="23">
      <c r="A23" s="1392" t="s">
        <v>7459</v>
      </c>
      <c r="B23" s="788" t="s">
        <v>8825</v>
      </c>
      <c r="C23" s="784" t="s">
        <v>1256</v>
      </c>
      <c r="D23" s="785" t="s">
        <v>1256</v>
      </c>
      <c r="E23" s="786" t="s">
        <v>1256</v>
      </c>
      <c r="F23" s="787" t="s">
        <v>437</v>
      </c>
      <c r="G23" s="788" t="s">
        <v>222</v>
      </c>
      <c r="H23" s="1397" t="s">
        <v>8826</v>
      </c>
      <c r="I23" s="1397"/>
      <c r="J23" s="981"/>
      <c r="K23" s="1341" t="s">
        <v>8827</v>
      </c>
      <c r="L23" s="980"/>
      <c r="M23" s="981"/>
      <c r="N23" s="981"/>
      <c r="O23" s="981"/>
      <c r="P23" s="981"/>
      <c r="Q23" s="1341" t="s">
        <v>8828</v>
      </c>
      <c r="R23" s="1341" t="s">
        <v>8829</v>
      </c>
      <c r="S23" s="981"/>
      <c r="T23" s="1341" t="s">
        <v>8830</v>
      </c>
      <c r="U23" s="1433" t="s">
        <v>8831</v>
      </c>
      <c r="V23" s="1434"/>
      <c r="W23" s="1341" t="s">
        <v>369</v>
      </c>
      <c r="X23" s="980"/>
      <c r="Y23" s="1341" t="s">
        <v>5169</v>
      </c>
      <c r="Z23" s="981"/>
      <c r="AA23" s="981"/>
      <c r="AB23" s="981"/>
      <c r="AC23" s="1341" t="s">
        <v>8832</v>
      </c>
      <c r="AD23" s="1341" t="s">
        <v>4113</v>
      </c>
      <c r="AE23" s="1328"/>
      <c r="AF23" s="983" t="s">
        <v>722</v>
      </c>
      <c r="AG23" s="1328"/>
      <c r="AH23" s="1341" t="s">
        <v>7618</v>
      </c>
      <c r="AI23" s="1341" t="s">
        <v>5622</v>
      </c>
      <c r="AJ23" s="981"/>
      <c r="AK23" s="981"/>
      <c r="AL23" s="981"/>
      <c r="AM23" s="981"/>
      <c r="AN23" s="981"/>
      <c r="AO23" s="981"/>
      <c r="AP23" s="981"/>
      <c r="AQ23" s="981"/>
      <c r="AR23" s="981"/>
      <c r="AS23" s="981"/>
      <c r="AT23" s="981"/>
      <c r="AU23" s="981"/>
      <c r="AV23" s="981"/>
      <c r="AW23" s="981"/>
      <c r="AX23" s="980"/>
      <c r="AY23" s="1341" t="s">
        <v>8696</v>
      </c>
      <c r="AZ23" s="981"/>
      <c r="BA23" s="981"/>
      <c r="BB23" s="1341" t="s">
        <v>8618</v>
      </c>
      <c r="BC23" s="981"/>
      <c r="BD23" s="981"/>
      <c r="BE23" s="981"/>
      <c r="BF23" s="981"/>
      <c r="BG23" s="1407"/>
      <c r="BH23" s="1407"/>
      <c r="BI23" s="1407"/>
      <c r="BJ23" s="1407"/>
      <c r="BK23" s="1407"/>
      <c r="BL23" s="1407"/>
      <c r="BM23" s="1407"/>
      <c r="BN23" s="1407"/>
      <c r="BO23" s="1407"/>
      <c r="BP23" s="1407"/>
      <c r="BQ23" s="981"/>
      <c r="BR23" s="981"/>
      <c r="BS23" s="981"/>
      <c r="BT23" s="981"/>
      <c r="BU23" s="981"/>
      <c r="BV23" s="980"/>
      <c r="BW23" s="1341" t="s">
        <v>5454</v>
      </c>
      <c r="BX23" s="981"/>
      <c r="BY23" s="981"/>
      <c r="BZ23" s="981"/>
      <c r="CA23" s="1332"/>
      <c r="CB23" s="981"/>
      <c r="CC23" s="981"/>
      <c r="CD23" s="1332"/>
      <c r="CE23" s="1435"/>
      <c r="CF23" s="1435"/>
      <c r="CG23" s="1435"/>
      <c r="CH23" s="1435"/>
      <c r="CI23" s="1435"/>
      <c r="CJ23" s="1435"/>
      <c r="CK23" s="1435"/>
      <c r="CL23" s="1435"/>
      <c r="CM23" s="981"/>
      <c r="CN23" s="981"/>
      <c r="CO23" s="981"/>
      <c r="CP23" s="981"/>
      <c r="CQ23" s="981"/>
      <c r="CR23" s="981"/>
      <c r="CS23" s="981"/>
      <c r="CT23" s="983" t="s">
        <v>8833</v>
      </c>
      <c r="CU23" s="1328"/>
    </row>
    <row r="24">
      <c r="A24" s="1436" t="s">
        <v>5306</v>
      </c>
      <c r="B24" s="788" t="s">
        <v>8834</v>
      </c>
      <c r="C24" s="784" t="s">
        <v>1256</v>
      </c>
      <c r="D24" s="785" t="s">
        <v>1256</v>
      </c>
      <c r="E24" s="786" t="s">
        <v>437</v>
      </c>
      <c r="F24" s="787" t="s">
        <v>438</v>
      </c>
      <c r="G24" s="788" t="s">
        <v>1634</v>
      </c>
      <c r="H24" s="1414" t="s">
        <v>8835</v>
      </c>
      <c r="I24" s="1414" t="s">
        <v>5312</v>
      </c>
      <c r="J24" s="1328"/>
      <c r="K24" s="1341" t="s">
        <v>8836</v>
      </c>
      <c r="L24" s="980"/>
      <c r="M24" s="980"/>
      <c r="N24" s="1341" t="s">
        <v>8837</v>
      </c>
      <c r="O24" s="1341" t="s">
        <v>8838</v>
      </c>
      <c r="P24" s="1341" t="s">
        <v>8839</v>
      </c>
      <c r="Q24" s="1341" t="s">
        <v>8840</v>
      </c>
      <c r="R24" s="1341" t="s">
        <v>8841</v>
      </c>
      <c r="S24" s="1341" t="s">
        <v>5330</v>
      </c>
      <c r="T24" s="1341" t="s">
        <v>8842</v>
      </c>
      <c r="U24" s="1341" t="s">
        <v>8843</v>
      </c>
      <c r="V24" s="980"/>
      <c r="W24" s="1341" t="s">
        <v>6102</v>
      </c>
      <c r="X24" s="980"/>
      <c r="Y24" s="981"/>
      <c r="Z24" s="981"/>
      <c r="AA24" s="981"/>
      <c r="AB24" s="981"/>
      <c r="AC24" s="1341" t="s">
        <v>8844</v>
      </c>
      <c r="AD24" s="1341" t="s">
        <v>5909</v>
      </c>
      <c r="AE24" s="980"/>
      <c r="AF24" s="1341" t="s">
        <v>6958</v>
      </c>
      <c r="AG24" s="980"/>
      <c r="AH24" s="1341" t="s">
        <v>3331</v>
      </c>
      <c r="AI24" s="980"/>
      <c r="AJ24" s="980"/>
      <c r="AK24" s="981"/>
      <c r="AL24" s="981"/>
      <c r="AM24" s="1341" t="s">
        <v>8572</v>
      </c>
      <c r="AN24" s="1341" t="s">
        <v>8491</v>
      </c>
      <c r="AO24" s="1341" t="s">
        <v>8591</v>
      </c>
      <c r="AP24" s="1341" t="s">
        <v>8686</v>
      </c>
      <c r="AQ24" s="980"/>
      <c r="AR24" s="1341" t="s">
        <v>8791</v>
      </c>
      <c r="AS24" s="980"/>
      <c r="AT24" s="1341" t="s">
        <v>8845</v>
      </c>
      <c r="AU24" s="1341" t="s">
        <v>8846</v>
      </c>
      <c r="AV24" s="980"/>
      <c r="AW24" s="1341" t="s">
        <v>8617</v>
      </c>
      <c r="AX24" s="980"/>
      <c r="AY24" s="1341" t="s">
        <v>8779</v>
      </c>
      <c r="AZ24" s="981"/>
      <c r="BA24" s="981"/>
      <c r="BB24" s="1341" t="s">
        <v>8687</v>
      </c>
      <c r="BC24" s="980" t="s">
        <v>8779</v>
      </c>
      <c r="BD24" s="1341" t="s">
        <v>8793</v>
      </c>
      <c r="BE24" s="980"/>
      <c r="BF24" s="980"/>
      <c r="BG24" s="1437" t="s">
        <v>8847</v>
      </c>
      <c r="BH24" s="1438" t="s">
        <v>8848</v>
      </c>
      <c r="BI24" s="917"/>
      <c r="BJ24" s="917"/>
      <c r="BK24" s="917"/>
      <c r="BL24" s="925" t="s">
        <v>8849</v>
      </c>
      <c r="BM24" s="925" t="s">
        <v>8850</v>
      </c>
      <c r="BN24" s="917"/>
      <c r="BO24" s="917"/>
      <c r="BP24" s="917"/>
      <c r="BQ24" s="981"/>
      <c r="BR24" s="980" t="s">
        <v>8851</v>
      </c>
      <c r="BS24" s="981"/>
      <c r="BT24" s="981"/>
      <c r="BU24" s="981"/>
      <c r="BV24" s="1439" t="s">
        <v>162</v>
      </c>
      <c r="BW24" s="1341" t="s">
        <v>1694</v>
      </c>
      <c r="BX24" s="1341" t="s">
        <v>1629</v>
      </c>
      <c r="BY24" s="1338" t="s">
        <v>4965</v>
      </c>
      <c r="BZ24" s="1341" t="s">
        <v>2253</v>
      </c>
      <c r="CA24" s="1341" t="s">
        <v>5491</v>
      </c>
      <c r="CB24" s="1341" t="s">
        <v>2132</v>
      </c>
      <c r="CC24" s="1341" t="s">
        <v>8852</v>
      </c>
      <c r="CD24" s="1341"/>
      <c r="CE24" s="1404" t="s">
        <v>8813</v>
      </c>
      <c r="CF24" s="1404" t="s">
        <v>8853</v>
      </c>
      <c r="CG24" s="1404" t="s">
        <v>8854</v>
      </c>
      <c r="CH24" s="1390"/>
      <c r="CI24" s="1387"/>
      <c r="CJ24" s="1387"/>
      <c r="CK24" s="1387"/>
      <c r="CL24" s="1387"/>
      <c r="CM24" s="1387"/>
      <c r="CN24" s="1387"/>
      <c r="CO24" s="1387"/>
      <c r="CP24" s="1387"/>
      <c r="CQ24" s="1387"/>
      <c r="CR24" s="1387"/>
      <c r="CS24" s="1387"/>
      <c r="CT24" s="983" t="s">
        <v>4902</v>
      </c>
      <c r="CU24" s="1328"/>
    </row>
    <row r="25">
      <c r="A25" s="1440" t="s">
        <v>7444</v>
      </c>
      <c r="B25" s="788" t="s">
        <v>8855</v>
      </c>
      <c r="C25" s="784" t="s">
        <v>1256</v>
      </c>
      <c r="D25" s="785" t="s">
        <v>1256</v>
      </c>
      <c r="E25" s="786" t="s">
        <v>1256</v>
      </c>
      <c r="F25" s="787" t="s">
        <v>1256</v>
      </c>
      <c r="G25" s="788" t="s">
        <v>2872</v>
      </c>
      <c r="H25" s="1397"/>
      <c r="I25" s="1397" t="s">
        <v>8856</v>
      </c>
      <c r="J25" s="980"/>
      <c r="K25" s="980" t="s">
        <v>8857</v>
      </c>
      <c r="L25" s="980"/>
      <c r="M25" s="981"/>
      <c r="N25" s="1332" t="s">
        <v>8858</v>
      </c>
      <c r="O25" s="981"/>
      <c r="P25" s="981"/>
      <c r="Q25" s="981"/>
      <c r="R25" s="1341" t="s">
        <v>8859</v>
      </c>
      <c r="S25" s="981"/>
      <c r="T25" s="1341" t="s">
        <v>8860</v>
      </c>
      <c r="U25" s="1341" t="s">
        <v>8861</v>
      </c>
      <c r="V25" s="980"/>
      <c r="W25" s="1341" t="s">
        <v>2752</v>
      </c>
      <c r="X25" s="980"/>
      <c r="Y25" s="1341" t="s">
        <v>1011</v>
      </c>
      <c r="Z25" s="1332" t="s">
        <v>8862</v>
      </c>
      <c r="AA25" s="981"/>
      <c r="AB25" s="981"/>
      <c r="AC25" s="980"/>
      <c r="AD25" s="1341" t="s">
        <v>1978</v>
      </c>
      <c r="AE25" s="980"/>
      <c r="AF25" s="980"/>
      <c r="AG25" s="980"/>
      <c r="AH25" s="980"/>
      <c r="AI25" s="1332" t="s">
        <v>8863</v>
      </c>
      <c r="AJ25" s="981"/>
      <c r="AK25" s="981"/>
      <c r="AL25" s="981"/>
      <c r="AM25" s="1332" t="s">
        <v>8864</v>
      </c>
      <c r="AN25" s="981"/>
      <c r="AO25" s="981"/>
      <c r="AP25" s="980" t="s">
        <v>8865</v>
      </c>
      <c r="AQ25" s="981"/>
      <c r="AR25" s="1332" t="s">
        <v>8866</v>
      </c>
      <c r="AS25" s="981"/>
      <c r="AT25" s="1332" t="s">
        <v>8867</v>
      </c>
      <c r="AU25" s="980" t="s">
        <v>8868</v>
      </c>
      <c r="AV25" s="980"/>
      <c r="AW25" s="980" t="s">
        <v>8820</v>
      </c>
      <c r="AX25" s="981"/>
      <c r="AY25" s="1332" t="s">
        <v>8869</v>
      </c>
      <c r="AZ25" s="980"/>
      <c r="BA25" s="980"/>
      <c r="BB25" s="1332" t="s">
        <v>8870</v>
      </c>
      <c r="BC25" s="980"/>
      <c r="BD25" s="981"/>
      <c r="BE25" s="981"/>
      <c r="BF25" s="981"/>
      <c r="BG25" s="981"/>
      <c r="BH25" s="981"/>
      <c r="BI25" s="981"/>
      <c r="BJ25" s="981"/>
      <c r="BK25" s="981"/>
      <c r="BL25" s="981"/>
      <c r="BM25" s="981"/>
      <c r="BN25" s="981"/>
      <c r="BO25" s="981"/>
      <c r="BP25" s="981"/>
      <c r="BQ25" s="981"/>
      <c r="BR25" s="981"/>
      <c r="BS25" s="981"/>
      <c r="BT25" s="981"/>
      <c r="BU25" s="981"/>
      <c r="BV25" s="981"/>
      <c r="BW25" s="1332"/>
      <c r="BX25" s="981"/>
      <c r="BY25" s="981"/>
      <c r="BZ25" s="981"/>
      <c r="CA25" s="1332"/>
      <c r="CB25" s="981"/>
      <c r="CC25" s="981"/>
      <c r="CD25" s="1332"/>
      <c r="CE25" s="981"/>
      <c r="CF25" s="981"/>
      <c r="CG25" s="981"/>
      <c r="CH25" s="981"/>
      <c r="CI25" s="981"/>
      <c r="CJ25" s="981"/>
      <c r="CK25" s="981"/>
      <c r="CL25" s="981"/>
      <c r="CM25" s="981"/>
      <c r="CN25" s="981"/>
      <c r="CO25" s="981"/>
      <c r="CP25" s="981"/>
      <c r="CQ25" s="981"/>
      <c r="CR25" s="981"/>
      <c r="CS25" s="981"/>
      <c r="CT25" s="981"/>
      <c r="CU25" s="981"/>
    </row>
    <row r="26">
      <c r="A26" s="1399" t="s">
        <v>7483</v>
      </c>
      <c r="B26" s="788" t="s">
        <v>8871</v>
      </c>
      <c r="C26" s="784" t="s">
        <v>1256</v>
      </c>
      <c r="D26" s="785" t="s">
        <v>1256</v>
      </c>
      <c r="E26" s="786" t="s">
        <v>1256</v>
      </c>
      <c r="F26" s="787" t="s">
        <v>332</v>
      </c>
      <c r="G26" s="788" t="s">
        <v>3380</v>
      </c>
      <c r="H26" s="1397"/>
      <c r="I26" s="1397" t="s">
        <v>8872</v>
      </c>
      <c r="J26" s="980"/>
      <c r="K26" s="980" t="s">
        <v>8873</v>
      </c>
      <c r="L26" s="983" t="s">
        <v>3762</v>
      </c>
      <c r="M26" s="981"/>
      <c r="N26" s="981"/>
      <c r="O26" s="981"/>
      <c r="P26" s="980" t="s">
        <v>5801</v>
      </c>
      <c r="Q26" s="981"/>
      <c r="R26" s="983" t="s">
        <v>8874</v>
      </c>
      <c r="S26" s="981"/>
      <c r="T26" s="981"/>
      <c r="U26" s="980" t="s">
        <v>751</v>
      </c>
      <c r="V26" s="980"/>
      <c r="W26" s="1341" t="s">
        <v>4325</v>
      </c>
      <c r="X26" s="980" t="s">
        <v>3548</v>
      </c>
      <c r="Y26" s="983" t="s">
        <v>5839</v>
      </c>
      <c r="Z26" s="981"/>
      <c r="AA26" s="981"/>
      <c r="AB26" s="981"/>
      <c r="AC26" s="1341" t="s">
        <v>8875</v>
      </c>
      <c r="AD26" s="1341" t="s">
        <v>5736</v>
      </c>
      <c r="AE26" s="980"/>
      <c r="AF26" s="1341" t="s">
        <v>8876</v>
      </c>
      <c r="AG26" s="980"/>
      <c r="AH26" s="1341" t="s">
        <v>8877</v>
      </c>
      <c r="AI26" s="981"/>
      <c r="AJ26" s="981"/>
      <c r="AK26" s="1346" t="s">
        <v>3807</v>
      </c>
      <c r="AL26" s="1441"/>
      <c r="AM26" s="981"/>
      <c r="AN26" s="981"/>
      <c r="AO26" s="981"/>
      <c r="AP26" s="981"/>
      <c r="AQ26" s="981"/>
      <c r="AR26" s="1341" t="s">
        <v>8878</v>
      </c>
      <c r="AS26" s="980"/>
      <c r="AT26" s="981"/>
      <c r="AU26" s="981"/>
      <c r="AV26" s="981"/>
      <c r="AW26" s="1341" t="s">
        <v>8528</v>
      </c>
      <c r="AX26" s="981"/>
      <c r="AY26" s="981"/>
      <c r="AZ26" s="981"/>
      <c r="BA26" s="981"/>
      <c r="BB26" s="1341" t="s">
        <v>8373</v>
      </c>
      <c r="BC26" s="981"/>
      <c r="BD26" s="981"/>
      <c r="BE26" s="981"/>
      <c r="BF26" s="981"/>
      <c r="BG26" s="981"/>
      <c r="BH26" s="981"/>
      <c r="BI26" s="981"/>
      <c r="BJ26" s="981"/>
      <c r="BK26" s="981"/>
      <c r="BL26" s="981"/>
      <c r="BM26" s="981"/>
      <c r="BN26" s="981"/>
      <c r="BO26" s="981"/>
      <c r="BP26" s="981"/>
      <c r="BQ26" s="981"/>
      <c r="BR26" s="981"/>
      <c r="BS26" s="981"/>
      <c r="BT26" s="981"/>
      <c r="BU26" s="981"/>
      <c r="BV26" s="981"/>
      <c r="BW26" s="1332"/>
      <c r="BX26" s="981"/>
      <c r="BY26" s="981"/>
      <c r="BZ26" s="981"/>
      <c r="CA26" s="1332"/>
      <c r="CB26" s="981"/>
      <c r="CC26" s="981"/>
      <c r="CD26" s="1332"/>
      <c r="CE26" s="981"/>
      <c r="CF26" s="981"/>
      <c r="CG26" s="981"/>
      <c r="CH26" s="981"/>
      <c r="CI26" s="981"/>
      <c r="CJ26" s="981"/>
      <c r="CK26" s="981"/>
      <c r="CL26" s="981"/>
      <c r="CM26" s="1341" t="s">
        <v>4050</v>
      </c>
      <c r="CN26" s="1341" t="s">
        <v>220</v>
      </c>
      <c r="CO26" s="1341" t="s">
        <v>4675</v>
      </c>
      <c r="CP26" s="981"/>
      <c r="CQ26" s="981"/>
      <c r="CR26" s="981"/>
      <c r="CS26" s="981"/>
      <c r="CT26" s="981"/>
      <c r="CU26" s="981"/>
    </row>
    <row r="27">
      <c r="A27" s="1391" t="s">
        <v>7462</v>
      </c>
      <c r="B27" s="788" t="s">
        <v>224</v>
      </c>
      <c r="C27" s="784" t="s">
        <v>1256</v>
      </c>
      <c r="D27" s="785" t="s">
        <v>1256</v>
      </c>
      <c r="E27" s="786" t="s">
        <v>1256</v>
      </c>
      <c r="F27" s="787" t="s">
        <v>332</v>
      </c>
      <c r="G27" s="788" t="s">
        <v>2773</v>
      </c>
      <c r="H27" s="1397"/>
      <c r="I27" s="1397" t="s">
        <v>8879</v>
      </c>
      <c r="J27" s="981"/>
      <c r="K27" s="980" t="s">
        <v>8880</v>
      </c>
      <c r="L27" s="981"/>
      <c r="M27" s="981"/>
      <c r="N27" s="981"/>
      <c r="O27" s="981"/>
      <c r="P27" s="980" t="s">
        <v>8881</v>
      </c>
      <c r="Q27" s="981"/>
      <c r="R27" s="980" t="s">
        <v>8882</v>
      </c>
      <c r="S27" s="981"/>
      <c r="T27" s="980" t="s">
        <v>8883</v>
      </c>
      <c r="U27" s="983" t="s">
        <v>5407</v>
      </c>
      <c r="V27" s="981"/>
      <c r="W27" s="981"/>
      <c r="X27" s="980" t="s">
        <v>7687</v>
      </c>
      <c r="Y27" s="983" t="s">
        <v>7776</v>
      </c>
      <c r="Z27" s="981"/>
      <c r="AA27" s="980" t="s">
        <v>8884</v>
      </c>
      <c r="AB27" s="981"/>
      <c r="AC27" s="980" t="s">
        <v>8885</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2"/>
      <c r="BX27" s="981"/>
      <c r="BY27" s="981"/>
      <c r="BZ27" s="981"/>
      <c r="CA27" s="1332"/>
      <c r="CB27" s="981"/>
      <c r="CC27" s="981"/>
      <c r="CD27" s="1332"/>
      <c r="CE27" s="981"/>
      <c r="CF27" s="981"/>
      <c r="CG27" s="981"/>
      <c r="CH27" s="981"/>
      <c r="CI27" s="981"/>
      <c r="CJ27" s="981"/>
      <c r="CK27" s="981"/>
      <c r="CL27" s="981"/>
      <c r="CM27" s="981"/>
      <c r="CN27" s="981"/>
      <c r="CO27" s="981"/>
      <c r="CP27" s="981"/>
      <c r="CQ27" s="981"/>
      <c r="CR27" s="981"/>
      <c r="CS27" s="981"/>
      <c r="CT27" s="981"/>
      <c r="CU27" s="981"/>
    </row>
    <row r="28">
      <c r="A28" s="1429" t="s">
        <v>4673</v>
      </c>
      <c r="B28" s="788" t="s">
        <v>6032</v>
      </c>
      <c r="C28" s="784" t="s">
        <v>438</v>
      </c>
      <c r="D28" s="785" t="s">
        <v>1256</v>
      </c>
      <c r="E28" s="786" t="s">
        <v>546</v>
      </c>
      <c r="F28" s="787" t="s">
        <v>1197</v>
      </c>
      <c r="G28" s="788" t="s">
        <v>1197</v>
      </c>
      <c r="H28" s="1442"/>
      <c r="I28" s="1442"/>
      <c r="J28" s="981"/>
      <c r="K28" s="981"/>
      <c r="L28" s="981"/>
      <c r="M28" s="981"/>
      <c r="N28" s="981"/>
      <c r="O28" s="981"/>
      <c r="P28" s="981"/>
      <c r="Q28" s="981"/>
      <c r="R28" s="981"/>
      <c r="S28" s="981"/>
      <c r="T28" s="981"/>
      <c r="U28" s="981"/>
      <c r="V28" s="981"/>
      <c r="W28" s="981"/>
      <c r="X28" s="1333" t="s">
        <v>2982</v>
      </c>
      <c r="Y28" s="1333" t="s">
        <v>8741</v>
      </c>
      <c r="Z28" s="981"/>
      <c r="AA28" s="981"/>
      <c r="AB28" s="981"/>
      <c r="AC28" s="1333"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7"/>
      <c r="BH28" s="1407"/>
      <c r="BI28" s="1407"/>
      <c r="BJ28" s="1407"/>
      <c r="BK28" s="1407"/>
      <c r="BL28" s="1407"/>
      <c r="BM28" s="1407"/>
      <c r="BN28" s="1407"/>
      <c r="BO28" s="1407"/>
      <c r="BP28" s="1407"/>
      <c r="BQ28" s="981"/>
      <c r="BR28" s="981"/>
      <c r="BS28" s="981"/>
      <c r="BT28" s="981"/>
      <c r="BU28" s="981"/>
      <c r="BV28" s="1338" t="s">
        <v>4005</v>
      </c>
      <c r="BW28" s="1332"/>
      <c r="BX28" s="1333" t="s">
        <v>1752</v>
      </c>
      <c r="BY28" s="981"/>
      <c r="BZ28" s="1333" t="s">
        <v>8886</v>
      </c>
      <c r="CA28" s="1332"/>
      <c r="CB28" s="981"/>
      <c r="CC28" s="981"/>
      <c r="CD28" s="1443" t="s">
        <v>2069</v>
      </c>
      <c r="CE28" s="981"/>
      <c r="CF28" s="981"/>
      <c r="CG28" s="981"/>
      <c r="CH28" s="981"/>
      <c r="CI28" s="981"/>
      <c r="CJ28" s="981"/>
      <c r="CK28" s="981"/>
      <c r="CL28" s="981"/>
      <c r="CM28" s="981"/>
      <c r="CN28" s="981"/>
      <c r="CO28" s="981"/>
      <c r="CP28" s="981"/>
      <c r="CQ28" s="981"/>
      <c r="CR28" s="981"/>
      <c r="CS28" s="981"/>
      <c r="CT28" s="981"/>
      <c r="CU28" s="981"/>
    </row>
    <row r="29">
      <c r="A29" s="1444" t="s">
        <v>435</v>
      </c>
      <c r="B29" s="788" t="s">
        <v>6615</v>
      </c>
      <c r="C29" s="784" t="s">
        <v>1256</v>
      </c>
      <c r="D29" s="785" t="s">
        <v>546</v>
      </c>
      <c r="E29" s="786" t="s">
        <v>546</v>
      </c>
      <c r="F29" s="787" t="s">
        <v>647</v>
      </c>
      <c r="G29" s="788" t="s">
        <v>647</v>
      </c>
      <c r="H29" s="1397"/>
      <c r="I29" s="1397"/>
      <c r="J29" s="981"/>
      <c r="K29" s="981"/>
      <c r="L29" s="981"/>
      <c r="M29" s="981"/>
      <c r="N29" s="981"/>
      <c r="O29" s="981"/>
      <c r="P29" s="981"/>
      <c r="Q29" s="981"/>
      <c r="R29" s="981"/>
      <c r="S29" s="981"/>
      <c r="T29" s="981"/>
      <c r="U29" s="981"/>
      <c r="V29" s="981"/>
      <c r="W29" s="981"/>
      <c r="X29" s="983" t="s">
        <v>3284</v>
      </c>
      <c r="Y29" s="1338" t="s">
        <v>5295</v>
      </c>
      <c r="Z29" s="981"/>
      <c r="AA29" s="981"/>
      <c r="AB29" s="981"/>
      <c r="AC29" s="981"/>
      <c r="AD29" s="981"/>
      <c r="AE29" s="1328"/>
      <c r="AF29" s="1339"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7"/>
      <c r="BH29" s="1407"/>
      <c r="BI29" s="1407"/>
      <c r="BJ29" s="1407"/>
      <c r="BK29" s="1407"/>
      <c r="BL29" s="1407"/>
      <c r="BM29" s="1407"/>
      <c r="BN29" s="1407"/>
      <c r="BO29" s="1407"/>
      <c r="BP29" s="1407"/>
      <c r="BQ29" s="981"/>
      <c r="BR29" s="981"/>
      <c r="BS29" s="981"/>
      <c r="BT29" s="981"/>
      <c r="BU29" s="981"/>
      <c r="BV29" s="980"/>
      <c r="BW29" s="1341"/>
      <c r="BX29" s="980"/>
      <c r="BY29" s="980"/>
      <c r="BZ29" s="980"/>
      <c r="CA29" s="1341"/>
      <c r="CB29" s="980"/>
      <c r="CC29" s="980"/>
      <c r="CD29" s="1341"/>
      <c r="CE29" s="1387"/>
      <c r="CF29" s="1387"/>
      <c r="CG29" s="1387"/>
      <c r="CH29" s="1387"/>
      <c r="CI29" s="1387"/>
      <c r="CJ29" s="1387"/>
      <c r="CK29" s="1387"/>
      <c r="CL29" s="1387"/>
      <c r="CM29" s="1387"/>
      <c r="CN29" s="1387"/>
      <c r="CO29" s="1387"/>
      <c r="CP29" s="1387"/>
      <c r="CQ29" s="1387"/>
      <c r="CR29" s="1387"/>
      <c r="CS29" s="1387"/>
      <c r="CT29" s="981"/>
      <c r="CU29" s="981"/>
    </row>
    <row r="30">
      <c r="A30" s="1436" t="s">
        <v>825</v>
      </c>
      <c r="B30" s="788" t="s">
        <v>3537</v>
      </c>
      <c r="C30" s="784" t="s">
        <v>1256</v>
      </c>
      <c r="D30" s="785" t="s">
        <v>1256</v>
      </c>
      <c r="E30" s="786" t="s">
        <v>1256</v>
      </c>
      <c r="F30" s="787" t="s">
        <v>437</v>
      </c>
      <c r="G30" s="788" t="s">
        <v>647</v>
      </c>
      <c r="H30" s="1397"/>
      <c r="I30" s="1397"/>
      <c r="J30" s="92"/>
      <c r="K30" s="92"/>
      <c r="L30" s="92"/>
      <c r="M30" s="92"/>
      <c r="N30" s="92"/>
      <c r="O30" s="92"/>
      <c r="P30" s="92"/>
      <c r="Q30" s="92"/>
      <c r="R30" s="113" t="s">
        <v>8887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8888</v>
      </c>
      <c r="AV30" s="1441"/>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9" t="s">
        <v>4947</v>
      </c>
      <c r="B31" s="788" t="s">
        <v>2153</v>
      </c>
      <c r="C31" s="784" t="s">
        <v>1256</v>
      </c>
      <c r="D31" s="785" t="s">
        <v>1256</v>
      </c>
      <c r="E31" s="786" t="s">
        <v>1256</v>
      </c>
      <c r="F31" s="787" t="s">
        <v>1256</v>
      </c>
      <c r="G31" s="788" t="s">
        <v>221</v>
      </c>
      <c r="H31" s="1397"/>
      <c r="I31" s="1397" t="s">
        <v>7551</v>
      </c>
      <c r="J31" s="981"/>
      <c r="K31" s="980" t="s">
        <v>8889</v>
      </c>
      <c r="L31" s="981"/>
      <c r="M31" s="981"/>
      <c r="N31" s="981"/>
      <c r="O31" s="981"/>
      <c r="P31" s="980" t="s">
        <v>8890</v>
      </c>
      <c r="Q31" s="981"/>
      <c r="R31" s="981"/>
      <c r="S31" s="981"/>
      <c r="T31" s="980" t="s">
        <v>8891</v>
      </c>
      <c r="U31" s="980" t="s">
        <v>8892</v>
      </c>
      <c r="V31" s="981"/>
      <c r="W31" s="980" t="s">
        <v>249</v>
      </c>
      <c r="X31" s="980" t="s">
        <v>8893</v>
      </c>
      <c r="Y31" s="980" t="s">
        <v>366</v>
      </c>
      <c r="Z31" s="981"/>
      <c r="AA31" s="981"/>
      <c r="AB31" s="981"/>
      <c r="AC31" s="981"/>
      <c r="AD31" s="981"/>
      <c r="AE31" s="981"/>
      <c r="AF31" s="981"/>
      <c r="AG31" s="981"/>
      <c r="AH31" s="981"/>
      <c r="AI31" s="981"/>
      <c r="AJ31" s="981"/>
      <c r="AK31" s="981"/>
      <c r="AL31" s="981"/>
      <c r="AM31" s="981"/>
      <c r="AN31" s="981"/>
      <c r="AO31" s="981"/>
      <c r="AP31" s="1019" t="s">
        <v>8634</v>
      </c>
      <c r="AQ31" s="1019"/>
      <c r="AR31" s="981"/>
      <c r="AS31" s="980" t="s">
        <v>8792</v>
      </c>
      <c r="AT31" s="981"/>
      <c r="AU31" s="980" t="s">
        <v>8878</v>
      </c>
      <c r="AV31" s="981"/>
      <c r="AW31" s="981"/>
      <c r="AX31" s="981"/>
      <c r="AY31" s="981"/>
      <c r="AZ31" s="980" t="s">
        <v>2376</v>
      </c>
      <c r="BA31" s="981"/>
      <c r="BB31" s="1019" t="s">
        <v>8894</v>
      </c>
      <c r="BC31" s="980" t="s">
        <v>8518</v>
      </c>
      <c r="BD31" s="980"/>
      <c r="BE31" s="981"/>
      <c r="BF31" s="981"/>
      <c r="BG31" s="981"/>
      <c r="BH31" s="981"/>
      <c r="BI31" s="981"/>
      <c r="BJ31" s="981"/>
      <c r="BK31" s="981"/>
      <c r="BL31" s="981"/>
      <c r="BM31" s="981"/>
      <c r="BN31" s="981"/>
      <c r="BO31" s="981"/>
      <c r="BP31" s="981"/>
      <c r="BQ31" s="981"/>
      <c r="BR31" s="981"/>
      <c r="BS31" s="981"/>
      <c r="BT31" s="981"/>
      <c r="BU31" s="981"/>
      <c r="BV31" s="981"/>
      <c r="BW31" s="1332"/>
      <c r="BX31" s="981"/>
      <c r="BY31" s="981"/>
      <c r="BZ31" s="981"/>
      <c r="CA31" s="1332"/>
      <c r="CB31" s="981"/>
      <c r="CC31" s="981"/>
      <c r="CD31" s="1332"/>
      <c r="CE31" s="981"/>
      <c r="CF31" s="981"/>
      <c r="CG31" s="981"/>
      <c r="CH31" s="981"/>
      <c r="CI31" s="981"/>
      <c r="CJ31" s="981"/>
      <c r="CK31" s="981"/>
      <c r="CL31" s="981"/>
      <c r="CM31" s="981"/>
      <c r="CN31" s="981"/>
      <c r="CO31" s="981"/>
      <c r="CP31" s="981"/>
      <c r="CQ31" s="981"/>
      <c r="CR31" s="981"/>
      <c r="CS31" s="981"/>
      <c r="CT31" s="981"/>
      <c r="CU31" s="981"/>
    </row>
    <row r="32">
      <c r="A32" s="1445" t="s">
        <v>4539</v>
      </c>
      <c r="B32" s="788" t="s">
        <v>4776</v>
      </c>
      <c r="C32" s="784" t="s">
        <v>1256</v>
      </c>
      <c r="D32" s="785" t="s">
        <v>1256</v>
      </c>
      <c r="E32" s="786" t="s">
        <v>1256</v>
      </c>
      <c r="F32" s="787" t="s">
        <v>1256</v>
      </c>
      <c r="G32" s="788" t="s">
        <v>981</v>
      </c>
      <c r="H32" s="1397"/>
      <c r="I32" s="1397"/>
      <c r="J32" s="981"/>
      <c r="K32" s="981"/>
      <c r="L32" s="981"/>
      <c r="M32" s="981"/>
      <c r="N32" s="981"/>
      <c r="O32" s="981"/>
      <c r="P32" s="981"/>
      <c r="Q32" s="981"/>
      <c r="R32" s="981"/>
      <c r="S32" s="981"/>
      <c r="T32" s="981"/>
      <c r="U32" s="981"/>
      <c r="V32" s="981"/>
      <c r="W32" s="1341" t="s">
        <v>669</v>
      </c>
      <c r="X32" s="980"/>
      <c r="Y32" s="1341" t="s">
        <v>6083</v>
      </c>
      <c r="Z32" s="981"/>
      <c r="AA32" s="981"/>
      <c r="AB32" s="981"/>
      <c r="AC32" s="1341" t="s">
        <v>8895</v>
      </c>
      <c r="AD32" s="980" t="s">
        <v>2126</v>
      </c>
      <c r="AE32" s="980"/>
      <c r="AF32" s="1341" t="s">
        <v>7244</v>
      </c>
      <c r="AG32" s="980"/>
      <c r="AH32" s="1341" t="s">
        <v>4448</v>
      </c>
      <c r="AI32" s="981"/>
      <c r="AJ32" s="981"/>
      <c r="AK32" s="981"/>
      <c r="AL32" s="981"/>
      <c r="AM32" s="981"/>
      <c r="AN32" s="981"/>
      <c r="AO32" s="981"/>
      <c r="AP32" s="981"/>
      <c r="AQ32" s="981"/>
      <c r="AR32" s="981"/>
      <c r="AS32" s="981"/>
      <c r="AT32" s="981"/>
      <c r="AU32" s="981"/>
      <c r="AV32" s="981"/>
      <c r="AW32" s="981"/>
      <c r="AX32" s="981"/>
      <c r="AY32" s="981"/>
      <c r="AZ32" s="981"/>
      <c r="BA32" s="981"/>
      <c r="BB32" s="1341" t="s">
        <v>8491</v>
      </c>
      <c r="BC32" s="981"/>
      <c r="BD32" s="981"/>
      <c r="BE32" s="981"/>
      <c r="BF32" s="981"/>
      <c r="BG32" s="1407"/>
      <c r="BH32" s="1407"/>
      <c r="BI32" s="1407"/>
      <c r="BJ32" s="1407"/>
      <c r="BK32" s="1407"/>
      <c r="BL32" s="1407"/>
      <c r="BM32" s="1407"/>
      <c r="BN32" s="1407"/>
      <c r="BO32" s="1407"/>
      <c r="BP32" s="1407"/>
      <c r="BQ32" s="981"/>
      <c r="BR32" s="981"/>
      <c r="BS32" s="981"/>
      <c r="BT32" s="981"/>
      <c r="BU32" s="981"/>
      <c r="BV32" s="981"/>
      <c r="BW32" s="1332"/>
      <c r="BX32" s="1341" t="s">
        <v>4560</v>
      </c>
      <c r="BY32" s="1341" t="s">
        <v>4475</v>
      </c>
      <c r="BZ32" s="981"/>
      <c r="CA32" s="1332"/>
      <c r="CB32" s="981"/>
      <c r="CC32" s="981"/>
      <c r="CD32" s="1332"/>
      <c r="CE32" s="1387"/>
      <c r="CF32" s="1387"/>
      <c r="CG32" s="1387"/>
      <c r="CH32" s="1387"/>
      <c r="CI32" s="1387"/>
      <c r="CJ32" s="1387"/>
      <c r="CK32" s="1387"/>
      <c r="CL32" s="1387"/>
      <c r="CM32" s="1387"/>
      <c r="CN32" s="1387"/>
      <c r="CO32" s="1387"/>
      <c r="CP32" s="1387"/>
      <c r="CQ32" s="1387"/>
      <c r="CR32" s="1387"/>
      <c r="CS32" s="1387"/>
      <c r="CT32" s="981"/>
      <c r="CU32" s="981"/>
    </row>
    <row r="33">
      <c r="A33" s="1446" t="s">
        <v>6202</v>
      </c>
      <c r="B33" s="788" t="s">
        <v>1634</v>
      </c>
      <c r="C33" s="784" t="s">
        <v>1256</v>
      </c>
      <c r="D33" s="785" t="s">
        <v>1256</v>
      </c>
      <c r="E33" s="786" t="s">
        <v>1256</v>
      </c>
      <c r="F33" s="787" t="s">
        <v>647</v>
      </c>
      <c r="G33" s="788" t="s">
        <v>333</v>
      </c>
      <c r="H33" s="1397" t="s">
        <v>8896</v>
      </c>
      <c r="I33" s="1397"/>
      <c r="J33" s="981"/>
      <c r="K33" s="981"/>
      <c r="L33" s="981"/>
      <c r="M33" s="981"/>
      <c r="N33" s="981"/>
      <c r="O33" s="981"/>
      <c r="P33" s="981"/>
      <c r="Q33" s="981"/>
      <c r="R33" s="981"/>
      <c r="S33" s="981"/>
      <c r="T33" s="983" t="s">
        <v>8897</v>
      </c>
      <c r="U33" s="980" t="s">
        <v>8898</v>
      </c>
      <c r="V33" s="980" t="s">
        <v>8899</v>
      </c>
      <c r="W33" s="981"/>
      <c r="X33" s="980" t="s">
        <v>8900</v>
      </c>
      <c r="Y33" s="980" t="s">
        <v>8901</v>
      </c>
      <c r="Z33" s="981"/>
      <c r="AA33" s="981"/>
      <c r="AB33" s="981"/>
      <c r="AC33" s="983" t="s">
        <v>1741</v>
      </c>
      <c r="AD33" s="980" t="s">
        <v>5511</v>
      </c>
      <c r="AE33" s="981"/>
      <c r="AF33" s="981"/>
      <c r="AG33" s="981"/>
      <c r="AH33" s="981"/>
      <c r="AI33" s="981"/>
      <c r="AJ33" s="981"/>
      <c r="AK33" s="981"/>
      <c r="AL33" s="981"/>
      <c r="AM33" s="980" t="s">
        <v>8902</v>
      </c>
      <c r="AN33" s="981"/>
      <c r="AO33" s="981"/>
      <c r="AP33" s="980" t="s">
        <v>8443</v>
      </c>
      <c r="AQ33" s="981"/>
      <c r="AR33" s="981"/>
      <c r="AS33" s="981"/>
      <c r="AT33" s="981"/>
      <c r="AU33" s="980" t="s">
        <v>8378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2"/>
      <c r="BX33" s="981"/>
      <c r="BY33" s="981"/>
      <c r="BZ33" s="981"/>
      <c r="CA33" s="1332"/>
      <c r="CB33" s="981"/>
      <c r="CC33" s="981"/>
      <c r="CD33" s="1332"/>
      <c r="CE33" s="983" t="s">
        <v>8903</v>
      </c>
      <c r="CF33" s="981"/>
      <c r="CG33" s="981"/>
      <c r="CH33" s="981"/>
      <c r="CI33" s="981"/>
      <c r="CJ33" s="981"/>
      <c r="CK33" s="981"/>
      <c r="CL33" s="981"/>
      <c r="CM33" s="981"/>
      <c r="CN33" s="981"/>
      <c r="CO33" s="981"/>
      <c r="CP33" s="981"/>
      <c r="CQ33" s="981"/>
      <c r="CR33" s="981"/>
      <c r="CS33" s="981"/>
      <c r="CT33" s="981"/>
      <c r="CU33" s="981"/>
    </row>
    <row r="34">
      <c r="A34" s="1429" t="s">
        <v>7488</v>
      </c>
      <c r="B34" s="788" t="s">
        <v>3571</v>
      </c>
      <c r="C34" s="784" t="s">
        <v>546</v>
      </c>
      <c r="D34" s="785" t="s">
        <v>546</v>
      </c>
      <c r="E34" s="786" t="s">
        <v>1256</v>
      </c>
      <c r="F34" s="787" t="s">
        <v>437</v>
      </c>
      <c r="G34" s="788" t="s">
        <v>437</v>
      </c>
      <c r="H34" s="1397"/>
      <c r="I34" s="1397"/>
      <c r="J34" s="981"/>
      <c r="K34" s="981"/>
      <c r="L34" s="981"/>
      <c r="M34" s="981"/>
      <c r="N34" s="981"/>
      <c r="O34" s="1333" t="s">
        <v>8904</v>
      </c>
      <c r="P34" s="1339" t="s">
        <v>8905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2"/>
      <c r="BX34" s="981"/>
      <c r="BY34" s="981"/>
      <c r="BZ34" s="981"/>
      <c r="CA34" s="1332"/>
      <c r="CB34" s="981"/>
      <c r="CC34" s="981"/>
      <c r="CD34" s="1332"/>
      <c r="CE34" s="981"/>
      <c r="CF34" s="981"/>
      <c r="CG34" s="981"/>
      <c r="CH34" s="981"/>
      <c r="CI34" s="981"/>
      <c r="CJ34" s="981"/>
      <c r="CK34" s="981"/>
      <c r="CL34" s="981"/>
      <c r="CM34" s="981"/>
      <c r="CN34" s="981"/>
      <c r="CO34" s="981"/>
      <c r="CP34" s="981"/>
      <c r="CQ34" s="981"/>
      <c r="CR34" s="981"/>
      <c r="CS34" s="981"/>
      <c r="CT34" s="981"/>
      <c r="CU34" s="981"/>
    </row>
    <row r="35">
      <c r="A35" s="1392" t="s">
        <v>8906</v>
      </c>
      <c r="B35" s="788" t="s">
        <v>5683</v>
      </c>
      <c r="C35" s="784" t="s">
        <v>1256</v>
      </c>
      <c r="D35" s="785" t="s">
        <v>1256</v>
      </c>
      <c r="E35" s="786" t="s">
        <v>1256</v>
      </c>
      <c r="F35" s="787" t="s">
        <v>1256</v>
      </c>
      <c r="G35" s="788" t="s">
        <v>334</v>
      </c>
      <c r="H35" s="1397"/>
      <c r="I35" s="1397"/>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7"/>
      <c r="BH35" s="1407"/>
      <c r="BI35" s="1407"/>
      <c r="BJ35" s="1407"/>
      <c r="BK35" s="1407"/>
      <c r="BL35" s="1407"/>
      <c r="BM35" s="1407"/>
      <c r="BN35" s="1407"/>
      <c r="BO35" s="1407"/>
      <c r="BP35" s="1407"/>
      <c r="BQ35" s="981"/>
      <c r="BR35" s="981"/>
      <c r="BS35" s="981"/>
      <c r="BT35" s="981"/>
      <c r="BU35" s="981"/>
      <c r="BV35" s="981"/>
      <c r="BW35" s="1332"/>
      <c r="BX35" s="1447" t="s">
        <v>2316</v>
      </c>
      <c r="BY35" s="1400" t="s">
        <v>3752</v>
      </c>
      <c r="BZ35" s="1400" t="s">
        <v>8907</v>
      </c>
      <c r="CA35" s="1332"/>
      <c r="CB35" s="1400" t="s">
        <v>1074</v>
      </c>
      <c r="CC35" s="1400" t="s">
        <v>2881</v>
      </c>
      <c r="CD35" s="1400"/>
      <c r="CE35" s="1387"/>
      <c r="CF35" s="1387"/>
      <c r="CG35" s="1387"/>
      <c r="CH35" s="1387"/>
      <c r="CI35" s="1387"/>
      <c r="CJ35" s="1387"/>
      <c r="CK35" s="1387"/>
      <c r="CL35" s="1387"/>
      <c r="CM35" s="1387"/>
      <c r="CN35" s="1387"/>
      <c r="CO35" s="1387"/>
      <c r="CP35" s="1387"/>
      <c r="CQ35" s="1387"/>
      <c r="CR35" s="1387"/>
      <c r="CS35" s="1387"/>
      <c r="CT35" s="981"/>
      <c r="CU35" s="981"/>
    </row>
    <row r="36">
      <c r="A36" s="1429" t="s">
        <v>1056</v>
      </c>
      <c r="B36" s="788" t="s">
        <v>6274</v>
      </c>
      <c r="C36" s="784" t="s">
        <v>546</v>
      </c>
      <c r="D36" s="785" t="s">
        <v>1256</v>
      </c>
      <c r="E36" s="786" t="s">
        <v>1256</v>
      </c>
      <c r="F36" s="787" t="s">
        <v>546</v>
      </c>
      <c r="G36" s="788" t="s">
        <v>546</v>
      </c>
      <c r="H36" s="1397"/>
      <c r="I36" s="1397"/>
      <c r="J36" s="981"/>
      <c r="K36" s="981"/>
      <c r="L36" s="981"/>
      <c r="M36" s="981"/>
      <c r="N36" s="981"/>
      <c r="O36" s="981"/>
      <c r="P36" s="981"/>
      <c r="Q36" s="981"/>
      <c r="R36" s="981"/>
      <c r="S36" s="981"/>
      <c r="T36" s="981"/>
      <c r="U36" s="981"/>
      <c r="V36" s="981"/>
      <c r="W36" s="981"/>
      <c r="X36" s="981"/>
      <c r="Y36" s="981"/>
      <c r="Z36" s="981"/>
      <c r="AA36" s="981"/>
      <c r="AB36" s="981"/>
      <c r="AC36" s="981"/>
      <c r="AD36" s="1333"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2"/>
      <c r="BX36" s="981"/>
      <c r="BY36" s="981"/>
      <c r="BZ36" s="981"/>
      <c r="CA36" s="1332"/>
      <c r="CB36" s="981"/>
      <c r="CC36" s="981"/>
      <c r="CD36" s="1332"/>
      <c r="CE36" s="981"/>
      <c r="CF36" s="981"/>
      <c r="CG36" s="981"/>
      <c r="CH36" s="981"/>
      <c r="CI36" s="981"/>
      <c r="CJ36" s="981"/>
      <c r="CK36" s="981"/>
      <c r="CL36" s="981"/>
      <c r="CM36" s="981"/>
      <c r="CN36" s="981"/>
      <c r="CO36" s="981"/>
      <c r="CP36" s="981"/>
      <c r="CQ36" s="981"/>
      <c r="CR36" s="981"/>
      <c r="CS36" s="981"/>
      <c r="CT36" s="981"/>
      <c r="CU36" s="981"/>
    </row>
    <row r="37">
      <c r="A37" s="1392" t="s">
        <v>3132</v>
      </c>
      <c r="B37" s="788" t="s">
        <v>4111</v>
      </c>
      <c r="C37" s="784" t="s">
        <v>1256</v>
      </c>
      <c r="D37" s="785" t="s">
        <v>1256</v>
      </c>
      <c r="E37" s="786" t="s">
        <v>546</v>
      </c>
      <c r="F37" s="787" t="s">
        <v>546</v>
      </c>
      <c r="G37" s="788" t="s">
        <v>546</v>
      </c>
      <c r="H37" s="1397"/>
      <c r="I37" s="1397"/>
      <c r="J37" s="981"/>
      <c r="K37" s="981"/>
      <c r="L37" s="981"/>
      <c r="M37" s="981"/>
      <c r="N37" s="981"/>
      <c r="O37" s="981"/>
      <c r="P37" s="981"/>
      <c r="Q37" s="981"/>
      <c r="R37" s="981"/>
      <c r="S37" s="981"/>
      <c r="T37" s="981"/>
      <c r="U37" s="981"/>
      <c r="V37" s="981"/>
      <c r="W37" s="981"/>
      <c r="X37" s="981"/>
      <c r="Y37" s="981"/>
      <c r="Z37" s="981"/>
      <c r="AA37" s="981"/>
      <c r="AB37" s="981"/>
      <c r="AC37" s="980"/>
      <c r="AD37" s="1338" t="s">
        <v>425</v>
      </c>
      <c r="AE37" s="1328"/>
      <c r="AF37" s="1328"/>
      <c r="AG37" s="1328"/>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2"/>
      <c r="BX37" s="981"/>
      <c r="BY37" s="981"/>
      <c r="BZ37" s="981"/>
      <c r="CA37" s="1332"/>
      <c r="CB37" s="981"/>
      <c r="CC37" s="981"/>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6533</v>
      </c>
      <c r="B38" s="788" t="s">
        <v>4050</v>
      </c>
      <c r="C38" s="784" t="s">
        <v>1256</v>
      </c>
      <c r="D38" s="785" t="s">
        <v>1256</v>
      </c>
      <c r="E38" s="786" t="s">
        <v>1256</v>
      </c>
      <c r="F38" s="787" t="s">
        <v>1256</v>
      </c>
      <c r="G38" s="788" t="s">
        <v>333</v>
      </c>
      <c r="H38" s="1397"/>
      <c r="I38" s="1397"/>
      <c r="J38" s="981"/>
      <c r="K38" s="981"/>
      <c r="L38" s="981"/>
      <c r="M38" s="981"/>
      <c r="N38" s="981"/>
      <c r="O38" s="981"/>
      <c r="P38" s="981"/>
      <c r="Q38" s="981"/>
      <c r="R38" s="981"/>
      <c r="S38" s="980" t="s">
        <v>8908</v>
      </c>
      <c r="T38" s="981"/>
      <c r="U38" s="980" t="s">
        <v>8909</v>
      </c>
      <c r="V38" s="981"/>
      <c r="W38" s="981"/>
      <c r="X38" s="980" t="s">
        <v>6427</v>
      </c>
      <c r="Y38" s="980" t="s">
        <v>2005</v>
      </c>
      <c r="Z38" s="981"/>
      <c r="AA38" s="980" t="s">
        <v>3145</v>
      </c>
      <c r="AB38" s="981"/>
      <c r="AC38" s="980" t="s">
        <v>8910</v>
      </c>
      <c r="AD38" s="980" t="s">
        <v>2125</v>
      </c>
      <c r="AE38" s="980" t="s">
        <v>6512</v>
      </c>
      <c r="AF38" s="980" t="s">
        <v>8911</v>
      </c>
      <c r="AG38" s="981"/>
      <c r="AH38" s="981"/>
      <c r="AI38" s="981"/>
      <c r="AJ38" s="981"/>
      <c r="AK38" s="1341"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2"/>
      <c r="BX38" s="981"/>
      <c r="BY38" s="981"/>
      <c r="BZ38" s="981"/>
      <c r="CA38" s="1332"/>
      <c r="CB38" s="981"/>
      <c r="CC38" s="981"/>
      <c r="CD38" s="1332"/>
      <c r="CE38" s="980" t="s">
        <v>8912</v>
      </c>
      <c r="CF38" s="981"/>
      <c r="CG38" s="981"/>
      <c r="CH38" s="981"/>
      <c r="CI38" s="981"/>
      <c r="CJ38" s="980" t="s">
        <v>8913</v>
      </c>
      <c r="CK38" s="981"/>
      <c r="CL38" s="981"/>
      <c r="CM38" s="981"/>
      <c r="CN38" s="981"/>
      <c r="CO38" s="981"/>
      <c r="CP38" s="981"/>
      <c r="CQ38" s="981"/>
      <c r="CR38" s="981"/>
      <c r="CS38" s="981"/>
      <c r="CT38" s="981"/>
      <c r="CU38" s="981"/>
    </row>
    <row r="39">
      <c r="A39" s="1432" t="s">
        <v>1413</v>
      </c>
      <c r="B39" s="788" t="s">
        <v>8640</v>
      </c>
      <c r="C39" s="784" t="s">
        <v>1256</v>
      </c>
      <c r="D39" s="785" t="s">
        <v>546</v>
      </c>
      <c r="E39" s="786" t="s">
        <v>1256</v>
      </c>
      <c r="F39" s="787" t="s">
        <v>546</v>
      </c>
      <c r="G39" s="788" t="s">
        <v>546</v>
      </c>
      <c r="H39" s="1397"/>
      <c r="I39" s="1397"/>
      <c r="J39" s="981"/>
      <c r="K39" s="981"/>
      <c r="L39" s="981"/>
      <c r="M39" s="981"/>
      <c r="N39" s="981"/>
      <c r="O39" s="981"/>
      <c r="P39" s="981"/>
      <c r="Q39" s="981"/>
      <c r="R39" s="981"/>
      <c r="S39" s="981"/>
      <c r="T39" s="981"/>
      <c r="U39" s="981"/>
      <c r="V39" s="981"/>
      <c r="W39" s="1339" t="s">
        <v>5623</v>
      </c>
      <c r="X39" s="1328"/>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2"/>
      <c r="BX39" s="981"/>
      <c r="BY39" s="981"/>
      <c r="BZ39" s="981"/>
      <c r="CA39" s="1332"/>
      <c r="CB39" s="981"/>
      <c r="CC39" s="981"/>
      <c r="CD39" s="1332"/>
      <c r="CE39" s="1422"/>
      <c r="CF39" s="1422"/>
      <c r="CG39" s="1422"/>
      <c r="CH39" s="1422"/>
      <c r="CI39" s="1422"/>
      <c r="CJ39" s="1422"/>
      <c r="CK39" s="1422"/>
      <c r="CL39" s="1422"/>
      <c r="CM39" s="1387"/>
      <c r="CN39" s="1387"/>
      <c r="CO39" s="1387"/>
      <c r="CP39" s="1387"/>
      <c r="CQ39" s="1387"/>
      <c r="CR39" s="1387"/>
      <c r="CS39" s="1387"/>
      <c r="CT39" s="981"/>
      <c r="CU39" s="981"/>
    </row>
    <row r="40">
      <c r="A40" s="1449" t="s">
        <v>5794</v>
      </c>
      <c r="B40" s="788" t="s">
        <v>8640</v>
      </c>
      <c r="C40" s="784" t="s">
        <v>1256</v>
      </c>
      <c r="D40" s="785" t="s">
        <v>1256</v>
      </c>
      <c r="E40" s="786" t="s">
        <v>1256</v>
      </c>
      <c r="F40" s="787" t="s">
        <v>1256</v>
      </c>
      <c r="G40" s="788" t="s">
        <v>3291</v>
      </c>
      <c r="H40" s="1397"/>
      <c r="I40" s="1397"/>
      <c r="J40" s="981"/>
      <c r="K40" s="981"/>
      <c r="L40" s="981"/>
      <c r="M40" s="981"/>
      <c r="N40" s="981"/>
      <c r="O40" s="981"/>
      <c r="P40" s="980" t="s">
        <v>8914</v>
      </c>
      <c r="Q40" s="981"/>
      <c r="R40" s="980" t="s">
        <v>8915</v>
      </c>
      <c r="S40" s="981"/>
      <c r="T40" s="981"/>
      <c r="U40" s="981"/>
      <c r="V40" s="981"/>
      <c r="W40" s="981"/>
      <c r="X40" s="980" t="s">
        <v>8789</v>
      </c>
      <c r="Y40" s="981"/>
      <c r="Z40" s="981"/>
      <c r="AA40" s="980" t="s">
        <v>8916</v>
      </c>
      <c r="AB40" s="981"/>
      <c r="AC40" s="981"/>
      <c r="AD40" s="981"/>
      <c r="AE40" s="980" t="s">
        <v>3922</v>
      </c>
      <c r="AF40" s="980" t="s">
        <v>8917</v>
      </c>
      <c r="AG40" s="980" t="s">
        <v>568</v>
      </c>
      <c r="AH40" s="1341" t="s">
        <v>8918</v>
      </c>
      <c r="AI40" s="981"/>
      <c r="AJ40" s="981"/>
      <c r="AK40" s="981"/>
      <c r="AL40" s="981"/>
      <c r="AM40" s="981"/>
      <c r="AN40" s="981"/>
      <c r="AO40" s="981"/>
      <c r="AP40" s="980" t="s">
        <v>8613</v>
      </c>
      <c r="AQ40" s="981"/>
      <c r="AR40" s="981"/>
      <c r="AS40" s="981"/>
      <c r="AT40" s="981"/>
      <c r="AU40" s="981"/>
      <c r="AV40" s="981"/>
      <c r="AW40" s="981"/>
      <c r="AX40" s="981"/>
      <c r="AY40" s="981"/>
      <c r="AZ40" s="981"/>
      <c r="BA40" s="981"/>
      <c r="BB40" s="980" t="s">
        <v>8868</v>
      </c>
      <c r="BC40" s="981"/>
      <c r="BD40" s="981"/>
      <c r="BE40" s="981"/>
      <c r="BF40" s="981"/>
      <c r="BG40" s="981"/>
      <c r="BH40" s="981"/>
      <c r="BI40" s="981"/>
      <c r="BJ40" s="981"/>
      <c r="BK40" s="981"/>
      <c r="BL40" s="981"/>
      <c r="BM40" s="981"/>
      <c r="BN40" s="981"/>
      <c r="BO40" s="981"/>
      <c r="BP40" s="981"/>
      <c r="BQ40" s="981"/>
      <c r="BR40" s="981"/>
      <c r="BS40" s="981"/>
      <c r="BT40" s="981"/>
      <c r="BU40" s="981"/>
      <c r="BV40" s="981"/>
      <c r="BW40" s="1332"/>
      <c r="BX40" s="981"/>
      <c r="BY40" s="981"/>
      <c r="BZ40" s="981"/>
      <c r="CA40" s="1332"/>
      <c r="CB40" s="981"/>
      <c r="CC40" s="981"/>
      <c r="CD40" s="1332"/>
      <c r="CE40" s="981"/>
      <c r="CF40" s="981"/>
      <c r="CG40" s="981"/>
      <c r="CH40" s="981"/>
      <c r="CI40" s="981"/>
      <c r="CJ40" s="981"/>
      <c r="CK40" s="981"/>
      <c r="CL40" s="981"/>
      <c r="CM40" s="981"/>
      <c r="CN40" s="981"/>
      <c r="CO40" s="981"/>
      <c r="CP40" s="981"/>
      <c r="CQ40" s="981"/>
      <c r="CR40" s="981"/>
      <c r="CS40" s="981"/>
      <c r="CT40" s="981"/>
      <c r="CU40" s="981"/>
    </row>
    <row r="41">
      <c r="A41" s="1392" t="s">
        <v>4649</v>
      </c>
      <c r="B41" s="788" t="s">
        <v>3969</v>
      </c>
      <c r="C41" s="784" t="s">
        <v>1256</v>
      </c>
      <c r="D41" s="785" t="s">
        <v>1256</v>
      </c>
      <c r="E41" s="786" t="s">
        <v>1256</v>
      </c>
      <c r="F41" s="787" t="s">
        <v>1256</v>
      </c>
      <c r="G41" s="788" t="s">
        <v>546</v>
      </c>
      <c r="H41" s="1397"/>
      <c r="I41" s="1397"/>
      <c r="J41" s="981"/>
      <c r="K41" s="981"/>
      <c r="L41" s="981"/>
      <c r="M41" s="981"/>
      <c r="N41" s="981"/>
      <c r="O41" s="981"/>
      <c r="P41" s="981"/>
      <c r="Q41" s="981"/>
      <c r="R41" s="981"/>
      <c r="S41" s="981"/>
      <c r="T41" s="981"/>
      <c r="U41" s="981"/>
      <c r="V41" s="981"/>
      <c r="W41" s="92"/>
      <c r="X41" s="92"/>
      <c r="Y41" s="1341"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2"/>
      <c r="BX41" s="981"/>
      <c r="BY41" s="981"/>
      <c r="BZ41" s="981"/>
      <c r="CA41" s="1332"/>
      <c r="CB41" s="981"/>
      <c r="CC41" s="981"/>
      <c r="CD41" s="1332"/>
      <c r="CE41" s="981"/>
      <c r="CF41" s="981"/>
      <c r="CG41" s="981"/>
      <c r="CH41" s="981"/>
      <c r="CI41" s="981"/>
      <c r="CJ41" s="981"/>
      <c r="CK41" s="981"/>
      <c r="CL41" s="981"/>
      <c r="CM41" s="981"/>
      <c r="CN41" s="981"/>
      <c r="CO41" s="981"/>
      <c r="CP41" s="981"/>
      <c r="CQ41" s="981"/>
      <c r="CR41" s="981"/>
      <c r="CS41" s="981"/>
      <c r="CT41" s="981"/>
      <c r="CU41" s="981"/>
    </row>
    <row r="42">
      <c r="A42" s="1429" t="s">
        <v>7210</v>
      </c>
      <c r="B42" s="788" t="s">
        <v>6243</v>
      </c>
      <c r="C42" s="784" t="s">
        <v>1256</v>
      </c>
      <c r="D42" s="785" t="s">
        <v>1256</v>
      </c>
      <c r="E42" s="786" t="s">
        <v>1256</v>
      </c>
      <c r="F42" s="787" t="s">
        <v>1256</v>
      </c>
      <c r="G42" s="788" t="s">
        <v>437</v>
      </c>
      <c r="H42" s="1442"/>
      <c r="I42" s="1442"/>
      <c r="J42" s="981"/>
      <c r="K42" s="981"/>
      <c r="L42" s="981"/>
      <c r="M42" s="981"/>
      <c r="N42" s="981"/>
      <c r="O42" s="981"/>
      <c r="P42" s="981"/>
      <c r="Q42" s="981"/>
      <c r="R42" s="980" t="s">
        <v>8919</v>
      </c>
      <c r="S42" s="981"/>
      <c r="T42" s="981"/>
      <c r="U42" s="980" t="s">
        <v>8920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7"/>
      <c r="BH42" s="1407"/>
      <c r="BI42" s="1407"/>
      <c r="BJ42" s="1407"/>
      <c r="BK42" s="1407"/>
      <c r="BL42" s="1407"/>
      <c r="BM42" s="1407"/>
      <c r="BN42" s="1407"/>
      <c r="BO42" s="1407"/>
      <c r="BP42" s="1407"/>
      <c r="BQ42" s="981"/>
      <c r="BR42" s="981"/>
      <c r="BS42" s="981"/>
      <c r="BT42" s="981"/>
      <c r="BU42" s="981"/>
      <c r="BV42" s="981"/>
      <c r="BW42" s="1332"/>
      <c r="BX42" s="981"/>
      <c r="BY42" s="981"/>
      <c r="BZ42" s="981"/>
      <c r="CA42" s="1332"/>
      <c r="CB42" s="981"/>
      <c r="CC42" s="981"/>
      <c r="CD42" s="1332"/>
      <c r="CE42" s="1387"/>
      <c r="CF42" s="1387"/>
      <c r="CG42" s="1387"/>
      <c r="CH42" s="1387"/>
      <c r="CI42" s="1387"/>
      <c r="CJ42" s="1387"/>
      <c r="CK42" s="1387"/>
      <c r="CL42" s="1387"/>
      <c r="CM42" s="981"/>
      <c r="CN42" s="981"/>
      <c r="CO42" s="981"/>
      <c r="CP42" s="981"/>
      <c r="CQ42" s="981"/>
      <c r="CR42" s="981"/>
      <c r="CS42" s="981"/>
      <c r="CT42" s="981"/>
      <c r="CU42" s="981"/>
    </row>
    <row r="43">
      <c r="A43" s="1429" t="s">
        <v>8921</v>
      </c>
      <c r="B43" s="788" t="s">
        <v>3380</v>
      </c>
      <c r="C43" s="784" t="s">
        <v>1256</v>
      </c>
      <c r="D43" s="785" t="s">
        <v>1256</v>
      </c>
      <c r="E43" s="786" t="s">
        <v>1256</v>
      </c>
      <c r="F43" s="787" t="s">
        <v>546</v>
      </c>
      <c r="G43" s="788" t="s">
        <v>546</v>
      </c>
      <c r="H43" s="1397"/>
      <c r="I43" s="1397"/>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8543</v>
      </c>
      <c r="AQ43" s="981"/>
      <c r="AR43" s="981"/>
      <c r="AS43" s="981"/>
      <c r="AT43" s="981"/>
      <c r="AU43" s="981"/>
      <c r="AV43" s="981"/>
      <c r="AW43" s="981"/>
      <c r="AX43" s="981"/>
      <c r="AY43" s="981"/>
      <c r="AZ43" s="981"/>
      <c r="BA43" s="981"/>
      <c r="BB43" s="981"/>
      <c r="BC43" s="981"/>
      <c r="BD43" s="981"/>
      <c r="BE43" s="981"/>
      <c r="BF43" s="981"/>
      <c r="BG43" s="1407"/>
      <c r="BH43" s="1407"/>
      <c r="BI43" s="1407"/>
      <c r="BJ43" s="1407"/>
      <c r="BK43" s="1407"/>
      <c r="BL43" s="1407"/>
      <c r="BM43" s="1407"/>
      <c r="BN43" s="1407"/>
      <c r="BO43" s="1407"/>
      <c r="BP43" s="1407"/>
      <c r="BQ43" s="981"/>
      <c r="BR43" s="981"/>
      <c r="BS43" s="981"/>
      <c r="BT43" s="981"/>
      <c r="BU43" s="981"/>
      <c r="BV43" s="981"/>
      <c r="BW43" s="1332"/>
      <c r="BX43" s="981"/>
      <c r="BY43" s="981"/>
      <c r="BZ43" s="981"/>
      <c r="CA43" s="1332"/>
      <c r="CB43" s="981"/>
      <c r="CC43" s="981"/>
      <c r="CD43" s="1332"/>
      <c r="CE43" s="1387"/>
      <c r="CF43" s="1387"/>
      <c r="CG43" s="1387"/>
      <c r="CH43" s="1387"/>
      <c r="CI43" s="1387"/>
      <c r="CJ43" s="1387"/>
      <c r="CK43" s="1387"/>
      <c r="CL43" s="1387"/>
      <c r="CM43" s="1387"/>
      <c r="CN43" s="1387"/>
      <c r="CO43" s="1387"/>
      <c r="CP43" s="1387"/>
      <c r="CQ43" s="1387"/>
      <c r="CR43" s="1387"/>
      <c r="CS43" s="1387"/>
      <c r="CT43" s="981"/>
      <c r="CU43" s="981"/>
    </row>
    <row r="44">
      <c r="A44" s="1432" t="s">
        <v>897</v>
      </c>
      <c r="B44" s="788" t="s">
        <v>6311</v>
      </c>
      <c r="C44" s="784" t="s">
        <v>1256</v>
      </c>
      <c r="D44" s="785" t="s">
        <v>1256</v>
      </c>
      <c r="E44" s="786" t="s">
        <v>1256</v>
      </c>
      <c r="F44" s="787" t="s">
        <v>546</v>
      </c>
      <c r="G44" s="788" t="s">
        <v>546</v>
      </c>
      <c r="H44" s="1397"/>
      <c r="I44" s="1397"/>
      <c r="J44" s="981"/>
      <c r="K44" s="981"/>
      <c r="L44" s="981"/>
      <c r="M44" s="981"/>
      <c r="N44" s="981"/>
      <c r="O44" s="981"/>
      <c r="P44" s="981"/>
      <c r="Q44" s="981"/>
      <c r="R44" s="983" t="s">
        <v>8922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0"/>
      <c r="BH44" s="1450"/>
      <c r="BI44" s="1450"/>
      <c r="BJ44" s="1450"/>
      <c r="BK44" s="1450"/>
      <c r="BL44" s="1450"/>
      <c r="BM44" s="1450"/>
      <c r="BN44" s="1450"/>
      <c r="BO44" s="1450"/>
      <c r="BP44" s="1450"/>
      <c r="BQ44" s="981"/>
      <c r="BR44" s="981"/>
      <c r="BS44" s="981"/>
      <c r="BT44" s="981"/>
      <c r="BU44" s="981"/>
      <c r="BV44" s="981"/>
      <c r="BW44" s="1332"/>
      <c r="BX44" s="981"/>
      <c r="BY44" s="981"/>
      <c r="BZ44" s="981"/>
      <c r="CA44" s="1332"/>
      <c r="CB44" s="981"/>
      <c r="CC44" s="981"/>
      <c r="CD44" s="1332"/>
      <c r="CE44" s="1451"/>
      <c r="CF44" s="1451"/>
      <c r="CG44" s="1451"/>
      <c r="CH44" s="1451"/>
      <c r="CI44" s="1451"/>
      <c r="CJ44" s="1451"/>
      <c r="CK44" s="1451"/>
      <c r="CL44" s="1451"/>
      <c r="CM44" s="1328"/>
      <c r="CN44" s="1328"/>
      <c r="CO44" s="1328"/>
      <c r="CP44" s="1328"/>
      <c r="CQ44" s="1328"/>
      <c r="CR44" s="1328"/>
      <c r="CS44" s="1328"/>
      <c r="CT44" s="981"/>
      <c r="CU44" s="981"/>
    </row>
    <row r="45">
      <c r="A45" s="1452" t="s">
        <v>6263</v>
      </c>
      <c r="B45" s="788" t="s">
        <v>222</v>
      </c>
      <c r="C45" s="784" t="s">
        <v>1256</v>
      </c>
      <c r="D45" s="785" t="s">
        <v>1256</v>
      </c>
      <c r="E45" s="786" t="s">
        <v>1256</v>
      </c>
      <c r="F45" s="787" t="s">
        <v>1256</v>
      </c>
      <c r="G45" s="788" t="s">
        <v>334</v>
      </c>
      <c r="H45" s="1397"/>
      <c r="I45" s="1397"/>
      <c r="J45" s="981"/>
      <c r="K45" s="980" t="s">
        <v>8923</v>
      </c>
      <c r="L45" s="981"/>
      <c r="M45" s="981"/>
      <c r="N45" s="981"/>
      <c r="O45" s="981"/>
      <c r="P45" s="981"/>
      <c r="Q45" s="981"/>
      <c r="R45" s="981"/>
      <c r="S45" s="981"/>
      <c r="T45" s="981"/>
      <c r="U45" s="981"/>
      <c r="V45" s="981"/>
      <c r="W45" s="1341" t="s">
        <v>6518</v>
      </c>
      <c r="X45" s="980"/>
      <c r="Y45" s="981"/>
      <c r="Z45" s="981"/>
      <c r="AA45" s="981"/>
      <c r="AB45" s="981"/>
      <c r="AC45" s="981"/>
      <c r="AD45" s="1341" t="s">
        <v>3077</v>
      </c>
      <c r="AE45" s="92"/>
      <c r="AF45" s="92"/>
      <c r="AG45" s="92"/>
      <c r="AH45" s="981"/>
      <c r="AI45" s="981"/>
      <c r="AJ45" s="981"/>
      <c r="AK45" s="981"/>
      <c r="AL45" s="981"/>
      <c r="AM45" s="981"/>
      <c r="AN45" s="981"/>
      <c r="AO45" s="981"/>
      <c r="AP45" s="981"/>
      <c r="AQ45" s="981"/>
      <c r="AR45" s="981"/>
      <c r="AS45" s="981"/>
      <c r="AT45" s="981"/>
      <c r="AU45" s="980" t="s">
        <v>8546</v>
      </c>
      <c r="AV45" s="980"/>
      <c r="AW45" s="981"/>
      <c r="AX45" s="981"/>
      <c r="AY45" s="981"/>
      <c r="AZ45" s="981"/>
      <c r="BA45" s="981"/>
      <c r="BB45" s="981"/>
      <c r="BC45" s="980" t="s">
        <v>8615</v>
      </c>
      <c r="BD45" s="981"/>
      <c r="BE45" s="981"/>
      <c r="BF45" s="981"/>
      <c r="BG45" s="981"/>
      <c r="BH45" s="981"/>
      <c r="BI45" s="981"/>
      <c r="BJ45" s="981"/>
      <c r="BK45" s="981"/>
      <c r="BL45" s="981"/>
      <c r="BM45" s="981"/>
      <c r="BN45" s="981"/>
      <c r="BO45" s="981"/>
      <c r="BP45" s="981"/>
      <c r="BQ45" s="981"/>
      <c r="BR45" s="981"/>
      <c r="BS45" s="981"/>
      <c r="BT45" s="981"/>
      <c r="BU45" s="981"/>
      <c r="BV45" s="981"/>
      <c r="BW45" s="1332"/>
      <c r="BX45" s="981"/>
      <c r="BY45" s="981"/>
      <c r="BZ45" s="981"/>
      <c r="CA45" s="1332"/>
      <c r="CB45" s="981"/>
      <c r="CC45" s="981"/>
      <c r="CD45" s="1332"/>
      <c r="CE45" s="981"/>
      <c r="CF45" s="981"/>
      <c r="CG45" s="981"/>
      <c r="CH45" s="981"/>
      <c r="CI45" s="981"/>
      <c r="CJ45" s="981"/>
      <c r="CK45" s="981"/>
      <c r="CL45" s="981"/>
      <c r="CM45" s="981"/>
      <c r="CN45" s="981"/>
      <c r="CO45" s="981"/>
      <c r="CP45" s="981"/>
      <c r="CQ45" s="981"/>
      <c r="CR45" s="981"/>
      <c r="CS45" s="981"/>
      <c r="CT45" s="981"/>
      <c r="CU45" s="981"/>
    </row>
    <row r="46">
      <c r="A46" s="1453" t="s">
        <v>6645</v>
      </c>
      <c r="B46" s="788" t="s">
        <v>222</v>
      </c>
      <c r="C46" s="784" t="s">
        <v>1256</v>
      </c>
      <c r="D46" s="785" t="s">
        <v>1256</v>
      </c>
      <c r="E46" s="786" t="s">
        <v>1256</v>
      </c>
      <c r="F46" s="787" t="s">
        <v>1256</v>
      </c>
      <c r="G46" s="788" t="s">
        <v>981</v>
      </c>
      <c r="H46" s="1397"/>
      <c r="I46" s="1397" t="s">
        <v>8924</v>
      </c>
      <c r="J46" s="981"/>
      <c r="K46" s="981"/>
      <c r="L46" s="981"/>
      <c r="M46" s="981"/>
      <c r="N46" s="981"/>
      <c r="O46" s="981"/>
      <c r="P46" s="981"/>
      <c r="Q46" s="981"/>
      <c r="R46" s="981"/>
      <c r="S46" s="981"/>
      <c r="T46" s="981"/>
      <c r="U46" s="980" t="s">
        <v>8925</v>
      </c>
      <c r="V46" s="981"/>
      <c r="W46" s="981"/>
      <c r="X46" s="981"/>
      <c r="Y46" s="981"/>
      <c r="Z46" s="981"/>
      <c r="AA46" s="981"/>
      <c r="AB46" s="981"/>
      <c r="AC46" s="980" t="s">
        <v>8926</v>
      </c>
      <c r="AD46" s="981"/>
      <c r="AE46" s="981"/>
      <c r="AF46" s="981"/>
      <c r="AG46" s="981"/>
      <c r="AH46" s="981"/>
      <c r="AI46" s="981"/>
      <c r="AJ46" s="981"/>
      <c r="AK46" s="981"/>
      <c r="AL46" s="981"/>
      <c r="AM46" s="981"/>
      <c r="AN46" s="981"/>
      <c r="AO46" s="981"/>
      <c r="AP46" s="980" t="s">
        <v>8927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2"/>
      <c r="BX46" s="981"/>
      <c r="BY46" s="981"/>
      <c r="BZ46" s="981"/>
      <c r="CA46" s="1332"/>
      <c r="CB46" s="981"/>
      <c r="CC46" s="981"/>
      <c r="CD46" s="1332"/>
      <c r="CE46" s="980" t="s">
        <v>8928</v>
      </c>
      <c r="CF46" s="981"/>
      <c r="CG46" s="981"/>
      <c r="CH46" s="981"/>
      <c r="CI46" s="981"/>
      <c r="CJ46" s="1454" t="s">
        <v>8929</v>
      </c>
      <c r="CK46" s="981"/>
      <c r="CL46" s="1341" t="s">
        <v>5109</v>
      </c>
      <c r="CM46" s="980" t="s">
        <v>8820</v>
      </c>
      <c r="CN46" s="980" t="s">
        <v>4111</v>
      </c>
      <c r="CO46" s="981"/>
      <c r="CP46" s="981"/>
      <c r="CQ46" s="981"/>
      <c r="CR46" s="981"/>
      <c r="CS46" s="981"/>
      <c r="CT46" s="981"/>
      <c r="CU46" s="981"/>
    </row>
    <row r="47">
      <c r="A47" s="1431" t="s">
        <v>3622</v>
      </c>
      <c r="B47" s="788" t="s">
        <v>2773</v>
      </c>
      <c r="C47" s="784" t="s">
        <v>1256</v>
      </c>
      <c r="D47" s="785" t="s">
        <v>1256</v>
      </c>
      <c r="E47" s="786" t="s">
        <v>1256</v>
      </c>
      <c r="F47" s="787" t="s">
        <v>437</v>
      </c>
      <c r="G47" s="788" t="s">
        <v>437</v>
      </c>
      <c r="H47" s="1397"/>
      <c r="I47" s="1397"/>
      <c r="J47" s="981"/>
      <c r="K47" s="981"/>
      <c r="L47" s="981"/>
      <c r="M47" s="981"/>
      <c r="N47" s="981"/>
      <c r="O47" s="981"/>
      <c r="P47" s="981"/>
      <c r="Q47" s="981"/>
      <c r="R47" s="981"/>
      <c r="S47" s="981"/>
      <c r="T47" s="981"/>
      <c r="U47" s="1401"/>
      <c r="V47" s="1401"/>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7"/>
      <c r="BH47" s="1407"/>
      <c r="BI47" s="1407"/>
      <c r="BJ47" s="1407"/>
      <c r="BK47" s="1407"/>
      <c r="BL47" s="1407"/>
      <c r="BM47" s="1407"/>
      <c r="BN47" s="1407"/>
      <c r="BO47" s="1407"/>
      <c r="BP47" s="1407"/>
      <c r="BQ47" s="981"/>
      <c r="BR47" s="981"/>
      <c r="BS47" s="981"/>
      <c r="BT47" s="981"/>
      <c r="BU47" s="981"/>
      <c r="BV47" s="981"/>
      <c r="BW47" s="1332"/>
      <c r="BX47" s="981"/>
      <c r="BY47" s="981"/>
      <c r="BZ47" s="981"/>
      <c r="CA47" s="1332"/>
      <c r="CB47" s="981"/>
      <c r="CC47" s="981"/>
      <c r="CD47" s="1332"/>
      <c r="CE47" s="1435"/>
      <c r="CF47" s="1435"/>
      <c r="CG47" s="1435"/>
      <c r="CH47" s="1435"/>
      <c r="CI47" s="1435"/>
      <c r="CJ47" s="1435"/>
      <c r="CK47" s="1435"/>
      <c r="CL47" s="1435"/>
      <c r="CM47" s="981"/>
      <c r="CN47" s="981"/>
      <c r="CO47" s="981"/>
      <c r="CP47" s="981"/>
      <c r="CQ47" s="981"/>
      <c r="CR47" s="981"/>
      <c r="CS47" s="981"/>
      <c r="CT47" s="981"/>
      <c r="CU47" s="981"/>
    </row>
    <row r="48">
      <c r="A48" s="1455" t="s">
        <v>6462</v>
      </c>
      <c r="B48" s="788" t="s">
        <v>2773</v>
      </c>
      <c r="C48" s="784" t="s">
        <v>1256</v>
      </c>
      <c r="D48" s="785" t="s">
        <v>1256</v>
      </c>
      <c r="E48" s="786" t="s">
        <v>1256</v>
      </c>
      <c r="F48" s="787" t="s">
        <v>1256</v>
      </c>
      <c r="G48" s="788" t="s">
        <v>647</v>
      </c>
      <c r="H48" s="1397"/>
      <c r="I48" s="1397"/>
      <c r="J48" s="981"/>
      <c r="K48" s="981"/>
      <c r="L48" s="981"/>
      <c r="M48" s="981"/>
      <c r="N48" s="981"/>
      <c r="O48" s="981"/>
      <c r="P48" s="981"/>
      <c r="Q48" s="981"/>
      <c r="R48" s="981"/>
      <c r="S48" s="981"/>
      <c r="T48" s="981"/>
      <c r="U48" s="980" t="s">
        <v>8930</v>
      </c>
      <c r="V48" s="981"/>
      <c r="W48" s="981"/>
      <c r="X48" s="980" t="s">
        <v>3307</v>
      </c>
      <c r="Y48" s="981"/>
      <c r="Z48" s="981"/>
      <c r="AA48" s="981"/>
      <c r="AB48" s="981"/>
      <c r="AC48" s="981"/>
      <c r="AD48" s="980" t="s">
        <v>8069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2"/>
      <c r="BX48" s="981"/>
      <c r="BY48" s="981"/>
      <c r="BZ48" s="981"/>
      <c r="CA48" s="1332"/>
      <c r="CB48" s="981"/>
      <c r="CC48" s="981"/>
      <c r="CD48" s="1332"/>
      <c r="CE48" s="981"/>
      <c r="CF48" s="981"/>
      <c r="CG48" s="981"/>
      <c r="CH48" s="981"/>
      <c r="CI48" s="981"/>
      <c r="CJ48" s="981"/>
      <c r="CK48" s="981"/>
      <c r="CL48" s="981"/>
      <c r="CM48" s="981"/>
      <c r="CN48" s="981"/>
      <c r="CO48" s="981"/>
      <c r="CP48" s="981"/>
      <c r="CQ48" s="981"/>
      <c r="CR48" s="981"/>
      <c r="CS48" s="981"/>
      <c r="CT48" s="981"/>
      <c r="CU48" s="981"/>
    </row>
    <row r="49">
      <c r="A49" s="1429" t="s">
        <v>5140</v>
      </c>
      <c r="B49" s="788" t="s">
        <v>221</v>
      </c>
      <c r="C49" s="784" t="s">
        <v>1256</v>
      </c>
      <c r="D49" s="785" t="s">
        <v>1256</v>
      </c>
      <c r="E49" s="786" t="s">
        <v>1256</v>
      </c>
      <c r="F49" s="787" t="s">
        <v>1256</v>
      </c>
      <c r="G49" s="788" t="s">
        <v>546</v>
      </c>
      <c r="H49" s="1397"/>
      <c r="I49" s="1397"/>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2"/>
      <c r="BX49" s="981"/>
      <c r="BY49" s="981"/>
      <c r="BZ49" s="981"/>
      <c r="CA49" s="1332"/>
      <c r="CB49" s="981"/>
      <c r="CC49" s="981"/>
      <c r="CD49" s="1332"/>
      <c r="CE49" s="981"/>
      <c r="CF49" s="981"/>
      <c r="CG49" s="981"/>
      <c r="CH49" s="981"/>
      <c r="CI49" s="981"/>
      <c r="CJ49" s="981"/>
      <c r="CK49" s="981"/>
      <c r="CL49" s="981"/>
      <c r="CM49" s="981"/>
      <c r="CN49" s="981"/>
      <c r="CO49" s="981"/>
      <c r="CP49" s="981"/>
      <c r="CQ49" s="981"/>
      <c r="CR49" s="981"/>
      <c r="CS49" s="981"/>
      <c r="CT49" s="981"/>
      <c r="CU49" s="981"/>
    </row>
    <row r="50">
      <c r="A50" s="1429" t="s">
        <v>7480</v>
      </c>
      <c r="B50" s="788" t="s">
        <v>333</v>
      </c>
      <c r="C50" s="784" t="s">
        <v>546</v>
      </c>
      <c r="D50" s="785" t="s">
        <v>1256</v>
      </c>
      <c r="E50" s="786" t="s">
        <v>1256</v>
      </c>
      <c r="F50" s="787" t="s">
        <v>546</v>
      </c>
      <c r="G50" s="788" t="s">
        <v>546</v>
      </c>
      <c r="H50" s="1397"/>
      <c r="I50" s="1397"/>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3"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2"/>
      <c r="BX50" s="981"/>
      <c r="BY50" s="981"/>
      <c r="BZ50" s="981"/>
      <c r="CA50" s="1332"/>
      <c r="CB50" s="981"/>
      <c r="CC50" s="981"/>
      <c r="CD50" s="1332"/>
      <c r="CE50" s="981"/>
      <c r="CF50" s="981"/>
      <c r="CG50" s="981"/>
      <c r="CH50" s="981"/>
      <c r="CI50" s="981"/>
      <c r="CJ50" s="981"/>
      <c r="CK50" s="981"/>
      <c r="CL50" s="981"/>
      <c r="CM50" s="981"/>
      <c r="CN50" s="981"/>
      <c r="CO50" s="981"/>
      <c r="CP50" s="981"/>
      <c r="CQ50" s="981"/>
      <c r="CR50" s="981"/>
      <c r="CS50" s="981"/>
      <c r="CT50" s="981"/>
      <c r="CU50" s="981"/>
    </row>
    <row r="51">
      <c r="A51" s="1429" t="s">
        <v>5227</v>
      </c>
      <c r="B51" s="788" t="s">
        <v>1196</v>
      </c>
      <c r="C51" s="784" t="s">
        <v>1256</v>
      </c>
      <c r="D51" s="785" t="s">
        <v>1256</v>
      </c>
      <c r="E51" s="786" t="s">
        <v>1256</v>
      </c>
      <c r="F51" s="787" t="s">
        <v>546</v>
      </c>
      <c r="G51" s="788" t="s">
        <v>546</v>
      </c>
      <c r="H51" s="1397"/>
      <c r="I51" s="1397"/>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2"/>
      <c r="BX51" s="981"/>
      <c r="BY51" s="981"/>
      <c r="BZ51" s="981"/>
      <c r="CA51" s="1332"/>
      <c r="CB51" s="981"/>
      <c r="CC51" s="981"/>
      <c r="CD51" s="1332"/>
      <c r="CE51" s="981"/>
      <c r="CF51" s="981"/>
      <c r="CG51" s="981"/>
      <c r="CH51" s="981"/>
      <c r="CI51" s="981"/>
      <c r="CJ51" s="981"/>
      <c r="CK51" s="981"/>
      <c r="CL51" s="981"/>
      <c r="CM51" s="981"/>
      <c r="CN51" s="981"/>
      <c r="CO51" s="981"/>
      <c r="CP51" s="981"/>
      <c r="CQ51" s="981"/>
      <c r="CR51" s="981"/>
      <c r="CS51" s="981"/>
      <c r="CT51" s="981"/>
      <c r="CU51" s="981"/>
    </row>
    <row r="52">
      <c r="A52" s="1392" t="s">
        <v>8932</v>
      </c>
      <c r="B52" s="788" t="s">
        <v>1196</v>
      </c>
      <c r="C52" s="784" t="s">
        <v>1256</v>
      </c>
      <c r="D52" s="785" t="s">
        <v>1256</v>
      </c>
      <c r="E52" s="786" t="s">
        <v>1256</v>
      </c>
      <c r="F52" s="787" t="s">
        <v>546</v>
      </c>
      <c r="G52" s="788" t="s">
        <v>546</v>
      </c>
      <c r="H52" s="1397"/>
      <c r="I52" s="1397"/>
      <c r="J52" s="981"/>
      <c r="K52" s="981"/>
      <c r="L52" s="981"/>
      <c r="M52" s="981"/>
      <c r="N52" s="981"/>
      <c r="O52" s="981"/>
      <c r="P52" s="981"/>
      <c r="Q52" s="981"/>
      <c r="R52" s="981"/>
      <c r="S52" s="981"/>
      <c r="T52" s="981"/>
      <c r="U52" s="981"/>
      <c r="V52" s="981"/>
      <c r="W52" s="981"/>
      <c r="X52" s="981"/>
      <c r="Y52" s="981"/>
      <c r="Z52" s="981"/>
      <c r="AA52" s="981"/>
      <c r="AB52" s="981"/>
      <c r="AC52" s="981"/>
      <c r="AD52" s="981"/>
      <c r="AE52" s="1328"/>
      <c r="AF52" s="983" t="s">
        <v>8933</v>
      </c>
      <c r="AG52" s="1328"/>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7"/>
      <c r="BH52" s="1407"/>
      <c r="BI52" s="1407"/>
      <c r="BJ52" s="1407"/>
      <c r="BK52" s="1407"/>
      <c r="BL52" s="1407"/>
      <c r="BM52" s="1407"/>
      <c r="BN52" s="1407"/>
      <c r="BO52" s="1407"/>
      <c r="BP52" s="1407"/>
      <c r="BQ52" s="981"/>
      <c r="BR52" s="981"/>
      <c r="BS52" s="981"/>
      <c r="BT52" s="981"/>
      <c r="BU52" s="981"/>
      <c r="BV52" s="981"/>
      <c r="BW52" s="1332"/>
      <c r="BX52" s="981"/>
      <c r="BY52" s="981"/>
      <c r="BZ52" s="981"/>
      <c r="CA52" s="1332"/>
      <c r="CB52" s="981"/>
      <c r="CC52" s="981"/>
      <c r="CD52" s="1332"/>
      <c r="CE52" s="1387"/>
      <c r="CF52" s="1387"/>
      <c r="CG52" s="1387"/>
      <c r="CH52" s="1387"/>
      <c r="CI52" s="1387"/>
      <c r="CJ52" s="1387"/>
      <c r="CK52" s="1387"/>
      <c r="CL52" s="1387"/>
      <c r="CM52" s="1387"/>
      <c r="CN52" s="1387"/>
      <c r="CO52" s="1387"/>
      <c r="CP52" s="1387"/>
      <c r="CQ52" s="1387"/>
      <c r="CR52" s="1387"/>
      <c r="CS52" s="1387"/>
      <c r="CT52" s="981"/>
      <c r="CU52" s="981"/>
    </row>
    <row r="53">
      <c r="A53" s="1429" t="s">
        <v>8934</v>
      </c>
      <c r="B53" s="788" t="s">
        <v>1196</v>
      </c>
      <c r="C53" s="784" t="s">
        <v>546</v>
      </c>
      <c r="D53" s="785" t="s">
        <v>1256</v>
      </c>
      <c r="E53" s="786" t="s">
        <v>1256</v>
      </c>
      <c r="F53" s="787" t="s">
        <v>546</v>
      </c>
      <c r="G53" s="788" t="s">
        <v>546</v>
      </c>
      <c r="H53" s="1442"/>
      <c r="I53" s="1442"/>
      <c r="J53" s="981"/>
      <c r="K53" s="981"/>
      <c r="L53" s="981"/>
      <c r="M53" s="981"/>
      <c r="N53" s="981"/>
      <c r="O53" s="981"/>
      <c r="P53" s="981"/>
      <c r="Q53" s="981"/>
      <c r="R53" s="981"/>
      <c r="S53" s="981"/>
      <c r="T53" s="981"/>
      <c r="U53" s="981"/>
      <c r="V53" s="981"/>
      <c r="W53" s="981"/>
      <c r="X53" s="981"/>
      <c r="Y53" s="981"/>
      <c r="Z53" s="981"/>
      <c r="AA53" s="981"/>
      <c r="AB53" s="981"/>
      <c r="AC53" s="981"/>
      <c r="AD53" s="981"/>
      <c r="AE53" s="1333" t="s">
        <v>8935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2"/>
      <c r="BX53" s="981"/>
      <c r="BY53" s="981"/>
      <c r="BZ53" s="981"/>
      <c r="CA53" s="1332"/>
      <c r="CB53" s="981"/>
      <c r="CC53" s="981"/>
      <c r="CD53" s="1332"/>
      <c r="CE53" s="981"/>
      <c r="CF53" s="981"/>
      <c r="CG53" s="981"/>
      <c r="CH53" s="981"/>
      <c r="CI53" s="981"/>
      <c r="CJ53" s="981"/>
      <c r="CK53" s="981"/>
      <c r="CL53" s="981"/>
      <c r="CM53" s="981"/>
      <c r="CN53" s="981"/>
      <c r="CO53" s="981"/>
      <c r="CP53" s="981"/>
      <c r="CQ53" s="981"/>
      <c r="CR53" s="981"/>
      <c r="CS53" s="981"/>
      <c r="CT53" s="981"/>
      <c r="CU53" s="981"/>
    </row>
    <row r="54">
      <c r="A54" s="1427" t="s">
        <v>4128</v>
      </c>
      <c r="B54" s="788" t="s">
        <v>981</v>
      </c>
      <c r="C54" s="784" t="s">
        <v>1256</v>
      </c>
      <c r="D54" s="785" t="s">
        <v>1256</v>
      </c>
      <c r="E54" s="786" t="s">
        <v>1256</v>
      </c>
      <c r="F54" s="787" t="s">
        <v>1256</v>
      </c>
      <c r="G54" s="788" t="s">
        <v>437</v>
      </c>
      <c r="H54" s="1397"/>
      <c r="I54" s="1397"/>
      <c r="J54" s="981"/>
      <c r="K54" s="981"/>
      <c r="L54" s="981"/>
      <c r="M54" s="981"/>
      <c r="N54" s="981"/>
      <c r="O54" s="981"/>
      <c r="P54" s="981"/>
      <c r="Q54" s="981"/>
      <c r="R54" s="980" t="s">
        <v>8936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8937</v>
      </c>
      <c r="AU54" s="981"/>
      <c r="AV54" s="981"/>
      <c r="AW54" s="981"/>
      <c r="AX54" s="981"/>
      <c r="AY54" s="981"/>
      <c r="AZ54" s="981"/>
      <c r="BA54" s="981"/>
      <c r="BB54" s="981"/>
      <c r="BC54" s="981"/>
      <c r="BD54" s="981"/>
      <c r="BE54" s="981"/>
      <c r="BF54" s="981"/>
      <c r="BG54" s="1407"/>
      <c r="BH54" s="1407"/>
      <c r="BI54" s="1407"/>
      <c r="BJ54" s="1407"/>
      <c r="BK54" s="1407"/>
      <c r="BL54" s="1407"/>
      <c r="BM54" s="1407"/>
      <c r="BN54" s="1407"/>
      <c r="BO54" s="1407"/>
      <c r="BP54" s="1407"/>
      <c r="BQ54" s="981"/>
      <c r="BR54" s="981"/>
      <c r="BS54" s="981"/>
      <c r="BT54" s="981"/>
      <c r="BU54" s="981"/>
      <c r="BV54" s="981"/>
      <c r="BW54" s="1332"/>
      <c r="BX54" s="981"/>
      <c r="BY54" s="981"/>
      <c r="BZ54" s="981"/>
      <c r="CA54" s="1332"/>
      <c r="CB54" s="981"/>
      <c r="CC54" s="981"/>
      <c r="CD54" s="1332"/>
      <c r="CE54" s="1387"/>
      <c r="CF54" s="1387"/>
      <c r="CG54" s="1387"/>
      <c r="CH54" s="1387"/>
      <c r="CI54" s="1387"/>
      <c r="CJ54" s="1387"/>
      <c r="CK54" s="1387"/>
      <c r="CL54" s="1387"/>
      <c r="CM54" s="1387"/>
      <c r="CN54" s="1387"/>
      <c r="CO54" s="1387"/>
      <c r="CP54" s="1387"/>
      <c r="CQ54" s="1387"/>
      <c r="CR54" s="1387"/>
      <c r="CS54" s="1387"/>
      <c r="CT54" s="981"/>
      <c r="CU54" s="981"/>
    </row>
    <row r="55">
      <c r="A55" s="1429" t="s">
        <v>5552</v>
      </c>
      <c r="B55" s="788" t="s">
        <v>981</v>
      </c>
      <c r="C55" s="784" t="s">
        <v>1256</v>
      </c>
      <c r="D55" s="785" t="s">
        <v>1256</v>
      </c>
      <c r="E55" s="786" t="s">
        <v>1256</v>
      </c>
      <c r="F55" s="787" t="s">
        <v>546</v>
      </c>
      <c r="G55" s="788" t="s">
        <v>546</v>
      </c>
      <c r="H55" s="1397"/>
      <c r="I55" s="1397"/>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8938</v>
      </c>
      <c r="BD55" s="981"/>
      <c r="BE55" s="981"/>
      <c r="BF55" s="981"/>
      <c r="BG55" s="981"/>
      <c r="BH55" s="981"/>
      <c r="BI55" s="981"/>
      <c r="BJ55" s="981"/>
      <c r="BK55" s="981"/>
      <c r="BL55" s="981"/>
      <c r="BM55" s="981"/>
      <c r="BN55" s="981"/>
      <c r="BO55" s="981"/>
      <c r="BP55" s="981"/>
      <c r="BQ55" s="981"/>
      <c r="BR55" s="981"/>
      <c r="BS55" s="981"/>
      <c r="BT55" s="981"/>
      <c r="BU55" s="981"/>
      <c r="BV55" s="981"/>
      <c r="BW55" s="1332"/>
      <c r="BX55" s="981"/>
      <c r="BY55" s="981"/>
      <c r="BZ55" s="981"/>
      <c r="CA55" s="1332"/>
      <c r="CB55" s="981"/>
      <c r="CC55" s="981"/>
      <c r="CD55" s="1332"/>
      <c r="CE55" s="981"/>
      <c r="CF55" s="981"/>
      <c r="CG55" s="981"/>
      <c r="CH55" s="981"/>
      <c r="CI55" s="981"/>
      <c r="CJ55" s="981"/>
      <c r="CK55" s="981"/>
      <c r="CL55" s="981"/>
      <c r="CM55" s="981"/>
      <c r="CN55" s="981"/>
      <c r="CO55" s="981"/>
      <c r="CP55" s="981"/>
      <c r="CQ55" s="981"/>
      <c r="CR55" s="981"/>
      <c r="CS55" s="981"/>
      <c r="CT55" s="981"/>
      <c r="CU55" s="981"/>
    </row>
    <row r="56">
      <c r="A56" s="1456" t="s">
        <v>5920</v>
      </c>
      <c r="B56" s="788" t="s">
        <v>646</v>
      </c>
      <c r="C56" s="784" t="s">
        <v>1256</v>
      </c>
      <c r="D56" s="785" t="s">
        <v>1256</v>
      </c>
      <c r="E56" s="786" t="s">
        <v>1256</v>
      </c>
      <c r="F56" s="787" t="s">
        <v>1256</v>
      </c>
      <c r="G56" s="788" t="s">
        <v>437</v>
      </c>
      <c r="H56" s="1397"/>
      <c r="I56" s="1397"/>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2"/>
      <c r="BX56" s="981"/>
      <c r="BY56" s="981"/>
      <c r="BZ56" s="981"/>
      <c r="CA56" s="1332"/>
      <c r="CB56" s="981"/>
      <c r="CC56" s="981"/>
      <c r="CD56" s="1332"/>
      <c r="CE56" s="981"/>
      <c r="CF56" s="981"/>
      <c r="CG56" s="981"/>
      <c r="CH56" s="981"/>
      <c r="CI56" s="981"/>
      <c r="CJ56" s="981"/>
      <c r="CK56" s="981"/>
      <c r="CL56" s="981"/>
      <c r="CM56" s="981"/>
      <c r="CN56" s="981"/>
      <c r="CO56" s="981"/>
      <c r="CP56" s="981"/>
      <c r="CQ56" s="981"/>
      <c r="CR56" s="981"/>
      <c r="CS56" s="981"/>
      <c r="CT56" s="981"/>
      <c r="CU56" s="981"/>
    </row>
    <row r="57">
      <c r="A57" s="1457" t="s">
        <v>6620</v>
      </c>
      <c r="B57" s="788" t="s">
        <v>646</v>
      </c>
      <c r="C57" s="784" t="s">
        <v>1256</v>
      </c>
      <c r="D57" s="785" t="s">
        <v>1256</v>
      </c>
      <c r="E57" s="786" t="s">
        <v>1256</v>
      </c>
      <c r="F57" s="787" t="s">
        <v>332</v>
      </c>
      <c r="G57" s="788" t="s">
        <v>1197</v>
      </c>
      <c r="H57" s="1397"/>
      <c r="I57" s="1397"/>
      <c r="J57" s="981"/>
      <c r="K57" s="981"/>
      <c r="L57" s="981"/>
      <c r="M57" s="981"/>
      <c r="N57" s="981"/>
      <c r="O57" s="981"/>
      <c r="P57" s="981"/>
      <c r="Q57" s="981"/>
      <c r="R57" s="983" t="s">
        <v>8939</v>
      </c>
      <c r="S57" s="981"/>
      <c r="T57" s="981"/>
      <c r="U57" s="983" t="s">
        <v>8940</v>
      </c>
      <c r="V57" s="981"/>
      <c r="W57" s="980" t="s">
        <v>8941</v>
      </c>
      <c r="X57" s="980" t="s">
        <v>8941</v>
      </c>
      <c r="Y57" s="981"/>
      <c r="Z57" s="981"/>
      <c r="AA57" s="981"/>
      <c r="AB57" s="981"/>
      <c r="AC57" s="981"/>
      <c r="AD57" s="981"/>
      <c r="AE57" s="981"/>
      <c r="AF57" s="981"/>
      <c r="AG57" s="981"/>
      <c r="AH57" s="981"/>
      <c r="AI57" s="981"/>
      <c r="AJ57" s="981"/>
      <c r="AK57" s="981"/>
      <c r="AL57" s="981"/>
      <c r="AM57" s="981"/>
      <c r="AN57" s="981"/>
      <c r="AO57" s="981"/>
      <c r="AP57" s="980" t="s">
        <v>8942</v>
      </c>
      <c r="AQ57" s="983" t="s">
        <v>8943</v>
      </c>
      <c r="AR57" s="983" t="s">
        <v>8944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2"/>
      <c r="BX57" s="981"/>
      <c r="BY57" s="981"/>
      <c r="BZ57" s="981"/>
      <c r="CA57" s="1332"/>
      <c r="CB57" s="981"/>
      <c r="CC57" s="981"/>
      <c r="CD57" s="1332"/>
      <c r="CE57" s="981"/>
      <c r="CF57" s="981"/>
      <c r="CG57" s="981"/>
      <c r="CH57" s="981"/>
      <c r="CI57" s="981"/>
      <c r="CJ57" s="981"/>
      <c r="CK57" s="981"/>
      <c r="CL57" s="981"/>
      <c r="CM57" s="981"/>
      <c r="CN57" s="981"/>
      <c r="CO57" s="981"/>
      <c r="CP57" s="981"/>
      <c r="CQ57" s="981"/>
      <c r="CR57" s="981"/>
      <c r="CS57" s="981"/>
      <c r="CT57" s="981"/>
      <c r="CU57" s="981"/>
    </row>
    <row r="58">
      <c r="A58" s="1392" t="s">
        <v>8945</v>
      </c>
      <c r="B58" s="788" t="s">
        <v>1197</v>
      </c>
      <c r="C58" s="784" t="s">
        <v>1256</v>
      </c>
      <c r="D58" s="785" t="s">
        <v>546</v>
      </c>
      <c r="E58" s="786" t="s">
        <v>1256</v>
      </c>
      <c r="F58" s="787" t="s">
        <v>546</v>
      </c>
      <c r="G58" s="788" t="s">
        <v>546</v>
      </c>
      <c r="H58" s="1397"/>
      <c r="I58" s="1397"/>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7"/>
      <c r="BH58" s="1407"/>
      <c r="BI58" s="1407"/>
      <c r="BJ58" s="1407"/>
      <c r="BK58" s="1407"/>
      <c r="BL58" s="1407"/>
      <c r="BM58" s="1407"/>
      <c r="BN58" s="1407"/>
      <c r="BO58" s="1407"/>
      <c r="BP58" s="1407"/>
      <c r="BQ58" s="981"/>
      <c r="BR58" s="981"/>
      <c r="BS58" s="981"/>
      <c r="BT58" s="981"/>
      <c r="BU58" s="981"/>
      <c r="BV58" s="981"/>
      <c r="BW58" s="1332"/>
      <c r="BX58" s="981"/>
      <c r="BY58" s="981"/>
      <c r="BZ58" s="981"/>
      <c r="CA58" s="1332"/>
      <c r="CB58" s="981"/>
      <c r="CC58" s="981"/>
      <c r="CD58" s="1332"/>
      <c r="CE58" s="1387"/>
      <c r="CF58" s="1387"/>
      <c r="CG58" s="1387"/>
      <c r="CH58" s="1387"/>
      <c r="CI58" s="1387"/>
      <c r="CJ58" s="1387"/>
      <c r="CK58" s="1387"/>
      <c r="CL58" s="1387"/>
      <c r="CM58" s="1387"/>
      <c r="CN58" s="1387"/>
      <c r="CO58" s="1387"/>
      <c r="CP58" s="1387"/>
      <c r="CQ58" s="1387"/>
      <c r="CR58" s="1387"/>
      <c r="CS58" s="1387"/>
      <c r="CT58" s="1339" t="s">
        <v>4172</v>
      </c>
      <c r="CU58" s="1328"/>
    </row>
    <row r="59">
      <c r="A59" s="1458" t="s">
        <v>8946</v>
      </c>
      <c r="B59" s="788" t="s">
        <v>1197</v>
      </c>
      <c r="C59" s="784" t="s">
        <v>1256</v>
      </c>
      <c r="D59" s="785" t="s">
        <v>1256</v>
      </c>
      <c r="E59" s="786" t="s">
        <v>1256</v>
      </c>
      <c r="F59" s="787" t="s">
        <v>1256</v>
      </c>
      <c r="G59" s="788" t="s">
        <v>546</v>
      </c>
      <c r="H59" s="1442"/>
      <c r="I59" s="1442"/>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7"/>
      <c r="BH59" s="1407"/>
      <c r="BI59" s="1407"/>
      <c r="BJ59" s="1407"/>
      <c r="BK59" s="1407"/>
      <c r="BL59" s="1407"/>
      <c r="BM59" s="1407"/>
      <c r="BN59" s="1407"/>
      <c r="BO59" s="1407"/>
      <c r="BP59" s="1407"/>
      <c r="BQ59" s="981"/>
      <c r="BR59" s="981"/>
      <c r="BS59" s="981"/>
      <c r="BT59" s="981"/>
      <c r="BU59" s="981"/>
      <c r="BV59" s="981"/>
      <c r="BW59" s="1332"/>
      <c r="BX59" s="981"/>
      <c r="BY59" s="981"/>
      <c r="BZ59" s="981"/>
      <c r="CA59" s="1332"/>
      <c r="CB59" s="981"/>
      <c r="CC59" s="981"/>
      <c r="CD59" s="1332"/>
      <c r="CE59" s="1387"/>
      <c r="CF59" s="1387"/>
      <c r="CG59" s="1387"/>
      <c r="CH59" s="1387"/>
      <c r="CI59" s="1387"/>
      <c r="CJ59" s="1387"/>
      <c r="CK59" s="1387"/>
      <c r="CL59" s="1387"/>
      <c r="CM59" s="981"/>
      <c r="CN59" s="981"/>
      <c r="CO59" s="981"/>
      <c r="CP59" s="981"/>
      <c r="CQ59" s="981"/>
      <c r="CR59" s="981"/>
      <c r="CS59" s="981"/>
      <c r="CT59" s="981"/>
      <c r="CU59" s="981"/>
    </row>
    <row r="60">
      <c r="A60" s="1459" t="s">
        <v>3096</v>
      </c>
      <c r="B60" s="788" t="s">
        <v>334</v>
      </c>
      <c r="C60" s="784" t="s">
        <v>1256</v>
      </c>
      <c r="D60" s="785" t="s">
        <v>1256</v>
      </c>
      <c r="E60" s="786" t="s">
        <v>1256</v>
      </c>
      <c r="F60" s="787" t="s">
        <v>1256</v>
      </c>
      <c r="G60" s="788" t="s">
        <v>437</v>
      </c>
      <c r="H60" s="1397"/>
      <c r="I60" s="1397"/>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1" t="s">
        <v>8521</v>
      </c>
      <c r="BD60" s="1341" t="s">
        <v>8878</v>
      </c>
      <c r="BE60" s="980"/>
      <c r="BF60" s="980"/>
      <c r="BG60" s="981"/>
      <c r="BH60" s="981"/>
      <c r="BI60" s="981"/>
      <c r="BJ60" s="981"/>
      <c r="BK60" s="981"/>
      <c r="BL60" s="981"/>
      <c r="BM60" s="981"/>
      <c r="BN60" s="981"/>
      <c r="BO60" s="981"/>
      <c r="BP60" s="981"/>
      <c r="BQ60" s="981"/>
      <c r="BR60" s="981"/>
      <c r="BS60" s="981"/>
      <c r="BT60" s="981"/>
      <c r="BU60" s="981"/>
      <c r="BV60" s="981"/>
      <c r="BW60" s="1332"/>
      <c r="BX60" s="981"/>
      <c r="BY60" s="981"/>
      <c r="BZ60" s="981"/>
      <c r="CA60" s="1332"/>
      <c r="CB60" s="981"/>
      <c r="CC60" s="981"/>
      <c r="CD60" s="1332"/>
      <c r="CE60" s="981"/>
      <c r="CF60" s="981"/>
      <c r="CG60" s="981"/>
      <c r="CH60" s="981"/>
      <c r="CI60" s="981"/>
      <c r="CJ60" s="981"/>
      <c r="CK60" s="981"/>
      <c r="CL60" s="981"/>
      <c r="CM60" s="981"/>
      <c r="CN60" s="981"/>
      <c r="CO60" s="981"/>
      <c r="CP60" s="981"/>
      <c r="CQ60" s="981"/>
      <c r="CR60" s="981"/>
      <c r="CS60" s="981"/>
      <c r="CT60" s="981"/>
      <c r="CU60" s="981"/>
    </row>
    <row r="61">
      <c r="A61" s="1460" t="s">
        <v>3967</v>
      </c>
      <c r="B61" s="788" t="s">
        <v>437</v>
      </c>
      <c r="C61" s="784" t="s">
        <v>1256</v>
      </c>
      <c r="D61" s="785" t="s">
        <v>1256</v>
      </c>
      <c r="E61" s="786" t="s">
        <v>1256</v>
      </c>
      <c r="F61" s="787" t="s">
        <v>1256</v>
      </c>
      <c r="G61" s="788" t="s">
        <v>546</v>
      </c>
      <c r="H61" s="1397"/>
      <c r="I61" s="1397"/>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8947</v>
      </c>
      <c r="BX61" s="981"/>
      <c r="BY61" s="981"/>
      <c r="BZ61" s="981"/>
      <c r="CA61" s="1332"/>
      <c r="CB61" s="981"/>
      <c r="CC61" s="981"/>
      <c r="CD61" s="1332"/>
      <c r="CE61" s="981"/>
      <c r="CF61" s="981"/>
      <c r="CG61" s="981"/>
      <c r="CH61" s="981"/>
      <c r="CI61" s="981"/>
      <c r="CJ61" s="981"/>
      <c r="CK61" s="981"/>
      <c r="CL61" s="981"/>
      <c r="CM61" s="981"/>
      <c r="CN61" s="981"/>
      <c r="CO61" s="981"/>
      <c r="CP61" s="981"/>
      <c r="CQ61" s="981"/>
      <c r="CR61" s="981"/>
      <c r="CS61" s="981"/>
      <c r="CT61" s="981"/>
      <c r="CU61" s="981"/>
    </row>
    <row r="62">
      <c r="A62" s="1392" t="s">
        <v>8948</v>
      </c>
      <c r="B62" s="788" t="s">
        <v>437</v>
      </c>
      <c r="C62" s="784" t="s">
        <v>1256</v>
      </c>
      <c r="D62" s="785" t="s">
        <v>1256</v>
      </c>
      <c r="E62" s="786" t="s">
        <v>1256</v>
      </c>
      <c r="F62" s="787" t="s">
        <v>1256</v>
      </c>
      <c r="G62" s="788" t="s">
        <v>546</v>
      </c>
      <c r="H62" s="1397"/>
      <c r="I62" s="1397"/>
      <c r="J62" s="981"/>
      <c r="K62" s="981"/>
      <c r="L62" s="981"/>
      <c r="M62" s="981"/>
      <c r="N62" s="981"/>
      <c r="O62" s="981"/>
      <c r="P62" s="981"/>
      <c r="Q62" s="981"/>
      <c r="R62" s="981"/>
      <c r="S62" s="981"/>
      <c r="T62" s="981"/>
      <c r="U62" s="981"/>
      <c r="V62" s="1341" t="s">
        <v>8557</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7"/>
      <c r="BH62" s="1407"/>
      <c r="BI62" s="1407"/>
      <c r="BJ62" s="1407"/>
      <c r="BK62" s="1407"/>
      <c r="BL62" s="1407"/>
      <c r="BM62" s="1407"/>
      <c r="BN62" s="1407"/>
      <c r="BO62" s="1407"/>
      <c r="BP62" s="1407"/>
      <c r="BQ62" s="981"/>
      <c r="BR62" s="981"/>
      <c r="BS62" s="981"/>
      <c r="BT62" s="981"/>
      <c r="BU62" s="981"/>
      <c r="BV62" s="981"/>
      <c r="BW62" s="1332"/>
      <c r="BX62" s="981"/>
      <c r="BY62" s="980"/>
      <c r="BZ62" s="981"/>
      <c r="CA62" s="1332"/>
      <c r="CB62" s="981"/>
      <c r="CC62" s="981"/>
      <c r="CD62" s="1332"/>
      <c r="CE62" s="1387"/>
      <c r="CF62" s="1387"/>
      <c r="CG62" s="1387"/>
      <c r="CH62" s="1387"/>
      <c r="CI62" s="1387"/>
      <c r="CJ62" s="1387"/>
      <c r="CK62" s="1387"/>
      <c r="CL62" s="1387"/>
      <c r="CM62" s="1387"/>
      <c r="CN62" s="1387"/>
      <c r="CO62" s="1387"/>
      <c r="CP62" s="1387"/>
      <c r="CQ62" s="1387"/>
      <c r="CR62" s="1387"/>
      <c r="CS62" s="1387"/>
      <c r="CT62" s="981"/>
      <c r="CU62" s="981"/>
    </row>
    <row r="63">
      <c r="A63" s="1429" t="s">
        <v>8949</v>
      </c>
      <c r="B63" s="788" t="s">
        <v>546</v>
      </c>
      <c r="C63" s="784" t="s">
        <v>1256</v>
      </c>
      <c r="D63" s="785" t="s">
        <v>1256</v>
      </c>
      <c r="E63" s="786" t="s">
        <v>1256</v>
      </c>
      <c r="F63" s="787" t="s">
        <v>1256</v>
      </c>
      <c r="G63" s="788" t="s">
        <v>546</v>
      </c>
      <c r="H63" s="1442"/>
      <c r="I63" s="1442"/>
      <c r="J63" s="981"/>
      <c r="K63" s="981"/>
      <c r="L63" s="981"/>
      <c r="M63" s="981"/>
      <c r="N63" s="981"/>
      <c r="O63" s="981"/>
      <c r="P63" s="981"/>
      <c r="Q63" s="981"/>
      <c r="R63" s="981"/>
      <c r="S63" s="981"/>
      <c r="T63" s="981"/>
      <c r="U63" s="981"/>
      <c r="V63" s="981"/>
      <c r="W63" s="981"/>
      <c r="X63" s="981"/>
      <c r="Y63" s="981"/>
      <c r="Z63" s="981"/>
      <c r="AA63" s="980" t="s">
        <v>8950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2"/>
      <c r="BX63" s="981"/>
      <c r="BY63" s="981"/>
      <c r="BZ63" s="981"/>
      <c r="CA63" s="1332"/>
      <c r="CB63" s="981"/>
      <c r="CC63" s="981"/>
      <c r="CD63" s="1332"/>
      <c r="CE63" s="981"/>
      <c r="CF63" s="981"/>
      <c r="CG63" s="981"/>
      <c r="CH63" s="981"/>
      <c r="CI63" s="981"/>
      <c r="CJ63" s="981"/>
      <c r="CK63" s="981"/>
      <c r="CL63" s="981"/>
      <c r="CM63" s="981"/>
      <c r="CN63" s="981"/>
      <c r="CO63" s="981"/>
      <c r="CP63" s="981"/>
      <c r="CQ63" s="981"/>
      <c r="CR63" s="981"/>
      <c r="CS63" s="981"/>
      <c r="CT63" s="981"/>
      <c r="CU63" s="981"/>
    </row>
    <row r="64">
      <c r="A64" s="1429" t="s">
        <v>5981</v>
      </c>
      <c r="B64" s="788" t="s">
        <v>1256</v>
      </c>
      <c r="C64" s="784" t="s">
        <v>1256</v>
      </c>
      <c r="D64" s="785" t="s">
        <v>1256</v>
      </c>
      <c r="E64" s="786" t="s">
        <v>1256</v>
      </c>
      <c r="F64" s="787" t="s">
        <v>1256</v>
      </c>
      <c r="G64" s="788" t="s">
        <v>1256</v>
      </c>
      <c r="H64" s="1397"/>
      <c r="I64" s="1397"/>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2"/>
      <c r="BX64" s="981"/>
      <c r="BY64" s="981"/>
      <c r="BZ64" s="981"/>
      <c r="CA64" s="1332"/>
      <c r="CB64" s="981"/>
      <c r="CC64" s="981"/>
      <c r="CD64" s="1332"/>
      <c r="CE64" s="981"/>
      <c r="CF64" s="981"/>
      <c r="CG64" s="981"/>
      <c r="CH64" s="981"/>
      <c r="CI64" s="981"/>
      <c r="CJ64" s="981"/>
      <c r="CK64" s="981"/>
      <c r="CL64" s="981"/>
      <c r="CM64" s="981"/>
      <c r="CN64" s="981"/>
      <c r="CO64" s="981"/>
      <c r="CP64" s="981"/>
      <c r="CQ64" s="981"/>
      <c r="CR64" s="981"/>
      <c r="CS64" s="981"/>
      <c r="CT64" s="981"/>
      <c r="CU64" s="981"/>
    </row>
    <row r="65">
      <c r="A65" s="1392"/>
      <c r="B65" s="788" t="s">
        <v>1256</v>
      </c>
      <c r="C65" s="784" t="s">
        <v>1256</v>
      </c>
      <c r="D65" s="785" t="s">
        <v>1256</v>
      </c>
      <c r="E65" s="786" t="s">
        <v>1256</v>
      </c>
      <c r="F65" s="787" t="s">
        <v>1256</v>
      </c>
      <c r="G65" s="788" t="s">
        <v>1256</v>
      </c>
      <c r="H65" s="1397"/>
      <c r="I65" s="1397"/>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2"/>
      <c r="BX65" s="981"/>
      <c r="BY65" s="981"/>
      <c r="BZ65" s="981"/>
      <c r="CA65" s="1332"/>
      <c r="CB65" s="981"/>
      <c r="CC65" s="981"/>
      <c r="CD65" s="1332"/>
      <c r="CE65" s="981"/>
      <c r="CF65" s="981"/>
      <c r="CG65" s="981"/>
      <c r="CH65" s="981"/>
      <c r="CI65" s="981"/>
      <c r="CJ65" s="981"/>
      <c r="CK65" s="981"/>
      <c r="CL65" s="981"/>
      <c r="CM65" s="981"/>
      <c r="CN65" s="981"/>
      <c r="CO65" s="981"/>
      <c r="CP65" s="981"/>
      <c r="CQ65" s="981"/>
      <c r="CR65" s="981"/>
      <c r="CS65" s="981"/>
      <c r="CT65" s="981"/>
      <c r="CU65" s="981"/>
    </row>
    <row r="66">
      <c r="A66" s="1392"/>
      <c r="B66" s="788" t="s">
        <v>1256</v>
      </c>
      <c r="C66" s="784" t="s">
        <v>1256</v>
      </c>
      <c r="D66" s="785" t="s">
        <v>1256</v>
      </c>
      <c r="E66" s="786" t="s">
        <v>1256</v>
      </c>
      <c r="F66" s="787" t="s">
        <v>1256</v>
      </c>
      <c r="G66" s="788" t="s">
        <v>1256</v>
      </c>
      <c r="H66" s="1397"/>
      <c r="I66" s="1397"/>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2"/>
      <c r="BX66" s="981"/>
      <c r="BY66" s="981"/>
      <c r="BZ66" s="981"/>
      <c r="CA66" s="1332"/>
      <c r="CB66" s="981"/>
      <c r="CC66" s="981"/>
      <c r="CD66" s="1332"/>
      <c r="CE66" s="981"/>
      <c r="CF66" s="981"/>
      <c r="CG66" s="981"/>
      <c r="CH66" s="981"/>
      <c r="CI66" s="981"/>
      <c r="CJ66" s="981"/>
      <c r="CK66" s="981"/>
      <c r="CL66" s="981"/>
      <c r="CM66" s="981"/>
      <c r="CN66" s="981"/>
      <c r="CO66" s="981"/>
      <c r="CP66" s="981"/>
      <c r="CQ66" s="981"/>
      <c r="CR66" s="981"/>
      <c r="CS66" s="981"/>
      <c r="CT66" s="981"/>
      <c r="CU66" s="981"/>
    </row>
    <row r="67">
      <c r="A67" s="1392"/>
      <c r="B67" s="788" t="s">
        <v>1256</v>
      </c>
      <c r="C67" s="784" t="s">
        <v>1256</v>
      </c>
      <c r="D67" s="785" t="s">
        <v>1256</v>
      </c>
      <c r="E67" s="786" t="s">
        <v>1256</v>
      </c>
      <c r="F67" s="787" t="s">
        <v>1256</v>
      </c>
      <c r="G67" s="788" t="s">
        <v>1256</v>
      </c>
      <c r="H67" s="1397"/>
      <c r="I67" s="1397"/>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2"/>
      <c r="BX67" s="981"/>
      <c r="BY67" s="981"/>
      <c r="BZ67" s="981"/>
      <c r="CA67" s="1332"/>
      <c r="CB67" s="981"/>
      <c r="CC67" s="981"/>
      <c r="CD67" s="1332"/>
      <c r="CE67" s="981"/>
      <c r="CF67" s="981"/>
      <c r="CG67" s="981"/>
      <c r="CH67" s="981"/>
      <c r="CI67" s="981"/>
      <c r="CJ67" s="981"/>
      <c r="CK67" s="981"/>
      <c r="CL67" s="981"/>
      <c r="CM67" s="981"/>
      <c r="CN67" s="981"/>
      <c r="CO67" s="981"/>
      <c r="CP67" s="981"/>
      <c r="CQ67" s="981"/>
      <c r="CR67" s="981"/>
      <c r="CS67" s="981"/>
      <c r="CT67" s="981"/>
      <c r="CU67" s="981"/>
    </row>
    <row r="68">
      <c r="A68" s="1392"/>
      <c r="B68" s="788" t="s">
        <v>1256</v>
      </c>
      <c r="C68" s="784" t="s">
        <v>1256</v>
      </c>
      <c r="D68" s="785" t="s">
        <v>1256</v>
      </c>
      <c r="E68" s="786" t="s">
        <v>1256</v>
      </c>
      <c r="F68" s="787" t="s">
        <v>1256</v>
      </c>
      <c r="G68" s="788" t="s">
        <v>1256</v>
      </c>
      <c r="H68" s="1397"/>
      <c r="I68" s="1397"/>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2"/>
      <c r="BX68" s="981"/>
      <c r="BY68" s="981"/>
      <c r="BZ68" s="981"/>
      <c r="CA68" s="1332"/>
      <c r="CB68" s="981"/>
      <c r="CC68" s="981"/>
      <c r="CD68" s="1332"/>
      <c r="CE68" s="981"/>
      <c r="CF68" s="981"/>
      <c r="CG68" s="981"/>
      <c r="CH68" s="981"/>
      <c r="CI68" s="981"/>
      <c r="CJ68" s="981"/>
      <c r="CK68" s="981"/>
      <c r="CL68" s="981"/>
      <c r="CM68" s="981"/>
      <c r="CN68" s="981"/>
      <c r="CO68" s="981"/>
      <c r="CP68" s="981"/>
      <c r="CQ68" s="981"/>
      <c r="CR68" s="981"/>
      <c r="CS68" s="981"/>
      <c r="CT68" s="981"/>
      <c r="CU68" s="981"/>
    </row>
    <row r="69">
      <c r="A69" s="1392"/>
      <c r="B69" s="788" t="s">
        <v>1256</v>
      </c>
      <c r="C69" s="784" t="s">
        <v>1256</v>
      </c>
      <c r="D69" s="785" t="s">
        <v>1256</v>
      </c>
      <c r="E69" s="786" t="s">
        <v>1256</v>
      </c>
      <c r="F69" s="787" t="s">
        <v>1256</v>
      </c>
      <c r="G69" s="788" t="s">
        <v>1256</v>
      </c>
      <c r="H69" s="1397"/>
      <c r="I69" s="1397"/>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2"/>
      <c r="BX69" s="981"/>
      <c r="BY69" s="981"/>
      <c r="BZ69" s="981"/>
      <c r="CA69" s="1332"/>
      <c r="CB69" s="981"/>
      <c r="CC69" s="981"/>
      <c r="CD69" s="1332"/>
      <c r="CE69" s="981"/>
      <c r="CF69" s="981"/>
      <c r="CG69" s="981"/>
      <c r="CH69" s="981"/>
      <c r="CI69" s="981"/>
      <c r="CJ69" s="981"/>
      <c r="CK69" s="981"/>
      <c r="CL69" s="981"/>
      <c r="CM69" s="981"/>
      <c r="CN69" s="981"/>
      <c r="CO69" s="981"/>
      <c r="CP69" s="981"/>
      <c r="CQ69" s="981"/>
      <c r="CR69" s="981"/>
      <c r="CS69" s="981"/>
      <c r="CT69" s="981"/>
      <c r="CU69" s="981"/>
    </row>
    <row r="70">
      <c r="A70" s="1392"/>
      <c r="B70" s="788" t="s">
        <v>1256</v>
      </c>
      <c r="C70" s="784" t="s">
        <v>1256</v>
      </c>
      <c r="D70" s="785" t="s">
        <v>1256</v>
      </c>
      <c r="E70" s="786" t="s">
        <v>1256</v>
      </c>
      <c r="F70" s="787" t="s">
        <v>1256</v>
      </c>
      <c r="G70" s="788" t="s">
        <v>1256</v>
      </c>
      <c r="H70" s="1397"/>
      <c r="I70" s="1397"/>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2"/>
      <c r="BX70" s="981"/>
      <c r="BY70" s="981"/>
      <c r="BZ70" s="981"/>
      <c r="CA70" s="1332"/>
      <c r="CB70" s="981"/>
      <c r="CC70" s="981"/>
      <c r="CD70" s="1332"/>
      <c r="CE70" s="981"/>
      <c r="CF70" s="981"/>
      <c r="CG70" s="981"/>
      <c r="CH70" s="981"/>
      <c r="CI70" s="981"/>
      <c r="CJ70" s="981"/>
      <c r="CK70" s="981"/>
      <c r="CL70" s="981"/>
      <c r="CM70" s="981"/>
      <c r="CN70" s="981"/>
      <c r="CO70" s="981"/>
      <c r="CP70" s="981"/>
      <c r="CQ70" s="981"/>
      <c r="CR70" s="981"/>
      <c r="CS70" s="981"/>
      <c r="CT70" s="981"/>
      <c r="CU70" s="981"/>
    </row>
    <row r="71">
      <c r="A71" s="1392"/>
      <c r="B71" s="788" t="s">
        <v>1256</v>
      </c>
      <c r="C71" s="784" t="s">
        <v>1256</v>
      </c>
      <c r="D71" s="785" t="s">
        <v>1256</v>
      </c>
      <c r="E71" s="786" t="s">
        <v>1256</v>
      </c>
      <c r="F71" s="787" t="s">
        <v>1256</v>
      </c>
      <c r="G71" s="788" t="s">
        <v>1256</v>
      </c>
      <c r="H71" s="1397"/>
      <c r="I71" s="1397"/>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2"/>
      <c r="BX71" s="981"/>
      <c r="BY71" s="981"/>
      <c r="BZ71" s="981"/>
      <c r="CA71" s="1332"/>
      <c r="CB71" s="981"/>
      <c r="CC71" s="981"/>
      <c r="CD71" s="1332"/>
      <c r="CE71" s="981"/>
      <c r="CF71" s="981"/>
      <c r="CG71" s="981"/>
      <c r="CH71" s="981"/>
      <c r="CI71" s="981"/>
      <c r="CJ71" s="981"/>
      <c r="CK71" s="981"/>
      <c r="CL71" s="981"/>
      <c r="CM71" s="981"/>
      <c r="CN71" s="981"/>
      <c r="CO71" s="981"/>
      <c r="CP71" s="981"/>
      <c r="CQ71" s="981"/>
      <c r="CR71" s="981"/>
      <c r="CS71" s="981"/>
      <c r="CT71" s="981"/>
      <c r="CU71" s="981"/>
    </row>
    <row r="72">
      <c r="A72" s="1392"/>
      <c r="B72" s="788" t="s">
        <v>1256</v>
      </c>
      <c r="C72" s="784" t="s">
        <v>1256</v>
      </c>
      <c r="D72" s="785" t="s">
        <v>1256</v>
      </c>
      <c r="E72" s="786" t="s">
        <v>1256</v>
      </c>
      <c r="F72" s="787" t="s">
        <v>1256</v>
      </c>
      <c r="G72" s="788" t="s">
        <v>1256</v>
      </c>
      <c r="H72" s="1397"/>
      <c r="I72" s="1397"/>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2"/>
      <c r="BX72" s="981"/>
      <c r="BY72" s="981"/>
      <c r="BZ72" s="981"/>
      <c r="CA72" s="1332"/>
      <c r="CB72" s="981"/>
      <c r="CC72" s="981"/>
      <c r="CD72" s="1332"/>
      <c r="CE72" s="981"/>
      <c r="CF72" s="981"/>
      <c r="CG72" s="981"/>
      <c r="CH72" s="981"/>
      <c r="CI72" s="981"/>
      <c r="CJ72" s="981"/>
      <c r="CK72" s="981"/>
      <c r="CL72" s="981"/>
      <c r="CM72" s="981"/>
      <c r="CN72" s="981"/>
      <c r="CO72" s="981"/>
      <c r="CP72" s="981"/>
      <c r="CQ72" s="981"/>
      <c r="CR72" s="981"/>
      <c r="CS72" s="981"/>
      <c r="CT72" s="981"/>
      <c r="CU72" s="981"/>
    </row>
    <row r="73">
      <c r="A73" s="1392"/>
      <c r="B73" s="788" t="s">
        <v>1256</v>
      </c>
      <c r="C73" s="784" t="s">
        <v>1256</v>
      </c>
      <c r="D73" s="785" t="s">
        <v>1256</v>
      </c>
      <c r="E73" s="786" t="s">
        <v>1256</v>
      </c>
      <c r="F73" s="787" t="s">
        <v>1256</v>
      </c>
      <c r="G73" s="788" t="s">
        <v>1256</v>
      </c>
      <c r="H73" s="1397"/>
      <c r="I73" s="1397"/>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2"/>
      <c r="BX73" s="981"/>
      <c r="BY73" s="981"/>
      <c r="BZ73" s="981"/>
      <c r="CA73" s="1332"/>
      <c r="CB73" s="981"/>
      <c r="CC73" s="981"/>
      <c r="CD73" s="1332"/>
      <c r="CE73" s="981"/>
      <c r="CF73" s="981"/>
      <c r="CG73" s="981"/>
      <c r="CH73" s="981"/>
      <c r="CI73" s="981"/>
      <c r="CJ73" s="981"/>
      <c r="CK73" s="981"/>
      <c r="CL73" s="981"/>
      <c r="CM73" s="981"/>
      <c r="CN73" s="981"/>
      <c r="CO73" s="981"/>
      <c r="CP73" s="981"/>
      <c r="CQ73" s="981"/>
      <c r="CR73" s="981"/>
      <c r="CS73" s="981"/>
      <c r="CT73" s="981"/>
      <c r="CU73" s="981"/>
    </row>
    <row r="74">
      <c r="A74" s="1392"/>
      <c r="B74" s="788" t="s">
        <v>1256</v>
      </c>
      <c r="C74" s="784" t="s">
        <v>1256</v>
      </c>
      <c r="D74" s="785" t="s">
        <v>1256</v>
      </c>
      <c r="E74" s="786" t="s">
        <v>1256</v>
      </c>
      <c r="F74" s="787" t="s">
        <v>1256</v>
      </c>
      <c r="G74" s="788" t="s">
        <v>1256</v>
      </c>
      <c r="H74" s="1397"/>
      <c r="I74" s="1397"/>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2"/>
      <c r="BX74" s="981"/>
      <c r="BY74" s="981"/>
      <c r="BZ74" s="981"/>
      <c r="CA74" s="1332"/>
      <c r="CB74" s="981"/>
      <c r="CC74" s="981"/>
      <c r="CD74" s="1332"/>
      <c r="CE74" s="981"/>
      <c r="CF74" s="981"/>
      <c r="CG74" s="981"/>
      <c r="CH74" s="981"/>
      <c r="CI74" s="981"/>
      <c r="CJ74" s="981"/>
      <c r="CK74" s="981"/>
      <c r="CL74" s="981"/>
      <c r="CM74" s="981"/>
      <c r="CN74" s="981"/>
      <c r="CO74" s="981"/>
      <c r="CP74" s="981"/>
      <c r="CQ74" s="981"/>
      <c r="CR74" s="981"/>
      <c r="CS74" s="981"/>
      <c r="CT74" s="981"/>
      <c r="CU74" s="981"/>
    </row>
    <row r="75">
      <c r="A75" s="1392"/>
      <c r="B75" s="788" t="s">
        <v>1256</v>
      </c>
      <c r="C75" s="784" t="s">
        <v>1256</v>
      </c>
      <c r="D75" s="785" t="s">
        <v>1256</v>
      </c>
      <c r="E75" s="786" t="s">
        <v>1256</v>
      </c>
      <c r="F75" s="787" t="s">
        <v>1256</v>
      </c>
      <c r="G75" s="788" t="s">
        <v>1256</v>
      </c>
      <c r="H75" s="1397"/>
      <c r="I75" s="1397"/>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2"/>
      <c r="BX75" s="981"/>
      <c r="BY75" s="981"/>
      <c r="BZ75" s="981"/>
      <c r="CA75" s="1332"/>
      <c r="CB75" s="981"/>
      <c r="CC75" s="981"/>
      <c r="CD75" s="1332"/>
      <c r="CE75" s="981"/>
      <c r="CF75" s="981"/>
      <c r="CG75" s="981"/>
      <c r="CH75" s="981"/>
      <c r="CI75" s="981"/>
      <c r="CJ75" s="981"/>
      <c r="CK75" s="981"/>
      <c r="CL75" s="981"/>
      <c r="CM75" s="981"/>
      <c r="CN75" s="981"/>
      <c r="CO75" s="981"/>
      <c r="CP75" s="981"/>
      <c r="CQ75" s="981"/>
      <c r="CR75" s="981"/>
      <c r="CS75" s="981"/>
      <c r="CT75" s="981"/>
      <c r="CU75" s="981"/>
    </row>
    <row r="76">
      <c r="A76" s="1392"/>
      <c r="B76" s="788" t="s">
        <v>1256</v>
      </c>
      <c r="C76" s="784" t="s">
        <v>1256</v>
      </c>
      <c r="D76" s="785" t="s">
        <v>1256</v>
      </c>
      <c r="E76" s="786" t="s">
        <v>1256</v>
      </c>
      <c r="F76" s="787" t="s">
        <v>1256</v>
      </c>
      <c r="G76" s="788" t="s">
        <v>1256</v>
      </c>
      <c r="H76" s="1397"/>
      <c r="I76" s="1397"/>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2"/>
      <c r="BX76" s="981"/>
      <c r="BY76" s="981"/>
      <c r="BZ76" s="981"/>
      <c r="CA76" s="1332"/>
      <c r="CB76" s="981"/>
      <c r="CC76" s="981"/>
      <c r="CD76" s="1332"/>
      <c r="CE76" s="981"/>
      <c r="CF76" s="981"/>
      <c r="CG76" s="981"/>
      <c r="CH76" s="981"/>
      <c r="CI76" s="981"/>
      <c r="CJ76" s="981"/>
      <c r="CK76" s="981"/>
      <c r="CL76" s="981"/>
      <c r="CM76" s="981"/>
      <c r="CN76" s="981"/>
      <c r="CO76" s="981"/>
      <c r="CP76" s="981"/>
      <c r="CQ76" s="981"/>
      <c r="CR76" s="981"/>
      <c r="CS76" s="981"/>
      <c r="CT76" s="981"/>
      <c r="CU76" s="981"/>
    </row>
    <row r="77">
      <c r="A77" s="1392"/>
      <c r="B77" s="788" t="s">
        <v>1256</v>
      </c>
      <c r="C77" s="784" t="s">
        <v>1256</v>
      </c>
      <c r="D77" s="785" t="s">
        <v>1256</v>
      </c>
      <c r="E77" s="786" t="s">
        <v>1256</v>
      </c>
      <c r="F77" s="787" t="s">
        <v>1256</v>
      </c>
      <c r="G77" s="788" t="s">
        <v>1256</v>
      </c>
      <c r="H77" s="1397"/>
      <c r="I77" s="1397"/>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2"/>
      <c r="BX77" s="981"/>
      <c r="BY77" s="981"/>
      <c r="BZ77" s="981"/>
      <c r="CA77" s="1332"/>
      <c r="CB77" s="981"/>
      <c r="CC77" s="981"/>
      <c r="CD77" s="1332"/>
      <c r="CE77" s="981"/>
      <c r="CF77" s="981"/>
      <c r="CG77" s="981"/>
      <c r="CH77" s="981"/>
      <c r="CI77" s="981"/>
      <c r="CJ77" s="981"/>
      <c r="CK77" s="981"/>
      <c r="CL77" s="981"/>
      <c r="CM77" s="981"/>
      <c r="CN77" s="981"/>
      <c r="CO77" s="981"/>
      <c r="CP77" s="981"/>
      <c r="CQ77" s="981"/>
      <c r="CR77" s="981"/>
      <c r="CS77" s="981"/>
      <c r="CT77" s="981"/>
      <c r="CU77" s="981"/>
    </row>
    <row r="78">
      <c r="A78" s="1392"/>
      <c r="B78" s="788" t="s">
        <v>1256</v>
      </c>
      <c r="C78" s="784" t="s">
        <v>1256</v>
      </c>
      <c r="D78" s="785" t="s">
        <v>1256</v>
      </c>
      <c r="E78" s="786" t="s">
        <v>1256</v>
      </c>
      <c r="F78" s="787" t="s">
        <v>1256</v>
      </c>
      <c r="G78" s="788" t="s">
        <v>1256</v>
      </c>
      <c r="H78" s="1397"/>
      <c r="I78" s="1397"/>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2"/>
      <c r="BX78" s="981"/>
      <c r="BY78" s="981"/>
      <c r="BZ78" s="981"/>
      <c r="CA78" s="1332"/>
      <c r="CB78" s="981"/>
      <c r="CC78" s="981"/>
      <c r="CD78" s="1332"/>
      <c r="CE78" s="981"/>
      <c r="CF78" s="981"/>
      <c r="CG78" s="981"/>
      <c r="CH78" s="981"/>
      <c r="CI78" s="981"/>
      <c r="CJ78" s="981"/>
      <c r="CK78" s="981"/>
      <c r="CL78" s="981"/>
      <c r="CM78" s="981"/>
      <c r="CN78" s="981"/>
      <c r="CO78" s="981"/>
      <c r="CP78" s="981"/>
      <c r="CQ78" s="981"/>
      <c r="CR78" s="981"/>
      <c r="CS78" s="981"/>
      <c r="CT78" s="981"/>
      <c r="CU78" s="981"/>
    </row>
    <row r="79">
      <c r="A79" s="1392"/>
      <c r="B79" s="788" t="s">
        <v>1256</v>
      </c>
      <c r="C79" s="784" t="s">
        <v>1256</v>
      </c>
      <c r="D79" s="785" t="s">
        <v>1256</v>
      </c>
      <c r="E79" s="786" t="s">
        <v>1256</v>
      </c>
      <c r="F79" s="787" t="s">
        <v>1256</v>
      </c>
      <c r="G79" s="788" t="s">
        <v>1256</v>
      </c>
      <c r="H79" s="1397"/>
      <c r="I79" s="1397"/>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2"/>
      <c r="BX79" s="981"/>
      <c r="BY79" s="981"/>
      <c r="BZ79" s="981"/>
      <c r="CA79" s="1332"/>
      <c r="CB79" s="981"/>
      <c r="CC79" s="981"/>
      <c r="CD79" s="1332"/>
      <c r="CE79" s="981"/>
      <c r="CF79" s="981"/>
      <c r="CG79" s="981"/>
      <c r="CH79" s="981"/>
      <c r="CI79" s="981"/>
      <c r="CJ79" s="981"/>
      <c r="CK79" s="981"/>
      <c r="CL79" s="981"/>
      <c r="CM79" s="981"/>
      <c r="CN79" s="981"/>
      <c r="CO79" s="981"/>
      <c r="CP79" s="981"/>
      <c r="CQ79" s="981"/>
      <c r="CR79" s="981"/>
      <c r="CS79" s="981"/>
      <c r="CT79" s="981"/>
      <c r="CU79" s="981"/>
    </row>
    <row r="80">
      <c r="A80" s="1392"/>
      <c r="B80" s="788" t="s">
        <v>1256</v>
      </c>
      <c r="C80" s="784" t="s">
        <v>1256</v>
      </c>
      <c r="D80" s="785" t="s">
        <v>1256</v>
      </c>
      <c r="E80" s="786" t="s">
        <v>1256</v>
      </c>
      <c r="F80" s="787" t="s">
        <v>1256</v>
      </c>
      <c r="G80" s="788" t="s">
        <v>1256</v>
      </c>
      <c r="H80" s="1397"/>
      <c r="I80" s="1397"/>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2"/>
      <c r="BX80" s="981"/>
      <c r="BY80" s="981"/>
      <c r="BZ80" s="981"/>
      <c r="CA80" s="1332"/>
      <c r="CB80" s="981"/>
      <c r="CC80" s="981"/>
      <c r="CD80" s="1332"/>
      <c r="CE80" s="981"/>
      <c r="CF80" s="981"/>
      <c r="CG80" s="981"/>
      <c r="CH80" s="981"/>
      <c r="CI80" s="981"/>
      <c r="CJ80" s="981"/>
      <c r="CK80" s="981"/>
      <c r="CL80" s="981"/>
      <c r="CM80" s="981"/>
      <c r="CN80" s="981"/>
      <c r="CO80" s="981"/>
      <c r="CP80" s="981"/>
      <c r="CQ80" s="981"/>
      <c r="CR80" s="981"/>
      <c r="CS80" s="981"/>
      <c r="CT80" s="981"/>
      <c r="CU80" s="981"/>
    </row>
    <row r="81">
      <c r="A81" s="1392"/>
      <c r="B81" s="788" t="s">
        <v>1256</v>
      </c>
      <c r="C81" s="784" t="s">
        <v>1256</v>
      </c>
      <c r="D81" s="785" t="s">
        <v>1256</v>
      </c>
      <c r="E81" s="786" t="s">
        <v>1256</v>
      </c>
      <c r="F81" s="787" t="s">
        <v>1256</v>
      </c>
      <c r="G81" s="788" t="s">
        <v>1256</v>
      </c>
      <c r="H81" s="1397"/>
      <c r="I81" s="1397"/>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2"/>
      <c r="BX81" s="981"/>
      <c r="BY81" s="981"/>
      <c r="BZ81" s="981"/>
      <c r="CA81" s="1332"/>
      <c r="CB81" s="981"/>
      <c r="CC81" s="981"/>
      <c r="CD81" s="1332"/>
      <c r="CE81" s="981"/>
      <c r="CF81" s="981"/>
      <c r="CG81" s="981"/>
      <c r="CH81" s="981"/>
      <c r="CI81" s="981"/>
      <c r="CJ81" s="981"/>
      <c r="CK81" s="981"/>
      <c r="CL81" s="981"/>
      <c r="CM81" s="981"/>
      <c r="CN81" s="981"/>
      <c r="CO81" s="981"/>
      <c r="CP81" s="981"/>
      <c r="CQ81" s="981"/>
      <c r="CR81" s="981"/>
      <c r="CS81" s="981"/>
      <c r="CT81" s="981"/>
      <c r="CU81" s="981"/>
    </row>
    <row r="82">
      <c r="A82" s="1392"/>
      <c r="B82" s="788" t="s">
        <v>1256</v>
      </c>
      <c r="C82" s="784" t="s">
        <v>1256</v>
      </c>
      <c r="D82" s="785" t="s">
        <v>1256</v>
      </c>
      <c r="E82" s="786" t="s">
        <v>1256</v>
      </c>
      <c r="F82" s="787" t="s">
        <v>1256</v>
      </c>
      <c r="G82" s="788" t="s">
        <v>1256</v>
      </c>
      <c r="H82" s="1397"/>
      <c r="I82" s="1397"/>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2"/>
      <c r="BX82" s="981"/>
      <c r="BY82" s="981"/>
      <c r="BZ82" s="981"/>
      <c r="CA82" s="1332"/>
      <c r="CB82" s="981"/>
      <c r="CC82" s="981"/>
      <c r="CD82" s="1332"/>
      <c r="CE82" s="981"/>
      <c r="CF82" s="981"/>
      <c r="CG82" s="981"/>
      <c r="CH82" s="981"/>
      <c r="CI82" s="981"/>
      <c r="CJ82" s="981"/>
      <c r="CK82" s="981"/>
      <c r="CL82" s="981"/>
      <c r="CM82" s="981"/>
      <c r="CN82" s="981"/>
      <c r="CO82" s="981"/>
      <c r="CP82" s="981"/>
      <c r="CQ82" s="981"/>
      <c r="CR82" s="981"/>
      <c r="CS82" s="981"/>
      <c r="CT82" s="981"/>
      <c r="CU82" s="981"/>
    </row>
    <row r="83">
      <c r="A83" s="1392"/>
      <c r="B83" s="788" t="s">
        <v>1256</v>
      </c>
      <c r="C83" s="784" t="s">
        <v>1256</v>
      </c>
      <c r="D83" s="785" t="s">
        <v>1256</v>
      </c>
      <c r="E83" s="786" t="s">
        <v>1256</v>
      </c>
      <c r="F83" s="787" t="s">
        <v>1256</v>
      </c>
      <c r="G83" s="788" t="s">
        <v>1256</v>
      </c>
      <c r="H83" s="1397"/>
      <c r="I83" s="1397"/>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2"/>
      <c r="BX83" s="981"/>
      <c r="BY83" s="981"/>
      <c r="BZ83" s="981"/>
      <c r="CA83" s="1332"/>
      <c r="CB83" s="981"/>
      <c r="CC83" s="981"/>
      <c r="CD83" s="1332"/>
      <c r="CE83" s="981"/>
      <c r="CF83" s="981"/>
      <c r="CG83" s="981"/>
      <c r="CH83" s="981"/>
      <c r="CI83" s="981"/>
      <c r="CJ83" s="981"/>
      <c r="CK83" s="981"/>
      <c r="CL83" s="981"/>
      <c r="CM83" s="981"/>
      <c r="CN83" s="981"/>
      <c r="CO83" s="981"/>
      <c r="CP83" s="981"/>
      <c r="CQ83" s="981"/>
      <c r="CR83" s="981"/>
      <c r="CS83" s="981"/>
      <c r="CT83" s="981"/>
      <c r="CU83" s="981"/>
    </row>
    <row r="84">
      <c r="A84" s="1392"/>
      <c r="B84" s="788" t="s">
        <v>1256</v>
      </c>
      <c r="C84" s="784" t="s">
        <v>1256</v>
      </c>
      <c r="D84" s="785" t="s">
        <v>1256</v>
      </c>
      <c r="E84" s="786" t="s">
        <v>1256</v>
      </c>
      <c r="F84" s="787" t="s">
        <v>1256</v>
      </c>
      <c r="G84" s="788" t="s">
        <v>1256</v>
      </c>
      <c r="H84" s="1397"/>
      <c r="I84" s="1397"/>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2"/>
      <c r="BX84" s="981"/>
      <c r="BY84" s="981"/>
      <c r="BZ84" s="981"/>
      <c r="CA84" s="1332"/>
      <c r="CB84" s="981"/>
      <c r="CC84" s="981"/>
      <c r="CD84" s="1332"/>
      <c r="CE84" s="981"/>
      <c r="CF84" s="981"/>
      <c r="CG84" s="981"/>
      <c r="CH84" s="981"/>
      <c r="CI84" s="981"/>
      <c r="CJ84" s="981"/>
      <c r="CK84" s="981"/>
      <c r="CL84" s="981"/>
      <c r="CM84" s="981"/>
      <c r="CN84" s="981"/>
      <c r="CO84" s="981"/>
      <c r="CP84" s="981"/>
      <c r="CQ84" s="981"/>
      <c r="CR84" s="981"/>
      <c r="CS84" s="981"/>
      <c r="CT84" s="981"/>
      <c r="CU84" s="981"/>
    </row>
    <row r="85">
      <c r="A85" s="1392"/>
      <c r="B85" s="788" t="s">
        <v>1256</v>
      </c>
      <c r="C85" s="784" t="s">
        <v>1256</v>
      </c>
      <c r="D85" s="785" t="s">
        <v>1256</v>
      </c>
      <c r="E85" s="786" t="s">
        <v>1256</v>
      </c>
      <c r="F85" s="787" t="s">
        <v>1256</v>
      </c>
      <c r="G85" s="788" t="s">
        <v>1256</v>
      </c>
      <c r="H85" s="1397"/>
      <c r="I85" s="1397"/>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2"/>
      <c r="BX85" s="981"/>
      <c r="BY85" s="981"/>
      <c r="BZ85" s="981"/>
      <c r="CA85" s="1332"/>
      <c r="CB85" s="981"/>
      <c r="CC85" s="981"/>
      <c r="CD85" s="1332"/>
      <c r="CE85" s="981"/>
      <c r="CF85" s="981"/>
      <c r="CG85" s="981"/>
      <c r="CH85" s="981"/>
      <c r="CI85" s="981"/>
      <c r="CJ85" s="981"/>
      <c r="CK85" s="981"/>
      <c r="CL85" s="981"/>
      <c r="CM85" s="981"/>
      <c r="CN85" s="981"/>
      <c r="CO85" s="981"/>
      <c r="CP85" s="981"/>
      <c r="CQ85" s="981"/>
      <c r="CR85" s="981"/>
      <c r="CS85" s="981"/>
      <c r="CT85" s="981"/>
      <c r="CU85" s="981"/>
    </row>
    <row r="86">
      <c r="A86" s="1392"/>
      <c r="B86" s="788" t="s">
        <v>1256</v>
      </c>
      <c r="C86" s="784" t="s">
        <v>1256</v>
      </c>
      <c r="D86" s="785" t="s">
        <v>1256</v>
      </c>
      <c r="E86" s="786" t="s">
        <v>1256</v>
      </c>
      <c r="F86" s="787" t="s">
        <v>1256</v>
      </c>
      <c r="G86" s="788" t="s">
        <v>1256</v>
      </c>
      <c r="H86" s="1397"/>
      <c r="I86" s="1397"/>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2"/>
      <c r="BX86" s="981"/>
      <c r="BY86" s="981"/>
      <c r="BZ86" s="981"/>
      <c r="CA86" s="1332"/>
      <c r="CB86" s="981"/>
      <c r="CC86" s="981"/>
      <c r="CD86" s="1332"/>
      <c r="CE86" s="981"/>
      <c r="CF86" s="981"/>
      <c r="CG86" s="981"/>
      <c r="CH86" s="981"/>
      <c r="CI86" s="981"/>
      <c r="CJ86" s="981"/>
      <c r="CK86" s="981"/>
      <c r="CL86" s="981"/>
      <c r="CM86" s="981"/>
      <c r="CN86" s="981"/>
      <c r="CO86" s="981"/>
      <c r="CP86" s="981"/>
      <c r="CQ86" s="981"/>
      <c r="CR86" s="981"/>
      <c r="CS86" s="981"/>
      <c r="CT86" s="981"/>
      <c r="CU86" s="981"/>
    </row>
    <row r="87">
      <c r="A87" s="1392"/>
      <c r="B87" s="788" t="s">
        <v>1256</v>
      </c>
      <c r="C87" s="784" t="s">
        <v>1256</v>
      </c>
      <c r="D87" s="785" t="s">
        <v>1256</v>
      </c>
      <c r="E87" s="786" t="s">
        <v>1256</v>
      </c>
      <c r="F87" s="787" t="s">
        <v>1256</v>
      </c>
      <c r="G87" s="788" t="s">
        <v>1256</v>
      </c>
      <c r="H87" s="1397"/>
      <c r="I87" s="1397"/>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2"/>
      <c r="BX87" s="981"/>
      <c r="BY87" s="981"/>
      <c r="BZ87" s="981"/>
      <c r="CA87" s="1332"/>
      <c r="CB87" s="981"/>
      <c r="CC87" s="981"/>
      <c r="CD87" s="1332"/>
      <c r="CE87" s="981"/>
      <c r="CF87" s="981"/>
      <c r="CG87" s="981"/>
      <c r="CH87" s="981"/>
      <c r="CI87" s="981"/>
      <c r="CJ87" s="981"/>
      <c r="CK87" s="981"/>
      <c r="CL87" s="981"/>
      <c r="CM87" s="981"/>
      <c r="CN87" s="981"/>
      <c r="CO87" s="981"/>
      <c r="CP87" s="981"/>
      <c r="CQ87" s="981"/>
      <c r="CR87" s="981"/>
      <c r="CS87" s="981"/>
      <c r="CT87" s="981"/>
      <c r="CU87" s="981"/>
    </row>
    <row r="88">
      <c r="A88" s="1392"/>
      <c r="B88" s="788" t="s">
        <v>1256</v>
      </c>
      <c r="C88" s="784" t="s">
        <v>1256</v>
      </c>
      <c r="D88" s="785" t="s">
        <v>1256</v>
      </c>
      <c r="E88" s="786" t="s">
        <v>1256</v>
      </c>
      <c r="F88" s="787" t="s">
        <v>1256</v>
      </c>
      <c r="G88" s="788" t="s">
        <v>1256</v>
      </c>
      <c r="H88" s="1397"/>
      <c r="I88" s="1397"/>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2"/>
      <c r="BX88" s="981"/>
      <c r="BY88" s="981"/>
      <c r="BZ88" s="981"/>
      <c r="CA88" s="1332"/>
      <c r="CB88" s="981"/>
      <c r="CC88" s="981"/>
      <c r="CD88" s="1332"/>
      <c r="CE88" s="981"/>
      <c r="CF88" s="981"/>
      <c r="CG88" s="981"/>
      <c r="CH88" s="981"/>
      <c r="CI88" s="981"/>
      <c r="CJ88" s="981"/>
      <c r="CK88" s="981"/>
      <c r="CL88" s="981"/>
      <c r="CM88" s="981"/>
      <c r="CN88" s="981"/>
      <c r="CO88" s="981"/>
      <c r="CP88" s="981"/>
      <c r="CQ88" s="981"/>
      <c r="CR88" s="981"/>
      <c r="CS88" s="981"/>
      <c r="CT88" s="981"/>
      <c r="CU88" s="981"/>
    </row>
    <row r="89">
      <c r="A89" s="1392"/>
      <c r="B89" s="788" t="s">
        <v>1256</v>
      </c>
      <c r="C89" s="784" t="s">
        <v>1256</v>
      </c>
      <c r="D89" s="785" t="s">
        <v>1256</v>
      </c>
      <c r="E89" s="786" t="s">
        <v>1256</v>
      </c>
      <c r="F89" s="787" t="s">
        <v>1256</v>
      </c>
      <c r="G89" s="788" t="s">
        <v>1256</v>
      </c>
      <c r="H89" s="1397"/>
      <c r="I89" s="1397"/>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2"/>
      <c r="BX89" s="981"/>
      <c r="BY89" s="981"/>
      <c r="BZ89" s="981"/>
      <c r="CA89" s="1332"/>
      <c r="CB89" s="981"/>
      <c r="CC89" s="981"/>
      <c r="CD89" s="1332"/>
      <c r="CE89" s="981"/>
      <c r="CF89" s="981"/>
      <c r="CG89" s="981"/>
      <c r="CH89" s="981"/>
      <c r="CI89" s="981"/>
      <c r="CJ89" s="981"/>
      <c r="CK89" s="981"/>
      <c r="CL89" s="981"/>
      <c r="CM89" s="981"/>
      <c r="CN89" s="981"/>
      <c r="CO89" s="981"/>
      <c r="CP89" s="981"/>
      <c r="CQ89" s="981"/>
      <c r="CR89" s="981"/>
      <c r="CS89" s="981"/>
      <c r="CT89" s="981"/>
      <c r="CU89" s="981"/>
    </row>
    <row r="90">
      <c r="A90" s="1392"/>
      <c r="B90" s="788" t="s">
        <v>1256</v>
      </c>
      <c r="C90" s="784" t="s">
        <v>1256</v>
      </c>
      <c r="D90" s="785" t="s">
        <v>1256</v>
      </c>
      <c r="E90" s="786" t="s">
        <v>1256</v>
      </c>
      <c r="F90" s="787" t="s">
        <v>1256</v>
      </c>
      <c r="G90" s="788" t="s">
        <v>1256</v>
      </c>
      <c r="H90" s="1397"/>
      <c r="I90" s="1397"/>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2"/>
      <c r="BX90" s="981"/>
      <c r="BY90" s="981"/>
      <c r="BZ90" s="981"/>
      <c r="CA90" s="1332"/>
      <c r="CB90" s="981"/>
      <c r="CC90" s="981"/>
      <c r="CD90" s="1332"/>
      <c r="CE90" s="981"/>
      <c r="CF90" s="981"/>
      <c r="CG90" s="981"/>
      <c r="CH90" s="981"/>
      <c r="CI90" s="981"/>
      <c r="CJ90" s="981"/>
      <c r="CK90" s="981"/>
      <c r="CL90" s="981"/>
      <c r="CM90" s="981"/>
      <c r="CN90" s="981"/>
      <c r="CO90" s="981"/>
      <c r="CP90" s="981"/>
      <c r="CQ90" s="981"/>
      <c r="CR90" s="981"/>
      <c r="CS90" s="981"/>
      <c r="CT90" s="981"/>
      <c r="CU90" s="981"/>
    </row>
    <row r="91">
      <c r="A91" s="1392"/>
      <c r="B91" s="788" t="s">
        <v>1256</v>
      </c>
      <c r="C91" s="784" t="s">
        <v>1256</v>
      </c>
      <c r="D91" s="785" t="s">
        <v>1256</v>
      </c>
      <c r="E91" s="786" t="s">
        <v>1256</v>
      </c>
      <c r="F91" s="787" t="s">
        <v>1256</v>
      </c>
      <c r="G91" s="788" t="s">
        <v>1256</v>
      </c>
      <c r="H91" s="1397"/>
      <c r="I91" s="1397"/>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2"/>
      <c r="BX91" s="981"/>
      <c r="BY91" s="981"/>
      <c r="BZ91" s="981"/>
      <c r="CA91" s="1332"/>
      <c r="CB91" s="981"/>
      <c r="CC91" s="981"/>
      <c r="CD91" s="1332"/>
      <c r="CE91" s="981"/>
      <c r="CF91" s="981"/>
      <c r="CG91" s="981"/>
      <c r="CH91" s="981"/>
      <c r="CI91" s="981"/>
      <c r="CJ91" s="981"/>
      <c r="CK91" s="981"/>
      <c r="CL91" s="981"/>
      <c r="CM91" s="981"/>
      <c r="CN91" s="981"/>
      <c r="CO91" s="981"/>
      <c r="CP91" s="981"/>
      <c r="CQ91" s="981"/>
      <c r="CR91" s="981"/>
      <c r="CS91" s="981"/>
      <c r="CT91" s="981"/>
      <c r="CU91" s="981"/>
    </row>
    <row r="92">
      <c r="A92" s="1392"/>
      <c r="B92" s="788" t="s">
        <v>1256</v>
      </c>
      <c r="C92" s="784" t="s">
        <v>1256</v>
      </c>
      <c r="D92" s="785" t="s">
        <v>1256</v>
      </c>
      <c r="E92" s="786" t="s">
        <v>1256</v>
      </c>
      <c r="F92" s="787" t="s">
        <v>1256</v>
      </c>
      <c r="G92" s="788" t="s">
        <v>1256</v>
      </c>
      <c r="H92" s="1397"/>
      <c r="I92" s="1397"/>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2"/>
      <c r="BX92" s="981"/>
      <c r="BY92" s="981"/>
      <c r="BZ92" s="981"/>
      <c r="CA92" s="1332"/>
      <c r="CB92" s="981"/>
      <c r="CC92" s="981"/>
      <c r="CD92" s="1332"/>
      <c r="CE92" s="981"/>
      <c r="CF92" s="981"/>
      <c r="CG92" s="981"/>
      <c r="CH92" s="981"/>
      <c r="CI92" s="981"/>
      <c r="CJ92" s="981"/>
      <c r="CK92" s="981"/>
      <c r="CL92" s="981"/>
      <c r="CM92" s="981"/>
      <c r="CN92" s="981"/>
      <c r="CO92" s="981"/>
      <c r="CP92" s="981"/>
      <c r="CQ92" s="981"/>
      <c r="CR92" s="981"/>
      <c r="CS92" s="981"/>
      <c r="CT92" s="981"/>
      <c r="CU92" s="981"/>
    </row>
    <row r="93">
      <c r="A93" s="1392"/>
      <c r="B93" s="788" t="s">
        <v>1256</v>
      </c>
      <c r="C93" s="784" t="s">
        <v>1256</v>
      </c>
      <c r="D93" s="785" t="s">
        <v>1256</v>
      </c>
      <c r="E93" s="786" t="s">
        <v>1256</v>
      </c>
      <c r="F93" s="787" t="s">
        <v>1256</v>
      </c>
      <c r="G93" s="788" t="s">
        <v>1256</v>
      </c>
      <c r="H93" s="1397"/>
      <c r="I93" s="1397"/>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2"/>
      <c r="BX93" s="981"/>
      <c r="BY93" s="981"/>
      <c r="BZ93" s="981"/>
      <c r="CA93" s="1332"/>
      <c r="CB93" s="981"/>
      <c r="CC93" s="981"/>
      <c r="CD93" s="1332"/>
      <c r="CE93" s="981"/>
      <c r="CF93" s="981"/>
      <c r="CG93" s="981"/>
      <c r="CH93" s="981"/>
      <c r="CI93" s="981"/>
      <c r="CJ93" s="981"/>
      <c r="CK93" s="981"/>
      <c r="CL93" s="981"/>
      <c r="CM93" s="981"/>
      <c r="CN93" s="981"/>
      <c r="CO93" s="981"/>
      <c r="CP93" s="981"/>
      <c r="CQ93" s="981"/>
      <c r="CR93" s="981"/>
      <c r="CS93" s="981"/>
      <c r="CT93" s="981"/>
      <c r="CU93" s="981"/>
    </row>
    <row r="94">
      <c r="A94" s="1392"/>
      <c r="B94" s="788" t="s">
        <v>1256</v>
      </c>
      <c r="C94" s="784" t="s">
        <v>1256</v>
      </c>
      <c r="D94" s="785" t="s">
        <v>1256</v>
      </c>
      <c r="E94" s="786" t="s">
        <v>1256</v>
      </c>
      <c r="F94" s="787" t="s">
        <v>1256</v>
      </c>
      <c r="G94" s="788" t="s">
        <v>1256</v>
      </c>
      <c r="H94" s="1397"/>
      <c r="I94" s="1397"/>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2"/>
      <c r="BX94" s="981"/>
      <c r="BY94" s="981"/>
      <c r="BZ94" s="981"/>
      <c r="CA94" s="1332"/>
      <c r="CB94" s="981"/>
      <c r="CC94" s="981"/>
      <c r="CD94" s="1332"/>
      <c r="CE94" s="981"/>
      <c r="CF94" s="981"/>
      <c r="CG94" s="981"/>
      <c r="CH94" s="981"/>
      <c r="CI94" s="981"/>
      <c r="CJ94" s="981"/>
      <c r="CK94" s="981"/>
      <c r="CL94" s="981"/>
      <c r="CM94" s="981"/>
      <c r="CN94" s="981"/>
      <c r="CO94" s="981"/>
      <c r="CP94" s="981"/>
      <c r="CQ94" s="981"/>
      <c r="CR94" s="981"/>
      <c r="CS94" s="981"/>
      <c r="CT94" s="981"/>
      <c r="CU94" s="981"/>
    </row>
    <row r="95">
      <c r="A95" s="1392"/>
      <c r="B95" s="788" t="s">
        <v>1256</v>
      </c>
      <c r="C95" s="784" t="s">
        <v>1256</v>
      </c>
      <c r="D95" s="785" t="s">
        <v>1256</v>
      </c>
      <c r="E95" s="786" t="s">
        <v>1256</v>
      </c>
      <c r="F95" s="787" t="s">
        <v>1256</v>
      </c>
      <c r="G95" s="788" t="s">
        <v>1256</v>
      </c>
      <c r="H95" s="1397"/>
      <c r="I95" s="1397"/>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2"/>
      <c r="BX95" s="981"/>
      <c r="BY95" s="981"/>
      <c r="BZ95" s="981"/>
      <c r="CA95" s="1332"/>
      <c r="CB95" s="981"/>
      <c r="CC95" s="981"/>
      <c r="CD95" s="1332"/>
      <c r="CE95" s="981"/>
      <c r="CF95" s="981"/>
      <c r="CG95" s="981"/>
      <c r="CH95" s="981"/>
      <c r="CI95" s="981"/>
      <c r="CJ95" s="981"/>
      <c r="CK95" s="981"/>
      <c r="CL95" s="981"/>
      <c r="CM95" s="981"/>
      <c r="CN95" s="981"/>
      <c r="CO95" s="981"/>
      <c r="CP95" s="981"/>
      <c r="CQ95" s="981"/>
      <c r="CR95" s="981"/>
      <c r="CS95" s="981"/>
      <c r="CT95" s="981"/>
      <c r="CU95" s="981"/>
    </row>
    <row r="96">
      <c r="A96" s="1392"/>
      <c r="B96" s="788" t="s">
        <v>1256</v>
      </c>
      <c r="C96" s="784" t="s">
        <v>1256</v>
      </c>
      <c r="D96" s="785" t="s">
        <v>1256</v>
      </c>
      <c r="E96" s="786" t="s">
        <v>1256</v>
      </c>
      <c r="F96" s="787" t="s">
        <v>1256</v>
      </c>
      <c r="G96" s="788" t="s">
        <v>1256</v>
      </c>
      <c r="H96" s="1397"/>
      <c r="I96" s="1397"/>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2"/>
      <c r="BX96" s="981"/>
      <c r="BY96" s="981"/>
      <c r="BZ96" s="981"/>
      <c r="CA96" s="1332"/>
      <c r="CB96" s="981"/>
      <c r="CC96" s="981"/>
      <c r="CD96" s="1332"/>
      <c r="CE96" s="981"/>
      <c r="CF96" s="981"/>
      <c r="CG96" s="981"/>
      <c r="CH96" s="981"/>
      <c r="CI96" s="981"/>
      <c r="CJ96" s="981"/>
      <c r="CK96" s="981"/>
      <c r="CL96" s="981"/>
      <c r="CM96" s="981"/>
      <c r="CN96" s="981"/>
      <c r="CO96" s="981"/>
      <c r="CP96" s="981"/>
      <c r="CQ96" s="981"/>
      <c r="CR96" s="981"/>
      <c r="CS96" s="981"/>
      <c r="CT96" s="981"/>
      <c r="CU96" s="981"/>
    </row>
    <row r="97">
      <c r="A97" s="1392"/>
      <c r="B97" s="788" t="s">
        <v>1256</v>
      </c>
      <c r="C97" s="784" t="s">
        <v>1256</v>
      </c>
      <c r="D97" s="785" t="s">
        <v>1256</v>
      </c>
      <c r="E97" s="786" t="s">
        <v>1256</v>
      </c>
      <c r="F97" s="787" t="s">
        <v>1256</v>
      </c>
      <c r="G97" s="788" t="s">
        <v>1256</v>
      </c>
      <c r="H97" s="1397"/>
      <c r="I97" s="1397"/>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2"/>
      <c r="BX97" s="981"/>
      <c r="BY97" s="981"/>
      <c r="BZ97" s="981"/>
      <c r="CA97" s="1332"/>
      <c r="CB97" s="981"/>
      <c r="CC97" s="981"/>
      <c r="CD97" s="1332"/>
      <c r="CE97" s="981"/>
      <c r="CF97" s="981"/>
      <c r="CG97" s="981"/>
      <c r="CH97" s="981"/>
      <c r="CI97" s="981"/>
      <c r="CJ97" s="981"/>
      <c r="CK97" s="981"/>
      <c r="CL97" s="981"/>
      <c r="CM97" s="981"/>
      <c r="CN97" s="981"/>
      <c r="CO97" s="981"/>
      <c r="CP97" s="981"/>
      <c r="CQ97" s="981"/>
      <c r="CR97" s="981"/>
      <c r="CS97" s="981"/>
      <c r="CT97" s="981"/>
      <c r="CU97" s="981"/>
    </row>
    <row r="98">
      <c r="A98" s="1392"/>
      <c r="B98" s="788" t="s">
        <v>1256</v>
      </c>
      <c r="C98" s="784" t="s">
        <v>1256</v>
      </c>
      <c r="D98" s="785" t="s">
        <v>1256</v>
      </c>
      <c r="E98" s="786" t="s">
        <v>1256</v>
      </c>
      <c r="F98" s="787" t="s">
        <v>1256</v>
      </c>
      <c r="G98" s="788" t="s">
        <v>1256</v>
      </c>
      <c r="H98" s="1397"/>
      <c r="I98" s="1397"/>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2"/>
      <c r="BX98" s="981"/>
      <c r="BY98" s="981"/>
      <c r="BZ98" s="981"/>
      <c r="CA98" s="1332"/>
      <c r="CB98" s="981"/>
      <c r="CC98" s="981"/>
      <c r="CD98" s="1332"/>
      <c r="CE98" s="981"/>
      <c r="CF98" s="981"/>
      <c r="CG98" s="981"/>
      <c r="CH98" s="981"/>
      <c r="CI98" s="981"/>
      <c r="CJ98" s="981"/>
      <c r="CK98" s="981"/>
      <c r="CL98" s="981"/>
      <c r="CM98" s="981"/>
      <c r="CN98" s="981"/>
      <c r="CO98" s="981"/>
      <c r="CP98" s="981"/>
      <c r="CQ98" s="981"/>
      <c r="CR98" s="981"/>
      <c r="CS98" s="981"/>
      <c r="CT98" s="981"/>
      <c r="CU98" s="981"/>
    </row>
    <row r="99">
      <c r="A99" s="1392"/>
      <c r="B99" s="788" t="s">
        <v>1256</v>
      </c>
      <c r="C99" s="784" t="s">
        <v>1256</v>
      </c>
      <c r="D99" s="785" t="s">
        <v>1256</v>
      </c>
      <c r="E99" s="786" t="s">
        <v>1256</v>
      </c>
      <c r="F99" s="787" t="s">
        <v>1256</v>
      </c>
      <c r="G99" s="788" t="s">
        <v>1256</v>
      </c>
      <c r="H99" s="1397"/>
      <c r="I99" s="1397"/>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2"/>
      <c r="BX99" s="981"/>
      <c r="BY99" s="981"/>
      <c r="BZ99" s="981"/>
      <c r="CA99" s="1332"/>
      <c r="CB99" s="981"/>
      <c r="CC99" s="981"/>
      <c r="CD99" s="1332"/>
      <c r="CE99" s="981"/>
      <c r="CF99" s="981"/>
      <c r="CG99" s="981"/>
      <c r="CH99" s="981"/>
      <c r="CI99" s="981"/>
      <c r="CJ99" s="981"/>
      <c r="CK99" s="981"/>
      <c r="CL99" s="981"/>
      <c r="CM99" s="981"/>
      <c r="CN99" s="981"/>
      <c r="CO99" s="981"/>
      <c r="CP99" s="981"/>
      <c r="CQ99" s="981"/>
      <c r="CR99" s="981"/>
      <c r="CS99" s="981"/>
      <c r="CT99" s="981"/>
      <c r="CU99" s="981"/>
    </row>
    <row r="100">
      <c r="A100" s="1392"/>
      <c r="B100" s="788" t="s">
        <v>1256</v>
      </c>
      <c r="C100" s="784" t="s">
        <v>1256</v>
      </c>
      <c r="D100" s="785" t="s">
        <v>1256</v>
      </c>
      <c r="E100" s="786" t="s">
        <v>1256</v>
      </c>
      <c r="F100" s="787" t="s">
        <v>1256</v>
      </c>
      <c r="G100" s="788" t="s">
        <v>1256</v>
      </c>
      <c r="H100" s="1397"/>
      <c r="I100" s="1397"/>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2"/>
      <c r="BX100" s="981"/>
      <c r="BY100" s="981"/>
      <c r="BZ100" s="981"/>
      <c r="CA100" s="1332"/>
      <c r="CB100" s="981"/>
      <c r="CC100" s="981"/>
      <c r="CD100" s="1332"/>
      <c r="CE100" s="981"/>
      <c r="CF100" s="981"/>
      <c r="CG100" s="981"/>
      <c r="CH100" s="981"/>
      <c r="CI100" s="981"/>
      <c r="CJ100" s="981"/>
      <c r="CK100" s="981"/>
      <c r="CL100" s="981"/>
      <c r="CM100" s="981"/>
      <c r="CN100" s="981"/>
      <c r="CO100" s="981"/>
      <c r="CP100" s="981"/>
      <c r="CQ100" s="981"/>
      <c r="CR100" s="981"/>
      <c r="CS100" s="981"/>
      <c r="CT100" s="981"/>
      <c r="CU100" s="981"/>
    </row>
    <row r="101">
      <c r="A101" s="1392"/>
      <c r="B101" s="788" t="s">
        <v>1256</v>
      </c>
      <c r="C101" s="784" t="s">
        <v>1256</v>
      </c>
      <c r="D101" s="785" t="s">
        <v>1256</v>
      </c>
      <c r="E101" s="786" t="s">
        <v>1256</v>
      </c>
      <c r="F101" s="787" t="s">
        <v>1256</v>
      </c>
      <c r="G101" s="788" t="s">
        <v>1256</v>
      </c>
      <c r="H101" s="1397"/>
      <c r="I101" s="1397"/>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2"/>
      <c r="BX101" s="981"/>
      <c r="BY101" s="981"/>
      <c r="BZ101" s="981"/>
      <c r="CA101" s="1332"/>
      <c r="CB101" s="981"/>
      <c r="CC101" s="981"/>
      <c r="CD101" s="1332"/>
      <c r="CE101" s="981"/>
      <c r="CF101" s="981"/>
      <c r="CG101" s="981"/>
      <c r="CH101" s="981"/>
      <c r="CI101" s="981"/>
      <c r="CJ101" s="981"/>
      <c r="CK101" s="981"/>
      <c r="CL101" s="981"/>
      <c r="CM101" s="981"/>
      <c r="CN101" s="981"/>
      <c r="CO101" s="981"/>
      <c r="CP101" s="981"/>
      <c r="CQ101" s="981"/>
      <c r="CR101" s="981"/>
      <c r="CS101" s="981"/>
      <c r="CT101" s="981"/>
      <c r="CU101" s="981"/>
    </row>
    <row r="102">
      <c r="A102" s="1392"/>
      <c r="B102" s="788" t="s">
        <v>1256</v>
      </c>
      <c r="C102" s="784" t="s">
        <v>1256</v>
      </c>
      <c r="D102" s="785" t="s">
        <v>1256</v>
      </c>
      <c r="E102" s="786" t="s">
        <v>1256</v>
      </c>
      <c r="F102" s="787" t="s">
        <v>1256</v>
      </c>
      <c r="G102" s="788" t="s">
        <v>1256</v>
      </c>
      <c r="H102" s="1397"/>
      <c r="I102" s="1397"/>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2"/>
      <c r="BX102" s="981"/>
      <c r="BY102" s="981"/>
      <c r="BZ102" s="981"/>
      <c r="CA102" s="1332"/>
      <c r="CB102" s="981"/>
      <c r="CC102" s="981"/>
      <c r="CD102" s="1332"/>
      <c r="CE102" s="981"/>
      <c r="CF102" s="981"/>
      <c r="CG102" s="981"/>
      <c r="CH102" s="981"/>
      <c r="CI102" s="981"/>
      <c r="CJ102" s="981"/>
      <c r="CK102" s="981"/>
      <c r="CL102" s="981"/>
      <c r="CM102" s="981"/>
      <c r="CN102" s="981"/>
      <c r="CO102" s="981"/>
      <c r="CP102" s="981"/>
      <c r="CQ102" s="981"/>
      <c r="CR102" s="981"/>
      <c r="CS102" s="981"/>
      <c r="CT102" s="981"/>
      <c r="CU102" s="981"/>
    </row>
    <row r="103">
      <c r="A103" s="1392"/>
      <c r="B103" s="788" t="s">
        <v>1256</v>
      </c>
      <c r="C103" s="784" t="s">
        <v>1256</v>
      </c>
      <c r="D103" s="785" t="s">
        <v>1256</v>
      </c>
      <c r="E103" s="786" t="s">
        <v>1256</v>
      </c>
      <c r="F103" s="787" t="s">
        <v>1256</v>
      </c>
      <c r="G103" s="788" t="s">
        <v>1256</v>
      </c>
      <c r="H103" s="1397"/>
      <c r="I103" s="1397"/>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2"/>
      <c r="BX103" s="981"/>
      <c r="BY103" s="981"/>
      <c r="BZ103" s="981"/>
      <c r="CA103" s="1332"/>
      <c r="CB103" s="981"/>
      <c r="CC103" s="981"/>
      <c r="CD103" s="1332"/>
      <c r="CE103" s="981"/>
      <c r="CF103" s="981"/>
      <c r="CG103" s="981"/>
      <c r="CH103" s="981"/>
      <c r="CI103" s="981"/>
      <c r="CJ103" s="981"/>
      <c r="CK103" s="981"/>
      <c r="CL103" s="981"/>
      <c r="CM103" s="981"/>
      <c r="CN103" s="981"/>
      <c r="CO103" s="981"/>
      <c r="CP103" s="981"/>
      <c r="CQ103" s="981"/>
      <c r="CR103" s="981"/>
      <c r="CS103" s="981"/>
      <c r="CT103" s="981"/>
      <c r="CU103" s="981"/>
    </row>
    <row r="104">
      <c r="A104" s="1392"/>
      <c r="B104" s="788" t="s">
        <v>1256</v>
      </c>
      <c r="C104" s="784" t="s">
        <v>1256</v>
      </c>
      <c r="D104" s="785" t="s">
        <v>1256</v>
      </c>
      <c r="E104" s="786" t="s">
        <v>1256</v>
      </c>
      <c r="F104" s="787" t="s">
        <v>1256</v>
      </c>
      <c r="G104" s="788" t="s">
        <v>1256</v>
      </c>
      <c r="H104" s="1397"/>
      <c r="I104" s="1397"/>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2"/>
      <c r="BX104" s="981"/>
      <c r="BY104" s="981"/>
      <c r="BZ104" s="981"/>
      <c r="CA104" s="1332"/>
      <c r="CB104" s="981"/>
      <c r="CC104" s="981"/>
      <c r="CD104" s="1332"/>
      <c r="CE104" s="981"/>
      <c r="CF104" s="981"/>
      <c r="CG104" s="981"/>
      <c r="CH104" s="981"/>
      <c r="CI104" s="981"/>
      <c r="CJ104" s="981"/>
      <c r="CK104" s="981"/>
      <c r="CL104" s="981"/>
      <c r="CM104" s="981"/>
      <c r="CN104" s="981"/>
      <c r="CO104" s="981"/>
      <c r="CP104" s="981"/>
      <c r="CQ104" s="981"/>
      <c r="CR104" s="981"/>
      <c r="CS104" s="981"/>
      <c r="CT104" s="981"/>
      <c r="CU104" s="981"/>
    </row>
    <row r="105">
      <c r="A105" s="1392"/>
      <c r="B105" s="788" t="s">
        <v>1256</v>
      </c>
      <c r="C105" s="784" t="s">
        <v>1256</v>
      </c>
      <c r="D105" s="785" t="s">
        <v>1256</v>
      </c>
      <c r="E105" s="786" t="s">
        <v>1256</v>
      </c>
      <c r="F105" s="787" t="s">
        <v>1256</v>
      </c>
      <c r="G105" s="788" t="s">
        <v>1256</v>
      </c>
      <c r="H105" s="1397"/>
      <c r="I105" s="1397"/>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2"/>
      <c r="BX105" s="981"/>
      <c r="BY105" s="981"/>
      <c r="BZ105" s="981"/>
      <c r="CA105" s="1332"/>
      <c r="CB105" s="981"/>
      <c r="CC105" s="981"/>
      <c r="CD105" s="1332"/>
      <c r="CE105" s="981"/>
      <c r="CF105" s="981"/>
      <c r="CG105" s="981"/>
      <c r="CH105" s="981"/>
      <c r="CI105" s="981"/>
      <c r="CJ105" s="981"/>
      <c r="CK105" s="981"/>
      <c r="CL105" s="981"/>
      <c r="CM105" s="981"/>
      <c r="CN105" s="981"/>
      <c r="CO105" s="981"/>
      <c r="CP105" s="981"/>
      <c r="CQ105" s="981"/>
      <c r="CR105" s="981"/>
      <c r="CS105" s="981"/>
      <c r="CT105" s="981"/>
      <c r="CU105" s="981"/>
    </row>
    <row r="106">
      <c r="A106" s="1392"/>
      <c r="B106" s="788" t="s">
        <v>1256</v>
      </c>
      <c r="C106" s="784" t="s">
        <v>1256</v>
      </c>
      <c r="D106" s="785" t="s">
        <v>1256</v>
      </c>
      <c r="E106" s="786" t="s">
        <v>1256</v>
      </c>
      <c r="F106" s="787" t="s">
        <v>1256</v>
      </c>
      <c r="G106" s="788" t="s">
        <v>1256</v>
      </c>
      <c r="H106" s="1397"/>
      <c r="I106" s="1397"/>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2"/>
      <c r="BX106" s="981"/>
      <c r="BY106" s="981"/>
      <c r="BZ106" s="981"/>
      <c r="CA106" s="1332"/>
      <c r="CB106" s="981"/>
      <c r="CC106" s="981"/>
      <c r="CD106" s="1332"/>
      <c r="CE106" s="981"/>
      <c r="CF106" s="981"/>
      <c r="CG106" s="981"/>
      <c r="CH106" s="981"/>
      <c r="CI106" s="981"/>
      <c r="CJ106" s="981"/>
      <c r="CK106" s="981"/>
      <c r="CL106" s="981"/>
      <c r="CM106" s="981"/>
      <c r="CN106" s="981"/>
      <c r="CO106" s="981"/>
      <c r="CP106" s="981"/>
      <c r="CQ106" s="981"/>
      <c r="CR106" s="981"/>
      <c r="CS106" s="981"/>
      <c r="CT106" s="981"/>
      <c r="CU106" s="981"/>
    </row>
    <row r="107">
      <c r="A107" s="1392"/>
      <c r="B107" s="788" t="s">
        <v>1256</v>
      </c>
      <c r="C107" s="784" t="s">
        <v>1256</v>
      </c>
      <c r="D107" s="785" t="s">
        <v>1256</v>
      </c>
      <c r="E107" s="786" t="s">
        <v>1256</v>
      </c>
      <c r="F107" s="787" t="s">
        <v>1256</v>
      </c>
      <c r="G107" s="788" t="s">
        <v>1256</v>
      </c>
      <c r="H107" s="1397"/>
      <c r="I107" s="1397"/>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2"/>
      <c r="BX107" s="981"/>
      <c r="BY107" s="981"/>
      <c r="BZ107" s="981"/>
      <c r="CA107" s="1332"/>
      <c r="CB107" s="981"/>
      <c r="CC107" s="981"/>
      <c r="CD107" s="1332"/>
      <c r="CE107" s="981"/>
      <c r="CF107" s="981"/>
      <c r="CG107" s="981"/>
      <c r="CH107" s="981"/>
      <c r="CI107" s="981"/>
      <c r="CJ107" s="981"/>
      <c r="CK107" s="981"/>
      <c r="CL107" s="981"/>
      <c r="CM107" s="981"/>
      <c r="CN107" s="981"/>
      <c r="CO107" s="981"/>
      <c r="CP107" s="981"/>
      <c r="CQ107" s="981"/>
      <c r="CR107" s="981"/>
      <c r="CS107" s="981"/>
      <c r="CT107" s="981"/>
      <c r="CU107" s="981"/>
    </row>
    <row r="108">
      <c r="A108" s="1392"/>
      <c r="B108" s="788" t="s">
        <v>1256</v>
      </c>
      <c r="C108" s="784" t="s">
        <v>1256</v>
      </c>
      <c r="D108" s="785" t="s">
        <v>1256</v>
      </c>
      <c r="E108" s="786" t="s">
        <v>1256</v>
      </c>
      <c r="F108" s="787" t="s">
        <v>1256</v>
      </c>
      <c r="G108" s="788" t="s">
        <v>1256</v>
      </c>
      <c r="H108" s="1397"/>
      <c r="I108" s="1397"/>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2"/>
      <c r="BX108" s="981"/>
      <c r="BY108" s="981"/>
      <c r="BZ108" s="981"/>
      <c r="CA108" s="1332"/>
      <c r="CB108" s="981"/>
      <c r="CC108" s="981"/>
      <c r="CD108" s="1332"/>
      <c r="CE108" s="981"/>
      <c r="CF108" s="981"/>
      <c r="CG108" s="981"/>
      <c r="CH108" s="981"/>
      <c r="CI108" s="981"/>
      <c r="CJ108" s="981"/>
      <c r="CK108" s="981"/>
      <c r="CL108" s="981"/>
      <c r="CM108" s="981"/>
      <c r="CN108" s="981"/>
      <c r="CO108" s="981"/>
      <c r="CP108" s="981"/>
      <c r="CQ108" s="981"/>
      <c r="CR108" s="981"/>
      <c r="CS108" s="981"/>
      <c r="CT108" s="981"/>
      <c r="CU108" s="981"/>
    </row>
    <row r="109">
      <c r="A109" s="1392"/>
      <c r="B109" s="788" t="s">
        <v>1256</v>
      </c>
      <c r="C109" s="784" t="s">
        <v>1256</v>
      </c>
      <c r="D109" s="785" t="s">
        <v>1256</v>
      </c>
      <c r="E109" s="786" t="s">
        <v>1256</v>
      </c>
      <c r="F109" s="787" t="s">
        <v>1256</v>
      </c>
      <c r="G109" s="788" t="s">
        <v>1256</v>
      </c>
      <c r="H109" s="1397"/>
      <c r="I109" s="1397"/>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2"/>
      <c r="BX109" s="981"/>
      <c r="BY109" s="981"/>
      <c r="BZ109" s="981"/>
      <c r="CA109" s="1332"/>
      <c r="CB109" s="981"/>
      <c r="CC109" s="981"/>
      <c r="CD109" s="1332"/>
      <c r="CE109" s="981"/>
      <c r="CF109" s="981"/>
      <c r="CG109" s="981"/>
      <c r="CH109" s="981"/>
      <c r="CI109" s="981"/>
      <c r="CJ109" s="981"/>
      <c r="CK109" s="981"/>
      <c r="CL109" s="981"/>
      <c r="CM109" s="981"/>
      <c r="CN109" s="981"/>
      <c r="CO109" s="981"/>
      <c r="CP109" s="981"/>
      <c r="CQ109" s="981"/>
      <c r="CR109" s="981"/>
      <c r="CS109" s="981"/>
      <c r="CT109" s="981"/>
      <c r="CU109" s="981"/>
    </row>
    <row r="110">
      <c r="A110" s="1392"/>
      <c r="B110" s="788" t="s">
        <v>1256</v>
      </c>
      <c r="C110" s="784" t="s">
        <v>1256</v>
      </c>
      <c r="D110" s="785" t="s">
        <v>1256</v>
      </c>
      <c r="E110" s="786" t="s">
        <v>1256</v>
      </c>
      <c r="F110" s="787" t="s">
        <v>1256</v>
      </c>
      <c r="G110" s="788" t="s">
        <v>1256</v>
      </c>
      <c r="H110" s="1397"/>
      <c r="I110" s="1397"/>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2"/>
      <c r="BX110" s="981"/>
      <c r="BY110" s="981"/>
      <c r="BZ110" s="981"/>
      <c r="CA110" s="1332"/>
      <c r="CB110" s="981"/>
      <c r="CC110" s="981"/>
      <c r="CD110" s="1332"/>
      <c r="CE110" s="981"/>
      <c r="CF110" s="981"/>
      <c r="CG110" s="981"/>
      <c r="CH110" s="981"/>
      <c r="CI110" s="981"/>
      <c r="CJ110" s="981"/>
      <c r="CK110" s="981"/>
      <c r="CL110" s="981"/>
      <c r="CM110" s="981"/>
      <c r="CN110" s="981"/>
      <c r="CO110" s="981"/>
      <c r="CP110" s="981"/>
      <c r="CQ110" s="981"/>
      <c r="CR110" s="981"/>
      <c r="CS110" s="981"/>
      <c r="CT110" s="981"/>
      <c r="CU110" s="981"/>
    </row>
    <row r="111">
      <c r="A111" s="1392"/>
      <c r="B111" s="788" t="s">
        <v>1256</v>
      </c>
      <c r="C111" s="784" t="s">
        <v>1256</v>
      </c>
      <c r="D111" s="785" t="s">
        <v>1256</v>
      </c>
      <c r="E111" s="786" t="s">
        <v>1256</v>
      </c>
      <c r="F111" s="787" t="s">
        <v>1256</v>
      </c>
      <c r="G111" s="788" t="s">
        <v>1256</v>
      </c>
      <c r="H111" s="1397"/>
      <c r="I111" s="1397"/>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2"/>
      <c r="BX111" s="981"/>
      <c r="BY111" s="981"/>
      <c r="BZ111" s="981"/>
      <c r="CA111" s="1332"/>
      <c r="CB111" s="981"/>
      <c r="CC111" s="981"/>
      <c r="CD111" s="1332"/>
      <c r="CE111" s="981"/>
      <c r="CF111" s="981"/>
      <c r="CG111" s="981"/>
      <c r="CH111" s="981"/>
      <c r="CI111" s="981"/>
      <c r="CJ111" s="981"/>
      <c r="CK111" s="981"/>
      <c r="CL111" s="981"/>
      <c r="CM111" s="981"/>
      <c r="CN111" s="981"/>
      <c r="CO111" s="981"/>
      <c r="CP111" s="981"/>
      <c r="CQ111" s="981"/>
      <c r="CR111" s="981"/>
      <c r="CS111" s="981"/>
      <c r="CT111" s="981"/>
      <c r="CU111" s="981"/>
    </row>
    <row r="112">
      <c r="A112" s="1392"/>
      <c r="B112" s="788" t="s">
        <v>1256</v>
      </c>
      <c r="C112" s="784" t="s">
        <v>1256</v>
      </c>
      <c r="D112" s="785" t="s">
        <v>1256</v>
      </c>
      <c r="E112" s="786" t="s">
        <v>1256</v>
      </c>
      <c r="F112" s="787" t="s">
        <v>1256</v>
      </c>
      <c r="G112" s="788" t="s">
        <v>1256</v>
      </c>
      <c r="H112" s="1397"/>
      <c r="I112" s="1397"/>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2"/>
      <c r="BX112" s="981"/>
      <c r="BY112" s="981"/>
      <c r="BZ112" s="981"/>
      <c r="CA112" s="1332"/>
      <c r="CB112" s="981"/>
      <c r="CC112" s="981"/>
      <c r="CD112" s="1332"/>
      <c r="CE112" s="981"/>
      <c r="CF112" s="981"/>
      <c r="CG112" s="981"/>
      <c r="CH112" s="981"/>
      <c r="CI112" s="981"/>
      <c r="CJ112" s="981"/>
      <c r="CK112" s="981"/>
      <c r="CL112" s="981"/>
      <c r="CM112" s="981"/>
      <c r="CN112" s="981"/>
      <c r="CO112" s="981"/>
      <c r="CP112" s="981"/>
      <c r="CQ112" s="981"/>
      <c r="CR112" s="981"/>
      <c r="CS112" s="981"/>
      <c r="CT112" s="981"/>
      <c r="CU112" s="981"/>
    </row>
    <row r="113">
      <c r="A113" s="1392"/>
      <c r="B113" s="788" t="s">
        <v>1256</v>
      </c>
      <c r="C113" s="784" t="s">
        <v>1256</v>
      </c>
      <c r="D113" s="785" t="s">
        <v>1256</v>
      </c>
      <c r="E113" s="786" t="s">
        <v>1256</v>
      </c>
      <c r="F113" s="787" t="s">
        <v>1256</v>
      </c>
      <c r="G113" s="788" t="s">
        <v>1256</v>
      </c>
      <c r="H113" s="1397"/>
      <c r="I113" s="1397"/>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2"/>
      <c r="BX113" s="981"/>
      <c r="BY113" s="981"/>
      <c r="BZ113" s="981"/>
      <c r="CA113" s="1332"/>
      <c r="CB113" s="981"/>
      <c r="CC113" s="981"/>
      <c r="CD113" s="1332"/>
      <c r="CE113" s="981"/>
      <c r="CF113" s="981"/>
      <c r="CG113" s="981"/>
      <c r="CH113" s="981"/>
      <c r="CI113" s="981"/>
      <c r="CJ113" s="981"/>
      <c r="CK113" s="981"/>
      <c r="CL113" s="981"/>
      <c r="CM113" s="981"/>
      <c r="CN113" s="981"/>
      <c r="CO113" s="981"/>
      <c r="CP113" s="981"/>
      <c r="CQ113" s="981"/>
      <c r="CR113" s="981"/>
      <c r="CS113" s="981"/>
      <c r="CT113" s="981"/>
      <c r="CU113" s="981"/>
    </row>
    <row r="114">
      <c r="A114" s="1392"/>
      <c r="B114" s="788" t="s">
        <v>1256</v>
      </c>
      <c r="C114" s="784" t="s">
        <v>1256</v>
      </c>
      <c r="D114" s="785" t="s">
        <v>1256</v>
      </c>
      <c r="E114" s="786" t="s">
        <v>1256</v>
      </c>
      <c r="F114" s="787" t="s">
        <v>1256</v>
      </c>
      <c r="G114" s="788" t="s">
        <v>1256</v>
      </c>
      <c r="H114" s="1397"/>
      <c r="I114" s="1397"/>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2"/>
      <c r="BX114" s="981"/>
      <c r="BY114" s="981"/>
      <c r="BZ114" s="981"/>
      <c r="CA114" s="1332"/>
      <c r="CB114" s="981"/>
      <c r="CC114" s="981"/>
      <c r="CD114" s="1332"/>
      <c r="CE114" s="981"/>
      <c r="CF114" s="981"/>
      <c r="CG114" s="981"/>
      <c r="CH114" s="981"/>
      <c r="CI114" s="981"/>
      <c r="CJ114" s="981"/>
      <c r="CK114" s="981"/>
      <c r="CL114" s="981"/>
      <c r="CM114" s="981"/>
      <c r="CN114" s="981"/>
      <c r="CO114" s="981"/>
      <c r="CP114" s="981"/>
      <c r="CQ114" s="981"/>
      <c r="CR114" s="981"/>
      <c r="CS114" s="981"/>
      <c r="CT114" s="981"/>
      <c r="CU114" s="981"/>
    </row>
    <row r="115">
      <c r="A115" s="1392"/>
      <c r="B115" s="788" t="s">
        <v>1256</v>
      </c>
      <c r="C115" s="784" t="s">
        <v>1256</v>
      </c>
      <c r="D115" s="785" t="s">
        <v>1256</v>
      </c>
      <c r="E115" s="786" t="s">
        <v>1256</v>
      </c>
      <c r="F115" s="787" t="s">
        <v>1256</v>
      </c>
      <c r="G115" s="788" t="s">
        <v>1256</v>
      </c>
      <c r="H115" s="1397"/>
      <c r="I115" s="1397"/>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2"/>
      <c r="BX115" s="981"/>
      <c r="BY115" s="981"/>
      <c r="BZ115" s="981"/>
      <c r="CA115" s="1332"/>
      <c r="CB115" s="981"/>
      <c r="CC115" s="981"/>
      <c r="CD115" s="1332"/>
      <c r="CE115" s="981"/>
      <c r="CF115" s="981"/>
      <c r="CG115" s="981"/>
      <c r="CH115" s="981"/>
      <c r="CI115" s="981"/>
      <c r="CJ115" s="981"/>
      <c r="CK115" s="981"/>
      <c r="CL115" s="981"/>
      <c r="CM115" s="981"/>
      <c r="CN115" s="981"/>
      <c r="CO115" s="981"/>
      <c r="CP115" s="981"/>
      <c r="CQ115" s="981"/>
      <c r="CR115" s="981"/>
      <c r="CS115" s="981"/>
      <c r="CT115" s="981"/>
      <c r="CU115" s="981"/>
    </row>
    <row r="116">
      <c r="A116" s="1392"/>
      <c r="B116" s="788" t="s">
        <v>1256</v>
      </c>
      <c r="C116" s="784" t="s">
        <v>1256</v>
      </c>
      <c r="D116" s="785" t="s">
        <v>1256</v>
      </c>
      <c r="E116" s="786" t="s">
        <v>1256</v>
      </c>
      <c r="F116" s="787" t="s">
        <v>1256</v>
      </c>
      <c r="G116" s="788" t="s">
        <v>1256</v>
      </c>
      <c r="H116" s="1397"/>
      <c r="I116" s="1397"/>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2"/>
      <c r="BX116" s="981"/>
      <c r="BY116" s="981"/>
      <c r="BZ116" s="981"/>
      <c r="CA116" s="1332"/>
      <c r="CB116" s="981"/>
      <c r="CC116" s="981"/>
      <c r="CD116" s="1332"/>
      <c r="CE116" s="981"/>
      <c r="CF116" s="981"/>
      <c r="CG116" s="981"/>
      <c r="CH116" s="981"/>
      <c r="CI116" s="981"/>
      <c r="CJ116" s="981"/>
      <c r="CK116" s="981"/>
      <c r="CL116" s="981"/>
      <c r="CM116" s="981"/>
      <c r="CN116" s="981"/>
      <c r="CO116" s="981"/>
      <c r="CP116" s="981"/>
      <c r="CQ116" s="981"/>
      <c r="CR116" s="981"/>
      <c r="CS116" s="981"/>
      <c r="CT116" s="981"/>
      <c r="CU116" s="981"/>
    </row>
    <row r="117">
      <c r="A117" s="1392"/>
      <c r="B117" s="788" t="s">
        <v>1256</v>
      </c>
      <c r="C117" s="784" t="s">
        <v>1256</v>
      </c>
      <c r="D117" s="785" t="s">
        <v>1256</v>
      </c>
      <c r="E117" s="786" t="s">
        <v>1256</v>
      </c>
      <c r="F117" s="787" t="s">
        <v>1256</v>
      </c>
      <c r="G117" s="788" t="s">
        <v>1256</v>
      </c>
      <c r="H117" s="1397"/>
      <c r="I117" s="1397"/>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2"/>
      <c r="BX117" s="981"/>
      <c r="BY117" s="981"/>
      <c r="BZ117" s="981"/>
      <c r="CA117" s="1332"/>
      <c r="CB117" s="981"/>
      <c r="CC117" s="981"/>
      <c r="CD117" s="1332"/>
      <c r="CE117" s="981"/>
      <c r="CF117" s="981"/>
      <c r="CG117" s="981"/>
      <c r="CH117" s="981"/>
      <c r="CI117" s="981"/>
      <c r="CJ117" s="981"/>
      <c r="CK117" s="981"/>
      <c r="CL117" s="981"/>
      <c r="CM117" s="981"/>
      <c r="CN117" s="981"/>
      <c r="CO117" s="981"/>
      <c r="CP117" s="981"/>
      <c r="CQ117" s="981"/>
      <c r="CR117" s="981"/>
      <c r="CS117" s="981"/>
      <c r="CT117" s="981"/>
      <c r="CU117" s="981"/>
    </row>
    <row r="118">
      <c r="A118" s="1392"/>
      <c r="B118" s="788" t="s">
        <v>1256</v>
      </c>
      <c r="C118" s="784" t="s">
        <v>1256</v>
      </c>
      <c r="D118" s="785" t="s">
        <v>1256</v>
      </c>
      <c r="E118" s="786" t="s">
        <v>1256</v>
      </c>
      <c r="F118" s="787" t="s">
        <v>1256</v>
      </c>
      <c r="G118" s="788" t="s">
        <v>1256</v>
      </c>
      <c r="H118" s="1397"/>
      <c r="I118" s="1397"/>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2"/>
      <c r="BX118" s="981"/>
      <c r="BY118" s="981"/>
      <c r="BZ118" s="981"/>
      <c r="CA118" s="1332"/>
      <c r="CB118" s="981"/>
      <c r="CC118" s="981"/>
      <c r="CD118" s="1332"/>
      <c r="CE118" s="981"/>
      <c r="CF118" s="981"/>
      <c r="CG118" s="981"/>
      <c r="CH118" s="981"/>
      <c r="CI118" s="981"/>
      <c r="CJ118" s="981"/>
      <c r="CK118" s="981"/>
      <c r="CL118" s="981"/>
      <c r="CM118" s="981"/>
      <c r="CN118" s="981"/>
      <c r="CO118" s="981"/>
      <c r="CP118" s="981"/>
      <c r="CQ118" s="981"/>
      <c r="CR118" s="981"/>
      <c r="CS118" s="981"/>
      <c r="CT118" s="981"/>
      <c r="CU118" s="981"/>
    </row>
    <row r="119">
      <c r="A119" s="1392"/>
      <c r="B119" s="788" t="s">
        <v>1256</v>
      </c>
      <c r="C119" s="784" t="s">
        <v>1256</v>
      </c>
      <c r="D119" s="785" t="s">
        <v>1256</v>
      </c>
      <c r="E119" s="786" t="s">
        <v>1256</v>
      </c>
      <c r="F119" s="787" t="s">
        <v>1256</v>
      </c>
      <c r="G119" s="788" t="s">
        <v>1256</v>
      </c>
      <c r="H119" s="1397"/>
      <c r="I119" s="1397"/>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2"/>
      <c r="BX119" s="981"/>
      <c r="BY119" s="981"/>
      <c r="BZ119" s="981"/>
      <c r="CA119" s="1332"/>
      <c r="CB119" s="981"/>
      <c r="CC119" s="981"/>
      <c r="CD119" s="1332"/>
      <c r="CE119" s="981"/>
      <c r="CF119" s="981"/>
      <c r="CG119" s="981"/>
      <c r="CH119" s="981"/>
      <c r="CI119" s="981"/>
      <c r="CJ119" s="981"/>
      <c r="CK119" s="981"/>
      <c r="CL119" s="981"/>
      <c r="CM119" s="981"/>
      <c r="CN119" s="981"/>
      <c r="CO119" s="981"/>
      <c r="CP119" s="981"/>
      <c r="CQ119" s="981"/>
      <c r="CR119" s="981"/>
      <c r="CS119" s="981"/>
      <c r="CT119" s="981"/>
      <c r="CU119" s="981"/>
    </row>
    <row r="120">
      <c r="A120" s="1392"/>
      <c r="B120" s="788" t="s">
        <v>1256</v>
      </c>
      <c r="C120" s="784" t="s">
        <v>1256</v>
      </c>
      <c r="D120" s="785" t="s">
        <v>1256</v>
      </c>
      <c r="E120" s="786" t="s">
        <v>1256</v>
      </c>
      <c r="F120" s="787" t="s">
        <v>1256</v>
      </c>
      <c r="G120" s="788" t="s">
        <v>1256</v>
      </c>
      <c r="H120" s="1397"/>
      <c r="I120" s="1397"/>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2"/>
      <c r="BX120" s="981"/>
      <c r="BY120" s="981"/>
      <c r="BZ120" s="981"/>
      <c r="CA120" s="1332"/>
      <c r="CB120" s="981"/>
      <c r="CC120" s="981"/>
      <c r="CD120" s="1332"/>
      <c r="CE120" s="981"/>
      <c r="CF120" s="981"/>
      <c r="CG120" s="981"/>
      <c r="CH120" s="981"/>
      <c r="CI120" s="981"/>
      <c r="CJ120" s="981"/>
      <c r="CK120" s="981"/>
      <c r="CL120" s="981"/>
      <c r="CM120" s="981"/>
      <c r="CN120" s="981"/>
      <c r="CO120" s="981"/>
      <c r="CP120" s="981"/>
      <c r="CQ120" s="981"/>
      <c r="CR120" s="981"/>
      <c r="CS120" s="981"/>
      <c r="CT120" s="981"/>
      <c r="CU120" s="981"/>
    </row>
    <row r="121">
      <c r="A121" s="1392"/>
      <c r="B121" s="788" t="s">
        <v>1256</v>
      </c>
      <c r="C121" s="784" t="s">
        <v>1256</v>
      </c>
      <c r="D121" s="785" t="s">
        <v>1256</v>
      </c>
      <c r="E121" s="786" t="s">
        <v>1256</v>
      </c>
      <c r="F121" s="787" t="s">
        <v>1256</v>
      </c>
      <c r="G121" s="788" t="s">
        <v>1256</v>
      </c>
      <c r="H121" s="1397"/>
      <c r="I121" s="1397"/>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2"/>
      <c r="BX121" s="981"/>
      <c r="BY121" s="981"/>
      <c r="BZ121" s="981"/>
      <c r="CA121" s="1332"/>
      <c r="CB121" s="981"/>
      <c r="CC121" s="981"/>
      <c r="CD121" s="1332"/>
      <c r="CE121" s="981"/>
      <c r="CF121" s="981"/>
      <c r="CG121" s="981"/>
      <c r="CH121" s="981"/>
      <c r="CI121" s="981"/>
      <c r="CJ121" s="981"/>
      <c r="CK121" s="981"/>
      <c r="CL121" s="981"/>
      <c r="CM121" s="981"/>
      <c r="CN121" s="981"/>
      <c r="CO121" s="981"/>
      <c r="CP121" s="981"/>
      <c r="CQ121" s="981"/>
      <c r="CR121" s="981"/>
      <c r="CS121" s="981"/>
      <c r="CT121" s="981"/>
      <c r="CU121" s="981"/>
    </row>
    <row r="122">
      <c r="A122" s="1392"/>
      <c r="B122" s="788" t="s">
        <v>1256</v>
      </c>
      <c r="C122" s="784" t="s">
        <v>1256</v>
      </c>
      <c r="D122" s="785" t="s">
        <v>1256</v>
      </c>
      <c r="E122" s="786" t="s">
        <v>1256</v>
      </c>
      <c r="F122" s="787" t="s">
        <v>1256</v>
      </c>
      <c r="G122" s="788" t="s">
        <v>1256</v>
      </c>
      <c r="H122" s="1397"/>
      <c r="I122" s="1397"/>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2"/>
      <c r="BX122" s="981"/>
      <c r="BY122" s="981"/>
      <c r="BZ122" s="981"/>
      <c r="CA122" s="1332"/>
      <c r="CB122" s="981"/>
      <c r="CC122" s="981"/>
      <c r="CD122" s="1332"/>
      <c r="CE122" s="981"/>
      <c r="CF122" s="981"/>
      <c r="CG122" s="981"/>
      <c r="CH122" s="981"/>
      <c r="CI122" s="981"/>
      <c r="CJ122" s="981"/>
      <c r="CK122" s="981"/>
      <c r="CL122" s="981"/>
      <c r="CM122" s="981"/>
      <c r="CN122" s="981"/>
      <c r="CO122" s="981"/>
      <c r="CP122" s="981"/>
      <c r="CQ122" s="981"/>
      <c r="CR122" s="981"/>
      <c r="CS122" s="981"/>
      <c r="CT122" s="981"/>
      <c r="CU122" s="981"/>
    </row>
    <row r="123">
      <c r="A123" s="1392"/>
      <c r="B123" s="788" t="s">
        <v>1256</v>
      </c>
      <c r="C123" s="784" t="s">
        <v>1256</v>
      </c>
      <c r="D123" s="785" t="s">
        <v>1256</v>
      </c>
      <c r="E123" s="786" t="s">
        <v>1256</v>
      </c>
      <c r="F123" s="787" t="s">
        <v>1256</v>
      </c>
      <c r="G123" s="788" t="s">
        <v>1256</v>
      </c>
      <c r="H123" s="1397"/>
      <c r="I123" s="1397"/>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2"/>
      <c r="BX123" s="981"/>
      <c r="BY123" s="981"/>
      <c r="BZ123" s="981"/>
      <c r="CA123" s="1332"/>
      <c r="CB123" s="981"/>
      <c r="CC123" s="981"/>
      <c r="CD123" s="1332"/>
      <c r="CE123" s="981"/>
      <c r="CF123" s="981"/>
      <c r="CG123" s="981"/>
      <c r="CH123" s="981"/>
      <c r="CI123" s="981"/>
      <c r="CJ123" s="981"/>
      <c r="CK123" s="981"/>
      <c r="CL123" s="981"/>
      <c r="CM123" s="981"/>
      <c r="CN123" s="981"/>
      <c r="CO123" s="981"/>
      <c r="CP123" s="981"/>
      <c r="CQ123" s="981"/>
      <c r="CR123" s="981"/>
      <c r="CS123" s="981"/>
      <c r="CT123" s="981"/>
      <c r="CU123" s="981"/>
    </row>
    <row r="124">
      <c r="A124" s="1392"/>
      <c r="B124" s="788" t="s">
        <v>1256</v>
      </c>
      <c r="C124" s="784" t="s">
        <v>1256</v>
      </c>
      <c r="D124" s="785" t="s">
        <v>1256</v>
      </c>
      <c r="E124" s="786" t="s">
        <v>1256</v>
      </c>
      <c r="F124" s="787" t="s">
        <v>1256</v>
      </c>
      <c r="G124" s="788" t="s">
        <v>1256</v>
      </c>
      <c r="H124" s="1397"/>
      <c r="I124" s="1397"/>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2"/>
      <c r="BX124" s="981"/>
      <c r="BY124" s="981"/>
      <c r="BZ124" s="981"/>
      <c r="CA124" s="1332"/>
      <c r="CB124" s="981"/>
      <c r="CC124" s="981"/>
      <c r="CD124" s="1332"/>
      <c r="CE124" s="981"/>
      <c r="CF124" s="981"/>
      <c r="CG124" s="981"/>
      <c r="CH124" s="981"/>
      <c r="CI124" s="981"/>
      <c r="CJ124" s="981"/>
      <c r="CK124" s="981"/>
      <c r="CL124" s="981"/>
      <c r="CM124" s="981"/>
      <c r="CN124" s="981"/>
      <c r="CO124" s="981"/>
      <c r="CP124" s="981"/>
      <c r="CQ124" s="981"/>
      <c r="CR124" s="981"/>
      <c r="CS124" s="981"/>
      <c r="CT124" s="981"/>
      <c r="CU124" s="981"/>
    </row>
    <row r="125">
      <c r="A125" s="1392"/>
      <c r="B125" s="788" t="s">
        <v>1256</v>
      </c>
      <c r="C125" s="784" t="s">
        <v>1256</v>
      </c>
      <c r="D125" s="785" t="s">
        <v>1256</v>
      </c>
      <c r="E125" s="786" t="s">
        <v>1256</v>
      </c>
      <c r="F125" s="787" t="s">
        <v>1256</v>
      </c>
      <c r="G125" s="788" t="s">
        <v>1256</v>
      </c>
      <c r="H125" s="1397"/>
      <c r="I125" s="1397"/>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2"/>
      <c r="BX125" s="981"/>
      <c r="BY125" s="981"/>
      <c r="BZ125" s="981"/>
      <c r="CA125" s="1332"/>
      <c r="CB125" s="981"/>
      <c r="CC125" s="981"/>
      <c r="CD125" s="1332"/>
      <c r="CE125" s="981"/>
      <c r="CF125" s="981"/>
      <c r="CG125" s="981"/>
      <c r="CH125" s="981"/>
      <c r="CI125" s="981"/>
      <c r="CJ125" s="981"/>
      <c r="CK125" s="981"/>
      <c r="CL125" s="981"/>
      <c r="CM125" s="981"/>
      <c r="CN125" s="981"/>
      <c r="CO125" s="981"/>
      <c r="CP125" s="981"/>
      <c r="CQ125" s="981"/>
      <c r="CR125" s="981"/>
      <c r="CS125" s="981"/>
      <c r="CT125" s="981"/>
      <c r="CU125" s="981"/>
    </row>
    <row r="126">
      <c r="A126" s="1392"/>
      <c r="B126" s="788" t="s">
        <v>1256</v>
      </c>
      <c r="C126" s="784" t="s">
        <v>1256</v>
      </c>
      <c r="D126" s="785" t="s">
        <v>1256</v>
      </c>
      <c r="E126" s="786" t="s">
        <v>1256</v>
      </c>
      <c r="F126" s="787" t="s">
        <v>1256</v>
      </c>
      <c r="G126" s="788" t="s">
        <v>1256</v>
      </c>
      <c r="H126" s="1397"/>
      <c r="I126" s="1397"/>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2"/>
      <c r="BX126" s="981"/>
      <c r="BY126" s="981"/>
      <c r="BZ126" s="981"/>
      <c r="CA126" s="1332"/>
      <c r="CB126" s="981"/>
      <c r="CC126" s="981"/>
      <c r="CD126" s="1332"/>
      <c r="CE126" s="981"/>
      <c r="CF126" s="981"/>
      <c r="CG126" s="981"/>
      <c r="CH126" s="981"/>
      <c r="CI126" s="981"/>
      <c r="CJ126" s="981"/>
      <c r="CK126" s="981"/>
      <c r="CL126" s="981"/>
      <c r="CM126" s="981"/>
      <c r="CN126" s="981"/>
      <c r="CO126" s="981"/>
      <c r="CP126" s="981"/>
      <c r="CQ126" s="981"/>
      <c r="CR126" s="981"/>
      <c r="CS126" s="981"/>
      <c r="CT126" s="981"/>
      <c r="CU126" s="981"/>
    </row>
    <row r="127">
      <c r="A127" s="1392"/>
      <c r="B127" s="788" t="s">
        <v>1256</v>
      </c>
      <c r="C127" s="784" t="s">
        <v>1256</v>
      </c>
      <c r="D127" s="785" t="s">
        <v>1256</v>
      </c>
      <c r="E127" s="786" t="s">
        <v>1256</v>
      </c>
      <c r="F127" s="787" t="s">
        <v>1256</v>
      </c>
      <c r="G127" s="788" t="s">
        <v>1256</v>
      </c>
      <c r="H127" s="1397"/>
      <c r="I127" s="1397"/>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2"/>
      <c r="BX127" s="981"/>
      <c r="BY127" s="981"/>
      <c r="BZ127" s="981"/>
      <c r="CA127" s="1332"/>
      <c r="CB127" s="981"/>
      <c r="CC127" s="981"/>
      <c r="CD127" s="1332"/>
      <c r="CE127" s="981"/>
      <c r="CF127" s="981"/>
      <c r="CG127" s="981"/>
      <c r="CH127" s="981"/>
      <c r="CI127" s="981"/>
      <c r="CJ127" s="981"/>
      <c r="CK127" s="981"/>
      <c r="CL127" s="981"/>
      <c r="CM127" s="981"/>
      <c r="CN127" s="981"/>
      <c r="CO127" s="981"/>
      <c r="CP127" s="981"/>
      <c r="CQ127" s="981"/>
      <c r="CR127" s="981"/>
      <c r="CS127" s="981"/>
      <c r="CT127" s="981"/>
      <c r="CU127" s="981"/>
    </row>
    <row r="128">
      <c r="A128" s="1392"/>
      <c r="B128" s="788" t="s">
        <v>1256</v>
      </c>
      <c r="C128" s="784" t="s">
        <v>1256</v>
      </c>
      <c r="D128" s="785" t="s">
        <v>1256</v>
      </c>
      <c r="E128" s="786" t="s">
        <v>1256</v>
      </c>
      <c r="F128" s="787" t="s">
        <v>1256</v>
      </c>
      <c r="G128" s="788" t="s">
        <v>1256</v>
      </c>
      <c r="H128" s="1397"/>
      <c r="I128" s="1397"/>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2"/>
      <c r="BX128" s="981"/>
      <c r="BY128" s="981"/>
      <c r="BZ128" s="981"/>
      <c r="CA128" s="1332"/>
      <c r="CB128" s="981"/>
      <c r="CC128" s="981"/>
      <c r="CD128" s="1332"/>
      <c r="CE128" s="981"/>
      <c r="CF128" s="981"/>
      <c r="CG128" s="981"/>
      <c r="CH128" s="981"/>
      <c r="CI128" s="981"/>
      <c r="CJ128" s="981"/>
      <c r="CK128" s="981"/>
      <c r="CL128" s="981"/>
      <c r="CM128" s="981"/>
      <c r="CN128" s="981"/>
      <c r="CO128" s="981"/>
      <c r="CP128" s="981"/>
      <c r="CQ128" s="981"/>
      <c r="CR128" s="981"/>
      <c r="CS128" s="981"/>
      <c r="CT128" s="981"/>
      <c r="CU128" s="981"/>
    </row>
    <row r="129">
      <c r="A129" s="1392"/>
      <c r="B129" s="788" t="s">
        <v>1256</v>
      </c>
      <c r="C129" s="784" t="s">
        <v>1256</v>
      </c>
      <c r="D129" s="785" t="s">
        <v>1256</v>
      </c>
      <c r="E129" s="786" t="s">
        <v>1256</v>
      </c>
      <c r="F129" s="787" t="s">
        <v>1256</v>
      </c>
      <c r="G129" s="788" t="s">
        <v>1256</v>
      </c>
      <c r="H129" s="1397"/>
      <c r="I129" s="1397"/>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2"/>
      <c r="BX129" s="981"/>
      <c r="BY129" s="981"/>
      <c r="BZ129" s="981"/>
      <c r="CA129" s="1332"/>
      <c r="CB129" s="981"/>
      <c r="CC129" s="981"/>
      <c r="CD129" s="1332"/>
      <c r="CE129" s="981"/>
      <c r="CF129" s="981"/>
      <c r="CG129" s="981"/>
      <c r="CH129" s="981"/>
      <c r="CI129" s="981"/>
      <c r="CJ129" s="981"/>
      <c r="CK129" s="981"/>
      <c r="CL129" s="981"/>
      <c r="CM129" s="981"/>
      <c r="CN129" s="981"/>
      <c r="CO129" s="981"/>
      <c r="CP129" s="981"/>
      <c r="CQ129" s="981"/>
      <c r="CR129" s="981"/>
      <c r="CS129" s="981"/>
      <c r="CT129" s="981"/>
      <c r="CU129" s="981"/>
    </row>
    <row r="130">
      <c r="A130" s="1392"/>
      <c r="B130" s="788" t="s">
        <v>1256</v>
      </c>
      <c r="C130" s="784" t="s">
        <v>1256</v>
      </c>
      <c r="D130" s="785" t="s">
        <v>1256</v>
      </c>
      <c r="E130" s="786" t="s">
        <v>1256</v>
      </c>
      <c r="F130" s="787" t="s">
        <v>1256</v>
      </c>
      <c r="G130" s="788" t="s">
        <v>1256</v>
      </c>
      <c r="H130" s="1397"/>
      <c r="I130" s="1397"/>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2"/>
      <c r="BX130" s="981"/>
      <c r="BY130" s="981"/>
      <c r="BZ130" s="981"/>
      <c r="CA130" s="1332"/>
      <c r="CB130" s="981"/>
      <c r="CC130" s="981"/>
      <c r="CD130" s="1332"/>
      <c r="CE130" s="981"/>
      <c r="CF130" s="981"/>
      <c r="CG130" s="981"/>
      <c r="CH130" s="981"/>
      <c r="CI130" s="981"/>
      <c r="CJ130" s="981"/>
      <c r="CK130" s="981"/>
      <c r="CL130" s="981"/>
      <c r="CM130" s="981"/>
      <c r="CN130" s="981"/>
      <c r="CO130" s="981"/>
      <c r="CP130" s="981"/>
      <c r="CQ130" s="981"/>
      <c r="CR130" s="981"/>
      <c r="CS130" s="981"/>
      <c r="CT130" s="981"/>
      <c r="CU130" s="981"/>
    </row>
    <row r="131">
      <c r="A131" s="1392"/>
      <c r="B131" s="788" t="s">
        <v>1256</v>
      </c>
      <c r="C131" s="784" t="s">
        <v>1256</v>
      </c>
      <c r="D131" s="785" t="s">
        <v>1256</v>
      </c>
      <c r="E131" s="786" t="s">
        <v>1256</v>
      </c>
      <c r="F131" s="787" t="s">
        <v>1256</v>
      </c>
      <c r="G131" s="788" t="s">
        <v>1256</v>
      </c>
      <c r="H131" s="1397"/>
      <c r="I131" s="1397"/>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2"/>
      <c r="BX131" s="981"/>
      <c r="BY131" s="981"/>
      <c r="BZ131" s="981"/>
      <c r="CA131" s="1332"/>
      <c r="CB131" s="981"/>
      <c r="CC131" s="981"/>
      <c r="CD131" s="1332"/>
      <c r="CE131" s="981"/>
      <c r="CF131" s="981"/>
      <c r="CG131" s="981"/>
      <c r="CH131" s="981"/>
      <c r="CI131" s="981"/>
      <c r="CJ131" s="981"/>
      <c r="CK131" s="981"/>
      <c r="CL131" s="981"/>
      <c r="CM131" s="981"/>
      <c r="CN131" s="981"/>
      <c r="CO131" s="981"/>
      <c r="CP131" s="981"/>
      <c r="CQ131" s="981"/>
      <c r="CR131" s="981"/>
      <c r="CS131" s="981"/>
      <c r="CT131" s="981"/>
      <c r="CU131" s="981"/>
    </row>
    <row r="132">
      <c r="A132" s="1392"/>
      <c r="B132" s="788" t="s">
        <v>1256</v>
      </c>
      <c r="C132" s="784" t="s">
        <v>1256</v>
      </c>
      <c r="D132" s="785" t="s">
        <v>1256</v>
      </c>
      <c r="E132" s="786" t="s">
        <v>1256</v>
      </c>
      <c r="F132" s="787" t="s">
        <v>1256</v>
      </c>
      <c r="G132" s="788" t="s">
        <v>1256</v>
      </c>
      <c r="H132" s="1397"/>
      <c r="I132" s="1397"/>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2"/>
      <c r="BX132" s="981"/>
      <c r="BY132" s="981"/>
      <c r="BZ132" s="981"/>
      <c r="CA132" s="1332"/>
      <c r="CB132" s="981"/>
      <c r="CC132" s="981"/>
      <c r="CD132" s="1332"/>
      <c r="CE132" s="981"/>
      <c r="CF132" s="981"/>
      <c r="CG132" s="981"/>
      <c r="CH132" s="981"/>
      <c r="CI132" s="981"/>
      <c r="CJ132" s="981"/>
      <c r="CK132" s="981"/>
      <c r="CL132" s="981"/>
      <c r="CM132" s="981"/>
      <c r="CN132" s="981"/>
      <c r="CO132" s="981"/>
      <c r="CP132" s="981"/>
      <c r="CQ132" s="981"/>
      <c r="CR132" s="981"/>
      <c r="CS132" s="981"/>
      <c r="CT132" s="981"/>
      <c r="CU132" s="981"/>
    </row>
    <row r="133">
      <c r="A133" s="1392"/>
      <c r="B133" s="788" t="s">
        <v>1256</v>
      </c>
      <c r="C133" s="784" t="s">
        <v>1256</v>
      </c>
      <c r="D133" s="785" t="s">
        <v>1256</v>
      </c>
      <c r="E133" s="786" t="s">
        <v>1256</v>
      </c>
      <c r="F133" s="787" t="s">
        <v>1256</v>
      </c>
      <c r="G133" s="788" t="s">
        <v>1256</v>
      </c>
      <c r="H133" s="1397"/>
      <c r="I133" s="1397"/>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2"/>
      <c r="BX133" s="981"/>
      <c r="BY133" s="981"/>
      <c r="BZ133" s="981"/>
      <c r="CA133" s="1332"/>
      <c r="CB133" s="981"/>
      <c r="CC133" s="981"/>
      <c r="CD133" s="1332"/>
      <c r="CE133" s="981"/>
      <c r="CF133" s="981"/>
      <c r="CG133" s="981"/>
      <c r="CH133" s="981"/>
      <c r="CI133" s="981"/>
      <c r="CJ133" s="981"/>
      <c r="CK133" s="981"/>
      <c r="CL133" s="981"/>
      <c r="CM133" s="981"/>
      <c r="CN133" s="981"/>
      <c r="CO133" s="981"/>
      <c r="CP133" s="981"/>
      <c r="CQ133" s="981"/>
      <c r="CR133" s="981"/>
      <c r="CS133" s="981"/>
      <c r="CT133" s="981"/>
      <c r="CU133" s="981"/>
    </row>
    <row r="134">
      <c r="A134" s="1392"/>
      <c r="B134" s="788" t="s">
        <v>1256</v>
      </c>
      <c r="C134" s="784" t="s">
        <v>1256</v>
      </c>
      <c r="D134" s="785" t="s">
        <v>1256</v>
      </c>
      <c r="E134" s="786" t="s">
        <v>1256</v>
      </c>
      <c r="F134" s="787" t="s">
        <v>1256</v>
      </c>
      <c r="G134" s="788" t="s">
        <v>1256</v>
      </c>
      <c r="H134" s="1397"/>
      <c r="I134" s="1397"/>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2"/>
      <c r="BX134" s="981"/>
      <c r="BY134" s="981"/>
      <c r="BZ134" s="981"/>
      <c r="CA134" s="1332"/>
      <c r="CB134" s="981"/>
      <c r="CC134" s="981"/>
      <c r="CD134" s="1332"/>
      <c r="CE134" s="981"/>
      <c r="CF134" s="981"/>
      <c r="CG134" s="981"/>
      <c r="CH134" s="981"/>
      <c r="CI134" s="981"/>
      <c r="CJ134" s="981"/>
      <c r="CK134" s="981"/>
      <c r="CL134" s="981"/>
      <c r="CM134" s="981"/>
      <c r="CN134" s="981"/>
      <c r="CO134" s="981"/>
      <c r="CP134" s="981"/>
      <c r="CQ134" s="981"/>
      <c r="CR134" s="981"/>
      <c r="CS134" s="981"/>
      <c r="CT134" s="981"/>
      <c r="CU134" s="981"/>
    </row>
    <row r="135">
      <c r="A135" s="1392"/>
      <c r="B135" s="788" t="s">
        <v>1256</v>
      </c>
      <c r="C135" s="784" t="s">
        <v>1256</v>
      </c>
      <c r="D135" s="785" t="s">
        <v>1256</v>
      </c>
      <c r="E135" s="786" t="s">
        <v>1256</v>
      </c>
      <c r="F135" s="787" t="s">
        <v>1256</v>
      </c>
      <c r="G135" s="788" t="s">
        <v>1256</v>
      </c>
      <c r="H135" s="1397"/>
      <c r="I135" s="1397"/>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2"/>
      <c r="BX135" s="981"/>
      <c r="BY135" s="981"/>
      <c r="BZ135" s="981"/>
      <c r="CA135" s="1332"/>
      <c r="CB135" s="981"/>
      <c r="CC135" s="981"/>
      <c r="CD135" s="1332"/>
      <c r="CE135" s="981"/>
      <c r="CF135" s="981"/>
      <c r="CG135" s="981"/>
      <c r="CH135" s="981"/>
      <c r="CI135" s="981"/>
      <c r="CJ135" s="981"/>
      <c r="CK135" s="981"/>
      <c r="CL135" s="981"/>
      <c r="CM135" s="981"/>
      <c r="CN135" s="981"/>
      <c r="CO135" s="981"/>
      <c r="CP135" s="981"/>
      <c r="CQ135" s="981"/>
      <c r="CR135" s="981"/>
      <c r="CS135" s="981"/>
      <c r="CT135" s="981"/>
      <c r="CU135" s="981"/>
    </row>
    <row r="136">
      <c r="A136" s="1392"/>
      <c r="B136" s="788" t="s">
        <v>1256</v>
      </c>
      <c r="C136" s="784" t="s">
        <v>1256</v>
      </c>
      <c r="D136" s="785" t="s">
        <v>1256</v>
      </c>
      <c r="E136" s="786" t="s">
        <v>1256</v>
      </c>
      <c r="F136" s="787" t="s">
        <v>1256</v>
      </c>
      <c r="G136" s="788" t="s">
        <v>1256</v>
      </c>
      <c r="H136" s="1397"/>
      <c r="I136" s="1397"/>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2"/>
      <c r="BX136" s="981"/>
      <c r="BY136" s="981"/>
      <c r="BZ136" s="981"/>
      <c r="CA136" s="1332"/>
      <c r="CB136" s="981"/>
      <c r="CC136" s="981"/>
      <c r="CD136" s="1332"/>
      <c r="CE136" s="981"/>
      <c r="CF136" s="981"/>
      <c r="CG136" s="981"/>
      <c r="CH136" s="981"/>
      <c r="CI136" s="981"/>
      <c r="CJ136" s="981"/>
      <c r="CK136" s="981"/>
      <c r="CL136" s="981"/>
      <c r="CM136" s="981"/>
      <c r="CN136" s="981"/>
      <c r="CO136" s="981"/>
      <c r="CP136" s="981"/>
      <c r="CQ136" s="981"/>
      <c r="CR136" s="981"/>
      <c r="CS136" s="981"/>
      <c r="CT136" s="981"/>
      <c r="CU136" s="981"/>
    </row>
    <row r="137">
      <c r="A137" s="1392"/>
      <c r="B137" s="788" t="s">
        <v>1256</v>
      </c>
      <c r="C137" s="784" t="s">
        <v>1256</v>
      </c>
      <c r="D137" s="785" t="s">
        <v>1256</v>
      </c>
      <c r="E137" s="786" t="s">
        <v>1256</v>
      </c>
      <c r="F137" s="787" t="s">
        <v>1256</v>
      </c>
      <c r="G137" s="788" t="s">
        <v>1256</v>
      </c>
      <c r="H137" s="1397"/>
      <c r="I137" s="1397"/>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2"/>
      <c r="BX137" s="981"/>
      <c r="BY137" s="981"/>
      <c r="BZ137" s="981"/>
      <c r="CA137" s="1332"/>
      <c r="CB137" s="981"/>
      <c r="CC137" s="981"/>
      <c r="CD137" s="1332"/>
      <c r="CE137" s="981"/>
      <c r="CF137" s="981"/>
      <c r="CG137" s="981"/>
      <c r="CH137" s="981"/>
      <c r="CI137" s="981"/>
      <c r="CJ137" s="981"/>
      <c r="CK137" s="981"/>
      <c r="CL137" s="981"/>
      <c r="CM137" s="981"/>
      <c r="CN137" s="981"/>
      <c r="CO137" s="981"/>
      <c r="CP137" s="981"/>
      <c r="CQ137" s="981"/>
      <c r="CR137" s="981"/>
      <c r="CS137" s="981"/>
      <c r="CT137" s="981"/>
      <c r="CU137" s="981"/>
    </row>
    <row r="138">
      <c r="A138" s="1392"/>
      <c r="B138" s="788" t="s">
        <v>1256</v>
      </c>
      <c r="C138" s="784" t="s">
        <v>1256</v>
      </c>
      <c r="D138" s="785" t="s">
        <v>1256</v>
      </c>
      <c r="E138" s="786" t="s">
        <v>1256</v>
      </c>
      <c r="F138" s="787" t="s">
        <v>1256</v>
      </c>
      <c r="G138" s="788" t="s">
        <v>1256</v>
      </c>
      <c r="H138" s="1397"/>
      <c r="I138" s="1397"/>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2"/>
      <c r="BX138" s="981"/>
      <c r="BY138" s="981"/>
      <c r="BZ138" s="981"/>
      <c r="CA138" s="1332"/>
      <c r="CB138" s="981"/>
      <c r="CC138" s="981"/>
      <c r="CD138" s="1332"/>
      <c r="CE138" s="981"/>
      <c r="CF138" s="981"/>
      <c r="CG138" s="981"/>
      <c r="CH138" s="981"/>
      <c r="CI138" s="981"/>
      <c r="CJ138" s="981"/>
      <c r="CK138" s="981"/>
      <c r="CL138" s="981"/>
      <c r="CM138" s="981"/>
      <c r="CN138" s="981"/>
      <c r="CO138" s="981"/>
      <c r="CP138" s="981"/>
      <c r="CQ138" s="981"/>
      <c r="CR138" s="981"/>
      <c r="CS138" s="981"/>
      <c r="CT138" s="981"/>
      <c r="CU138" s="981"/>
    </row>
    <row r="139">
      <c r="A139" s="1392"/>
      <c r="B139" s="788" t="s">
        <v>1256</v>
      </c>
      <c r="C139" s="784" t="s">
        <v>1256</v>
      </c>
      <c r="D139" s="785" t="s">
        <v>1256</v>
      </c>
      <c r="E139" s="786" t="s">
        <v>1256</v>
      </c>
      <c r="F139" s="787" t="s">
        <v>1256</v>
      </c>
      <c r="G139" s="788" t="s">
        <v>1256</v>
      </c>
      <c r="H139" s="1397"/>
      <c r="I139" s="1397"/>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2"/>
      <c r="BX139" s="981"/>
      <c r="BY139" s="981"/>
      <c r="BZ139" s="981"/>
      <c r="CA139" s="1332"/>
      <c r="CB139" s="981"/>
      <c r="CC139" s="981"/>
      <c r="CD139" s="1332"/>
      <c r="CE139" s="981"/>
      <c r="CF139" s="981"/>
      <c r="CG139" s="981"/>
      <c r="CH139" s="981"/>
      <c r="CI139" s="981"/>
      <c r="CJ139" s="981"/>
      <c r="CK139" s="981"/>
      <c r="CL139" s="981"/>
      <c r="CM139" s="981"/>
      <c r="CN139" s="981"/>
      <c r="CO139" s="981"/>
      <c r="CP139" s="981"/>
      <c r="CQ139" s="981"/>
      <c r="CR139" s="981"/>
      <c r="CS139" s="981"/>
      <c r="CT139" s="981"/>
      <c r="CU139" s="981"/>
    </row>
    <row r="140">
      <c r="A140" s="1392"/>
      <c r="B140" s="788" t="s">
        <v>1256</v>
      </c>
      <c r="C140" s="784" t="s">
        <v>1256</v>
      </c>
      <c r="D140" s="785" t="s">
        <v>1256</v>
      </c>
      <c r="E140" s="786" t="s">
        <v>1256</v>
      </c>
      <c r="F140" s="787" t="s">
        <v>1256</v>
      </c>
      <c r="G140" s="788" t="s">
        <v>1256</v>
      </c>
      <c r="H140" s="1397"/>
      <c r="I140" s="1397"/>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2"/>
      <c r="BX140" s="981"/>
      <c r="BY140" s="981"/>
      <c r="BZ140" s="981"/>
      <c r="CA140" s="1332"/>
      <c r="CB140" s="981"/>
      <c r="CC140" s="981"/>
      <c r="CD140" s="1332"/>
      <c r="CE140" s="981"/>
      <c r="CF140" s="981"/>
      <c r="CG140" s="981"/>
      <c r="CH140" s="981"/>
      <c r="CI140" s="981"/>
      <c r="CJ140" s="981"/>
      <c r="CK140" s="981"/>
      <c r="CL140" s="981"/>
      <c r="CM140" s="981"/>
      <c r="CN140" s="981"/>
      <c r="CO140" s="981"/>
      <c r="CP140" s="981"/>
      <c r="CQ140" s="981"/>
      <c r="CR140" s="981"/>
      <c r="CS140" s="981"/>
      <c r="CT140" s="981"/>
      <c r="CU140" s="981"/>
    </row>
    <row r="141">
      <c r="A141" s="1392"/>
      <c r="B141" s="788" t="s">
        <v>1256</v>
      </c>
      <c r="C141" s="784" t="s">
        <v>1256</v>
      </c>
      <c r="D141" s="785" t="s">
        <v>1256</v>
      </c>
      <c r="E141" s="786" t="s">
        <v>1256</v>
      </c>
      <c r="F141" s="787" t="s">
        <v>1256</v>
      </c>
      <c r="G141" s="788" t="s">
        <v>1256</v>
      </c>
      <c r="H141" s="1397"/>
      <c r="I141" s="1397"/>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2"/>
      <c r="BX141" s="981"/>
      <c r="BY141" s="981"/>
      <c r="BZ141" s="981"/>
      <c r="CA141" s="1332"/>
      <c r="CB141" s="981"/>
      <c r="CC141" s="981"/>
      <c r="CD141" s="1332"/>
      <c r="CE141" s="981"/>
      <c r="CF141" s="981"/>
      <c r="CG141" s="981"/>
      <c r="CH141" s="981"/>
      <c r="CI141" s="981"/>
      <c r="CJ141" s="981"/>
      <c r="CK141" s="981"/>
      <c r="CL141" s="981"/>
      <c r="CM141" s="981"/>
      <c r="CN141" s="981"/>
      <c r="CO141" s="981"/>
      <c r="CP141" s="981"/>
      <c r="CQ141" s="981"/>
      <c r="CR141" s="981"/>
      <c r="CS141" s="981"/>
      <c r="CT141" s="981"/>
      <c r="CU141" s="981"/>
    </row>
    <row r="142">
      <c r="A142" s="1392"/>
      <c r="B142" s="788" t="s">
        <v>1256</v>
      </c>
      <c r="C142" s="784" t="s">
        <v>1256</v>
      </c>
      <c r="D142" s="785" t="s">
        <v>1256</v>
      </c>
      <c r="E142" s="786" t="s">
        <v>1256</v>
      </c>
      <c r="F142" s="787" t="s">
        <v>1256</v>
      </c>
      <c r="G142" s="788" t="s">
        <v>1256</v>
      </c>
      <c r="H142" s="1397"/>
      <c r="I142" s="1397"/>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2"/>
      <c r="BX142" s="981"/>
      <c r="BY142" s="981"/>
      <c r="BZ142" s="981"/>
      <c r="CA142" s="1332"/>
      <c r="CB142" s="981"/>
      <c r="CC142" s="981"/>
      <c r="CD142" s="1332"/>
      <c r="CE142" s="981"/>
      <c r="CF142" s="981"/>
      <c r="CG142" s="981"/>
      <c r="CH142" s="981"/>
      <c r="CI142" s="981"/>
      <c r="CJ142" s="981"/>
      <c r="CK142" s="981"/>
      <c r="CL142" s="981"/>
      <c r="CM142" s="981"/>
      <c r="CN142" s="981"/>
      <c r="CO142" s="981"/>
      <c r="CP142" s="981"/>
      <c r="CQ142" s="981"/>
      <c r="CR142" s="981"/>
      <c r="CS142" s="981"/>
      <c r="CT142" s="981"/>
      <c r="CU142" s="981"/>
    </row>
    <row r="143">
      <c r="A143" s="1392"/>
      <c r="B143" s="788" t="s">
        <v>1256</v>
      </c>
      <c r="C143" s="784" t="s">
        <v>1256</v>
      </c>
      <c r="D143" s="785" t="s">
        <v>1256</v>
      </c>
      <c r="E143" s="786" t="s">
        <v>1256</v>
      </c>
      <c r="F143" s="787" t="s">
        <v>1256</v>
      </c>
      <c r="G143" s="788" t="s">
        <v>1256</v>
      </c>
      <c r="H143" s="1397"/>
      <c r="I143" s="1397"/>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2"/>
      <c r="BX143" s="981"/>
      <c r="BY143" s="981"/>
      <c r="BZ143" s="981"/>
      <c r="CA143" s="1332"/>
      <c r="CB143" s="981"/>
      <c r="CC143" s="981"/>
      <c r="CD143" s="1332"/>
      <c r="CE143" s="981"/>
      <c r="CF143" s="981"/>
      <c r="CG143" s="981"/>
      <c r="CH143" s="981"/>
      <c r="CI143" s="981"/>
      <c r="CJ143" s="981"/>
      <c r="CK143" s="981"/>
      <c r="CL143" s="981"/>
      <c r="CM143" s="981"/>
      <c r="CN143" s="981"/>
      <c r="CO143" s="981"/>
      <c r="CP143" s="981"/>
      <c r="CQ143" s="981"/>
      <c r="CR143" s="981"/>
      <c r="CS143" s="981"/>
      <c r="CT143" s="981"/>
      <c r="CU143" s="981"/>
    </row>
    <row r="144">
      <c r="A144" s="1392"/>
      <c r="B144" s="788" t="s">
        <v>1256</v>
      </c>
      <c r="C144" s="784" t="s">
        <v>1256</v>
      </c>
      <c r="D144" s="785" t="s">
        <v>1256</v>
      </c>
      <c r="E144" s="786" t="s">
        <v>1256</v>
      </c>
      <c r="F144" s="787" t="s">
        <v>1256</v>
      </c>
      <c r="G144" s="788" t="s">
        <v>1256</v>
      </c>
      <c r="H144" s="1397"/>
      <c r="I144" s="1397"/>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2"/>
      <c r="BX144" s="981"/>
      <c r="BY144" s="981"/>
      <c r="BZ144" s="981"/>
      <c r="CA144" s="1332"/>
      <c r="CB144" s="981"/>
      <c r="CC144" s="981"/>
      <c r="CD144" s="1332"/>
      <c r="CE144" s="981"/>
      <c r="CF144" s="981"/>
      <c r="CG144" s="981"/>
      <c r="CH144" s="981"/>
      <c r="CI144" s="981"/>
      <c r="CJ144" s="981"/>
      <c r="CK144" s="981"/>
      <c r="CL144" s="981"/>
      <c r="CM144" s="981"/>
      <c r="CN144" s="981"/>
      <c r="CO144" s="981"/>
      <c r="CP144" s="981"/>
      <c r="CQ144" s="981"/>
      <c r="CR144" s="981"/>
      <c r="CS144" s="981"/>
      <c r="CT144" s="981"/>
      <c r="CU144" s="981"/>
    </row>
    <row r="145">
      <c r="A145" s="1392"/>
      <c r="B145" s="788" t="s">
        <v>1256</v>
      </c>
      <c r="C145" s="784" t="s">
        <v>1256</v>
      </c>
      <c r="D145" s="785" t="s">
        <v>1256</v>
      </c>
      <c r="E145" s="786" t="s">
        <v>1256</v>
      </c>
      <c r="F145" s="787" t="s">
        <v>1256</v>
      </c>
      <c r="G145" s="788" t="s">
        <v>1256</v>
      </c>
      <c r="H145" s="1397"/>
      <c r="I145" s="1397"/>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2"/>
      <c r="BX145" s="981"/>
      <c r="BY145" s="981"/>
      <c r="BZ145" s="981"/>
      <c r="CA145" s="1332"/>
      <c r="CB145" s="981"/>
      <c r="CC145" s="981"/>
      <c r="CD145" s="1332"/>
      <c r="CE145" s="981"/>
      <c r="CF145" s="981"/>
      <c r="CG145" s="981"/>
      <c r="CH145" s="981"/>
      <c r="CI145" s="981"/>
      <c r="CJ145" s="981"/>
      <c r="CK145" s="981"/>
      <c r="CL145" s="981"/>
      <c r="CM145" s="981"/>
      <c r="CN145" s="981"/>
      <c r="CO145" s="981"/>
      <c r="CP145" s="981"/>
      <c r="CQ145" s="981"/>
      <c r="CR145" s="981"/>
      <c r="CS145" s="981"/>
      <c r="CT145" s="981"/>
      <c r="CU145" s="981"/>
    </row>
    <row r="146">
      <c r="A146" s="1392"/>
      <c r="B146" s="788" t="s">
        <v>1256</v>
      </c>
      <c r="C146" s="784" t="s">
        <v>1256</v>
      </c>
      <c r="D146" s="785" t="s">
        <v>1256</v>
      </c>
      <c r="E146" s="786" t="s">
        <v>1256</v>
      </c>
      <c r="F146" s="787" t="s">
        <v>1256</v>
      </c>
      <c r="G146" s="788" t="s">
        <v>1256</v>
      </c>
      <c r="H146" s="1397"/>
      <c r="I146" s="1397"/>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2"/>
      <c r="BX146" s="981"/>
      <c r="BY146" s="981"/>
      <c r="BZ146" s="981"/>
      <c r="CA146" s="1332"/>
      <c r="CB146" s="981"/>
      <c r="CC146" s="981"/>
      <c r="CD146" s="1332"/>
      <c r="CE146" s="981"/>
      <c r="CF146" s="981"/>
      <c r="CG146" s="981"/>
      <c r="CH146" s="981"/>
      <c r="CI146" s="981"/>
      <c r="CJ146" s="981"/>
      <c r="CK146" s="981"/>
      <c r="CL146" s="981"/>
      <c r="CM146" s="981"/>
      <c r="CN146" s="981"/>
      <c r="CO146" s="981"/>
      <c r="CP146" s="981"/>
      <c r="CQ146" s="981"/>
      <c r="CR146" s="981"/>
      <c r="CS146" s="981"/>
      <c r="CT146" s="981"/>
      <c r="CU146" s="981"/>
    </row>
    <row r="147">
      <c r="A147" s="1392"/>
      <c r="B147" s="788" t="s">
        <v>1256</v>
      </c>
      <c r="C147" s="784" t="s">
        <v>1256</v>
      </c>
      <c r="D147" s="785" t="s">
        <v>1256</v>
      </c>
      <c r="E147" s="786" t="s">
        <v>1256</v>
      </c>
      <c r="F147" s="787" t="s">
        <v>1256</v>
      </c>
      <c r="G147" s="788" t="s">
        <v>1256</v>
      </c>
      <c r="H147" s="1397"/>
      <c r="I147" s="1397"/>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2"/>
      <c r="BX147" s="981"/>
      <c r="BY147" s="981"/>
      <c r="BZ147" s="981"/>
      <c r="CA147" s="1332"/>
      <c r="CB147" s="981"/>
      <c r="CC147" s="981"/>
      <c r="CD147" s="1332"/>
      <c r="CE147" s="981"/>
      <c r="CF147" s="981"/>
      <c r="CG147" s="981"/>
      <c r="CH147" s="981"/>
      <c r="CI147" s="981"/>
      <c r="CJ147" s="981"/>
      <c r="CK147" s="981"/>
      <c r="CL147" s="981"/>
      <c r="CM147" s="981"/>
      <c r="CN147" s="981"/>
      <c r="CO147" s="981"/>
      <c r="CP147" s="981"/>
      <c r="CQ147" s="981"/>
      <c r="CR147" s="981"/>
      <c r="CS147" s="981"/>
      <c r="CT147" s="981"/>
      <c r="CU147" s="981"/>
    </row>
    <row r="148">
      <c r="A148" s="1392"/>
      <c r="B148" s="788" t="s">
        <v>1256</v>
      </c>
      <c r="C148" s="784" t="s">
        <v>1256</v>
      </c>
      <c r="D148" s="785" t="s">
        <v>1256</v>
      </c>
      <c r="E148" s="786" t="s">
        <v>1256</v>
      </c>
      <c r="F148" s="787" t="s">
        <v>1256</v>
      </c>
      <c r="G148" s="788" t="s">
        <v>1256</v>
      </c>
      <c r="H148" s="1397"/>
      <c r="I148" s="1397"/>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2"/>
      <c r="BX148" s="981"/>
      <c r="BY148" s="981"/>
      <c r="BZ148" s="981"/>
      <c r="CA148" s="1332"/>
      <c r="CB148" s="981"/>
      <c r="CC148" s="981"/>
      <c r="CD148" s="1332"/>
      <c r="CE148" s="981"/>
      <c r="CF148" s="981"/>
      <c r="CG148" s="981"/>
      <c r="CH148" s="981"/>
      <c r="CI148" s="981"/>
      <c r="CJ148" s="981"/>
      <c r="CK148" s="981"/>
      <c r="CL148" s="981"/>
      <c r="CM148" s="981"/>
      <c r="CN148" s="981"/>
      <c r="CO148" s="981"/>
      <c r="CP148" s="981"/>
      <c r="CQ148" s="981"/>
      <c r="CR148" s="981"/>
      <c r="CS148" s="981"/>
      <c r="CT148" s="981"/>
      <c r="CU148" s="981"/>
    </row>
    <row r="149">
      <c r="A149" s="1392"/>
      <c r="B149" s="788" t="s">
        <v>1256</v>
      </c>
      <c r="C149" s="784" t="s">
        <v>1256</v>
      </c>
      <c r="D149" s="785" t="s">
        <v>1256</v>
      </c>
      <c r="E149" s="786" t="s">
        <v>1256</v>
      </c>
      <c r="F149" s="787" t="s">
        <v>1256</v>
      </c>
      <c r="G149" s="788" t="s">
        <v>1256</v>
      </c>
      <c r="H149" s="1397"/>
      <c r="I149" s="1397"/>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2"/>
      <c r="BX149" s="981"/>
      <c r="BY149" s="981"/>
      <c r="BZ149" s="981"/>
      <c r="CA149" s="1332"/>
      <c r="CB149" s="981"/>
      <c r="CC149" s="981"/>
      <c r="CD149" s="1332"/>
      <c r="CE149" s="981"/>
      <c r="CF149" s="981"/>
      <c r="CG149" s="981"/>
      <c r="CH149" s="981"/>
      <c r="CI149" s="981"/>
      <c r="CJ149" s="981"/>
      <c r="CK149" s="981"/>
      <c r="CL149" s="981"/>
      <c r="CM149" s="981"/>
      <c r="CN149" s="981"/>
      <c r="CO149" s="981"/>
      <c r="CP149" s="981"/>
      <c r="CQ149" s="981"/>
      <c r="CR149" s="981"/>
      <c r="CS149" s="981"/>
      <c r="CT149" s="981"/>
      <c r="CU149" s="981"/>
    </row>
    <row r="150">
      <c r="A150" s="1392"/>
      <c r="B150" s="788" t="s">
        <v>1256</v>
      </c>
      <c r="C150" s="784" t="s">
        <v>1256</v>
      </c>
      <c r="D150" s="785" t="s">
        <v>1256</v>
      </c>
      <c r="E150" s="786" t="s">
        <v>1256</v>
      </c>
      <c r="F150" s="787" t="s">
        <v>1256</v>
      </c>
      <c r="G150" s="788" t="s">
        <v>1256</v>
      </c>
      <c r="H150" s="1397"/>
      <c r="I150" s="1397"/>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2"/>
      <c r="BX150" s="981"/>
      <c r="BY150" s="981"/>
      <c r="BZ150" s="981"/>
      <c r="CA150" s="1332"/>
      <c r="CB150" s="981"/>
      <c r="CC150" s="981"/>
      <c r="CD150" s="1332"/>
      <c r="CE150" s="981"/>
      <c r="CF150" s="981"/>
      <c r="CG150" s="981"/>
      <c r="CH150" s="981"/>
      <c r="CI150" s="981"/>
      <c r="CJ150" s="981"/>
      <c r="CK150" s="981"/>
      <c r="CL150" s="981"/>
      <c r="CM150" s="981"/>
      <c r="CN150" s="981"/>
      <c r="CO150" s="981"/>
      <c r="CP150" s="981"/>
      <c r="CQ150" s="981"/>
      <c r="CR150" s="981"/>
      <c r="CS150" s="981"/>
      <c r="CT150" s="981"/>
      <c r="CU150" s="981"/>
    </row>
    <row r="151">
      <c r="A151" s="1392"/>
      <c r="B151" s="788" t="s">
        <v>1256</v>
      </c>
      <c r="C151" s="784" t="s">
        <v>1256</v>
      </c>
      <c r="D151" s="785" t="s">
        <v>1256</v>
      </c>
      <c r="E151" s="786" t="s">
        <v>1256</v>
      </c>
      <c r="F151" s="787" t="s">
        <v>1256</v>
      </c>
      <c r="G151" s="788" t="s">
        <v>1256</v>
      </c>
      <c r="H151" s="1397"/>
      <c r="I151" s="1397"/>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2"/>
      <c r="BX151" s="981"/>
      <c r="BY151" s="981"/>
      <c r="BZ151" s="981"/>
      <c r="CA151" s="1332"/>
      <c r="CB151" s="981"/>
      <c r="CC151" s="981"/>
      <c r="CD151" s="1332"/>
      <c r="CE151" s="981"/>
      <c r="CF151" s="981"/>
      <c r="CG151" s="981"/>
      <c r="CH151" s="981"/>
      <c r="CI151" s="981"/>
      <c r="CJ151" s="981"/>
      <c r="CK151" s="981"/>
      <c r="CL151" s="981"/>
      <c r="CM151" s="981"/>
      <c r="CN151" s="981"/>
      <c r="CO151" s="981"/>
      <c r="CP151" s="981"/>
      <c r="CQ151" s="981"/>
      <c r="CR151" s="981"/>
      <c r="CS151" s="981"/>
      <c r="CT151" s="981"/>
      <c r="CU151" s="981"/>
    </row>
    <row r="152">
      <c r="A152" s="1392"/>
      <c r="B152" s="788" t="s">
        <v>1256</v>
      </c>
      <c r="C152" s="784" t="s">
        <v>1256</v>
      </c>
      <c r="D152" s="785" t="s">
        <v>1256</v>
      </c>
      <c r="E152" s="786" t="s">
        <v>1256</v>
      </c>
      <c r="F152" s="787" t="s">
        <v>1256</v>
      </c>
      <c r="G152" s="788" t="s">
        <v>1256</v>
      </c>
      <c r="H152" s="1397"/>
      <c r="I152" s="1397"/>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2"/>
      <c r="BX152" s="981"/>
      <c r="BY152" s="981"/>
      <c r="BZ152" s="981"/>
      <c r="CA152" s="1332"/>
      <c r="CB152" s="981"/>
      <c r="CC152" s="981"/>
      <c r="CD152" s="1332"/>
      <c r="CE152" s="981"/>
      <c r="CF152" s="981"/>
      <c r="CG152" s="981"/>
      <c r="CH152" s="981"/>
      <c r="CI152" s="981"/>
      <c r="CJ152" s="981"/>
      <c r="CK152" s="981"/>
      <c r="CL152" s="981"/>
      <c r="CM152" s="981"/>
      <c r="CN152" s="981"/>
      <c r="CO152" s="981"/>
      <c r="CP152" s="981"/>
      <c r="CQ152" s="981"/>
      <c r="CR152" s="981"/>
      <c r="CS152" s="981"/>
      <c r="CT152" s="981"/>
      <c r="CU152" s="981"/>
    </row>
    <row r="153">
      <c r="A153" s="1392"/>
      <c r="B153" s="788" t="s">
        <v>1256</v>
      </c>
      <c r="C153" s="784" t="s">
        <v>1256</v>
      </c>
      <c r="D153" s="785" t="s">
        <v>1256</v>
      </c>
      <c r="E153" s="786" t="s">
        <v>1256</v>
      </c>
      <c r="F153" s="787" t="s">
        <v>1256</v>
      </c>
      <c r="G153" s="788" t="s">
        <v>1256</v>
      </c>
      <c r="H153" s="1397"/>
      <c r="I153" s="1397"/>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2"/>
      <c r="BX153" s="981"/>
      <c r="BY153" s="981"/>
      <c r="BZ153" s="981"/>
      <c r="CA153" s="1332"/>
      <c r="CB153" s="981"/>
      <c r="CC153" s="981"/>
      <c r="CD153" s="1332"/>
      <c r="CE153" s="981"/>
      <c r="CF153" s="981"/>
      <c r="CG153" s="981"/>
      <c r="CH153" s="981"/>
      <c r="CI153" s="981"/>
      <c r="CJ153" s="981"/>
      <c r="CK153" s="981"/>
      <c r="CL153" s="981"/>
      <c r="CM153" s="981"/>
      <c r="CN153" s="981"/>
      <c r="CO153" s="981"/>
      <c r="CP153" s="981"/>
      <c r="CQ153" s="981"/>
      <c r="CR153" s="981"/>
      <c r="CS153" s="981"/>
      <c r="CT153" s="981"/>
      <c r="CU153" s="981"/>
    </row>
    <row r="154">
      <c r="A154" s="1392"/>
      <c r="B154" s="788" t="s">
        <v>1256</v>
      </c>
      <c r="C154" s="784" t="s">
        <v>1256</v>
      </c>
      <c r="D154" s="785" t="s">
        <v>1256</v>
      </c>
      <c r="E154" s="786" t="s">
        <v>1256</v>
      </c>
      <c r="F154" s="787" t="s">
        <v>1256</v>
      </c>
      <c r="G154" s="788" t="s">
        <v>1256</v>
      </c>
      <c r="H154" s="1397"/>
      <c r="I154" s="1397"/>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2"/>
      <c r="BX154" s="981"/>
      <c r="BY154" s="981"/>
      <c r="BZ154" s="981"/>
      <c r="CA154" s="1332"/>
      <c r="CB154" s="981"/>
      <c r="CC154" s="981"/>
      <c r="CD154" s="1332"/>
      <c r="CE154" s="981"/>
      <c r="CF154" s="981"/>
      <c r="CG154" s="981"/>
      <c r="CH154" s="981"/>
      <c r="CI154" s="981"/>
      <c r="CJ154" s="981"/>
      <c r="CK154" s="981"/>
      <c r="CL154" s="981"/>
      <c r="CM154" s="981"/>
      <c r="CN154" s="981"/>
      <c r="CO154" s="981"/>
      <c r="CP154" s="981"/>
      <c r="CQ154" s="981"/>
      <c r="CR154" s="981"/>
      <c r="CS154" s="981"/>
      <c r="CT154" s="981"/>
      <c r="CU154" s="981"/>
    </row>
    <row r="155">
      <c r="A155" s="1392"/>
      <c r="B155" s="788" t="s">
        <v>1256</v>
      </c>
      <c r="C155" s="784" t="s">
        <v>1256</v>
      </c>
      <c r="D155" s="785" t="s">
        <v>1256</v>
      </c>
      <c r="E155" s="786" t="s">
        <v>1256</v>
      </c>
      <c r="F155" s="787" t="s">
        <v>1256</v>
      </c>
      <c r="G155" s="788" t="s">
        <v>1256</v>
      </c>
      <c r="H155" s="1397"/>
      <c r="I155" s="1397"/>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2"/>
      <c r="BX155" s="981"/>
      <c r="BY155" s="981"/>
      <c r="BZ155" s="981"/>
      <c r="CA155" s="1332"/>
      <c r="CB155" s="981"/>
      <c r="CC155" s="981"/>
      <c r="CD155" s="1332"/>
      <c r="CE155" s="981"/>
      <c r="CF155" s="981"/>
      <c r="CG155" s="981"/>
      <c r="CH155" s="981"/>
      <c r="CI155" s="981"/>
      <c r="CJ155" s="981"/>
      <c r="CK155" s="981"/>
      <c r="CL155" s="981"/>
      <c r="CM155" s="981"/>
      <c r="CN155" s="981"/>
      <c r="CO155" s="981"/>
      <c r="CP155" s="981"/>
      <c r="CQ155" s="981"/>
      <c r="CR155" s="981"/>
      <c r="CS155" s="981"/>
      <c r="CT155" s="981"/>
      <c r="CU155" s="981"/>
    </row>
    <row r="156">
      <c r="A156" s="1392"/>
      <c r="B156" s="788" t="s">
        <v>1256</v>
      </c>
      <c r="C156" s="784" t="s">
        <v>1256</v>
      </c>
      <c r="D156" s="785" t="s">
        <v>1256</v>
      </c>
      <c r="E156" s="786" t="s">
        <v>1256</v>
      </c>
      <c r="F156" s="787" t="s">
        <v>1256</v>
      </c>
      <c r="G156" s="788" t="s">
        <v>1256</v>
      </c>
      <c r="H156" s="1397"/>
      <c r="I156" s="1397"/>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2"/>
      <c r="BX156" s="981"/>
      <c r="BY156" s="981"/>
      <c r="BZ156" s="981"/>
      <c r="CA156" s="1332"/>
      <c r="CB156" s="981"/>
      <c r="CC156" s="981"/>
      <c r="CD156" s="1332"/>
      <c r="CE156" s="981"/>
      <c r="CF156" s="981"/>
      <c r="CG156" s="981"/>
      <c r="CH156" s="981"/>
      <c r="CI156" s="981"/>
      <c r="CJ156" s="981"/>
      <c r="CK156" s="981"/>
      <c r="CL156" s="981"/>
      <c r="CM156" s="981"/>
      <c r="CN156" s="981"/>
      <c r="CO156" s="981"/>
      <c r="CP156" s="981"/>
      <c r="CQ156" s="981"/>
      <c r="CR156" s="981"/>
      <c r="CS156" s="981"/>
      <c r="CT156" s="981"/>
      <c r="CU156" s="981"/>
    </row>
    <row r="157">
      <c r="A157" s="1392"/>
      <c r="B157" s="788" t="s">
        <v>1256</v>
      </c>
      <c r="C157" s="784" t="s">
        <v>1256</v>
      </c>
      <c r="D157" s="785" t="s">
        <v>1256</v>
      </c>
      <c r="E157" s="786" t="s">
        <v>1256</v>
      </c>
      <c r="F157" s="787" t="s">
        <v>1256</v>
      </c>
      <c r="G157" s="788" t="s">
        <v>1256</v>
      </c>
      <c r="H157" s="1397"/>
      <c r="I157" s="1397"/>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2"/>
      <c r="BX157" s="981"/>
      <c r="BY157" s="981"/>
      <c r="BZ157" s="981"/>
      <c r="CA157" s="1332"/>
      <c r="CB157" s="981"/>
      <c r="CC157" s="981"/>
      <c r="CD157" s="1332"/>
      <c r="CE157" s="981"/>
      <c r="CF157" s="981"/>
      <c r="CG157" s="981"/>
      <c r="CH157" s="981"/>
      <c r="CI157" s="981"/>
      <c r="CJ157" s="981"/>
      <c r="CK157" s="981"/>
      <c r="CL157" s="981"/>
      <c r="CM157" s="981"/>
      <c r="CN157" s="981"/>
      <c r="CO157" s="981"/>
      <c r="CP157" s="981"/>
      <c r="CQ157" s="981"/>
      <c r="CR157" s="981"/>
      <c r="CS157" s="981"/>
      <c r="CT157" s="981"/>
      <c r="CU157" s="981"/>
    </row>
    <row r="158">
      <c r="A158" s="1392"/>
      <c r="B158" s="788" t="s">
        <v>1256</v>
      </c>
      <c r="C158" s="784" t="s">
        <v>1256</v>
      </c>
      <c r="D158" s="785" t="s">
        <v>1256</v>
      </c>
      <c r="E158" s="786" t="s">
        <v>1256</v>
      </c>
      <c r="F158" s="787" t="s">
        <v>1256</v>
      </c>
      <c r="G158" s="788" t="s">
        <v>1256</v>
      </c>
      <c r="H158" s="1397"/>
      <c r="I158" s="1397"/>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2"/>
      <c r="BX158" s="981"/>
      <c r="BY158" s="981"/>
      <c r="BZ158" s="981"/>
      <c r="CA158" s="1332"/>
      <c r="CB158" s="981"/>
      <c r="CC158" s="981"/>
      <c r="CD158" s="1332"/>
      <c r="CE158" s="981"/>
      <c r="CF158" s="981"/>
      <c r="CG158" s="981"/>
      <c r="CH158" s="981"/>
      <c r="CI158" s="981"/>
      <c r="CJ158" s="981"/>
      <c r="CK158" s="981"/>
      <c r="CL158" s="981"/>
      <c r="CM158" s="981"/>
      <c r="CN158" s="981"/>
      <c r="CO158" s="981"/>
      <c r="CP158" s="981"/>
      <c r="CQ158" s="981"/>
      <c r="CR158" s="981"/>
      <c r="CS158" s="981"/>
      <c r="CT158" s="981"/>
      <c r="CU158" s="981"/>
    </row>
    <row r="159">
      <c r="A159" s="1392"/>
      <c r="B159" s="788" t="s">
        <v>1256</v>
      </c>
      <c r="C159" s="784" t="s">
        <v>1256</v>
      </c>
      <c r="D159" s="785" t="s">
        <v>1256</v>
      </c>
      <c r="E159" s="786" t="s">
        <v>1256</v>
      </c>
      <c r="F159" s="787" t="s">
        <v>1256</v>
      </c>
      <c r="G159" s="788" t="s">
        <v>1256</v>
      </c>
      <c r="H159" s="1397"/>
      <c r="I159" s="1397"/>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2"/>
      <c r="BX159" s="981"/>
      <c r="BY159" s="981"/>
      <c r="BZ159" s="981"/>
      <c r="CA159" s="1332"/>
      <c r="CB159" s="981"/>
      <c r="CC159" s="981"/>
      <c r="CD159" s="1332"/>
      <c r="CE159" s="981"/>
      <c r="CF159" s="981"/>
      <c r="CG159" s="981"/>
      <c r="CH159" s="981"/>
      <c r="CI159" s="981"/>
      <c r="CJ159" s="981"/>
      <c r="CK159" s="981"/>
      <c r="CL159" s="981"/>
      <c r="CM159" s="981"/>
      <c r="CN159" s="981"/>
      <c r="CO159" s="981"/>
      <c r="CP159" s="981"/>
      <c r="CQ159" s="981"/>
      <c r="CR159" s="981"/>
      <c r="CS159" s="981"/>
      <c r="CT159" s="981"/>
      <c r="CU159" s="981"/>
    </row>
    <row r="160">
      <c r="A160" s="1392"/>
      <c r="B160" s="788" t="s">
        <v>1256</v>
      </c>
      <c r="C160" s="784" t="s">
        <v>1256</v>
      </c>
      <c r="D160" s="785" t="s">
        <v>1256</v>
      </c>
      <c r="E160" s="786" t="s">
        <v>1256</v>
      </c>
      <c r="F160" s="787" t="s">
        <v>1256</v>
      </c>
      <c r="G160" s="788" t="s">
        <v>1256</v>
      </c>
      <c r="H160" s="1397"/>
      <c r="I160" s="1397"/>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2"/>
      <c r="BX160" s="981"/>
      <c r="BY160" s="981"/>
      <c r="BZ160" s="981"/>
      <c r="CA160" s="1332"/>
      <c r="CB160" s="981"/>
      <c r="CC160" s="981"/>
      <c r="CD160" s="1332"/>
      <c r="CE160" s="981"/>
      <c r="CF160" s="981"/>
      <c r="CG160" s="981"/>
      <c r="CH160" s="981"/>
      <c r="CI160" s="981"/>
      <c r="CJ160" s="981"/>
      <c r="CK160" s="981"/>
      <c r="CL160" s="981"/>
      <c r="CM160" s="981"/>
      <c r="CN160" s="981"/>
      <c r="CO160" s="981"/>
      <c r="CP160" s="981"/>
      <c r="CQ160" s="981"/>
      <c r="CR160" s="981"/>
      <c r="CS160" s="981"/>
      <c r="CT160" s="981"/>
      <c r="CU160" s="981"/>
    </row>
    <row r="161">
      <c r="A161" s="1392"/>
      <c r="B161" s="788" t="s">
        <v>1256</v>
      </c>
      <c r="C161" s="784" t="s">
        <v>1256</v>
      </c>
      <c r="D161" s="785" t="s">
        <v>1256</v>
      </c>
      <c r="E161" s="786" t="s">
        <v>1256</v>
      </c>
      <c r="F161" s="787" t="s">
        <v>1256</v>
      </c>
      <c r="G161" s="788" t="s">
        <v>1256</v>
      </c>
      <c r="H161" s="1397"/>
      <c r="I161" s="1397"/>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2"/>
      <c r="BX161" s="981"/>
      <c r="BY161" s="981"/>
      <c r="BZ161" s="981"/>
      <c r="CA161" s="1332"/>
      <c r="CB161" s="981"/>
      <c r="CC161" s="981"/>
      <c r="CD161" s="1332"/>
      <c r="CE161" s="981"/>
      <c r="CF161" s="981"/>
      <c r="CG161" s="981"/>
      <c r="CH161" s="981"/>
      <c r="CI161" s="981"/>
      <c r="CJ161" s="981"/>
      <c r="CK161" s="981"/>
      <c r="CL161" s="981"/>
      <c r="CM161" s="981"/>
      <c r="CN161" s="981"/>
      <c r="CO161" s="981"/>
      <c r="CP161" s="981"/>
      <c r="CQ161" s="981"/>
      <c r="CR161" s="981"/>
      <c r="CS161" s="981"/>
      <c r="CT161" s="981"/>
      <c r="CU161" s="981"/>
    </row>
    <row r="162">
      <c r="A162" s="1392"/>
      <c r="B162" s="788" t="s">
        <v>1256</v>
      </c>
      <c r="C162" s="784" t="s">
        <v>1256</v>
      </c>
      <c r="D162" s="785" t="s">
        <v>1256</v>
      </c>
      <c r="E162" s="786" t="s">
        <v>1256</v>
      </c>
      <c r="F162" s="787" t="s">
        <v>1256</v>
      </c>
      <c r="G162" s="788" t="s">
        <v>1256</v>
      </c>
      <c r="H162" s="1397"/>
      <c r="I162" s="1397"/>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2"/>
      <c r="BX162" s="981"/>
      <c r="BY162" s="981"/>
      <c r="BZ162" s="981"/>
      <c r="CA162" s="1332"/>
      <c r="CB162" s="981"/>
      <c r="CC162" s="981"/>
      <c r="CD162" s="1332"/>
      <c r="CE162" s="981"/>
      <c r="CF162" s="981"/>
      <c r="CG162" s="981"/>
      <c r="CH162" s="981"/>
      <c r="CI162" s="981"/>
      <c r="CJ162" s="981"/>
      <c r="CK162" s="981"/>
      <c r="CL162" s="981"/>
      <c r="CM162" s="981"/>
      <c r="CN162" s="981"/>
      <c r="CO162" s="981"/>
      <c r="CP162" s="981"/>
      <c r="CQ162" s="981"/>
      <c r="CR162" s="981"/>
      <c r="CS162" s="981"/>
      <c r="CT162" s="981"/>
      <c r="CU162" s="981"/>
    </row>
    <row r="163">
      <c r="A163" s="1392"/>
      <c r="B163" s="788" t="s">
        <v>1256</v>
      </c>
      <c r="C163" s="784" t="s">
        <v>1256</v>
      </c>
      <c r="D163" s="785" t="s">
        <v>1256</v>
      </c>
      <c r="E163" s="786" t="s">
        <v>1256</v>
      </c>
      <c r="F163" s="787" t="s">
        <v>1256</v>
      </c>
      <c r="G163" s="788" t="s">
        <v>1256</v>
      </c>
      <c r="H163" s="1397"/>
      <c r="I163" s="1397"/>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2"/>
      <c r="BX163" s="981"/>
      <c r="BY163" s="981"/>
      <c r="BZ163" s="981"/>
      <c r="CA163" s="1332"/>
      <c r="CB163" s="981"/>
      <c r="CC163" s="981"/>
      <c r="CD163" s="1332"/>
      <c r="CE163" s="981"/>
      <c r="CF163" s="981"/>
      <c r="CG163" s="981"/>
      <c r="CH163" s="981"/>
      <c r="CI163" s="981"/>
      <c r="CJ163" s="981"/>
      <c r="CK163" s="981"/>
      <c r="CL163" s="981"/>
      <c r="CM163" s="981"/>
      <c r="CN163" s="981"/>
      <c r="CO163" s="981"/>
      <c r="CP163" s="981"/>
      <c r="CQ163" s="981"/>
      <c r="CR163" s="981"/>
      <c r="CS163" s="981"/>
      <c r="CT163" s="981"/>
      <c r="CU163" s="981"/>
    </row>
    <row r="164">
      <c r="A164" s="1392"/>
      <c r="B164" s="788" t="s">
        <v>1256</v>
      </c>
      <c r="C164" s="784" t="s">
        <v>1256</v>
      </c>
      <c r="D164" s="785" t="s">
        <v>1256</v>
      </c>
      <c r="E164" s="786" t="s">
        <v>1256</v>
      </c>
      <c r="F164" s="787" t="s">
        <v>1256</v>
      </c>
      <c r="G164" s="788" t="s">
        <v>1256</v>
      </c>
      <c r="H164" s="1397"/>
      <c r="I164" s="1397"/>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2"/>
      <c r="BX164" s="1332"/>
      <c r="BY164" s="981"/>
      <c r="BZ164" s="981"/>
      <c r="CA164" s="1332"/>
      <c r="CB164" s="981"/>
      <c r="CC164" s="981"/>
      <c r="CD164" s="1332"/>
      <c r="CE164" s="981"/>
      <c r="CF164" s="981"/>
      <c r="CG164" s="981"/>
      <c r="CH164" s="981"/>
      <c r="CI164" s="981"/>
      <c r="CJ164" s="981"/>
      <c r="CK164" s="981"/>
      <c r="CL164" s="981"/>
      <c r="CM164" s="981"/>
      <c r="CN164" s="981"/>
      <c r="CO164" s="981"/>
      <c r="CP164" s="981"/>
      <c r="CQ164" s="981"/>
      <c r="CR164" s="981"/>
      <c r="CS164" s="981"/>
      <c r="CT164" s="981"/>
      <c r="CU164" s="981"/>
    </row>
    <row r="165">
      <c r="A165" s="1392"/>
      <c r="B165" s="788" t="s">
        <v>1256</v>
      </c>
      <c r="C165" s="784" t="s">
        <v>1256</v>
      </c>
      <c r="D165" s="785" t="s">
        <v>1256</v>
      </c>
      <c r="E165" s="786" t="s">
        <v>1256</v>
      </c>
      <c r="F165" s="787" t="s">
        <v>1256</v>
      </c>
      <c r="G165" s="788" t="s">
        <v>1256</v>
      </c>
      <c r="H165" s="1397"/>
      <c r="I165" s="1397"/>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2"/>
      <c r="BX165" s="1332"/>
      <c r="BY165" s="981"/>
      <c r="BZ165" s="981"/>
      <c r="CA165" s="1332"/>
      <c r="CB165" s="981"/>
      <c r="CC165" s="981"/>
      <c r="CD165" s="1332"/>
      <c r="CE165" s="981"/>
      <c r="CF165" s="981"/>
      <c r="CG165" s="981"/>
      <c r="CH165" s="981"/>
      <c r="CI165" s="981"/>
      <c r="CJ165" s="981"/>
      <c r="CK165" s="981"/>
      <c r="CL165" s="981"/>
      <c r="CM165" s="981"/>
      <c r="CN165" s="981"/>
      <c r="CO165" s="981"/>
      <c r="CP165" s="981"/>
      <c r="CQ165" s="981"/>
      <c r="CR165" s="981"/>
      <c r="CS165" s="981"/>
      <c r="CT165" s="981"/>
      <c r="CU165" s="981"/>
    </row>
    <row r="166">
      <c r="A166" s="1392"/>
      <c r="B166" s="788" t="s">
        <v>1256</v>
      </c>
      <c r="C166" s="784" t="s">
        <v>1256</v>
      </c>
      <c r="D166" s="785" t="s">
        <v>1256</v>
      </c>
      <c r="E166" s="786" t="s">
        <v>1256</v>
      </c>
      <c r="F166" s="787" t="s">
        <v>1256</v>
      </c>
      <c r="G166" s="788" t="s">
        <v>1256</v>
      </c>
      <c r="H166" s="1397"/>
      <c r="I166" s="1397"/>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2"/>
      <c r="BX166" s="1332"/>
      <c r="BY166" s="981"/>
      <c r="BZ166" s="981"/>
      <c r="CA166" s="1332"/>
      <c r="CB166" s="981"/>
      <c r="CC166" s="981"/>
      <c r="CD166" s="1332"/>
      <c r="CE166" s="981"/>
      <c r="CF166" s="981"/>
      <c r="CG166" s="981"/>
      <c r="CH166" s="981"/>
      <c r="CI166" s="981"/>
      <c r="CJ166" s="981"/>
      <c r="CK166" s="981"/>
      <c r="CL166" s="981"/>
      <c r="CM166" s="981"/>
      <c r="CN166" s="981"/>
      <c r="CO166" s="981"/>
      <c r="CP166" s="981"/>
      <c r="CQ166" s="981"/>
      <c r="CR166" s="981"/>
      <c r="CS166" s="981"/>
      <c r="CT166" s="981"/>
      <c r="CU166" s="981"/>
    </row>
    <row r="167">
      <c r="A167" s="1392"/>
      <c r="B167" s="788" t="s">
        <v>1256</v>
      </c>
      <c r="C167" s="784" t="s">
        <v>1256</v>
      </c>
      <c r="D167" s="785" t="s">
        <v>1256</v>
      </c>
      <c r="E167" s="786" t="s">
        <v>1256</v>
      </c>
      <c r="F167" s="787" t="s">
        <v>1256</v>
      </c>
      <c r="G167" s="788" t="s">
        <v>1256</v>
      </c>
      <c r="H167" s="1397"/>
      <c r="I167" s="1397"/>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2"/>
      <c r="BX167" s="1332"/>
      <c r="BY167" s="981"/>
      <c r="BZ167" s="981"/>
      <c r="CA167" s="1332"/>
      <c r="CB167" s="981"/>
      <c r="CC167" s="981"/>
      <c r="CD167" s="1332"/>
      <c r="CE167" s="981"/>
      <c r="CF167" s="981"/>
      <c r="CG167" s="981"/>
      <c r="CH167" s="981"/>
      <c r="CI167" s="981"/>
      <c r="CJ167" s="981"/>
      <c r="CK167" s="981"/>
      <c r="CL167" s="981"/>
      <c r="CM167" s="981"/>
      <c r="CN167" s="981"/>
      <c r="CO167" s="981"/>
      <c r="CP167" s="981"/>
      <c r="CQ167" s="981"/>
      <c r="CR167" s="981"/>
      <c r="CS167" s="981"/>
      <c r="CT167" s="981"/>
      <c r="CU167" s="981"/>
    </row>
    <row r="168">
      <c r="A168" s="1392"/>
      <c r="B168" s="788" t="s">
        <v>1256</v>
      </c>
      <c r="C168" s="784" t="s">
        <v>1256</v>
      </c>
      <c r="D168" s="785" t="s">
        <v>1256</v>
      </c>
      <c r="E168" s="786" t="s">
        <v>1256</v>
      </c>
      <c r="F168" s="787" t="s">
        <v>1256</v>
      </c>
      <c r="G168" s="788" t="s">
        <v>1256</v>
      </c>
      <c r="H168" s="1397"/>
      <c r="I168" s="1397"/>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2"/>
      <c r="BX168" s="1332"/>
      <c r="BY168" s="981"/>
      <c r="BZ168" s="981"/>
      <c r="CA168" s="1332"/>
      <c r="CB168" s="981"/>
      <c r="CC168" s="981"/>
      <c r="CD168" s="1332"/>
      <c r="CE168" s="981"/>
      <c r="CF168" s="981"/>
      <c r="CG168" s="981"/>
      <c r="CH168" s="981"/>
      <c r="CI168" s="981"/>
      <c r="CJ168" s="981"/>
      <c r="CK168" s="981"/>
      <c r="CL168" s="981"/>
      <c r="CM168" s="981"/>
      <c r="CN168" s="981"/>
      <c r="CO168" s="981"/>
      <c r="CP168" s="981"/>
      <c r="CQ168" s="981"/>
      <c r="CR168" s="981"/>
      <c r="CS168" s="981"/>
      <c r="CT168" s="981"/>
      <c r="CU168" s="981"/>
    </row>
    <row r="169">
      <c r="A169" s="1392"/>
      <c r="B169" s="788" t="s">
        <v>1256</v>
      </c>
      <c r="C169" s="784" t="s">
        <v>1256</v>
      </c>
      <c r="D169" s="785" t="s">
        <v>1256</v>
      </c>
      <c r="E169" s="786" t="s">
        <v>1256</v>
      </c>
      <c r="F169" s="787" t="s">
        <v>1256</v>
      </c>
      <c r="G169" s="788" t="s">
        <v>1256</v>
      </c>
      <c r="H169" s="1397"/>
      <c r="I169" s="1397"/>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2"/>
      <c r="BX169" s="1332"/>
      <c r="BY169" s="981"/>
      <c r="BZ169" s="981"/>
      <c r="CA169" s="1332"/>
      <c r="CB169" s="981"/>
      <c r="CC169" s="981"/>
      <c r="CD169" s="1332"/>
      <c r="CE169" s="981"/>
      <c r="CF169" s="981"/>
      <c r="CG169" s="981"/>
      <c r="CH169" s="981"/>
      <c r="CI169" s="981"/>
      <c r="CJ169" s="981"/>
      <c r="CK169" s="981"/>
      <c r="CL169" s="981"/>
      <c r="CM169" s="981"/>
      <c r="CN169" s="981"/>
      <c r="CO169" s="981"/>
      <c r="CP169" s="981"/>
      <c r="CQ169" s="981"/>
      <c r="CR169" s="981"/>
      <c r="CS169" s="981"/>
      <c r="CT169" s="981"/>
      <c r="CU169" s="981"/>
    </row>
    <row r="170">
      <c r="A170" s="1392"/>
      <c r="B170" s="788" t="s">
        <v>1256</v>
      </c>
      <c r="C170" s="784" t="s">
        <v>1256</v>
      </c>
      <c r="D170" s="785" t="s">
        <v>1256</v>
      </c>
      <c r="E170" s="786" t="s">
        <v>1256</v>
      </c>
      <c r="F170" s="787" t="s">
        <v>1256</v>
      </c>
      <c r="G170" s="788" t="s">
        <v>1256</v>
      </c>
      <c r="H170" s="1397"/>
      <c r="I170" s="1397"/>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2"/>
      <c r="BX170" s="1332"/>
      <c r="BY170" s="981"/>
      <c r="BZ170" s="1332"/>
      <c r="CA170" s="1332"/>
      <c r="CB170" s="981"/>
      <c r="CC170" s="981"/>
      <c r="CD170" s="1332"/>
      <c r="CE170" s="981"/>
      <c r="CF170" s="981"/>
      <c r="CG170" s="981"/>
      <c r="CH170" s="981"/>
      <c r="CI170" s="981"/>
      <c r="CJ170" s="981"/>
      <c r="CK170" s="981"/>
      <c r="CL170" s="981"/>
      <c r="CM170" s="981"/>
      <c r="CN170" s="981"/>
      <c r="CO170" s="981"/>
      <c r="CP170" s="981"/>
      <c r="CQ170" s="981"/>
      <c r="CR170" s="981"/>
      <c r="CS170" s="981"/>
      <c r="CT170" s="981"/>
      <c r="CU170" s="981"/>
    </row>
    <row r="171">
      <c r="A171" s="1392"/>
      <c r="B171" s="788" t="s">
        <v>1256</v>
      </c>
      <c r="C171" s="784" t="s">
        <v>1256</v>
      </c>
      <c r="D171" s="785" t="s">
        <v>1256</v>
      </c>
      <c r="E171" s="786" t="s">
        <v>1256</v>
      </c>
      <c r="F171" s="787" t="s">
        <v>1256</v>
      </c>
      <c r="G171" s="788" t="s">
        <v>1256</v>
      </c>
      <c r="H171" s="1397"/>
      <c r="I171" s="1397"/>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2"/>
      <c r="BX171" s="1332"/>
      <c r="BY171" s="981"/>
      <c r="BZ171" s="1332"/>
      <c r="CA171" s="1332"/>
      <c r="CB171" s="981"/>
      <c r="CC171" s="981"/>
      <c r="CD171" s="1332"/>
      <c r="CE171" s="981"/>
      <c r="CF171" s="981"/>
      <c r="CG171" s="981"/>
      <c r="CH171" s="981"/>
      <c r="CI171" s="981"/>
      <c r="CJ171" s="981"/>
      <c r="CK171" s="981"/>
      <c r="CL171" s="981"/>
      <c r="CM171" s="981"/>
      <c r="CN171" s="981"/>
      <c r="CO171" s="981"/>
      <c r="CP171" s="981"/>
      <c r="CQ171" s="981"/>
      <c r="CR171" s="981"/>
      <c r="CS171" s="981"/>
      <c r="CT171" s="981"/>
      <c r="CU171" s="981"/>
    </row>
    <row r="172">
      <c r="A172" s="1392"/>
      <c r="B172" s="788" t="s">
        <v>1256</v>
      </c>
      <c r="C172" s="784" t="s">
        <v>1256</v>
      </c>
      <c r="D172" s="785" t="s">
        <v>1256</v>
      </c>
      <c r="E172" s="786" t="s">
        <v>1256</v>
      </c>
      <c r="F172" s="787" t="s">
        <v>1256</v>
      </c>
      <c r="G172" s="788" t="s">
        <v>1256</v>
      </c>
      <c r="H172" s="1397"/>
      <c r="I172" s="1397"/>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2"/>
      <c r="BX172" s="1332"/>
      <c r="BY172" s="981"/>
      <c r="BZ172" s="1332"/>
      <c r="CA172" s="1332"/>
      <c r="CB172" s="981"/>
      <c r="CC172" s="981"/>
      <c r="CD172" s="1332"/>
      <c r="CE172" s="981"/>
      <c r="CF172" s="981"/>
      <c r="CG172" s="981"/>
      <c r="CH172" s="981"/>
      <c r="CI172" s="981"/>
      <c r="CJ172" s="981"/>
      <c r="CK172" s="981"/>
      <c r="CL172" s="981"/>
      <c r="CM172" s="981"/>
      <c r="CN172" s="981"/>
      <c r="CO172" s="981"/>
      <c r="CP172" s="981"/>
      <c r="CQ172" s="981"/>
      <c r="CR172" s="981"/>
      <c r="CS172" s="981"/>
      <c r="CT172" s="981"/>
      <c r="CU172" s="981"/>
    </row>
    <row r="173">
      <c r="A173" s="1392"/>
      <c r="B173" s="788" t="s">
        <v>1256</v>
      </c>
      <c r="C173" s="784" t="s">
        <v>1256</v>
      </c>
      <c r="D173" s="785" t="s">
        <v>1256</v>
      </c>
      <c r="E173" s="786" t="s">
        <v>1256</v>
      </c>
      <c r="F173" s="787" t="s">
        <v>1256</v>
      </c>
      <c r="G173" s="788" t="s">
        <v>1256</v>
      </c>
      <c r="H173" s="1397"/>
      <c r="I173" s="1397"/>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2"/>
      <c r="BX173" s="1332"/>
      <c r="BY173" s="981"/>
      <c r="BZ173" s="1332"/>
      <c r="CA173" s="1332"/>
      <c r="CB173" s="981"/>
      <c r="CC173" s="981"/>
      <c r="CD173" s="1332"/>
      <c r="CE173" s="981"/>
      <c r="CF173" s="981"/>
      <c r="CG173" s="981"/>
      <c r="CH173" s="981"/>
      <c r="CI173" s="981"/>
      <c r="CJ173" s="981"/>
      <c r="CK173" s="981"/>
      <c r="CL173" s="981"/>
      <c r="CM173" s="981"/>
      <c r="CN173" s="981"/>
      <c r="CO173" s="981"/>
      <c r="CP173" s="981"/>
      <c r="CQ173" s="981"/>
      <c r="CR173" s="981"/>
      <c r="CS173" s="981"/>
      <c r="CT173" s="981"/>
      <c r="CU173" s="981"/>
    </row>
    <row r="174">
      <c r="A174" s="1392"/>
      <c r="B174" s="788" t="s">
        <v>1256</v>
      </c>
      <c r="C174" s="784" t="s">
        <v>1256</v>
      </c>
      <c r="D174" s="785" t="s">
        <v>1256</v>
      </c>
      <c r="E174" s="786" t="s">
        <v>1256</v>
      </c>
      <c r="F174" s="787" t="s">
        <v>1256</v>
      </c>
      <c r="G174" s="788" t="s">
        <v>1256</v>
      </c>
      <c r="H174" s="1397"/>
      <c r="I174" s="1397"/>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2"/>
      <c r="BX174" s="1332"/>
      <c r="BY174" s="981"/>
      <c r="BZ174" s="1332"/>
      <c r="CA174" s="1332"/>
      <c r="CB174" s="981"/>
      <c r="CC174" s="981"/>
      <c r="CD174" s="1332"/>
      <c r="CE174" s="981"/>
      <c r="CF174" s="981"/>
      <c r="CG174" s="981"/>
      <c r="CH174" s="981"/>
      <c r="CI174" s="981"/>
      <c r="CJ174" s="981"/>
      <c r="CK174" s="981"/>
      <c r="CL174" s="981"/>
      <c r="CM174" s="981"/>
      <c r="CN174" s="981"/>
      <c r="CO174" s="981"/>
      <c r="CP174" s="981"/>
      <c r="CQ174" s="981"/>
      <c r="CR174" s="981"/>
      <c r="CS174" s="981"/>
      <c r="CT174" s="981"/>
      <c r="CU174" s="981"/>
    </row>
    <row r="175">
      <c r="A175" s="1392"/>
      <c r="B175" s="788" t="s">
        <v>1256</v>
      </c>
      <c r="C175" s="784" t="s">
        <v>1256</v>
      </c>
      <c r="D175" s="785" t="s">
        <v>1256</v>
      </c>
      <c r="E175" s="786" t="s">
        <v>1256</v>
      </c>
      <c r="F175" s="787" t="s">
        <v>1256</v>
      </c>
      <c r="G175" s="788" t="s">
        <v>1256</v>
      </c>
      <c r="H175" s="1397"/>
      <c r="I175" s="1397"/>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2"/>
      <c r="BX175" s="1332"/>
      <c r="BY175" s="981"/>
      <c r="BZ175" s="1332"/>
      <c r="CA175" s="1332"/>
      <c r="CB175" s="981"/>
      <c r="CC175" s="981"/>
      <c r="CD175" s="1332"/>
      <c r="CE175" s="981"/>
      <c r="CF175" s="981"/>
      <c r="CG175" s="981"/>
      <c r="CH175" s="981"/>
      <c r="CI175" s="981"/>
      <c r="CJ175" s="981"/>
      <c r="CK175" s="981"/>
      <c r="CL175" s="981"/>
      <c r="CM175" s="981"/>
      <c r="CN175" s="981"/>
      <c r="CO175" s="981"/>
      <c r="CP175" s="981"/>
      <c r="CQ175" s="981"/>
      <c r="CR175" s="981"/>
      <c r="CS175" s="981"/>
      <c r="CT175" s="981"/>
      <c r="CU175" s="981"/>
    </row>
    <row r="176">
      <c r="A176" s="1392"/>
      <c r="B176" s="788" t="s">
        <v>1256</v>
      </c>
      <c r="C176" s="784" t="s">
        <v>1256</v>
      </c>
      <c r="D176" s="785" t="s">
        <v>1256</v>
      </c>
      <c r="E176" s="786" t="s">
        <v>1256</v>
      </c>
      <c r="F176" s="787" t="s">
        <v>1256</v>
      </c>
      <c r="G176" s="788" t="s">
        <v>1256</v>
      </c>
      <c r="H176" s="1397"/>
      <c r="I176" s="1397"/>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2"/>
      <c r="BX176" s="1332"/>
      <c r="BY176" s="981"/>
      <c r="BZ176" s="1332"/>
      <c r="CA176" s="1332"/>
      <c r="CB176" s="981"/>
      <c r="CC176" s="981"/>
      <c r="CD176" s="1332"/>
      <c r="CE176" s="981"/>
      <c r="CF176" s="981"/>
      <c r="CG176" s="981"/>
      <c r="CH176" s="981"/>
      <c r="CI176" s="981"/>
      <c r="CJ176" s="981"/>
      <c r="CK176" s="981"/>
      <c r="CL176" s="981"/>
      <c r="CM176" s="981"/>
      <c r="CN176" s="981"/>
      <c r="CO176" s="981"/>
      <c r="CP176" s="981"/>
      <c r="CQ176" s="981"/>
      <c r="CR176" s="981"/>
      <c r="CS176" s="981"/>
      <c r="CT176" s="981"/>
      <c r="CU176" s="981"/>
    </row>
    <row r="177">
      <c r="A177" s="1392"/>
      <c r="B177" s="788" t="s">
        <v>1256</v>
      </c>
      <c r="C177" s="784" t="s">
        <v>1256</v>
      </c>
      <c r="D177" s="785" t="s">
        <v>1256</v>
      </c>
      <c r="E177" s="786" t="s">
        <v>1256</v>
      </c>
      <c r="F177" s="787" t="s">
        <v>1256</v>
      </c>
      <c r="G177" s="788" t="s">
        <v>1256</v>
      </c>
      <c r="H177" s="1397"/>
      <c r="I177" s="1397"/>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2"/>
      <c r="BX177" s="1332"/>
      <c r="BY177" s="981"/>
      <c r="BZ177" s="1332"/>
      <c r="CA177" s="1332"/>
      <c r="CB177" s="981"/>
      <c r="CC177" s="981"/>
      <c r="CD177" s="1332"/>
      <c r="CE177" s="981"/>
      <c r="CF177" s="981"/>
      <c r="CG177" s="981"/>
      <c r="CH177" s="981"/>
      <c r="CI177" s="981"/>
      <c r="CJ177" s="981"/>
      <c r="CK177" s="981"/>
      <c r="CL177" s="981"/>
      <c r="CM177" s="981"/>
      <c r="CN177" s="981"/>
      <c r="CO177" s="981"/>
      <c r="CP177" s="981"/>
      <c r="CQ177" s="981"/>
      <c r="CR177" s="981"/>
      <c r="CS177" s="981"/>
      <c r="CT177" s="981"/>
      <c r="CU177" s="981"/>
    </row>
    <row r="178">
      <c r="A178" s="1392"/>
      <c r="B178" s="788" t="s">
        <v>1256</v>
      </c>
      <c r="C178" s="784" t="s">
        <v>1256</v>
      </c>
      <c r="D178" s="785" t="s">
        <v>1256</v>
      </c>
      <c r="E178" s="786" t="s">
        <v>1256</v>
      </c>
      <c r="F178" s="787" t="s">
        <v>1256</v>
      </c>
      <c r="G178" s="788" t="s">
        <v>1256</v>
      </c>
      <c r="H178" s="1397"/>
      <c r="I178" s="1397"/>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2"/>
      <c r="BX178" s="1332"/>
      <c r="BY178" s="981"/>
      <c r="BZ178" s="1332"/>
      <c r="CA178" s="1332"/>
      <c r="CB178" s="981"/>
      <c r="CC178" s="981"/>
      <c r="CD178" s="1332"/>
      <c r="CE178" s="981"/>
      <c r="CF178" s="981"/>
      <c r="CG178" s="981"/>
      <c r="CH178" s="981"/>
      <c r="CI178" s="981"/>
      <c r="CJ178" s="981"/>
      <c r="CK178" s="981"/>
      <c r="CL178" s="981"/>
      <c r="CM178" s="981"/>
      <c r="CN178" s="981"/>
      <c r="CO178" s="981"/>
      <c r="CP178" s="981"/>
      <c r="CQ178" s="981"/>
      <c r="CR178" s="981"/>
      <c r="CS178" s="981"/>
      <c r="CT178" s="981"/>
      <c r="CU178" s="981"/>
    </row>
    <row r="179">
      <c r="A179" s="1392"/>
      <c r="B179" s="788" t="s">
        <v>1256</v>
      </c>
      <c r="C179" s="784" t="s">
        <v>1256</v>
      </c>
      <c r="D179" s="785" t="s">
        <v>1256</v>
      </c>
      <c r="E179" s="786" t="s">
        <v>1256</v>
      </c>
      <c r="F179" s="787" t="s">
        <v>1256</v>
      </c>
      <c r="G179" s="788" t="s">
        <v>1256</v>
      </c>
      <c r="H179" s="1397"/>
      <c r="I179" s="1397"/>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2"/>
      <c r="BX179" s="1332"/>
      <c r="BY179" s="981"/>
      <c r="BZ179" s="1332"/>
      <c r="CA179" s="1332"/>
      <c r="CB179" s="981"/>
      <c r="CC179" s="981"/>
      <c r="CD179" s="1332"/>
      <c r="CE179" s="981"/>
      <c r="CF179" s="981"/>
      <c r="CG179" s="981"/>
      <c r="CH179" s="981"/>
      <c r="CI179" s="981"/>
      <c r="CJ179" s="981"/>
      <c r="CK179" s="981"/>
      <c r="CL179" s="981"/>
      <c r="CM179" s="981"/>
      <c r="CN179" s="981"/>
      <c r="CO179" s="981"/>
      <c r="CP179" s="981"/>
      <c r="CQ179" s="981"/>
      <c r="CR179" s="981"/>
      <c r="CS179" s="981"/>
      <c r="CT179" s="981"/>
      <c r="CU179" s="981"/>
    </row>
    <row r="180">
      <c r="A180" s="1392"/>
      <c r="B180" s="788" t="s">
        <v>1256</v>
      </c>
      <c r="C180" s="784" t="s">
        <v>1256</v>
      </c>
      <c r="D180" s="785" t="s">
        <v>1256</v>
      </c>
      <c r="E180" s="786" t="s">
        <v>1256</v>
      </c>
      <c r="F180" s="787" t="s">
        <v>1256</v>
      </c>
      <c r="G180" s="788" t="s">
        <v>1256</v>
      </c>
      <c r="H180" s="1397"/>
      <c r="I180" s="1397"/>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2"/>
      <c r="BX180" s="1332"/>
      <c r="BY180" s="981"/>
      <c r="BZ180" s="1332"/>
      <c r="CA180" s="1332"/>
      <c r="CB180" s="981"/>
      <c r="CC180" s="981"/>
      <c r="CD180" s="1332"/>
      <c r="CE180" s="981"/>
      <c r="CF180" s="981"/>
      <c r="CG180" s="981"/>
      <c r="CH180" s="981"/>
      <c r="CI180" s="981"/>
      <c r="CJ180" s="981"/>
      <c r="CK180" s="981"/>
      <c r="CL180" s="981"/>
      <c r="CM180" s="981"/>
      <c r="CN180" s="981"/>
      <c r="CO180" s="981"/>
      <c r="CP180" s="981"/>
      <c r="CQ180" s="981"/>
      <c r="CR180" s="981"/>
      <c r="CS180" s="981"/>
      <c r="CT180" s="981"/>
      <c r="CU180" s="981"/>
    </row>
    <row r="181">
      <c r="A181" s="1392"/>
      <c r="B181" s="788" t="s">
        <v>1256</v>
      </c>
      <c r="C181" s="784" t="s">
        <v>1256</v>
      </c>
      <c r="D181" s="785" t="s">
        <v>1256</v>
      </c>
      <c r="E181" s="786" t="s">
        <v>1256</v>
      </c>
      <c r="F181" s="787" t="s">
        <v>1256</v>
      </c>
      <c r="G181" s="788" t="s">
        <v>1256</v>
      </c>
      <c r="H181" s="1397"/>
      <c r="I181" s="1397"/>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2"/>
      <c r="BX181" s="1332"/>
      <c r="BY181" s="981"/>
      <c r="BZ181" s="1332"/>
      <c r="CA181" s="1332"/>
      <c r="CB181" s="981"/>
      <c r="CC181" s="981"/>
      <c r="CD181" s="1332"/>
      <c r="CE181" s="981"/>
      <c r="CF181" s="981"/>
      <c r="CG181" s="981"/>
      <c r="CH181" s="981"/>
      <c r="CI181" s="981"/>
      <c r="CJ181" s="981"/>
      <c r="CK181" s="981"/>
      <c r="CL181" s="981"/>
      <c r="CM181" s="981"/>
      <c r="CN181" s="981"/>
      <c r="CO181" s="981"/>
      <c r="CP181" s="981"/>
      <c r="CQ181" s="981"/>
      <c r="CR181" s="981"/>
      <c r="CS181" s="981"/>
      <c r="CT181" s="981"/>
      <c r="CU181" s="981"/>
    </row>
    <row r="182">
      <c r="A182" s="1392"/>
      <c r="B182" s="788" t="s">
        <v>1256</v>
      </c>
      <c r="C182" s="784" t="s">
        <v>1256</v>
      </c>
      <c r="D182" s="785" t="s">
        <v>1256</v>
      </c>
      <c r="E182" s="786" t="s">
        <v>1256</v>
      </c>
      <c r="F182" s="787" t="s">
        <v>1256</v>
      </c>
      <c r="G182" s="788" t="s">
        <v>1256</v>
      </c>
      <c r="H182" s="1397"/>
      <c r="I182" s="1397"/>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2"/>
      <c r="BX182" s="1332"/>
      <c r="BY182" s="981"/>
      <c r="BZ182" s="1332"/>
      <c r="CA182" s="1332"/>
      <c r="CB182" s="981"/>
      <c r="CC182" s="981"/>
      <c r="CD182" s="1332"/>
      <c r="CE182" s="981"/>
      <c r="CF182" s="981"/>
      <c r="CG182" s="981"/>
      <c r="CH182" s="981"/>
      <c r="CI182" s="981"/>
      <c r="CJ182" s="981"/>
      <c r="CK182" s="981"/>
      <c r="CL182" s="981"/>
      <c r="CM182" s="981"/>
      <c r="CN182" s="981"/>
      <c r="CO182" s="981"/>
      <c r="CP182" s="981"/>
      <c r="CQ182" s="981"/>
      <c r="CR182" s="981"/>
      <c r="CS182" s="981"/>
      <c r="CT182" s="981"/>
      <c r="CU182" s="981"/>
    </row>
    <row r="183">
      <c r="A183" s="1392"/>
      <c r="B183" s="788" t="s">
        <v>1256</v>
      </c>
      <c r="C183" s="784" t="s">
        <v>1256</v>
      </c>
      <c r="D183" s="785" t="s">
        <v>1256</v>
      </c>
      <c r="E183" s="786" t="s">
        <v>1256</v>
      </c>
      <c r="F183" s="787" t="s">
        <v>1256</v>
      </c>
      <c r="G183" s="788" t="s">
        <v>1256</v>
      </c>
      <c r="H183" s="1397"/>
      <c r="I183" s="1397"/>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2"/>
      <c r="BX183" s="1332"/>
      <c r="BY183" s="981"/>
      <c r="BZ183" s="1332"/>
      <c r="CA183" s="1332"/>
      <c r="CB183" s="981"/>
      <c r="CC183" s="981"/>
      <c r="CD183" s="1332"/>
      <c r="CE183" s="981"/>
      <c r="CF183" s="981"/>
      <c r="CG183" s="981"/>
      <c r="CH183" s="981"/>
      <c r="CI183" s="981"/>
      <c r="CJ183" s="981"/>
      <c r="CK183" s="981"/>
      <c r="CL183" s="981"/>
      <c r="CM183" s="981"/>
      <c r="CN183" s="981"/>
      <c r="CO183" s="981"/>
      <c r="CP183" s="981"/>
      <c r="CQ183" s="981"/>
      <c r="CR183" s="981"/>
      <c r="CS183" s="981"/>
      <c r="CT183" s="981"/>
      <c r="CU183" s="981"/>
    </row>
    <row r="184">
      <c r="A184" s="1392"/>
      <c r="B184" s="788" t="s">
        <v>1256</v>
      </c>
      <c r="C184" s="784" t="s">
        <v>1256</v>
      </c>
      <c r="D184" s="785" t="s">
        <v>1256</v>
      </c>
      <c r="E184" s="786" t="s">
        <v>1256</v>
      </c>
      <c r="F184" s="787" t="s">
        <v>1256</v>
      </c>
      <c r="G184" s="788" t="s">
        <v>1256</v>
      </c>
      <c r="H184" s="1397"/>
      <c r="I184" s="1397"/>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2"/>
      <c r="BX184" s="1332"/>
      <c r="BY184" s="981"/>
      <c r="BZ184" s="1332"/>
      <c r="CA184" s="1332"/>
      <c r="CB184" s="981"/>
      <c r="CC184" s="981"/>
      <c r="CD184" s="1332"/>
      <c r="CE184" s="981"/>
      <c r="CF184" s="981"/>
      <c r="CG184" s="981"/>
      <c r="CH184" s="981"/>
      <c r="CI184" s="981"/>
      <c r="CJ184" s="981"/>
      <c r="CK184" s="981"/>
      <c r="CL184" s="981"/>
      <c r="CM184" s="981"/>
      <c r="CN184" s="981"/>
      <c r="CO184" s="981"/>
      <c r="CP184" s="981"/>
      <c r="CQ184" s="981"/>
      <c r="CR184" s="981"/>
      <c r="CS184" s="981"/>
      <c r="CT184" s="981"/>
      <c r="CU184" s="981"/>
    </row>
    <row r="185">
      <c r="A185" s="1392"/>
      <c r="B185" s="788" t="s">
        <v>1256</v>
      </c>
      <c r="C185" s="784" t="s">
        <v>1256</v>
      </c>
      <c r="D185" s="785" t="s">
        <v>1256</v>
      </c>
      <c r="E185" s="786" t="s">
        <v>1256</v>
      </c>
      <c r="F185" s="787" t="s">
        <v>1256</v>
      </c>
      <c r="G185" s="788" t="s">
        <v>1256</v>
      </c>
      <c r="H185" s="1397"/>
      <c r="I185" s="1397"/>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2"/>
      <c r="BX185" s="1332"/>
      <c r="BY185" s="981"/>
      <c r="BZ185" s="1332"/>
      <c r="CA185" s="1332"/>
      <c r="CB185" s="981"/>
      <c r="CC185" s="981"/>
      <c r="CD185" s="1332"/>
      <c r="CE185" s="981"/>
      <c r="CF185" s="981"/>
      <c r="CG185" s="981"/>
      <c r="CH185" s="981"/>
      <c r="CI185" s="981"/>
      <c r="CJ185" s="981"/>
      <c r="CK185" s="981"/>
      <c r="CL185" s="981"/>
      <c r="CM185" s="981"/>
      <c r="CN185" s="981"/>
      <c r="CO185" s="981"/>
      <c r="CP185" s="981"/>
      <c r="CQ185" s="981"/>
      <c r="CR185" s="981"/>
      <c r="CS185" s="981"/>
      <c r="CT185" s="981"/>
      <c r="CU185" s="981"/>
    </row>
    <row r="186">
      <c r="A186" s="1392"/>
      <c r="B186" s="788" t="s">
        <v>1256</v>
      </c>
      <c r="C186" s="784" t="s">
        <v>1256</v>
      </c>
      <c r="D186" s="785" t="s">
        <v>1256</v>
      </c>
      <c r="E186" s="786" t="s">
        <v>1256</v>
      </c>
      <c r="F186" s="787" t="s">
        <v>1256</v>
      </c>
      <c r="G186" s="788" t="s">
        <v>1256</v>
      </c>
      <c r="H186" s="1397"/>
      <c r="I186" s="1397"/>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2"/>
      <c r="BX186" s="1332"/>
      <c r="BY186" s="981"/>
      <c r="BZ186" s="1332"/>
      <c r="CA186" s="1332"/>
      <c r="CB186" s="981"/>
      <c r="CC186" s="981"/>
      <c r="CD186" s="1332"/>
      <c r="CE186" s="981"/>
      <c r="CF186" s="981"/>
      <c r="CG186" s="981"/>
      <c r="CH186" s="981"/>
      <c r="CI186" s="981"/>
      <c r="CJ186" s="981"/>
      <c r="CK186" s="981"/>
      <c r="CL186" s="981"/>
      <c r="CM186" s="981"/>
      <c r="CN186" s="981"/>
      <c r="CO186" s="981"/>
      <c r="CP186" s="981"/>
      <c r="CQ186" s="981"/>
      <c r="CR186" s="981"/>
      <c r="CS186" s="981"/>
      <c r="CT186" s="981"/>
      <c r="CU186" s="981"/>
    </row>
    <row r="187">
      <c r="A187" s="1392"/>
      <c r="B187" s="788" t="s">
        <v>1256</v>
      </c>
      <c r="C187" s="784" t="s">
        <v>1256</v>
      </c>
      <c r="D187" s="785" t="s">
        <v>1256</v>
      </c>
      <c r="E187" s="786" t="s">
        <v>1256</v>
      </c>
      <c r="F187" s="787" t="s">
        <v>1256</v>
      </c>
      <c r="G187" s="788" t="s">
        <v>1256</v>
      </c>
      <c r="H187" s="1397"/>
      <c r="I187" s="1397"/>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2"/>
      <c r="BX187" s="1332"/>
      <c r="BY187" s="981"/>
      <c r="BZ187" s="1332"/>
      <c r="CA187" s="1332"/>
      <c r="CB187" s="981"/>
      <c r="CC187" s="981"/>
      <c r="CD187" s="1332"/>
      <c r="CE187" s="981"/>
      <c r="CF187" s="981"/>
      <c r="CG187" s="981"/>
      <c r="CH187" s="981"/>
      <c r="CI187" s="981"/>
      <c r="CJ187" s="981"/>
      <c r="CK187" s="981"/>
      <c r="CL187" s="981"/>
      <c r="CM187" s="981"/>
      <c r="CN187" s="981"/>
      <c r="CO187" s="981"/>
      <c r="CP187" s="981"/>
      <c r="CQ187" s="981"/>
      <c r="CR187" s="981"/>
      <c r="CS187" s="981"/>
      <c r="CT187" s="981"/>
      <c r="CU187" s="981"/>
    </row>
    <row r="188">
      <c r="A188" s="1392"/>
      <c r="B188" s="788" t="s">
        <v>1256</v>
      </c>
      <c r="C188" s="784" t="s">
        <v>1256</v>
      </c>
      <c r="D188" s="785" t="s">
        <v>1256</v>
      </c>
      <c r="E188" s="786" t="s">
        <v>1256</v>
      </c>
      <c r="F188" s="787" t="s">
        <v>1256</v>
      </c>
      <c r="G188" s="788" t="s">
        <v>1256</v>
      </c>
      <c r="H188" s="1397"/>
      <c r="I188" s="1397"/>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2"/>
      <c r="BX188" s="1332"/>
      <c r="BY188" s="981"/>
      <c r="BZ188" s="1332"/>
      <c r="CA188" s="1332"/>
      <c r="CB188" s="981"/>
      <c r="CC188" s="981"/>
      <c r="CD188" s="1332"/>
      <c r="CE188" s="981"/>
      <c r="CF188" s="981"/>
      <c r="CG188" s="981"/>
      <c r="CH188" s="981"/>
      <c r="CI188" s="981"/>
      <c r="CJ188" s="981"/>
      <c r="CK188" s="981"/>
      <c r="CL188" s="981"/>
      <c r="CM188" s="981"/>
      <c r="CN188" s="981"/>
      <c r="CO188" s="981"/>
      <c r="CP188" s="981"/>
      <c r="CQ188" s="981"/>
      <c r="CR188" s="981"/>
      <c r="CS188" s="981"/>
      <c r="CT188" s="981"/>
      <c r="CU188" s="981"/>
    </row>
    <row r="189">
      <c r="A189" s="1392"/>
      <c r="B189" s="788" t="s">
        <v>1256</v>
      </c>
      <c r="C189" s="784" t="s">
        <v>1256</v>
      </c>
      <c r="D189" s="785" t="s">
        <v>1256</v>
      </c>
      <c r="E189" s="786" t="s">
        <v>1256</v>
      </c>
      <c r="F189" s="787" t="s">
        <v>1256</v>
      </c>
      <c r="G189" s="788" t="s">
        <v>1256</v>
      </c>
      <c r="H189" s="1397"/>
      <c r="I189" s="1397"/>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2"/>
      <c r="BX189" s="1332"/>
      <c r="BY189" s="981"/>
      <c r="BZ189" s="1332"/>
      <c r="CA189" s="1332"/>
      <c r="CB189" s="981"/>
      <c r="CC189" s="981"/>
      <c r="CD189" s="1332"/>
      <c r="CE189" s="981"/>
      <c r="CF189" s="981"/>
      <c r="CG189" s="981"/>
      <c r="CH189" s="981"/>
      <c r="CI189" s="981"/>
      <c r="CJ189" s="981"/>
      <c r="CK189" s="981"/>
      <c r="CL189" s="981"/>
      <c r="CM189" s="981"/>
      <c r="CN189" s="981"/>
      <c r="CO189" s="981"/>
      <c r="CP189" s="981"/>
      <c r="CQ189" s="981"/>
      <c r="CR189" s="981"/>
      <c r="CS189" s="981"/>
      <c r="CT189" s="981"/>
      <c r="CU189" s="981"/>
    </row>
    <row r="190">
      <c r="A190" s="1392"/>
      <c r="B190" s="788" t="s">
        <v>1256</v>
      </c>
      <c r="C190" s="784" t="s">
        <v>1256</v>
      </c>
      <c r="D190" s="785" t="s">
        <v>1256</v>
      </c>
      <c r="E190" s="786" t="s">
        <v>1256</v>
      </c>
      <c r="F190" s="787" t="s">
        <v>1256</v>
      </c>
      <c r="G190" s="788" t="s">
        <v>1256</v>
      </c>
      <c r="H190" s="1397"/>
      <c r="I190" s="1397"/>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2"/>
      <c r="BX190" s="1332"/>
      <c r="BY190" s="981"/>
      <c r="BZ190" s="1332"/>
      <c r="CA190" s="1332"/>
      <c r="CB190" s="981"/>
      <c r="CC190" s="981"/>
      <c r="CD190" s="1332"/>
      <c r="CE190" s="981"/>
      <c r="CF190" s="981"/>
      <c r="CG190" s="981"/>
      <c r="CH190" s="981"/>
      <c r="CI190" s="981"/>
      <c r="CJ190" s="981"/>
      <c r="CK190" s="981"/>
      <c r="CL190" s="981"/>
      <c r="CM190" s="981"/>
      <c r="CN190" s="981"/>
      <c r="CO190" s="981"/>
      <c r="CP190" s="981"/>
      <c r="CQ190" s="981"/>
      <c r="CR190" s="981"/>
      <c r="CS190" s="981"/>
      <c r="CT190" s="981"/>
      <c r="CU190" s="981"/>
    </row>
    <row r="191">
      <c r="A191" s="1392"/>
      <c r="B191" s="788" t="s">
        <v>1256</v>
      </c>
      <c r="C191" s="784" t="s">
        <v>1256</v>
      </c>
      <c r="D191" s="785" t="s">
        <v>1256</v>
      </c>
      <c r="E191" s="786" t="s">
        <v>1256</v>
      </c>
      <c r="F191" s="787" t="s">
        <v>1256</v>
      </c>
      <c r="G191" s="788" t="s">
        <v>1256</v>
      </c>
      <c r="H191" s="1397"/>
      <c r="I191" s="1397"/>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2"/>
      <c r="BX191" s="1332"/>
      <c r="BY191" s="981"/>
      <c r="BZ191" s="1332"/>
      <c r="CA191" s="1332"/>
      <c r="CB191" s="981"/>
      <c r="CC191" s="981"/>
      <c r="CD191" s="1332"/>
      <c r="CE191" s="981"/>
      <c r="CF191" s="981"/>
      <c r="CG191" s="981"/>
      <c r="CH191" s="981"/>
      <c r="CI191" s="981"/>
      <c r="CJ191" s="981"/>
      <c r="CK191" s="981"/>
      <c r="CL191" s="981"/>
      <c r="CM191" s="981"/>
      <c r="CN191" s="981"/>
      <c r="CO191" s="981"/>
      <c r="CP191" s="981"/>
      <c r="CQ191" s="981"/>
      <c r="CR191" s="981"/>
      <c r="CS191" s="981"/>
      <c r="CT191" s="981"/>
      <c r="CU191" s="981"/>
    </row>
    <row r="192">
      <c r="A192" s="1392"/>
      <c r="B192" s="788" t="s">
        <v>1256</v>
      </c>
      <c r="C192" s="784" t="s">
        <v>1256</v>
      </c>
      <c r="D192" s="785" t="s">
        <v>1256</v>
      </c>
      <c r="E192" s="786" t="s">
        <v>1256</v>
      </c>
      <c r="F192" s="787" t="s">
        <v>1256</v>
      </c>
      <c r="G192" s="788" t="s">
        <v>1256</v>
      </c>
      <c r="H192" s="1397"/>
      <c r="I192" s="1397"/>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2"/>
      <c r="BX192" s="1332"/>
      <c r="BY192" s="981"/>
      <c r="BZ192" s="1332"/>
      <c r="CA192" s="1332"/>
      <c r="CB192" s="981"/>
      <c r="CC192" s="981"/>
      <c r="CD192" s="1332"/>
      <c r="CE192" s="981"/>
      <c r="CF192" s="981"/>
      <c r="CG192" s="981"/>
      <c r="CH192" s="981"/>
      <c r="CI192" s="981"/>
      <c r="CJ192" s="981"/>
      <c r="CK192" s="981"/>
      <c r="CL192" s="981"/>
      <c r="CM192" s="981"/>
      <c r="CN192" s="981"/>
      <c r="CO192" s="981"/>
      <c r="CP192" s="981"/>
      <c r="CQ192" s="981"/>
      <c r="CR192" s="981"/>
      <c r="CS192" s="981"/>
      <c r="CT192" s="981"/>
      <c r="CU192" s="981"/>
    </row>
    <row r="193">
      <c r="A193" s="1392"/>
      <c r="B193" s="788" t="s">
        <v>1256</v>
      </c>
      <c r="C193" s="784" t="s">
        <v>1256</v>
      </c>
      <c r="D193" s="785" t="s">
        <v>1256</v>
      </c>
      <c r="E193" s="786" t="s">
        <v>1256</v>
      </c>
      <c r="F193" s="787" t="s">
        <v>1256</v>
      </c>
      <c r="G193" s="788" t="s">
        <v>1256</v>
      </c>
      <c r="H193" s="1397"/>
      <c r="I193" s="1397"/>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2"/>
      <c r="BX193" s="1332"/>
      <c r="BY193" s="981"/>
      <c r="BZ193" s="1332"/>
      <c r="CA193" s="1332"/>
      <c r="CB193" s="981"/>
      <c r="CC193" s="981"/>
      <c r="CD193" s="1332"/>
      <c r="CE193" s="981"/>
      <c r="CF193" s="981"/>
      <c r="CG193" s="981"/>
      <c r="CH193" s="981"/>
      <c r="CI193" s="981"/>
      <c r="CJ193" s="981"/>
      <c r="CK193" s="981"/>
      <c r="CL193" s="981"/>
      <c r="CM193" s="981"/>
      <c r="CN193" s="981"/>
      <c r="CO193" s="981"/>
      <c r="CP193" s="981"/>
      <c r="CQ193" s="981"/>
      <c r="CR193" s="981"/>
      <c r="CS193" s="981"/>
      <c r="CT193" s="981"/>
      <c r="CU193" s="981"/>
    </row>
    <row r="194">
      <c r="A194" s="1392"/>
      <c r="B194" s="788" t="s">
        <v>1256</v>
      </c>
      <c r="C194" s="784" t="s">
        <v>1256</v>
      </c>
      <c r="D194" s="785" t="s">
        <v>1256</v>
      </c>
      <c r="E194" s="786" t="s">
        <v>1256</v>
      </c>
      <c r="F194" s="787" t="s">
        <v>1256</v>
      </c>
      <c r="G194" s="788" t="s">
        <v>1256</v>
      </c>
      <c r="H194" s="1397"/>
      <c r="I194" s="1397"/>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2"/>
      <c r="BX194" s="1332"/>
      <c r="BY194" s="981"/>
      <c r="BZ194" s="1332"/>
      <c r="CA194" s="1332"/>
      <c r="CB194" s="981"/>
      <c r="CC194" s="981"/>
      <c r="CD194" s="1332"/>
      <c r="CE194" s="981"/>
      <c r="CF194" s="981"/>
      <c r="CG194" s="981"/>
      <c r="CH194" s="981"/>
      <c r="CI194" s="981"/>
      <c r="CJ194" s="981"/>
      <c r="CK194" s="981"/>
      <c r="CL194" s="981"/>
      <c r="CM194" s="981"/>
      <c r="CN194" s="981"/>
      <c r="CO194" s="981"/>
      <c r="CP194" s="981"/>
      <c r="CQ194" s="981"/>
      <c r="CR194" s="981"/>
      <c r="CS194" s="981"/>
      <c r="CT194" s="981"/>
      <c r="CU194" s="981"/>
    </row>
    <row r="195">
      <c r="A195" s="1392"/>
      <c r="B195" s="788" t="s">
        <v>1256</v>
      </c>
      <c r="C195" s="784" t="s">
        <v>1256</v>
      </c>
      <c r="D195" s="785" t="s">
        <v>1256</v>
      </c>
      <c r="E195" s="786" t="s">
        <v>1256</v>
      </c>
      <c r="F195" s="787" t="s">
        <v>1256</v>
      </c>
      <c r="G195" s="788" t="s">
        <v>1256</v>
      </c>
      <c r="H195" s="1397"/>
      <c r="I195" s="1397"/>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2"/>
      <c r="BX195" s="1332"/>
      <c r="BY195" s="981"/>
      <c r="BZ195" s="1332"/>
      <c r="CA195" s="1332"/>
      <c r="CB195" s="981"/>
      <c r="CC195" s="981"/>
      <c r="CD195" s="1332"/>
      <c r="CE195" s="981"/>
      <c r="CF195" s="981"/>
      <c r="CG195" s="981"/>
      <c r="CH195" s="981"/>
      <c r="CI195" s="981"/>
      <c r="CJ195" s="981"/>
      <c r="CK195" s="981"/>
      <c r="CL195" s="981"/>
      <c r="CM195" s="981"/>
      <c r="CN195" s="981"/>
      <c r="CO195" s="981"/>
      <c r="CP195" s="981"/>
      <c r="CQ195" s="981"/>
      <c r="CR195" s="981"/>
      <c r="CS195" s="981"/>
      <c r="CT195" s="981"/>
      <c r="CU195" s="981"/>
    </row>
    <row r="196">
      <c r="A196" s="1392"/>
      <c r="B196" s="788" t="s">
        <v>1256</v>
      </c>
      <c r="C196" s="784" t="s">
        <v>1256</v>
      </c>
      <c r="D196" s="785" t="s">
        <v>1256</v>
      </c>
      <c r="E196" s="786" t="s">
        <v>1256</v>
      </c>
      <c r="F196" s="787" t="s">
        <v>1256</v>
      </c>
      <c r="G196" s="788" t="s">
        <v>1256</v>
      </c>
      <c r="H196" s="1397"/>
      <c r="I196" s="1397"/>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2"/>
      <c r="BX196" s="1332"/>
      <c r="BY196" s="981"/>
      <c r="BZ196" s="1332"/>
      <c r="CA196" s="1332"/>
      <c r="CB196" s="981"/>
      <c r="CC196" s="981"/>
      <c r="CD196" s="1332"/>
      <c r="CE196" s="981"/>
      <c r="CF196" s="981"/>
      <c r="CG196" s="981"/>
      <c r="CH196" s="981"/>
      <c r="CI196" s="981"/>
      <c r="CJ196" s="981"/>
      <c r="CK196" s="981"/>
      <c r="CL196" s="981"/>
      <c r="CM196" s="981"/>
      <c r="CN196" s="981"/>
      <c r="CO196" s="981"/>
      <c r="CP196" s="981"/>
      <c r="CQ196" s="981"/>
      <c r="CR196" s="981"/>
      <c r="CS196" s="981"/>
      <c r="CT196" s="981"/>
      <c r="CU196" s="981"/>
    </row>
    <row r="197">
      <c r="A197" s="1392"/>
      <c r="B197" s="788" t="s">
        <v>1256</v>
      </c>
      <c r="C197" s="784" t="s">
        <v>1256</v>
      </c>
      <c r="D197" s="785" t="s">
        <v>1256</v>
      </c>
      <c r="E197" s="786" t="s">
        <v>1256</v>
      </c>
      <c r="F197" s="787" t="s">
        <v>1256</v>
      </c>
      <c r="G197" s="788" t="s">
        <v>1256</v>
      </c>
      <c r="H197" s="1397"/>
      <c r="I197" s="1397"/>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2"/>
      <c r="BX197" s="1332"/>
      <c r="BY197" s="981"/>
      <c r="BZ197" s="1332"/>
      <c r="CA197" s="1332"/>
      <c r="CB197" s="981"/>
      <c r="CC197" s="981"/>
      <c r="CD197" s="1332"/>
      <c r="CE197" s="981"/>
      <c r="CF197" s="981"/>
      <c r="CG197" s="981"/>
      <c r="CH197" s="981"/>
      <c r="CI197" s="981"/>
      <c r="CJ197" s="981"/>
      <c r="CK197" s="981"/>
      <c r="CL197" s="981"/>
      <c r="CM197" s="981"/>
      <c r="CN197" s="981"/>
      <c r="CO197" s="981"/>
      <c r="CP197" s="981"/>
      <c r="CQ197" s="981"/>
      <c r="CR197" s="981"/>
      <c r="CS197" s="981"/>
      <c r="CT197" s="981"/>
      <c r="CU197" s="981"/>
    </row>
    <row r="198">
      <c r="A198" s="1392"/>
      <c r="B198" s="788" t="s">
        <v>1256</v>
      </c>
      <c r="C198" s="784" t="s">
        <v>1256</v>
      </c>
      <c r="D198" s="785" t="s">
        <v>1256</v>
      </c>
      <c r="E198" s="786" t="s">
        <v>1256</v>
      </c>
      <c r="F198" s="787" t="s">
        <v>1256</v>
      </c>
      <c r="G198" s="788" t="s">
        <v>1256</v>
      </c>
      <c r="H198" s="1397"/>
      <c r="I198" s="1397"/>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2"/>
      <c r="BX198" s="1332"/>
      <c r="BY198" s="981"/>
      <c r="BZ198" s="1332"/>
      <c r="CA198" s="1332"/>
      <c r="CB198" s="981"/>
      <c r="CC198" s="981"/>
      <c r="CD198" s="1332"/>
      <c r="CE198" s="981"/>
      <c r="CF198" s="981"/>
      <c r="CG198" s="981"/>
      <c r="CH198" s="981"/>
      <c r="CI198" s="981"/>
      <c r="CJ198" s="981"/>
      <c r="CK198" s="981"/>
      <c r="CL198" s="981"/>
      <c r="CM198" s="981"/>
      <c r="CN198" s="981"/>
      <c r="CO198" s="981"/>
      <c r="CP198" s="981"/>
      <c r="CQ198" s="981"/>
      <c r="CR198" s="981"/>
      <c r="CS198" s="981"/>
      <c r="CT198" s="981"/>
      <c r="CU198" s="981"/>
    </row>
    <row r="199">
      <c r="A199" s="1392"/>
      <c r="B199" s="788" t="s">
        <v>1256</v>
      </c>
      <c r="C199" s="784" t="s">
        <v>1256</v>
      </c>
      <c r="D199" s="785" t="s">
        <v>1256</v>
      </c>
      <c r="E199" s="786" t="s">
        <v>1256</v>
      </c>
      <c r="F199" s="787" t="s">
        <v>1256</v>
      </c>
      <c r="G199" s="788" t="s">
        <v>1256</v>
      </c>
      <c r="H199" s="1397"/>
      <c r="I199" s="1397"/>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2"/>
      <c r="BX199" s="1332"/>
      <c r="BY199" s="981"/>
      <c r="BZ199" s="1332"/>
      <c r="CA199" s="1332"/>
      <c r="CB199" s="981"/>
      <c r="CC199" s="981"/>
      <c r="CD199" s="1332"/>
      <c r="CE199" s="981"/>
      <c r="CF199" s="981"/>
      <c r="CG199" s="981"/>
      <c r="CH199" s="981"/>
      <c r="CI199" s="981"/>
      <c r="CJ199" s="981"/>
      <c r="CK199" s="981"/>
      <c r="CL199" s="981"/>
      <c r="CM199" s="981"/>
      <c r="CN199" s="981"/>
      <c r="CO199" s="981"/>
      <c r="CP199" s="981"/>
      <c r="CQ199" s="981"/>
      <c r="CR199" s="981"/>
      <c r="CS199" s="981"/>
      <c r="CT199" s="981"/>
      <c r="CU199" s="981"/>
    </row>
    <row r="200">
      <c r="A200" s="1392"/>
      <c r="B200" s="788" t="s">
        <v>1256</v>
      </c>
      <c r="C200" s="784" t="s">
        <v>1256</v>
      </c>
      <c r="D200" s="785" t="s">
        <v>1256</v>
      </c>
      <c r="E200" s="786" t="s">
        <v>1256</v>
      </c>
      <c r="F200" s="787" t="s">
        <v>1256</v>
      </c>
      <c r="G200" s="788" t="s">
        <v>1256</v>
      </c>
      <c r="H200" s="1397"/>
      <c r="I200" s="1397"/>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2"/>
      <c r="BX200" s="1332"/>
      <c r="BY200" s="981"/>
      <c r="BZ200" s="1332"/>
      <c r="CA200" s="1332"/>
      <c r="CB200" s="981"/>
      <c r="CC200" s="981"/>
      <c r="CD200" s="1332"/>
      <c r="CE200" s="981"/>
      <c r="CF200" s="981"/>
      <c r="CG200" s="981"/>
      <c r="CH200" s="981"/>
      <c r="CI200" s="981"/>
      <c r="CJ200" s="981"/>
      <c r="CK200" s="981"/>
      <c r="CL200" s="981"/>
      <c r="CM200" s="981"/>
      <c r="CN200" s="981"/>
      <c r="CO200" s="981"/>
      <c r="CP200" s="981"/>
      <c r="CQ200" s="981"/>
      <c r="CR200" s="981"/>
      <c r="CS200" s="981"/>
      <c r="CT200" s="981"/>
      <c r="CU200" s="981"/>
    </row>
    <row r="201">
      <c r="A201" s="1392"/>
      <c r="B201" s="788" t="s">
        <v>1256</v>
      </c>
      <c r="C201" s="784" t="s">
        <v>1256</v>
      </c>
      <c r="D201" s="785" t="s">
        <v>1256</v>
      </c>
      <c r="E201" s="786" t="s">
        <v>1256</v>
      </c>
      <c r="F201" s="787" t="s">
        <v>1256</v>
      </c>
      <c r="G201" s="788" t="s">
        <v>1256</v>
      </c>
      <c r="H201" s="1397"/>
      <c r="I201" s="1397"/>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2"/>
      <c r="BX201" s="1332"/>
      <c r="BY201" s="981"/>
      <c r="BZ201" s="1332"/>
      <c r="CA201" s="1332"/>
      <c r="CB201" s="981"/>
      <c r="CC201" s="981"/>
      <c r="CD201" s="1332"/>
      <c r="CE201" s="981"/>
      <c r="CF201" s="981"/>
      <c r="CG201" s="981"/>
      <c r="CH201" s="981"/>
      <c r="CI201" s="981"/>
      <c r="CJ201" s="981"/>
      <c r="CK201" s="981"/>
      <c r="CL201" s="981"/>
      <c r="CM201" s="981"/>
      <c r="CN201" s="981"/>
      <c r="CO201" s="981"/>
      <c r="CP201" s="981"/>
      <c r="CQ201" s="981"/>
      <c r="CR201" s="981"/>
      <c r="CS201" s="981"/>
      <c r="CT201" s="981"/>
      <c r="CU201" s="981"/>
    </row>
    <row r="202">
      <c r="A202" s="1392"/>
      <c r="B202" s="788" t="s">
        <v>1256</v>
      </c>
      <c r="C202" s="784" t="s">
        <v>1256</v>
      </c>
      <c r="D202" s="785" t="s">
        <v>1256</v>
      </c>
      <c r="E202" s="786" t="s">
        <v>1256</v>
      </c>
      <c r="F202" s="787" t="s">
        <v>1256</v>
      </c>
      <c r="G202" s="788" t="s">
        <v>1256</v>
      </c>
      <c r="H202" s="1397"/>
      <c r="I202" s="1397"/>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2"/>
      <c r="BX202" s="1332"/>
      <c r="BY202" s="981"/>
      <c r="BZ202" s="1332"/>
      <c r="CA202" s="1332"/>
      <c r="CB202" s="981"/>
      <c r="CC202" s="981"/>
      <c r="CD202" s="1332"/>
      <c r="CE202" s="981"/>
      <c r="CF202" s="981"/>
      <c r="CG202" s="981"/>
      <c r="CH202" s="981"/>
      <c r="CI202" s="981"/>
      <c r="CJ202" s="981"/>
      <c r="CK202" s="981"/>
      <c r="CL202" s="981"/>
      <c r="CM202" s="981"/>
      <c r="CN202" s="981"/>
      <c r="CO202" s="981"/>
      <c r="CP202" s="981"/>
      <c r="CQ202" s="981"/>
      <c r="CR202" s="981"/>
      <c r="CS202" s="981"/>
      <c r="CT202" s="981"/>
      <c r="CU202" s="981"/>
    </row>
    <row r="203">
      <c r="A203" s="1392"/>
      <c r="B203" s="788" t="s">
        <v>1256</v>
      </c>
      <c r="C203" s="784" t="s">
        <v>1256</v>
      </c>
      <c r="D203" s="785" t="s">
        <v>1256</v>
      </c>
      <c r="E203" s="786" t="s">
        <v>1256</v>
      </c>
      <c r="F203" s="787" t="s">
        <v>1256</v>
      </c>
      <c r="G203" s="788" t="s">
        <v>1256</v>
      </c>
      <c r="H203" s="1397"/>
      <c r="I203" s="1397"/>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2"/>
      <c r="BX203" s="1332"/>
      <c r="BY203" s="981"/>
      <c r="BZ203" s="1332"/>
      <c r="CA203" s="1332"/>
      <c r="CB203" s="981"/>
      <c r="CC203" s="981"/>
      <c r="CD203" s="1332"/>
      <c r="CE203" s="981"/>
      <c r="CF203" s="981"/>
      <c r="CG203" s="981"/>
      <c r="CH203" s="981"/>
      <c r="CI203" s="981"/>
      <c r="CJ203" s="981"/>
      <c r="CK203" s="981"/>
      <c r="CL203" s="981"/>
      <c r="CM203" s="981"/>
      <c r="CN203" s="981"/>
      <c r="CO203" s="981"/>
      <c r="CP203" s="981"/>
      <c r="CQ203" s="981"/>
      <c r="CR203" s="981"/>
      <c r="CS203" s="981"/>
      <c r="CT203" s="981"/>
      <c r="CU203" s="981"/>
    </row>
    <row r="204">
      <c r="A204" s="1392"/>
      <c r="B204" s="788" t="s">
        <v>1256</v>
      </c>
      <c r="C204" s="784" t="s">
        <v>1256</v>
      </c>
      <c r="D204" s="785" t="s">
        <v>1256</v>
      </c>
      <c r="E204" s="786" t="s">
        <v>1256</v>
      </c>
      <c r="F204" s="787" t="s">
        <v>1256</v>
      </c>
      <c r="G204" s="788" t="s">
        <v>1256</v>
      </c>
      <c r="H204" s="1397"/>
      <c r="I204" s="1397"/>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2"/>
      <c r="BX204" s="1332"/>
      <c r="BY204" s="981"/>
      <c r="BZ204" s="1332"/>
      <c r="CA204" s="1332"/>
      <c r="CB204" s="981"/>
      <c r="CC204" s="981"/>
      <c r="CD204" s="1332"/>
      <c r="CE204" s="981"/>
      <c r="CF204" s="981"/>
      <c r="CG204" s="981"/>
      <c r="CH204" s="981"/>
      <c r="CI204" s="981"/>
      <c r="CJ204" s="981"/>
      <c r="CK204" s="981"/>
      <c r="CL204" s="981"/>
      <c r="CM204" s="981"/>
      <c r="CN204" s="981"/>
      <c r="CO204" s="981"/>
      <c r="CP204" s="981"/>
      <c r="CQ204" s="981"/>
      <c r="CR204" s="981"/>
      <c r="CS204" s="981"/>
      <c r="CT204" s="981"/>
      <c r="CU204" s="981"/>
    </row>
    <row r="205">
      <c r="A205" s="1392"/>
      <c r="B205" s="788" t="s">
        <v>1256</v>
      </c>
      <c r="C205" s="784" t="s">
        <v>1256</v>
      </c>
      <c r="D205" s="785" t="s">
        <v>1256</v>
      </c>
      <c r="E205" s="786" t="s">
        <v>1256</v>
      </c>
      <c r="F205" s="787" t="s">
        <v>1256</v>
      </c>
      <c r="G205" s="788" t="s">
        <v>1256</v>
      </c>
      <c r="H205" s="1397"/>
      <c r="I205" s="1397"/>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2"/>
      <c r="BX205" s="1332"/>
      <c r="BY205" s="981"/>
      <c r="BZ205" s="1332"/>
      <c r="CA205" s="1332"/>
      <c r="CB205" s="981"/>
      <c r="CC205" s="981"/>
      <c r="CD205" s="1332"/>
      <c r="CE205" s="981"/>
      <c r="CF205" s="981"/>
      <c r="CG205" s="981"/>
      <c r="CH205" s="981"/>
      <c r="CI205" s="981"/>
      <c r="CJ205" s="981"/>
      <c r="CK205" s="981"/>
      <c r="CL205" s="981"/>
      <c r="CM205" s="981"/>
      <c r="CN205" s="981"/>
      <c r="CO205" s="981"/>
      <c r="CP205" s="981"/>
      <c r="CQ205" s="981"/>
      <c r="CR205" s="981"/>
      <c r="CS205" s="981"/>
      <c r="CT205" s="981"/>
      <c r="CU205" s="981"/>
    </row>
    <row r="206">
      <c r="A206" s="1392"/>
      <c r="B206" s="788" t="s">
        <v>1256</v>
      </c>
      <c r="C206" s="784" t="s">
        <v>1256</v>
      </c>
      <c r="D206" s="785" t="s">
        <v>1256</v>
      </c>
      <c r="E206" s="786" t="s">
        <v>1256</v>
      </c>
      <c r="F206" s="787" t="s">
        <v>1256</v>
      </c>
      <c r="G206" s="788" t="s">
        <v>1256</v>
      </c>
      <c r="H206" s="1397"/>
      <c r="I206" s="1397"/>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2"/>
      <c r="BX206" s="1332"/>
      <c r="BY206" s="981"/>
      <c r="BZ206" s="1332"/>
      <c r="CA206" s="1332"/>
      <c r="CB206" s="981"/>
      <c r="CC206" s="981"/>
      <c r="CD206" s="1332"/>
      <c r="CE206" s="981"/>
      <c r="CF206" s="981"/>
      <c r="CG206" s="981"/>
      <c r="CH206" s="981"/>
      <c r="CI206" s="981"/>
      <c r="CJ206" s="981"/>
      <c r="CK206" s="981"/>
      <c r="CL206" s="981"/>
      <c r="CM206" s="981"/>
      <c r="CN206" s="981"/>
      <c r="CO206" s="981"/>
      <c r="CP206" s="981"/>
      <c r="CQ206" s="981"/>
      <c r="CR206" s="981"/>
      <c r="CS206" s="981"/>
      <c r="CT206" s="981"/>
      <c r="CU206" s="981"/>
    </row>
    <row r="207">
      <c r="A207" s="1392"/>
      <c r="B207" s="788" t="s">
        <v>1256</v>
      </c>
      <c r="C207" s="784" t="s">
        <v>1256</v>
      </c>
      <c r="D207" s="785" t="s">
        <v>1256</v>
      </c>
      <c r="E207" s="786" t="s">
        <v>1256</v>
      </c>
      <c r="F207" s="787" t="s">
        <v>1256</v>
      </c>
      <c r="G207" s="788" t="s">
        <v>1256</v>
      </c>
      <c r="H207" s="1397"/>
      <c r="I207" s="1397"/>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2"/>
      <c r="BX207" s="1332"/>
      <c r="BY207" s="981"/>
      <c r="BZ207" s="1332"/>
      <c r="CA207" s="1332"/>
      <c r="CB207" s="981"/>
      <c r="CC207" s="981"/>
      <c r="CD207" s="1332"/>
      <c r="CE207" s="981"/>
      <c r="CF207" s="981"/>
      <c r="CG207" s="981"/>
      <c r="CH207" s="981"/>
      <c r="CI207" s="981"/>
      <c r="CJ207" s="981"/>
      <c r="CK207" s="981"/>
      <c r="CL207" s="981"/>
      <c r="CM207" s="981"/>
      <c r="CN207" s="981"/>
      <c r="CO207" s="981"/>
      <c r="CP207" s="981"/>
      <c r="CQ207" s="981"/>
      <c r="CR207" s="981"/>
      <c r="CS207" s="981"/>
      <c r="CT207" s="981"/>
      <c r="CU207" s="981"/>
    </row>
    <row r="208">
      <c r="A208" s="1392"/>
      <c r="B208" s="788" t="s">
        <v>1256</v>
      </c>
      <c r="C208" s="784" t="s">
        <v>1256</v>
      </c>
      <c r="D208" s="785" t="s">
        <v>1256</v>
      </c>
      <c r="E208" s="786" t="s">
        <v>1256</v>
      </c>
      <c r="F208" s="787" t="s">
        <v>1256</v>
      </c>
      <c r="G208" s="788" t="s">
        <v>1256</v>
      </c>
      <c r="H208" s="1397"/>
      <c r="I208" s="1397"/>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2"/>
      <c r="BX208" s="1332"/>
      <c r="BY208" s="981"/>
      <c r="BZ208" s="1332"/>
      <c r="CA208" s="1332"/>
      <c r="CB208" s="981"/>
      <c r="CC208" s="981"/>
      <c r="CD208" s="1332"/>
      <c r="CE208" s="981"/>
      <c r="CF208" s="981"/>
      <c r="CG208" s="981"/>
      <c r="CH208" s="981"/>
      <c r="CI208" s="981"/>
      <c r="CJ208" s="981"/>
      <c r="CK208" s="981"/>
      <c r="CL208" s="981"/>
      <c r="CM208" s="981"/>
      <c r="CN208" s="981"/>
      <c r="CO208" s="981"/>
      <c r="CP208" s="981"/>
      <c r="CQ208" s="981"/>
      <c r="CR208" s="981"/>
      <c r="CS208" s="981"/>
      <c r="CT208" s="981"/>
      <c r="CU208" s="981"/>
    </row>
    <row r="209">
      <c r="A209" s="1392"/>
      <c r="B209" s="788" t="s">
        <v>1256</v>
      </c>
      <c r="C209" s="784" t="s">
        <v>1256</v>
      </c>
      <c r="D209" s="785" t="s">
        <v>1256</v>
      </c>
      <c r="E209" s="786" t="s">
        <v>1256</v>
      </c>
      <c r="F209" s="787" t="s">
        <v>1256</v>
      </c>
      <c r="G209" s="788" t="s">
        <v>1256</v>
      </c>
      <c r="H209" s="1397"/>
      <c r="I209" s="1397"/>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2"/>
      <c r="BX209" s="1332"/>
      <c r="BY209" s="981"/>
      <c r="BZ209" s="1332"/>
      <c r="CA209" s="1332"/>
      <c r="CB209" s="981"/>
      <c r="CC209" s="981"/>
      <c r="CD209" s="1332"/>
      <c r="CE209" s="981"/>
      <c r="CF209" s="981"/>
      <c r="CG209" s="981"/>
      <c r="CH209" s="981"/>
      <c r="CI209" s="981"/>
      <c r="CJ209" s="981"/>
      <c r="CK209" s="981"/>
      <c r="CL209" s="981"/>
      <c r="CM209" s="981"/>
      <c r="CN209" s="981"/>
      <c r="CO209" s="981"/>
      <c r="CP209" s="981"/>
      <c r="CQ209" s="981"/>
      <c r="CR209" s="981"/>
      <c r="CS209" s="981"/>
      <c r="CT209" s="981"/>
      <c r="CU209" s="981"/>
    </row>
    <row r="210">
      <c r="A210" s="1392"/>
      <c r="B210" s="788" t="s">
        <v>1256</v>
      </c>
      <c r="C210" s="784" t="s">
        <v>1256</v>
      </c>
      <c r="D210" s="785" t="s">
        <v>1256</v>
      </c>
      <c r="E210" s="786" t="s">
        <v>1256</v>
      </c>
      <c r="F210" s="787" t="s">
        <v>1256</v>
      </c>
      <c r="G210" s="788" t="s">
        <v>1256</v>
      </c>
      <c r="H210" s="1397"/>
      <c r="I210" s="1397"/>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2"/>
      <c r="BX210" s="1332"/>
      <c r="BY210" s="981"/>
      <c r="BZ210" s="1332"/>
      <c r="CA210" s="1332"/>
      <c r="CB210" s="981"/>
      <c r="CC210" s="981"/>
      <c r="CD210" s="1332"/>
      <c r="CE210" s="981"/>
      <c r="CF210" s="981"/>
      <c r="CG210" s="981"/>
      <c r="CH210" s="981"/>
      <c r="CI210" s="981"/>
      <c r="CJ210" s="981"/>
      <c r="CK210" s="981"/>
      <c r="CL210" s="981"/>
      <c r="CM210" s="981"/>
      <c r="CN210" s="981"/>
      <c r="CO210" s="981"/>
      <c r="CP210" s="981"/>
      <c r="CQ210" s="981"/>
      <c r="CR210" s="981"/>
      <c r="CS210" s="981"/>
      <c r="CT210" s="981"/>
      <c r="CU210" s="981"/>
    </row>
    <row r="211">
      <c r="A211" s="1392"/>
      <c r="B211" s="788" t="s">
        <v>1256</v>
      </c>
      <c r="C211" s="784" t="s">
        <v>1256</v>
      </c>
      <c r="D211" s="785" t="s">
        <v>1256</v>
      </c>
      <c r="E211" s="786" t="s">
        <v>1256</v>
      </c>
      <c r="F211" s="787" t="s">
        <v>1256</v>
      </c>
      <c r="G211" s="788" t="s">
        <v>1256</v>
      </c>
      <c r="H211" s="1397"/>
      <c r="I211" s="1397"/>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2"/>
      <c r="BX211" s="1332"/>
      <c r="BY211" s="981"/>
      <c r="BZ211" s="1332"/>
      <c r="CA211" s="1332"/>
      <c r="CB211" s="981"/>
      <c r="CC211" s="981"/>
      <c r="CD211" s="1332"/>
      <c r="CE211" s="981"/>
      <c r="CF211" s="981"/>
      <c r="CG211" s="981"/>
      <c r="CH211" s="981"/>
      <c r="CI211" s="981"/>
      <c r="CJ211" s="981"/>
      <c r="CK211" s="981"/>
      <c r="CL211" s="981"/>
      <c r="CM211" s="981"/>
      <c r="CN211" s="981"/>
      <c r="CO211" s="981"/>
      <c r="CP211" s="981"/>
      <c r="CQ211" s="981"/>
      <c r="CR211" s="981"/>
      <c r="CS211" s="981"/>
      <c r="CT211" s="981"/>
      <c r="CU211" s="981"/>
    </row>
    <row r="212">
      <c r="A212" s="1392"/>
      <c r="B212" s="788" t="s">
        <v>1256</v>
      </c>
      <c r="C212" s="784" t="s">
        <v>1256</v>
      </c>
      <c r="D212" s="785" t="s">
        <v>1256</v>
      </c>
      <c r="E212" s="786" t="s">
        <v>1256</v>
      </c>
      <c r="F212" s="787" t="s">
        <v>1256</v>
      </c>
      <c r="G212" s="788" t="s">
        <v>1256</v>
      </c>
      <c r="H212" s="1397"/>
      <c r="I212" s="1397"/>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2"/>
      <c r="BX212" s="1332"/>
      <c r="BY212" s="981"/>
      <c r="BZ212" s="1332"/>
      <c r="CA212" s="1332"/>
      <c r="CB212" s="981"/>
      <c r="CC212" s="981"/>
      <c r="CD212" s="1332"/>
      <c r="CE212" s="981"/>
      <c r="CF212" s="981"/>
      <c r="CG212" s="981"/>
      <c r="CH212" s="981"/>
      <c r="CI212" s="981"/>
      <c r="CJ212" s="981"/>
      <c r="CK212" s="981"/>
      <c r="CL212" s="981"/>
      <c r="CM212" s="981"/>
      <c r="CN212" s="981"/>
      <c r="CO212" s="981"/>
      <c r="CP212" s="981"/>
      <c r="CQ212" s="981"/>
      <c r="CR212" s="981"/>
      <c r="CS212" s="981"/>
      <c r="CT212" s="981"/>
      <c r="CU212" s="981"/>
    </row>
    <row r="213">
      <c r="A213" s="1392"/>
      <c r="B213" s="788" t="s">
        <v>1256</v>
      </c>
      <c r="C213" s="784" t="s">
        <v>1256</v>
      </c>
      <c r="D213" s="785" t="s">
        <v>1256</v>
      </c>
      <c r="E213" s="786" t="s">
        <v>1256</v>
      </c>
      <c r="F213" s="787" t="s">
        <v>1256</v>
      </c>
      <c r="G213" s="788" t="s">
        <v>1256</v>
      </c>
      <c r="H213" s="1397"/>
      <c r="I213" s="1397"/>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2"/>
      <c r="BX213" s="1332"/>
      <c r="BY213" s="981"/>
      <c r="BZ213" s="1332"/>
      <c r="CA213" s="1332"/>
      <c r="CB213" s="981"/>
      <c r="CC213" s="981"/>
      <c r="CD213" s="1332"/>
      <c r="CE213" s="981"/>
      <c r="CF213" s="981"/>
      <c r="CG213" s="981"/>
      <c r="CH213" s="981"/>
      <c r="CI213" s="981"/>
      <c r="CJ213" s="981"/>
      <c r="CK213" s="981"/>
      <c r="CL213" s="981"/>
      <c r="CM213" s="981"/>
      <c r="CN213" s="981"/>
      <c r="CO213" s="981"/>
      <c r="CP213" s="981"/>
      <c r="CQ213" s="981"/>
      <c r="CR213" s="981"/>
      <c r="CS213" s="981"/>
      <c r="CT213" s="981"/>
      <c r="CU213" s="981"/>
    </row>
    <row r="214">
      <c r="A214" s="1392"/>
      <c r="B214" s="788" t="s">
        <v>1256</v>
      </c>
      <c r="C214" s="784" t="s">
        <v>1256</v>
      </c>
      <c r="D214" s="785" t="s">
        <v>1256</v>
      </c>
      <c r="E214" s="786" t="s">
        <v>1256</v>
      </c>
      <c r="F214" s="787" t="s">
        <v>1256</v>
      </c>
      <c r="G214" s="788" t="s">
        <v>1256</v>
      </c>
      <c r="H214" s="1397"/>
      <c r="I214" s="1397"/>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2"/>
      <c r="BX214" s="1332"/>
      <c r="BY214" s="981"/>
      <c r="BZ214" s="1332"/>
      <c r="CA214" s="1332"/>
      <c r="CB214" s="981"/>
      <c r="CC214" s="981"/>
      <c r="CD214" s="1332"/>
      <c r="CE214" s="981"/>
      <c r="CF214" s="981"/>
      <c r="CG214" s="981"/>
      <c r="CH214" s="981"/>
      <c r="CI214" s="981"/>
      <c r="CJ214" s="981"/>
      <c r="CK214" s="981"/>
      <c r="CL214" s="981"/>
      <c r="CM214" s="981"/>
      <c r="CN214" s="981"/>
      <c r="CO214" s="981"/>
      <c r="CP214" s="981"/>
      <c r="CQ214" s="981"/>
      <c r="CR214" s="981"/>
      <c r="CS214" s="981"/>
      <c r="CT214" s="981"/>
      <c r="CU214" s="981"/>
    </row>
    <row r="215">
      <c r="A215" s="1392"/>
      <c r="B215" s="788" t="s">
        <v>1256</v>
      </c>
      <c r="C215" s="784" t="s">
        <v>1256</v>
      </c>
      <c r="D215" s="785" t="s">
        <v>1256</v>
      </c>
      <c r="E215" s="786" t="s">
        <v>1256</v>
      </c>
      <c r="F215" s="787" t="s">
        <v>1256</v>
      </c>
      <c r="G215" s="788" t="s">
        <v>1256</v>
      </c>
      <c r="H215" s="1397"/>
      <c r="I215" s="1397"/>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2"/>
      <c r="BX215" s="1332"/>
      <c r="BY215" s="981"/>
      <c r="BZ215" s="1332"/>
      <c r="CA215" s="1332"/>
      <c r="CB215" s="981"/>
      <c r="CC215" s="981"/>
      <c r="CD215" s="1332"/>
      <c r="CE215" s="981"/>
      <c r="CF215" s="981"/>
      <c r="CG215" s="981"/>
      <c r="CH215" s="981"/>
      <c r="CI215" s="981"/>
      <c r="CJ215" s="981"/>
      <c r="CK215" s="981"/>
      <c r="CL215" s="981"/>
      <c r="CM215" s="981"/>
      <c r="CN215" s="981"/>
      <c r="CO215" s="981"/>
      <c r="CP215" s="981"/>
      <c r="CQ215" s="981"/>
      <c r="CR215" s="981"/>
      <c r="CS215" s="981"/>
      <c r="CT215" s="981"/>
      <c r="CU215" s="981"/>
    </row>
    <row r="216">
      <c r="A216" s="1392"/>
      <c r="B216" s="788" t="s">
        <v>1256</v>
      </c>
      <c r="C216" s="784" t="s">
        <v>1256</v>
      </c>
      <c r="D216" s="785" t="s">
        <v>1256</v>
      </c>
      <c r="E216" s="786" t="s">
        <v>1256</v>
      </c>
      <c r="F216" s="787" t="s">
        <v>1256</v>
      </c>
      <c r="G216" s="788" t="s">
        <v>1256</v>
      </c>
      <c r="H216" s="1397"/>
      <c r="I216" s="1397"/>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2"/>
      <c r="BX216" s="1332"/>
      <c r="BY216" s="981"/>
      <c r="BZ216" s="1332"/>
      <c r="CA216" s="1332"/>
      <c r="CB216" s="981"/>
      <c r="CC216" s="981"/>
      <c r="CD216" s="1332"/>
      <c r="CE216" s="981"/>
      <c r="CF216" s="981"/>
      <c r="CG216" s="981"/>
      <c r="CH216" s="981"/>
      <c r="CI216" s="981"/>
      <c r="CJ216" s="981"/>
      <c r="CK216" s="981"/>
      <c r="CL216" s="981"/>
      <c r="CM216" s="981"/>
      <c r="CN216" s="981"/>
      <c r="CO216" s="981"/>
      <c r="CP216" s="981"/>
      <c r="CQ216" s="981"/>
      <c r="CR216" s="981"/>
      <c r="CS216" s="981"/>
      <c r="CT216" s="981"/>
      <c r="CU216" s="981"/>
    </row>
    <row r="217">
      <c r="A217" s="1392"/>
      <c r="B217" s="788" t="s">
        <v>1256</v>
      </c>
      <c r="C217" s="784" t="s">
        <v>1256</v>
      </c>
      <c r="D217" s="785" t="s">
        <v>1256</v>
      </c>
      <c r="E217" s="786" t="s">
        <v>1256</v>
      </c>
      <c r="F217" s="787" t="s">
        <v>1256</v>
      </c>
      <c r="G217" s="788" t="s">
        <v>1256</v>
      </c>
      <c r="H217" s="1397"/>
      <c r="I217" s="1397"/>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2"/>
      <c r="BX217" s="1332"/>
      <c r="BY217" s="981"/>
      <c r="BZ217" s="1332"/>
      <c r="CA217" s="1332"/>
      <c r="CB217" s="981"/>
      <c r="CC217" s="981"/>
      <c r="CD217" s="1332"/>
      <c r="CE217" s="981"/>
      <c r="CF217" s="981"/>
      <c r="CG217" s="981"/>
      <c r="CH217" s="981"/>
      <c r="CI217" s="981"/>
      <c r="CJ217" s="981"/>
      <c r="CK217" s="981"/>
      <c r="CL217" s="981"/>
      <c r="CM217" s="981"/>
      <c r="CN217" s="981"/>
      <c r="CO217" s="981"/>
      <c r="CP217" s="981"/>
      <c r="CQ217" s="981"/>
      <c r="CR217" s="981"/>
      <c r="CS217" s="981"/>
      <c r="CT217" s="981"/>
      <c r="CU217" s="981"/>
    </row>
    <row r="218">
      <c r="A218" s="1392"/>
      <c r="B218" s="788" t="s">
        <v>1256</v>
      </c>
      <c r="C218" s="784" t="s">
        <v>1256</v>
      </c>
      <c r="D218" s="785" t="s">
        <v>1256</v>
      </c>
      <c r="E218" s="786" t="s">
        <v>1256</v>
      </c>
      <c r="F218" s="787" t="s">
        <v>1256</v>
      </c>
      <c r="G218" s="788" t="s">
        <v>1256</v>
      </c>
      <c r="H218" s="1397"/>
      <c r="I218" s="1397"/>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2"/>
      <c r="BX218" s="1332"/>
      <c r="BY218" s="981"/>
      <c r="BZ218" s="1332"/>
      <c r="CA218" s="1332"/>
      <c r="CB218" s="981"/>
      <c r="CC218" s="981"/>
      <c r="CD218" s="1332"/>
      <c r="CE218" s="981"/>
      <c r="CF218" s="981"/>
      <c r="CG218" s="981"/>
      <c r="CH218" s="981"/>
      <c r="CI218" s="981"/>
      <c r="CJ218" s="981"/>
      <c r="CK218" s="981"/>
      <c r="CL218" s="981"/>
      <c r="CM218" s="981"/>
      <c r="CN218" s="981"/>
      <c r="CO218" s="981"/>
      <c r="CP218" s="981"/>
      <c r="CQ218" s="981"/>
      <c r="CR218" s="981"/>
      <c r="CS218" s="981"/>
      <c r="CT218" s="981"/>
      <c r="CU218" s="981"/>
    </row>
    <row r="219">
      <c r="A219" s="1392"/>
      <c r="B219" s="788" t="s">
        <v>1256</v>
      </c>
      <c r="C219" s="784" t="s">
        <v>1256</v>
      </c>
      <c r="D219" s="785" t="s">
        <v>1256</v>
      </c>
      <c r="E219" s="786" t="s">
        <v>1256</v>
      </c>
      <c r="F219" s="787" t="s">
        <v>1256</v>
      </c>
      <c r="G219" s="788" t="s">
        <v>1256</v>
      </c>
      <c r="H219" s="1397"/>
      <c r="I219" s="1397"/>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2"/>
      <c r="BX219" s="1332"/>
      <c r="BY219" s="981"/>
      <c r="BZ219" s="1332"/>
      <c r="CA219" s="1332"/>
      <c r="CB219" s="981"/>
      <c r="CC219" s="981"/>
      <c r="CD219" s="1332"/>
      <c r="CE219" s="981"/>
      <c r="CF219" s="981"/>
      <c r="CG219" s="981"/>
      <c r="CH219" s="981"/>
      <c r="CI219" s="981"/>
      <c r="CJ219" s="981"/>
      <c r="CK219" s="981"/>
      <c r="CL219" s="981"/>
      <c r="CM219" s="981"/>
      <c r="CN219" s="981"/>
      <c r="CO219" s="981"/>
      <c r="CP219" s="981"/>
      <c r="CQ219" s="981"/>
      <c r="CR219" s="981"/>
      <c r="CS219" s="981"/>
      <c r="CT219" s="981"/>
      <c r="CU219" s="981"/>
    </row>
    <row r="220">
      <c r="A220" s="1392"/>
      <c r="B220" s="788" t="s">
        <v>1256</v>
      </c>
      <c r="C220" s="784" t="s">
        <v>1256</v>
      </c>
      <c r="D220" s="785" t="s">
        <v>1256</v>
      </c>
      <c r="E220" s="786" t="s">
        <v>1256</v>
      </c>
      <c r="F220" s="787" t="s">
        <v>1256</v>
      </c>
      <c r="G220" s="788" t="s">
        <v>1256</v>
      </c>
      <c r="H220" s="1397"/>
      <c r="I220" s="1397"/>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2"/>
      <c r="BX220" s="1332"/>
      <c r="BY220" s="981"/>
      <c r="BZ220" s="1332"/>
      <c r="CA220" s="1332"/>
      <c r="CB220" s="981"/>
      <c r="CC220" s="981"/>
      <c r="CD220" s="1332"/>
      <c r="CE220" s="981"/>
      <c r="CF220" s="981"/>
      <c r="CG220" s="981"/>
      <c r="CH220" s="981"/>
      <c r="CI220" s="981"/>
      <c r="CJ220" s="981"/>
      <c r="CK220" s="981"/>
      <c r="CL220" s="981"/>
      <c r="CM220" s="981"/>
      <c r="CN220" s="981"/>
      <c r="CO220" s="981"/>
      <c r="CP220" s="981"/>
      <c r="CQ220" s="981"/>
      <c r="CR220" s="981"/>
      <c r="CS220" s="981"/>
      <c r="CT220" s="981"/>
      <c r="CU220" s="981"/>
    </row>
    <row r="221">
      <c r="A221" s="1392"/>
      <c r="B221" s="788" t="s">
        <v>1256</v>
      </c>
      <c r="C221" s="784" t="s">
        <v>1256</v>
      </c>
      <c r="D221" s="785" t="s">
        <v>1256</v>
      </c>
      <c r="E221" s="786" t="s">
        <v>1256</v>
      </c>
      <c r="F221" s="787" t="s">
        <v>1256</v>
      </c>
      <c r="G221" s="788" t="s">
        <v>1256</v>
      </c>
      <c r="H221" s="1397"/>
      <c r="I221" s="1397"/>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2"/>
      <c r="BX221" s="1332"/>
      <c r="BY221" s="981"/>
      <c r="BZ221" s="1332"/>
      <c r="CA221" s="1332"/>
      <c r="CB221" s="981"/>
      <c r="CC221" s="981"/>
      <c r="CD221" s="1332"/>
      <c r="CE221" s="981"/>
      <c r="CF221" s="981"/>
      <c r="CG221" s="981"/>
      <c r="CH221" s="981"/>
      <c r="CI221" s="981"/>
      <c r="CJ221" s="981"/>
      <c r="CK221" s="981"/>
      <c r="CL221" s="981"/>
      <c r="CM221" s="981"/>
      <c r="CN221" s="981"/>
      <c r="CO221" s="981"/>
      <c r="CP221" s="981"/>
      <c r="CQ221" s="981"/>
      <c r="CR221" s="981"/>
      <c r="CS221" s="981"/>
      <c r="CT221" s="981"/>
      <c r="CU221" s="981"/>
    </row>
    <row r="222">
      <c r="A222" s="1392"/>
      <c r="B222" s="788" t="s">
        <v>1256</v>
      </c>
      <c r="C222" s="784" t="s">
        <v>1256</v>
      </c>
      <c r="D222" s="785" t="s">
        <v>1256</v>
      </c>
      <c r="E222" s="786" t="s">
        <v>1256</v>
      </c>
      <c r="F222" s="787" t="s">
        <v>1256</v>
      </c>
      <c r="G222" s="788" t="s">
        <v>1256</v>
      </c>
      <c r="H222" s="1397"/>
      <c r="I222" s="1397"/>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2"/>
      <c r="BX222" s="1332"/>
      <c r="BY222" s="981"/>
      <c r="BZ222" s="1332"/>
      <c r="CA222" s="1332"/>
      <c r="CB222" s="981"/>
      <c r="CC222" s="981"/>
      <c r="CD222" s="1332"/>
      <c r="CE222" s="981"/>
      <c r="CF222" s="981"/>
      <c r="CG222" s="981"/>
      <c r="CH222" s="981"/>
      <c r="CI222" s="981"/>
      <c r="CJ222" s="981"/>
      <c r="CK222" s="981"/>
      <c r="CL222" s="981"/>
      <c r="CM222" s="981"/>
      <c r="CN222" s="981"/>
      <c r="CO222" s="981"/>
      <c r="CP222" s="981"/>
      <c r="CQ222" s="981"/>
      <c r="CR222" s="981"/>
      <c r="CS222" s="981"/>
      <c r="CT222" s="981"/>
      <c r="CU222" s="981"/>
    </row>
    <row r="223">
      <c r="A223" s="1392"/>
      <c r="B223" s="788" t="s">
        <v>1256</v>
      </c>
      <c r="C223" s="784" t="s">
        <v>1256</v>
      </c>
      <c r="D223" s="785" t="s">
        <v>1256</v>
      </c>
      <c r="E223" s="786" t="s">
        <v>1256</v>
      </c>
      <c r="F223" s="787" t="s">
        <v>1256</v>
      </c>
      <c r="G223" s="788" t="s">
        <v>1256</v>
      </c>
      <c r="H223" s="1397"/>
      <c r="I223" s="1397"/>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2"/>
      <c r="BX223" s="1332"/>
      <c r="BY223" s="981"/>
      <c r="BZ223" s="1332"/>
      <c r="CA223" s="1332"/>
      <c r="CB223" s="981"/>
      <c r="CC223" s="981"/>
      <c r="CD223" s="1332"/>
      <c r="CE223" s="981"/>
      <c r="CF223" s="981"/>
      <c r="CG223" s="981"/>
      <c r="CH223" s="981"/>
      <c r="CI223" s="981"/>
      <c r="CJ223" s="981"/>
      <c r="CK223" s="981"/>
      <c r="CL223" s="981"/>
      <c r="CM223" s="981"/>
      <c r="CN223" s="981"/>
      <c r="CO223" s="981"/>
      <c r="CP223" s="981"/>
      <c r="CQ223" s="981"/>
      <c r="CR223" s="981"/>
      <c r="CS223" s="981"/>
      <c r="CT223" s="981"/>
      <c r="CU223" s="981"/>
    </row>
    <row r="224">
      <c r="A224" s="1392"/>
      <c r="B224" s="788" t="s">
        <v>1256</v>
      </c>
      <c r="C224" s="784" t="s">
        <v>1256</v>
      </c>
      <c r="D224" s="785" t="s">
        <v>1256</v>
      </c>
      <c r="E224" s="786" t="s">
        <v>1256</v>
      </c>
      <c r="F224" s="787" t="s">
        <v>1256</v>
      </c>
      <c r="G224" s="788" t="s">
        <v>1256</v>
      </c>
      <c r="H224" s="1397"/>
      <c r="I224" s="1397"/>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2"/>
      <c r="BX224" s="1332"/>
      <c r="BY224" s="981"/>
      <c r="BZ224" s="1332"/>
      <c r="CA224" s="1332"/>
      <c r="CB224" s="981"/>
      <c r="CC224" s="981"/>
      <c r="CD224" s="1332"/>
      <c r="CE224" s="981"/>
      <c r="CF224" s="981"/>
      <c r="CG224" s="981"/>
      <c r="CH224" s="981"/>
      <c r="CI224" s="981"/>
      <c r="CJ224" s="981"/>
      <c r="CK224" s="981"/>
      <c r="CL224" s="981"/>
      <c r="CM224" s="981"/>
      <c r="CN224" s="981"/>
      <c r="CO224" s="981"/>
      <c r="CP224" s="981"/>
      <c r="CQ224" s="981"/>
      <c r="CR224" s="981"/>
      <c r="CS224" s="981"/>
      <c r="CT224" s="981"/>
      <c r="CU224" s="981"/>
    </row>
    <row r="225">
      <c r="A225" s="1392"/>
      <c r="B225" s="788" t="s">
        <v>1256</v>
      </c>
      <c r="C225" s="784" t="s">
        <v>1256</v>
      </c>
      <c r="D225" s="785" t="s">
        <v>1256</v>
      </c>
      <c r="E225" s="786" t="s">
        <v>1256</v>
      </c>
      <c r="F225" s="787" t="s">
        <v>1256</v>
      </c>
      <c r="G225" s="788" t="s">
        <v>1256</v>
      </c>
      <c r="H225" s="1397"/>
      <c r="I225" s="1397"/>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2"/>
      <c r="BX225" s="1332"/>
      <c r="BY225" s="981"/>
      <c r="BZ225" s="1332"/>
      <c r="CA225" s="1332"/>
      <c r="CB225" s="981"/>
      <c r="CC225" s="981"/>
      <c r="CD225" s="1332"/>
      <c r="CE225" s="981"/>
      <c r="CF225" s="981"/>
      <c r="CG225" s="981"/>
      <c r="CH225" s="981"/>
      <c r="CI225" s="981"/>
      <c r="CJ225" s="981"/>
      <c r="CK225" s="981"/>
      <c r="CL225" s="981"/>
      <c r="CM225" s="981"/>
      <c r="CN225" s="981"/>
      <c r="CO225" s="981"/>
      <c r="CP225" s="981"/>
      <c r="CQ225" s="981"/>
      <c r="CR225" s="981"/>
      <c r="CS225" s="981"/>
      <c r="CT225" s="981"/>
      <c r="CU225" s="981"/>
    </row>
    <row r="226">
      <c r="A226" s="1392"/>
      <c r="B226" s="788" t="s">
        <v>1256</v>
      </c>
      <c r="C226" s="784" t="s">
        <v>1256</v>
      </c>
      <c r="D226" s="785" t="s">
        <v>1256</v>
      </c>
      <c r="E226" s="786" t="s">
        <v>1256</v>
      </c>
      <c r="F226" s="787" t="s">
        <v>1256</v>
      </c>
      <c r="G226" s="788" t="s">
        <v>1256</v>
      </c>
      <c r="H226" s="1397"/>
      <c r="I226" s="1397"/>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2"/>
      <c r="BX226" s="1332"/>
      <c r="BY226" s="981"/>
      <c r="BZ226" s="1332"/>
      <c r="CA226" s="1332"/>
      <c r="CB226" s="981"/>
      <c r="CC226" s="981"/>
      <c r="CD226" s="1332"/>
      <c r="CE226" s="981"/>
      <c r="CF226" s="981"/>
      <c r="CG226" s="981"/>
      <c r="CH226" s="981"/>
      <c r="CI226" s="981"/>
      <c r="CJ226" s="981"/>
      <c r="CK226" s="981"/>
      <c r="CL226" s="981"/>
      <c r="CM226" s="981"/>
      <c r="CN226" s="981"/>
      <c r="CO226" s="981"/>
      <c r="CP226" s="981"/>
      <c r="CQ226" s="981"/>
      <c r="CR226" s="981"/>
      <c r="CS226" s="981"/>
      <c r="CT226" s="981"/>
      <c r="CU226" s="981"/>
    </row>
    <row r="227">
      <c r="A227" s="1392"/>
      <c r="B227" s="788" t="s">
        <v>1256</v>
      </c>
      <c r="C227" s="784" t="s">
        <v>1256</v>
      </c>
      <c r="D227" s="785" t="s">
        <v>1256</v>
      </c>
      <c r="E227" s="786" t="s">
        <v>1256</v>
      </c>
      <c r="F227" s="787" t="s">
        <v>1256</v>
      </c>
      <c r="G227" s="788" t="s">
        <v>1256</v>
      </c>
      <c r="H227" s="1397"/>
      <c r="I227" s="1397"/>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2"/>
      <c r="BX227" s="1332"/>
      <c r="BY227" s="981"/>
      <c r="BZ227" s="1332"/>
      <c r="CA227" s="1332"/>
      <c r="CB227" s="981"/>
      <c r="CC227" s="981"/>
      <c r="CD227" s="1332"/>
      <c r="CE227" s="981"/>
      <c r="CF227" s="981"/>
      <c r="CG227" s="981"/>
      <c r="CH227" s="981"/>
      <c r="CI227" s="981"/>
      <c r="CJ227" s="981"/>
      <c r="CK227" s="981"/>
      <c r="CL227" s="981"/>
      <c r="CM227" s="981"/>
      <c r="CN227" s="981"/>
      <c r="CO227" s="981"/>
      <c r="CP227" s="981"/>
      <c r="CQ227" s="981"/>
      <c r="CR227" s="981"/>
      <c r="CS227" s="981"/>
      <c r="CT227" s="981"/>
      <c r="CU227" s="981"/>
    </row>
    <row r="228">
      <c r="A228" s="1392"/>
      <c r="B228" s="788" t="s">
        <v>1256</v>
      </c>
      <c r="C228" s="784" t="s">
        <v>1256</v>
      </c>
      <c r="D228" s="785" t="s">
        <v>1256</v>
      </c>
      <c r="E228" s="786" t="s">
        <v>1256</v>
      </c>
      <c r="F228" s="787" t="s">
        <v>1256</v>
      </c>
      <c r="G228" s="788" t="s">
        <v>1256</v>
      </c>
      <c r="H228" s="1397"/>
      <c r="I228" s="1397"/>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2"/>
      <c r="BX228" s="1332"/>
      <c r="BY228" s="981"/>
      <c r="BZ228" s="1332"/>
      <c r="CA228" s="1332"/>
      <c r="CB228" s="981"/>
      <c r="CC228" s="981"/>
      <c r="CD228" s="1332"/>
      <c r="CE228" s="981"/>
      <c r="CF228" s="981"/>
      <c r="CG228" s="981"/>
      <c r="CH228" s="981"/>
      <c r="CI228" s="981"/>
      <c r="CJ228" s="981"/>
      <c r="CK228" s="981"/>
      <c r="CL228" s="981"/>
      <c r="CM228" s="981"/>
      <c r="CN228" s="981"/>
      <c r="CO228" s="981"/>
      <c r="CP228" s="981"/>
      <c r="CQ228" s="981"/>
      <c r="CR228" s="981"/>
      <c r="CS228" s="981"/>
      <c r="CT228" s="981"/>
      <c r="CU228" s="981"/>
    </row>
    <row r="229">
      <c r="A229" s="1392"/>
      <c r="B229" s="788" t="s">
        <v>1256</v>
      </c>
      <c r="C229" s="784" t="s">
        <v>1256</v>
      </c>
      <c r="D229" s="785" t="s">
        <v>1256</v>
      </c>
      <c r="E229" s="786" t="s">
        <v>1256</v>
      </c>
      <c r="F229" s="787" t="s">
        <v>1256</v>
      </c>
      <c r="G229" s="788" t="s">
        <v>1256</v>
      </c>
      <c r="H229" s="1397"/>
      <c r="I229" s="1397"/>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2"/>
      <c r="BX229" s="1332"/>
      <c r="BY229" s="981"/>
      <c r="BZ229" s="1332"/>
      <c r="CA229" s="1332"/>
      <c r="CB229" s="981"/>
      <c r="CC229" s="981"/>
      <c r="CD229" s="1332"/>
      <c r="CE229" s="981"/>
      <c r="CF229" s="981"/>
      <c r="CG229" s="981"/>
      <c r="CH229" s="981"/>
      <c r="CI229" s="981"/>
      <c r="CJ229" s="981"/>
      <c r="CK229" s="981"/>
      <c r="CL229" s="981"/>
      <c r="CM229" s="981"/>
      <c r="CN229" s="981"/>
      <c r="CO229" s="981"/>
      <c r="CP229" s="981"/>
      <c r="CQ229" s="981"/>
      <c r="CR229" s="981"/>
      <c r="CS229" s="981"/>
      <c r="CT229" s="981"/>
      <c r="CU229" s="981"/>
    </row>
    <row r="230">
      <c r="A230" s="1392"/>
      <c r="B230" s="788" t="s">
        <v>1256</v>
      </c>
      <c r="C230" s="784" t="s">
        <v>1256</v>
      </c>
      <c r="D230" s="785" t="s">
        <v>1256</v>
      </c>
      <c r="E230" s="786" t="s">
        <v>1256</v>
      </c>
      <c r="F230" s="787" t="s">
        <v>1256</v>
      </c>
      <c r="G230" s="788" t="s">
        <v>1256</v>
      </c>
      <c r="H230" s="1397"/>
      <c r="I230" s="1397"/>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2"/>
      <c r="BX230" s="1332"/>
      <c r="BY230" s="981"/>
      <c r="BZ230" s="1332"/>
      <c r="CA230" s="1332"/>
      <c r="CB230" s="981"/>
      <c r="CC230" s="981"/>
      <c r="CD230" s="1332"/>
      <c r="CE230" s="981"/>
      <c r="CF230" s="981"/>
      <c r="CG230" s="981"/>
      <c r="CH230" s="981"/>
      <c r="CI230" s="981"/>
      <c r="CJ230" s="981"/>
      <c r="CK230" s="981"/>
      <c r="CL230" s="981"/>
      <c r="CM230" s="981"/>
      <c r="CN230" s="981"/>
      <c r="CO230" s="981"/>
      <c r="CP230" s="981"/>
      <c r="CQ230" s="981"/>
      <c r="CR230" s="981"/>
      <c r="CS230" s="981"/>
      <c r="CT230" s="981"/>
      <c r="CU230" s="981"/>
    </row>
    <row r="231">
      <c r="A231" s="1392"/>
      <c r="B231" s="788" t="s">
        <v>1256</v>
      </c>
      <c r="C231" s="784" t="s">
        <v>1256</v>
      </c>
      <c r="D231" s="785" t="s">
        <v>1256</v>
      </c>
      <c r="E231" s="786" t="s">
        <v>1256</v>
      </c>
      <c r="F231" s="787" t="s">
        <v>1256</v>
      </c>
      <c r="G231" s="788" t="s">
        <v>1256</v>
      </c>
      <c r="H231" s="1397"/>
      <c r="I231" s="1397"/>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2"/>
      <c r="BX231" s="1332"/>
      <c r="BY231" s="981"/>
      <c r="BZ231" s="1332"/>
      <c r="CA231" s="1332"/>
      <c r="CB231" s="981"/>
      <c r="CC231" s="981"/>
      <c r="CD231" s="1332"/>
      <c r="CE231" s="981"/>
      <c r="CF231" s="981"/>
      <c r="CG231" s="981"/>
      <c r="CH231" s="981"/>
      <c r="CI231" s="981"/>
      <c r="CJ231" s="981"/>
      <c r="CK231" s="981"/>
      <c r="CL231" s="981"/>
      <c r="CM231" s="981"/>
      <c r="CN231" s="981"/>
      <c r="CO231" s="981"/>
      <c r="CP231" s="981"/>
      <c r="CQ231" s="981"/>
      <c r="CR231" s="981"/>
      <c r="CS231" s="981"/>
      <c r="CT231" s="981"/>
      <c r="CU231" s="981"/>
    </row>
    <row r="232">
      <c r="A232" s="1392"/>
      <c r="B232" s="788" t="s">
        <v>1256</v>
      </c>
      <c r="C232" s="784" t="s">
        <v>1256</v>
      </c>
      <c r="D232" s="785" t="s">
        <v>1256</v>
      </c>
      <c r="E232" s="786" t="s">
        <v>1256</v>
      </c>
      <c r="F232" s="787" t="s">
        <v>1256</v>
      </c>
      <c r="G232" s="788" t="s">
        <v>1256</v>
      </c>
      <c r="H232" s="1397"/>
      <c r="I232" s="1397"/>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2"/>
      <c r="BX232" s="1332"/>
      <c r="BY232" s="981"/>
      <c r="BZ232" s="1332"/>
      <c r="CA232" s="1332"/>
      <c r="CB232" s="981"/>
      <c r="CC232" s="981"/>
      <c r="CD232" s="1332"/>
      <c r="CE232" s="981"/>
      <c r="CF232" s="981"/>
      <c r="CG232" s="981"/>
      <c r="CH232" s="981"/>
      <c r="CI232" s="981"/>
      <c r="CJ232" s="981"/>
      <c r="CK232" s="981"/>
      <c r="CL232" s="981"/>
      <c r="CM232" s="981"/>
      <c r="CN232" s="981"/>
      <c r="CO232" s="981"/>
      <c r="CP232" s="981"/>
      <c r="CQ232" s="981"/>
      <c r="CR232" s="981"/>
      <c r="CS232" s="981"/>
      <c r="CT232" s="981"/>
      <c r="CU232" s="981"/>
    </row>
    <row r="233">
      <c r="A233" s="1392"/>
      <c r="B233" s="788" t="s">
        <v>1256</v>
      </c>
      <c r="C233" s="784" t="s">
        <v>1256</v>
      </c>
      <c r="D233" s="785" t="s">
        <v>1256</v>
      </c>
      <c r="E233" s="786" t="s">
        <v>1256</v>
      </c>
      <c r="F233" s="787" t="s">
        <v>1256</v>
      </c>
      <c r="G233" s="788" t="s">
        <v>1256</v>
      </c>
      <c r="H233" s="1397"/>
      <c r="I233" s="1397"/>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2"/>
      <c r="BX233" s="1332"/>
      <c r="BY233" s="981"/>
      <c r="BZ233" s="1332"/>
      <c r="CA233" s="1332"/>
      <c r="CB233" s="981"/>
      <c r="CC233" s="981"/>
      <c r="CD233" s="1332"/>
      <c r="CE233" s="981"/>
      <c r="CF233" s="981"/>
      <c r="CG233" s="981"/>
      <c r="CH233" s="981"/>
      <c r="CI233" s="981"/>
      <c r="CJ233" s="981"/>
      <c r="CK233" s="981"/>
      <c r="CL233" s="981"/>
      <c r="CM233" s="981"/>
      <c r="CN233" s="981"/>
      <c r="CO233" s="981"/>
      <c r="CP233" s="981"/>
      <c r="CQ233" s="981"/>
      <c r="CR233" s="981"/>
      <c r="CS233" s="981"/>
      <c r="CT233" s="981"/>
      <c r="CU233" s="981"/>
    </row>
    <row r="234">
      <c r="A234" s="1392"/>
      <c r="B234" s="788" t="s">
        <v>1256</v>
      </c>
      <c r="C234" s="784" t="s">
        <v>1256</v>
      </c>
      <c r="D234" s="785" t="s">
        <v>1256</v>
      </c>
      <c r="E234" s="786" t="s">
        <v>1256</v>
      </c>
      <c r="F234" s="787" t="s">
        <v>1256</v>
      </c>
      <c r="G234" s="788" t="s">
        <v>1256</v>
      </c>
      <c r="H234" s="1397"/>
      <c r="I234" s="1397"/>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2"/>
      <c r="BX234" s="1332"/>
      <c r="BY234" s="981"/>
      <c r="BZ234" s="1332"/>
      <c r="CA234" s="1332"/>
      <c r="CB234" s="981"/>
      <c r="CC234" s="981"/>
      <c r="CD234" s="1332"/>
      <c r="CE234" s="981"/>
      <c r="CF234" s="981"/>
      <c r="CG234" s="981"/>
      <c r="CH234" s="981"/>
      <c r="CI234" s="981"/>
      <c r="CJ234" s="981"/>
      <c r="CK234" s="981"/>
      <c r="CL234" s="981"/>
      <c r="CM234" s="981"/>
      <c r="CN234" s="981"/>
      <c r="CO234" s="981"/>
      <c r="CP234" s="981"/>
      <c r="CQ234" s="981"/>
      <c r="CR234" s="981"/>
      <c r="CS234" s="981"/>
      <c r="CT234" s="981"/>
      <c r="CU234" s="981"/>
    </row>
    <row r="235">
      <c r="A235" s="1392"/>
      <c r="B235" s="788" t="s">
        <v>1256</v>
      </c>
      <c r="C235" s="784" t="s">
        <v>1256</v>
      </c>
      <c r="D235" s="785" t="s">
        <v>1256</v>
      </c>
      <c r="E235" s="786" t="s">
        <v>1256</v>
      </c>
      <c r="F235" s="787" t="s">
        <v>1256</v>
      </c>
      <c r="G235" s="788" t="s">
        <v>1256</v>
      </c>
      <c r="H235" s="1397"/>
      <c r="I235" s="1397"/>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2"/>
      <c r="BX235" s="1332"/>
      <c r="BY235" s="981"/>
      <c r="BZ235" s="1332"/>
      <c r="CA235" s="1332"/>
      <c r="CB235" s="981"/>
      <c r="CC235" s="981"/>
      <c r="CD235" s="1332"/>
      <c r="CE235" s="981"/>
      <c r="CF235" s="981"/>
      <c r="CG235" s="981"/>
      <c r="CH235" s="981"/>
      <c r="CI235" s="981"/>
      <c r="CJ235" s="981"/>
      <c r="CK235" s="981"/>
      <c r="CL235" s="981"/>
      <c r="CM235" s="981"/>
      <c r="CN235" s="981"/>
      <c r="CO235" s="981"/>
      <c r="CP235" s="981"/>
      <c r="CQ235" s="981"/>
      <c r="CR235" s="981"/>
      <c r="CS235" s="981"/>
      <c r="CT235" s="981"/>
      <c r="CU235" s="981"/>
    </row>
    <row r="236">
      <c r="A236" s="1392"/>
      <c r="B236" s="788" t="s">
        <v>1256</v>
      </c>
      <c r="C236" s="784" t="s">
        <v>1256</v>
      </c>
      <c r="D236" s="785" t="s">
        <v>1256</v>
      </c>
      <c r="E236" s="786" t="s">
        <v>1256</v>
      </c>
      <c r="F236" s="787" t="s">
        <v>1256</v>
      </c>
      <c r="G236" s="788" t="s">
        <v>1256</v>
      </c>
      <c r="H236" s="1397"/>
      <c r="I236" s="1397"/>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2"/>
      <c r="BX236" s="1332"/>
      <c r="BY236" s="981"/>
      <c r="BZ236" s="1332"/>
      <c r="CA236" s="1332"/>
      <c r="CB236" s="981"/>
      <c r="CC236" s="981"/>
      <c r="CD236" s="1332"/>
      <c r="CE236" s="981"/>
      <c r="CF236" s="981"/>
      <c r="CG236" s="981"/>
      <c r="CH236" s="981"/>
      <c r="CI236" s="981"/>
      <c r="CJ236" s="981"/>
      <c r="CK236" s="981"/>
      <c r="CL236" s="981"/>
      <c r="CM236" s="981"/>
      <c r="CN236" s="981"/>
      <c r="CO236" s="981"/>
      <c r="CP236" s="981"/>
      <c r="CQ236" s="981"/>
      <c r="CR236" s="981"/>
      <c r="CS236" s="981"/>
      <c r="CT236" s="981"/>
      <c r="CU236" s="981"/>
    </row>
    <row r="237">
      <c r="A237" s="1392"/>
      <c r="B237" s="788" t="s">
        <v>1256</v>
      </c>
      <c r="C237" s="784" t="s">
        <v>1256</v>
      </c>
      <c r="D237" s="785" t="s">
        <v>1256</v>
      </c>
      <c r="E237" s="786" t="s">
        <v>1256</v>
      </c>
      <c r="F237" s="787" t="s">
        <v>1256</v>
      </c>
      <c r="G237" s="788" t="s">
        <v>1256</v>
      </c>
      <c r="H237" s="1397"/>
      <c r="I237" s="1397"/>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2"/>
      <c r="BX237" s="1332"/>
      <c r="BY237" s="981"/>
      <c r="BZ237" s="1332"/>
      <c r="CA237" s="1332"/>
      <c r="CB237" s="981"/>
      <c r="CC237" s="981"/>
      <c r="CD237" s="1332"/>
      <c r="CE237" s="981"/>
      <c r="CF237" s="981"/>
      <c r="CG237" s="981"/>
      <c r="CH237" s="981"/>
      <c r="CI237" s="981"/>
      <c r="CJ237" s="981"/>
      <c r="CK237" s="981"/>
      <c r="CL237" s="981"/>
      <c r="CM237" s="981"/>
      <c r="CN237" s="981"/>
      <c r="CO237" s="981"/>
      <c r="CP237" s="981"/>
      <c r="CQ237" s="981"/>
      <c r="CR237" s="981"/>
      <c r="CS237" s="981"/>
      <c r="CT237" s="981"/>
      <c r="CU237" s="981"/>
    </row>
    <row r="238">
      <c r="A238" s="1392"/>
      <c r="B238" s="788" t="s">
        <v>1256</v>
      </c>
      <c r="C238" s="784" t="s">
        <v>1256</v>
      </c>
      <c r="D238" s="785" t="s">
        <v>1256</v>
      </c>
      <c r="E238" s="786" t="s">
        <v>1256</v>
      </c>
      <c r="F238" s="787" t="s">
        <v>1256</v>
      </c>
      <c r="G238" s="788" t="s">
        <v>1256</v>
      </c>
      <c r="H238" s="1397"/>
      <c r="I238" s="1397"/>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2"/>
      <c r="BX238" s="1332"/>
      <c r="BY238" s="981"/>
      <c r="BZ238" s="1332"/>
      <c r="CA238" s="1332"/>
      <c r="CB238" s="981"/>
      <c r="CC238" s="981"/>
      <c r="CD238" s="1332"/>
      <c r="CE238" s="981"/>
      <c r="CF238" s="981"/>
      <c r="CG238" s="981"/>
      <c r="CH238" s="981"/>
      <c r="CI238" s="981"/>
      <c r="CJ238" s="981"/>
      <c r="CK238" s="981"/>
      <c r="CL238" s="981"/>
      <c r="CM238" s="981"/>
      <c r="CN238" s="981"/>
      <c r="CO238" s="981"/>
      <c r="CP238" s="981"/>
      <c r="CQ238" s="981"/>
      <c r="CR238" s="981"/>
      <c r="CS238" s="981"/>
      <c r="CT238" s="981"/>
      <c r="CU238" s="981"/>
    </row>
    <row r="239">
      <c r="A239" s="1392"/>
      <c r="B239" s="788" t="s">
        <v>1256</v>
      </c>
      <c r="C239" s="784" t="s">
        <v>1256</v>
      </c>
      <c r="D239" s="785" t="s">
        <v>1256</v>
      </c>
      <c r="E239" s="786" t="s">
        <v>1256</v>
      </c>
      <c r="F239" s="787" t="s">
        <v>1256</v>
      </c>
      <c r="G239" s="788" t="s">
        <v>1256</v>
      </c>
      <c r="H239" s="1397"/>
      <c r="I239" s="1397"/>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2"/>
      <c r="BX239" s="1332"/>
      <c r="BY239" s="981"/>
      <c r="BZ239" s="1332"/>
      <c r="CA239" s="1332"/>
      <c r="CB239" s="981"/>
      <c r="CC239" s="981"/>
      <c r="CD239" s="1332"/>
      <c r="CE239" s="981"/>
      <c r="CF239" s="981"/>
      <c r="CG239" s="981"/>
      <c r="CH239" s="981"/>
      <c r="CI239" s="981"/>
      <c r="CJ239" s="981"/>
      <c r="CK239" s="981"/>
      <c r="CL239" s="981"/>
      <c r="CM239" s="981"/>
      <c r="CN239" s="981"/>
      <c r="CO239" s="981"/>
      <c r="CP239" s="981"/>
      <c r="CQ239" s="981"/>
      <c r="CR239" s="981"/>
      <c r="CS239" s="981"/>
      <c r="CT239" s="981"/>
      <c r="CU239" s="981"/>
    </row>
    <row r="240">
      <c r="A240" s="1392"/>
      <c r="B240" s="788" t="s">
        <v>1256</v>
      </c>
      <c r="C240" s="784" t="s">
        <v>1256</v>
      </c>
      <c r="D240" s="785" t="s">
        <v>1256</v>
      </c>
      <c r="E240" s="786" t="s">
        <v>1256</v>
      </c>
      <c r="F240" s="787" t="s">
        <v>1256</v>
      </c>
      <c r="G240" s="788" t="s">
        <v>1256</v>
      </c>
      <c r="H240" s="1397"/>
      <c r="I240" s="1397"/>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2"/>
      <c r="BX240" s="1332"/>
      <c r="BY240" s="981"/>
      <c r="BZ240" s="1332"/>
      <c r="CA240" s="1332"/>
      <c r="CB240" s="981"/>
      <c r="CC240" s="981"/>
      <c r="CD240" s="1332"/>
      <c r="CE240" s="981"/>
      <c r="CF240" s="981"/>
      <c r="CG240" s="981"/>
      <c r="CH240" s="981"/>
      <c r="CI240" s="981"/>
      <c r="CJ240" s="981"/>
      <c r="CK240" s="981"/>
      <c r="CL240" s="981"/>
      <c r="CM240" s="981"/>
      <c r="CN240" s="981"/>
      <c r="CO240" s="981"/>
      <c r="CP240" s="981"/>
      <c r="CQ240" s="981"/>
      <c r="CR240" s="981"/>
      <c r="CS240" s="981"/>
      <c r="CT240" s="981"/>
      <c r="CU240" s="981"/>
    </row>
    <row r="241">
      <c r="A241" s="1392"/>
      <c r="B241" s="788" t="s">
        <v>1256</v>
      </c>
      <c r="C241" s="784" t="s">
        <v>1256</v>
      </c>
      <c r="D241" s="785" t="s">
        <v>1256</v>
      </c>
      <c r="E241" s="786" t="s">
        <v>1256</v>
      </c>
      <c r="F241" s="787" t="s">
        <v>1256</v>
      </c>
      <c r="G241" s="788" t="s">
        <v>1256</v>
      </c>
      <c r="H241" s="1397"/>
      <c r="I241" s="1397"/>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2"/>
      <c r="BX241" s="1332"/>
      <c r="BY241" s="981"/>
      <c r="BZ241" s="1332"/>
      <c r="CA241" s="1332"/>
      <c r="CB241" s="981"/>
      <c r="CC241" s="981"/>
      <c r="CD241" s="1332"/>
      <c r="CE241" s="981"/>
      <c r="CF241" s="981"/>
      <c r="CG241" s="981"/>
      <c r="CH241" s="981"/>
      <c r="CI241" s="981"/>
      <c r="CJ241" s="981"/>
      <c r="CK241" s="981"/>
      <c r="CL241" s="981"/>
      <c r="CM241" s="981"/>
      <c r="CN241" s="981"/>
      <c r="CO241" s="981"/>
      <c r="CP241" s="981"/>
      <c r="CQ241" s="981"/>
      <c r="CR241" s="981"/>
      <c r="CS241" s="981"/>
      <c r="CT241" s="981"/>
      <c r="CU241" s="981"/>
    </row>
    <row r="242">
      <c r="A242" s="1392"/>
      <c r="B242" s="788" t="s">
        <v>1256</v>
      </c>
      <c r="C242" s="784" t="s">
        <v>1256</v>
      </c>
      <c r="D242" s="785" t="s">
        <v>1256</v>
      </c>
      <c r="E242" s="786" t="s">
        <v>1256</v>
      </c>
      <c r="F242" s="787" t="s">
        <v>1256</v>
      </c>
      <c r="G242" s="788" t="s">
        <v>1256</v>
      </c>
      <c r="H242" s="1397"/>
      <c r="I242" s="1397"/>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2"/>
      <c r="BX242" s="1332"/>
      <c r="BY242" s="981"/>
      <c r="BZ242" s="1332"/>
      <c r="CA242" s="1332"/>
      <c r="CB242" s="981"/>
      <c r="CC242" s="981"/>
      <c r="CD242" s="1332"/>
      <c r="CE242" s="981"/>
      <c r="CF242" s="981"/>
      <c r="CG242" s="981"/>
      <c r="CH242" s="981"/>
      <c r="CI242" s="981"/>
      <c r="CJ242" s="981"/>
      <c r="CK242" s="981"/>
      <c r="CL242" s="981"/>
      <c r="CM242" s="981"/>
      <c r="CN242" s="981"/>
      <c r="CO242" s="981"/>
      <c r="CP242" s="981"/>
      <c r="CQ242" s="981"/>
      <c r="CR242" s="981"/>
      <c r="CS242" s="981"/>
      <c r="CT242" s="981"/>
      <c r="CU242" s="981"/>
    </row>
    <row r="243">
      <c r="A243" s="1392"/>
      <c r="B243" s="788" t="s">
        <v>1256</v>
      </c>
      <c r="C243" s="784" t="s">
        <v>1256</v>
      </c>
      <c r="D243" s="785" t="s">
        <v>1256</v>
      </c>
      <c r="E243" s="786" t="s">
        <v>1256</v>
      </c>
      <c r="F243" s="787" t="s">
        <v>1256</v>
      </c>
      <c r="G243" s="788" t="s">
        <v>1256</v>
      </c>
      <c r="H243" s="1397"/>
      <c r="I243" s="1397"/>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2"/>
      <c r="BX243" s="1332"/>
      <c r="BY243" s="981"/>
      <c r="BZ243" s="1332"/>
      <c r="CA243" s="1332"/>
      <c r="CB243" s="981"/>
      <c r="CC243" s="981"/>
      <c r="CD243" s="1332"/>
      <c r="CE243" s="981"/>
      <c r="CF243" s="981"/>
      <c r="CG243" s="981"/>
      <c r="CH243" s="981"/>
      <c r="CI243" s="981"/>
      <c r="CJ243" s="981"/>
      <c r="CK243" s="981"/>
      <c r="CL243" s="981"/>
      <c r="CM243" s="981"/>
      <c r="CN243" s="981"/>
      <c r="CO243" s="981"/>
      <c r="CP243" s="981"/>
      <c r="CQ243" s="981"/>
      <c r="CR243" s="981"/>
      <c r="CS243" s="981"/>
      <c r="CT243" s="981"/>
      <c r="CU243" s="981"/>
    </row>
    <row r="244">
      <c r="A244" s="1392"/>
      <c r="B244" s="788" t="s">
        <v>1256</v>
      </c>
      <c r="C244" s="784" t="s">
        <v>1256</v>
      </c>
      <c r="D244" s="785" t="s">
        <v>1256</v>
      </c>
      <c r="E244" s="786" t="s">
        <v>1256</v>
      </c>
      <c r="F244" s="787" t="s">
        <v>1256</v>
      </c>
      <c r="G244" s="788" t="s">
        <v>1256</v>
      </c>
      <c r="H244" s="1397"/>
      <c r="I244" s="1397"/>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2"/>
      <c r="BX244" s="1332"/>
      <c r="BY244" s="981"/>
      <c r="BZ244" s="1332"/>
      <c r="CA244" s="1332"/>
      <c r="CB244" s="981"/>
      <c r="CC244" s="981"/>
      <c r="CD244" s="1332"/>
      <c r="CE244" s="981"/>
      <c r="CF244" s="981"/>
      <c r="CG244" s="981"/>
      <c r="CH244" s="981"/>
      <c r="CI244" s="981"/>
      <c r="CJ244" s="981"/>
      <c r="CK244" s="981"/>
      <c r="CL244" s="981"/>
      <c r="CM244" s="981"/>
      <c r="CN244" s="981"/>
      <c r="CO244" s="981"/>
      <c r="CP244" s="981"/>
      <c r="CQ244" s="981"/>
      <c r="CR244" s="981"/>
      <c r="CS244" s="981"/>
      <c r="CT244" s="981"/>
      <c r="CU244" s="981"/>
    </row>
    <row r="245">
      <c r="A245" s="1392"/>
      <c r="B245" s="788" t="s">
        <v>1256</v>
      </c>
      <c r="C245" s="784" t="s">
        <v>1256</v>
      </c>
      <c r="D245" s="785" t="s">
        <v>1256</v>
      </c>
      <c r="E245" s="786" t="s">
        <v>1256</v>
      </c>
      <c r="F245" s="787" t="s">
        <v>1256</v>
      </c>
      <c r="G245" s="788" t="s">
        <v>1256</v>
      </c>
      <c r="H245" s="1397"/>
      <c r="I245" s="1397"/>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2"/>
      <c r="BX245" s="1332"/>
      <c r="BY245" s="981"/>
      <c r="BZ245" s="1332"/>
      <c r="CA245" s="1332"/>
      <c r="CB245" s="981"/>
      <c r="CC245" s="981"/>
      <c r="CD245" s="1332"/>
      <c r="CE245" s="981"/>
      <c r="CF245" s="981"/>
      <c r="CG245" s="981"/>
      <c r="CH245" s="981"/>
      <c r="CI245" s="981"/>
      <c r="CJ245" s="981"/>
      <c r="CK245" s="981"/>
      <c r="CL245" s="981"/>
      <c r="CM245" s="981"/>
      <c r="CN245" s="981"/>
      <c r="CO245" s="981"/>
      <c r="CP245" s="981"/>
      <c r="CQ245" s="981"/>
      <c r="CR245" s="981"/>
      <c r="CS245" s="981"/>
      <c r="CT245" s="981"/>
      <c r="CU245" s="981"/>
    </row>
    <row r="246">
      <c r="A246" s="1392"/>
      <c r="B246" s="788" t="s">
        <v>1256</v>
      </c>
      <c r="C246" s="784" t="s">
        <v>1256</v>
      </c>
      <c r="D246" s="785" t="s">
        <v>1256</v>
      </c>
      <c r="E246" s="786" t="s">
        <v>1256</v>
      </c>
      <c r="F246" s="787" t="s">
        <v>1256</v>
      </c>
      <c r="G246" s="788" t="s">
        <v>1256</v>
      </c>
      <c r="H246" s="1397"/>
      <c r="I246" s="1397"/>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2"/>
      <c r="BX246" s="1332"/>
      <c r="BY246" s="981"/>
      <c r="BZ246" s="1332"/>
      <c r="CA246" s="1332"/>
      <c r="CB246" s="981"/>
      <c r="CC246" s="981"/>
      <c r="CD246" s="1332"/>
      <c r="CE246" s="981"/>
      <c r="CF246" s="981"/>
      <c r="CG246" s="981"/>
      <c r="CH246" s="981"/>
      <c r="CI246" s="981"/>
      <c r="CJ246" s="981"/>
      <c r="CK246" s="981"/>
      <c r="CL246" s="981"/>
      <c r="CM246" s="981"/>
      <c r="CN246" s="981"/>
      <c r="CO246" s="981"/>
      <c r="CP246" s="981"/>
      <c r="CQ246" s="981"/>
      <c r="CR246" s="981"/>
      <c r="CS246" s="981"/>
      <c r="CT246" s="981"/>
      <c r="CU246" s="981"/>
    </row>
    <row r="247">
      <c r="A247" s="1392"/>
      <c r="B247" s="788" t="s">
        <v>1256</v>
      </c>
      <c r="C247" s="784" t="s">
        <v>1256</v>
      </c>
      <c r="D247" s="785" t="s">
        <v>1256</v>
      </c>
      <c r="E247" s="786" t="s">
        <v>1256</v>
      </c>
      <c r="F247" s="787" t="s">
        <v>1256</v>
      </c>
      <c r="G247" s="788" t="s">
        <v>1256</v>
      </c>
      <c r="H247" s="1397"/>
      <c r="I247" s="1397"/>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2"/>
      <c r="BX247" s="1332"/>
      <c r="BY247" s="981"/>
      <c r="BZ247" s="1332"/>
      <c r="CA247" s="1332"/>
      <c r="CB247" s="981"/>
      <c r="CC247" s="981"/>
      <c r="CD247" s="1332"/>
      <c r="CE247" s="981"/>
      <c r="CF247" s="981"/>
      <c r="CG247" s="981"/>
      <c r="CH247" s="981"/>
      <c r="CI247" s="981"/>
      <c r="CJ247" s="981"/>
      <c r="CK247" s="981"/>
      <c r="CL247" s="981"/>
      <c r="CM247" s="981"/>
      <c r="CN247" s="981"/>
      <c r="CO247" s="981"/>
      <c r="CP247" s="981"/>
      <c r="CQ247" s="981"/>
      <c r="CR247" s="981"/>
      <c r="CS247" s="981"/>
      <c r="CT247" s="981"/>
      <c r="CU247" s="981"/>
    </row>
    <row r="248">
      <c r="A248" s="1392"/>
      <c r="B248" s="788" t="s">
        <v>1256</v>
      </c>
      <c r="C248" s="784" t="s">
        <v>1256</v>
      </c>
      <c r="D248" s="785" t="s">
        <v>1256</v>
      </c>
      <c r="E248" s="786" t="s">
        <v>1256</v>
      </c>
      <c r="F248" s="787" t="s">
        <v>1256</v>
      </c>
      <c r="G248" s="788" t="s">
        <v>1256</v>
      </c>
      <c r="H248" s="1397"/>
      <c r="I248" s="1397"/>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2"/>
      <c r="BX248" s="1332"/>
      <c r="BY248" s="981"/>
      <c r="BZ248" s="1332"/>
      <c r="CA248" s="1332"/>
      <c r="CB248" s="981"/>
      <c r="CC248" s="981"/>
      <c r="CD248" s="1332"/>
      <c r="CE248" s="981"/>
      <c r="CF248" s="981"/>
      <c r="CG248" s="981"/>
      <c r="CH248" s="981"/>
      <c r="CI248" s="981"/>
      <c r="CJ248" s="981"/>
      <c r="CK248" s="981"/>
      <c r="CL248" s="981"/>
      <c r="CM248" s="981"/>
      <c r="CN248" s="981"/>
      <c r="CO248" s="981"/>
      <c r="CP248" s="981"/>
      <c r="CQ248" s="981"/>
      <c r="CR248" s="981"/>
      <c r="CS248" s="981"/>
      <c r="CT248" s="981"/>
      <c r="CU248" s="981"/>
    </row>
    <row r="249">
      <c r="A249" s="1392"/>
      <c r="B249" s="788" t="s">
        <v>1256</v>
      </c>
      <c r="C249" s="784" t="s">
        <v>1256</v>
      </c>
      <c r="D249" s="785" t="s">
        <v>1256</v>
      </c>
      <c r="E249" s="786" t="s">
        <v>1256</v>
      </c>
      <c r="F249" s="787" t="s">
        <v>1256</v>
      </c>
      <c r="G249" s="788" t="s">
        <v>1256</v>
      </c>
      <c r="H249" s="1397"/>
      <c r="I249" s="1397"/>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2"/>
      <c r="BX249" s="1332"/>
      <c r="BY249" s="981"/>
      <c r="BZ249" s="1332"/>
      <c r="CA249" s="1332"/>
      <c r="CB249" s="981"/>
      <c r="CC249" s="981"/>
      <c r="CD249" s="1332"/>
      <c r="CE249" s="981"/>
      <c r="CF249" s="981"/>
      <c r="CG249" s="981"/>
      <c r="CH249" s="981"/>
      <c r="CI249" s="981"/>
      <c r="CJ249" s="981"/>
      <c r="CK249" s="981"/>
      <c r="CL249" s="981"/>
      <c r="CM249" s="981"/>
      <c r="CN249" s="981"/>
      <c r="CO249" s="981"/>
      <c r="CP249" s="981"/>
      <c r="CQ249" s="981"/>
      <c r="CR249" s="981"/>
      <c r="CS249" s="981"/>
      <c r="CT249" s="981"/>
      <c r="CU249" s="981"/>
    </row>
    <row r="250">
      <c r="A250" s="1392"/>
      <c r="B250" s="788" t="s">
        <v>1256</v>
      </c>
      <c r="C250" s="784" t="s">
        <v>1256</v>
      </c>
      <c r="D250" s="785" t="s">
        <v>1256</v>
      </c>
      <c r="E250" s="786" t="s">
        <v>1256</v>
      </c>
      <c r="F250" s="787" t="s">
        <v>1256</v>
      </c>
      <c r="G250" s="788" t="s">
        <v>1256</v>
      </c>
      <c r="H250" s="1397"/>
      <c r="I250" s="1397"/>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2"/>
      <c r="BX250" s="1332"/>
      <c r="BY250" s="981"/>
      <c r="BZ250" s="1332"/>
      <c r="CA250" s="1332"/>
      <c r="CB250" s="981"/>
      <c r="CC250" s="981"/>
      <c r="CD250" s="1332"/>
      <c r="CE250" s="981"/>
      <c r="CF250" s="981"/>
      <c r="CG250" s="981"/>
      <c r="CH250" s="981"/>
      <c r="CI250" s="981"/>
      <c r="CJ250" s="981"/>
      <c r="CK250" s="981"/>
      <c r="CL250" s="981"/>
      <c r="CM250" s="981"/>
      <c r="CN250" s="981"/>
      <c r="CO250" s="981"/>
      <c r="CP250" s="981"/>
      <c r="CQ250" s="981"/>
      <c r="CR250" s="981"/>
      <c r="CS250" s="981"/>
      <c r="CT250" s="981"/>
      <c r="CU250" s="981"/>
    </row>
    <row r="251">
      <c r="A251" s="1392"/>
      <c r="B251" s="788" t="s">
        <v>1256</v>
      </c>
      <c r="C251" s="784" t="s">
        <v>1256</v>
      </c>
      <c r="D251" s="785" t="s">
        <v>1256</v>
      </c>
      <c r="E251" s="786" t="s">
        <v>1256</v>
      </c>
      <c r="F251" s="787" t="s">
        <v>1256</v>
      </c>
      <c r="G251" s="788" t="s">
        <v>1256</v>
      </c>
      <c r="H251" s="1397"/>
      <c r="I251" s="1397"/>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2"/>
      <c r="BX251" s="1332"/>
      <c r="BY251" s="981"/>
      <c r="BZ251" s="1332"/>
      <c r="CA251" s="1332"/>
      <c r="CB251" s="981"/>
      <c r="CC251" s="981"/>
      <c r="CD251" s="1332"/>
      <c r="CE251" s="981"/>
      <c r="CF251" s="981"/>
      <c r="CG251" s="981"/>
      <c r="CH251" s="981"/>
      <c r="CI251" s="981"/>
      <c r="CJ251" s="981"/>
      <c r="CK251" s="981"/>
      <c r="CL251" s="981"/>
      <c r="CM251" s="981"/>
      <c r="CN251" s="981"/>
      <c r="CO251" s="981"/>
      <c r="CP251" s="981"/>
      <c r="CQ251" s="981"/>
      <c r="CR251" s="981"/>
      <c r="CS251" s="981"/>
      <c r="CT251" s="981"/>
      <c r="CU251" s="981"/>
    </row>
    <row r="252">
      <c r="A252" s="1392"/>
      <c r="B252" s="788" t="s">
        <v>1256</v>
      </c>
      <c r="C252" s="784" t="s">
        <v>1256</v>
      </c>
      <c r="D252" s="785" t="s">
        <v>1256</v>
      </c>
      <c r="E252" s="786" t="s">
        <v>1256</v>
      </c>
      <c r="F252" s="787" t="s">
        <v>1256</v>
      </c>
      <c r="G252" s="788" t="s">
        <v>1256</v>
      </c>
      <c r="H252" s="1397"/>
      <c r="I252" s="1397"/>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2"/>
      <c r="BX252" s="1332"/>
      <c r="BY252" s="981"/>
      <c r="BZ252" s="1332"/>
      <c r="CA252" s="1332"/>
      <c r="CB252" s="981"/>
      <c r="CC252" s="981"/>
      <c r="CD252" s="1332"/>
      <c r="CE252" s="981"/>
      <c r="CF252" s="981"/>
      <c r="CG252" s="981"/>
      <c r="CH252" s="981"/>
      <c r="CI252" s="981"/>
      <c r="CJ252" s="981"/>
      <c r="CK252" s="981"/>
      <c r="CL252" s="981"/>
      <c r="CM252" s="981"/>
      <c r="CN252" s="981"/>
      <c r="CO252" s="981"/>
      <c r="CP252" s="981"/>
      <c r="CQ252" s="981"/>
      <c r="CR252" s="981"/>
      <c r="CS252" s="981"/>
      <c r="CT252" s="981"/>
      <c r="CU252" s="981"/>
    </row>
    <row r="253">
      <c r="A253" s="1392"/>
      <c r="B253" s="788" t="s">
        <v>1256</v>
      </c>
      <c r="C253" s="784" t="s">
        <v>1256</v>
      </c>
      <c r="D253" s="785" t="s">
        <v>1256</v>
      </c>
      <c r="E253" s="786" t="s">
        <v>1256</v>
      </c>
      <c r="F253" s="787" t="s">
        <v>1256</v>
      </c>
      <c r="G253" s="788" t="s">
        <v>1256</v>
      </c>
      <c r="H253" s="1397"/>
      <c r="I253" s="1397"/>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2"/>
      <c r="BX253" s="1332"/>
      <c r="BY253" s="981"/>
      <c r="BZ253" s="1332"/>
      <c r="CA253" s="1332"/>
      <c r="CB253" s="981"/>
      <c r="CC253" s="981"/>
      <c r="CD253" s="1332"/>
      <c r="CE253" s="981"/>
      <c r="CF253" s="981"/>
      <c r="CG253" s="981"/>
      <c r="CH253" s="981"/>
      <c r="CI253" s="981"/>
      <c r="CJ253" s="981"/>
      <c r="CK253" s="981"/>
      <c r="CL253" s="981"/>
      <c r="CM253" s="981"/>
      <c r="CN253" s="981"/>
      <c r="CO253" s="981"/>
      <c r="CP253" s="981"/>
      <c r="CQ253" s="981"/>
      <c r="CR253" s="981"/>
      <c r="CS253" s="981"/>
      <c r="CT253" s="981"/>
      <c r="CU253" s="981"/>
    </row>
    <row r="254">
      <c r="A254" s="1392"/>
      <c r="B254" s="788" t="s">
        <v>1256</v>
      </c>
      <c r="C254" s="784" t="s">
        <v>1256</v>
      </c>
      <c r="D254" s="785" t="s">
        <v>1256</v>
      </c>
      <c r="E254" s="786" t="s">
        <v>1256</v>
      </c>
      <c r="F254" s="787" t="s">
        <v>1256</v>
      </c>
      <c r="G254" s="788" t="s">
        <v>1256</v>
      </c>
      <c r="H254" s="1397"/>
      <c r="I254" s="1397"/>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2"/>
      <c r="BX254" s="1332"/>
      <c r="BY254" s="981"/>
      <c r="BZ254" s="1332"/>
      <c r="CA254" s="1332"/>
      <c r="CB254" s="981"/>
      <c r="CC254" s="981"/>
      <c r="CD254" s="1332"/>
      <c r="CE254" s="981"/>
      <c r="CF254" s="981"/>
      <c r="CG254" s="981"/>
      <c r="CH254" s="981"/>
      <c r="CI254" s="981"/>
      <c r="CJ254" s="981"/>
      <c r="CK254" s="981"/>
      <c r="CL254" s="981"/>
      <c r="CM254" s="981"/>
      <c r="CN254" s="981"/>
      <c r="CO254" s="981"/>
      <c r="CP254" s="981"/>
      <c r="CQ254" s="981"/>
      <c r="CR254" s="981"/>
      <c r="CS254" s="981"/>
      <c r="CT254" s="981"/>
      <c r="CU254" s="981"/>
    </row>
    <row r="255">
      <c r="A255" s="1392"/>
      <c r="B255" s="788" t="s">
        <v>1256</v>
      </c>
      <c r="C255" s="784" t="s">
        <v>1256</v>
      </c>
      <c r="D255" s="785" t="s">
        <v>1256</v>
      </c>
      <c r="E255" s="786" t="s">
        <v>1256</v>
      </c>
      <c r="F255" s="787" t="s">
        <v>1256</v>
      </c>
      <c r="G255" s="788" t="s">
        <v>1256</v>
      </c>
      <c r="H255" s="1397"/>
      <c r="I255" s="1397"/>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2"/>
      <c r="BX255" s="1332"/>
      <c r="BY255" s="981"/>
      <c r="BZ255" s="1332"/>
      <c r="CA255" s="1332"/>
      <c r="CB255" s="981"/>
      <c r="CC255" s="981"/>
      <c r="CD255" s="1332"/>
      <c r="CE255" s="981"/>
      <c r="CF255" s="981"/>
      <c r="CG255" s="981"/>
      <c r="CH255" s="981"/>
      <c r="CI255" s="981"/>
      <c r="CJ255" s="981"/>
      <c r="CK255" s="981"/>
      <c r="CL255" s="981"/>
      <c r="CM255" s="981"/>
      <c r="CN255" s="981"/>
      <c r="CO255" s="981"/>
      <c r="CP255" s="981"/>
      <c r="CQ255" s="981"/>
      <c r="CR255" s="981"/>
      <c r="CS255" s="981"/>
      <c r="CT255" s="981"/>
      <c r="CU255" s="981"/>
    </row>
    <row r="256">
      <c r="A256" s="1392"/>
      <c r="B256" s="788" t="s">
        <v>1256</v>
      </c>
      <c r="C256" s="784" t="s">
        <v>1256</v>
      </c>
      <c r="D256" s="785" t="s">
        <v>1256</v>
      </c>
      <c r="E256" s="786" t="s">
        <v>1256</v>
      </c>
      <c r="F256" s="787" t="s">
        <v>1256</v>
      </c>
      <c r="G256" s="788" t="s">
        <v>1256</v>
      </c>
      <c r="H256" s="1397"/>
      <c r="I256" s="1397"/>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2"/>
      <c r="BX256" s="1332"/>
      <c r="BY256" s="981"/>
      <c r="BZ256" s="1332"/>
      <c r="CA256" s="1332"/>
      <c r="CB256" s="981"/>
      <c r="CC256" s="981"/>
      <c r="CD256" s="1332"/>
      <c r="CE256" s="981"/>
      <c r="CF256" s="981"/>
      <c r="CG256" s="981"/>
      <c r="CH256" s="981"/>
      <c r="CI256" s="981"/>
      <c r="CJ256" s="981"/>
      <c r="CK256" s="981"/>
      <c r="CL256" s="981"/>
      <c r="CM256" s="981"/>
      <c r="CN256" s="981"/>
      <c r="CO256" s="981"/>
      <c r="CP256" s="981"/>
      <c r="CQ256" s="981"/>
      <c r="CR256" s="981"/>
      <c r="CS256" s="981"/>
      <c r="CT256" s="981"/>
      <c r="CU256" s="981"/>
    </row>
    <row r="257">
      <c r="A257" s="1392"/>
      <c r="B257" s="788" t="s">
        <v>1256</v>
      </c>
      <c r="C257" s="784" t="s">
        <v>1256</v>
      </c>
      <c r="D257" s="785" t="s">
        <v>1256</v>
      </c>
      <c r="E257" s="786" t="s">
        <v>1256</v>
      </c>
      <c r="F257" s="787" t="s">
        <v>1256</v>
      </c>
      <c r="G257" s="788" t="s">
        <v>1256</v>
      </c>
      <c r="H257" s="1397"/>
      <c r="I257" s="1397"/>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2"/>
      <c r="BX257" s="1332"/>
      <c r="BY257" s="981"/>
      <c r="BZ257" s="1332"/>
      <c r="CA257" s="1332"/>
      <c r="CB257" s="981"/>
      <c r="CC257" s="981"/>
      <c r="CD257" s="1332"/>
      <c r="CE257" s="981"/>
      <c r="CF257" s="981"/>
      <c r="CG257" s="981"/>
      <c r="CH257" s="981"/>
      <c r="CI257" s="981"/>
      <c r="CJ257" s="981"/>
      <c r="CK257" s="981"/>
      <c r="CL257" s="981"/>
      <c r="CM257" s="981"/>
      <c r="CN257" s="981"/>
      <c r="CO257" s="981"/>
      <c r="CP257" s="981"/>
      <c r="CQ257" s="981"/>
      <c r="CR257" s="981"/>
      <c r="CS257" s="981"/>
      <c r="CT257" s="981"/>
      <c r="CU257" s="981"/>
    </row>
    <row r="258">
      <c r="A258" s="1392"/>
      <c r="B258" s="788" t="s">
        <v>1256</v>
      </c>
      <c r="C258" s="784" t="s">
        <v>1256</v>
      </c>
      <c r="D258" s="785" t="s">
        <v>1256</v>
      </c>
      <c r="E258" s="786" t="s">
        <v>1256</v>
      </c>
      <c r="F258" s="787" t="s">
        <v>1256</v>
      </c>
      <c r="G258" s="788" t="s">
        <v>1256</v>
      </c>
      <c r="H258" s="1397"/>
      <c r="I258" s="1397"/>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2"/>
      <c r="BX258" s="1332"/>
      <c r="BY258" s="981"/>
      <c r="BZ258" s="1332"/>
      <c r="CA258" s="1332"/>
      <c r="CB258" s="981"/>
      <c r="CC258" s="981"/>
      <c r="CD258" s="1332"/>
      <c r="CE258" s="981"/>
      <c r="CF258" s="981"/>
      <c r="CG258" s="981"/>
      <c r="CH258" s="981"/>
      <c r="CI258" s="981"/>
      <c r="CJ258" s="981"/>
      <c r="CK258" s="981"/>
      <c r="CL258" s="981"/>
      <c r="CM258" s="981"/>
      <c r="CN258" s="981"/>
      <c r="CO258" s="981"/>
      <c r="CP258" s="981"/>
      <c r="CQ258" s="981"/>
      <c r="CR258" s="981"/>
      <c r="CS258" s="981"/>
      <c r="CT258" s="981"/>
      <c r="CU258" s="981"/>
    </row>
    <row r="259">
      <c r="A259" s="1392"/>
      <c r="B259" s="788" t="s">
        <v>1256</v>
      </c>
      <c r="C259" s="784" t="s">
        <v>1256</v>
      </c>
      <c r="D259" s="785" t="s">
        <v>1256</v>
      </c>
      <c r="E259" s="786" t="s">
        <v>1256</v>
      </c>
      <c r="F259" s="787" t="s">
        <v>1256</v>
      </c>
      <c r="G259" s="788" t="s">
        <v>1256</v>
      </c>
      <c r="H259" s="1397"/>
      <c r="I259" s="1397"/>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2"/>
      <c r="BX259" s="1332"/>
      <c r="BY259" s="981"/>
      <c r="BZ259" s="1332"/>
      <c r="CA259" s="1332"/>
      <c r="CB259" s="981"/>
      <c r="CC259" s="981"/>
      <c r="CD259" s="1332"/>
      <c r="CE259" s="981"/>
      <c r="CF259" s="981"/>
      <c r="CG259" s="981"/>
      <c r="CH259" s="981"/>
      <c r="CI259" s="981"/>
      <c r="CJ259" s="981"/>
      <c r="CK259" s="981"/>
      <c r="CL259" s="981"/>
      <c r="CM259" s="981"/>
      <c r="CN259" s="981"/>
      <c r="CO259" s="981"/>
      <c r="CP259" s="981"/>
      <c r="CQ259" s="981"/>
      <c r="CR259" s="981"/>
      <c r="CS259" s="981"/>
      <c r="CT259" s="981"/>
      <c r="CU259" s="981"/>
    </row>
    <row r="260">
      <c r="A260" s="1392"/>
      <c r="B260" s="788" t="s">
        <v>1256</v>
      </c>
      <c r="C260" s="784" t="s">
        <v>1256</v>
      </c>
      <c r="D260" s="785" t="s">
        <v>1256</v>
      </c>
      <c r="E260" s="786" t="s">
        <v>1256</v>
      </c>
      <c r="F260" s="787" t="s">
        <v>1256</v>
      </c>
      <c r="G260" s="788" t="s">
        <v>1256</v>
      </c>
      <c r="H260" s="1397"/>
      <c r="I260" s="1397"/>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2"/>
      <c r="BX260" s="1332"/>
      <c r="BY260" s="981"/>
      <c r="BZ260" s="1332"/>
      <c r="CA260" s="1332"/>
      <c r="CB260" s="981"/>
      <c r="CC260" s="981"/>
      <c r="CD260" s="1332"/>
      <c r="CE260" s="981"/>
      <c r="CF260" s="981"/>
      <c r="CG260" s="981"/>
      <c r="CH260" s="981"/>
      <c r="CI260" s="981"/>
      <c r="CJ260" s="981"/>
      <c r="CK260" s="981"/>
      <c r="CL260" s="981"/>
      <c r="CM260" s="981"/>
      <c r="CN260" s="981"/>
      <c r="CO260" s="981"/>
      <c r="CP260" s="981"/>
      <c r="CQ260" s="981"/>
      <c r="CR260" s="981"/>
      <c r="CS260" s="981"/>
      <c r="CT260" s="981"/>
      <c r="CU260" s="981"/>
    </row>
    <row r="261">
      <c r="A261" s="1392"/>
      <c r="B261" s="788" t="s">
        <v>1256</v>
      </c>
      <c r="C261" s="784" t="s">
        <v>1256</v>
      </c>
      <c r="D261" s="785" t="s">
        <v>1256</v>
      </c>
      <c r="E261" s="786" t="s">
        <v>1256</v>
      </c>
      <c r="F261" s="787" t="s">
        <v>1256</v>
      </c>
      <c r="G261" s="788" t="s">
        <v>1256</v>
      </c>
      <c r="H261" s="1397"/>
      <c r="I261" s="1397"/>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2"/>
      <c r="BX261" s="1332"/>
      <c r="BY261" s="981"/>
      <c r="BZ261" s="1332"/>
      <c r="CA261" s="1332"/>
      <c r="CB261" s="981"/>
      <c r="CC261" s="981"/>
      <c r="CD261" s="1332"/>
      <c r="CE261" s="981"/>
      <c r="CF261" s="981"/>
      <c r="CG261" s="981"/>
      <c r="CH261" s="981"/>
      <c r="CI261" s="981"/>
      <c r="CJ261" s="981"/>
      <c r="CK261" s="981"/>
      <c r="CL261" s="981"/>
      <c r="CM261" s="981"/>
      <c r="CN261" s="981"/>
      <c r="CO261" s="981"/>
      <c r="CP261" s="981"/>
      <c r="CQ261" s="981"/>
      <c r="CR261" s="981"/>
      <c r="CS261" s="981"/>
      <c r="CT261" s="981"/>
      <c r="CU261" s="981"/>
    </row>
    <row r="262">
      <c r="A262" s="1392"/>
      <c r="B262" s="788" t="s">
        <v>1256</v>
      </c>
      <c r="C262" s="784" t="s">
        <v>1256</v>
      </c>
      <c r="D262" s="785" t="s">
        <v>1256</v>
      </c>
      <c r="E262" s="786" t="s">
        <v>1256</v>
      </c>
      <c r="F262" s="787" t="s">
        <v>1256</v>
      </c>
      <c r="G262" s="788" t="s">
        <v>1256</v>
      </c>
      <c r="H262" s="1397"/>
      <c r="I262" s="1397"/>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2"/>
      <c r="BX262" s="1332"/>
      <c r="BY262" s="981"/>
      <c r="BZ262" s="1332"/>
      <c r="CA262" s="1332"/>
      <c r="CB262" s="981"/>
      <c r="CC262" s="981"/>
      <c r="CD262" s="1332"/>
      <c r="CE262" s="981"/>
      <c r="CF262" s="981"/>
      <c r="CG262" s="981"/>
      <c r="CH262" s="981"/>
      <c r="CI262" s="981"/>
      <c r="CJ262" s="981"/>
      <c r="CK262" s="981"/>
      <c r="CL262" s="981"/>
      <c r="CM262" s="981"/>
      <c r="CN262" s="981"/>
      <c r="CO262" s="981"/>
      <c r="CP262" s="981"/>
      <c r="CQ262" s="981"/>
      <c r="CR262" s="981"/>
      <c r="CS262" s="981"/>
      <c r="CT262" s="981"/>
      <c r="CU262" s="981"/>
    </row>
    <row r="263">
      <c r="A263" s="1392"/>
      <c r="B263" s="788" t="s">
        <v>1256</v>
      </c>
      <c r="C263" s="784" t="s">
        <v>1256</v>
      </c>
      <c r="D263" s="785" t="s">
        <v>1256</v>
      </c>
      <c r="E263" s="786" t="s">
        <v>1256</v>
      </c>
      <c r="F263" s="787" t="s">
        <v>1256</v>
      </c>
      <c r="G263" s="788" t="s">
        <v>1256</v>
      </c>
      <c r="H263" s="1397"/>
      <c r="I263" s="1397"/>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2"/>
      <c r="BX263" s="1332"/>
      <c r="BY263" s="981"/>
      <c r="BZ263" s="1332"/>
      <c r="CA263" s="1332"/>
      <c r="CB263" s="981"/>
      <c r="CC263" s="981"/>
      <c r="CD263" s="1332"/>
      <c r="CE263" s="981"/>
      <c r="CF263" s="981"/>
      <c r="CG263" s="981"/>
      <c r="CH263" s="981"/>
      <c r="CI263" s="981"/>
      <c r="CJ263" s="981"/>
      <c r="CK263" s="981"/>
      <c r="CL263" s="981"/>
      <c r="CM263" s="981"/>
      <c r="CN263" s="981"/>
      <c r="CO263" s="981"/>
      <c r="CP263" s="981"/>
      <c r="CQ263" s="981"/>
      <c r="CR263" s="981"/>
      <c r="CS263" s="981"/>
      <c r="CT263" s="981"/>
      <c r="CU263" s="981"/>
    </row>
    <row r="264">
      <c r="A264" s="1392"/>
      <c r="B264" s="788" t="s">
        <v>1256</v>
      </c>
      <c r="C264" s="784" t="s">
        <v>1256</v>
      </c>
      <c r="D264" s="785" t="s">
        <v>1256</v>
      </c>
      <c r="E264" s="786" t="s">
        <v>1256</v>
      </c>
      <c r="F264" s="787" t="s">
        <v>1256</v>
      </c>
      <c r="G264" s="788" t="s">
        <v>1256</v>
      </c>
      <c r="H264" s="1397"/>
      <c r="I264" s="1397"/>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2"/>
      <c r="BX264" s="1332"/>
      <c r="BY264" s="981"/>
      <c r="BZ264" s="1332"/>
      <c r="CA264" s="1332"/>
      <c r="CB264" s="981"/>
      <c r="CC264" s="981"/>
      <c r="CD264" s="1332"/>
      <c r="CE264" s="981"/>
      <c r="CF264" s="981"/>
      <c r="CG264" s="981"/>
      <c r="CH264" s="981"/>
      <c r="CI264" s="981"/>
      <c r="CJ264" s="981"/>
      <c r="CK264" s="981"/>
      <c r="CL264" s="981"/>
      <c r="CM264" s="981"/>
      <c r="CN264" s="981"/>
      <c r="CO264" s="981"/>
      <c r="CP264" s="981"/>
      <c r="CQ264" s="981"/>
      <c r="CR264" s="981"/>
      <c r="CS264" s="981"/>
      <c r="CT264" s="981"/>
      <c r="CU264" s="981"/>
    </row>
    <row r="265">
      <c r="A265" s="1392"/>
      <c r="B265" s="788" t="s">
        <v>1256</v>
      </c>
      <c r="C265" s="784" t="s">
        <v>1256</v>
      </c>
      <c r="D265" s="785" t="s">
        <v>1256</v>
      </c>
      <c r="E265" s="786" t="s">
        <v>1256</v>
      </c>
      <c r="F265" s="787" t="s">
        <v>1256</v>
      </c>
      <c r="G265" s="788" t="s">
        <v>1256</v>
      </c>
      <c r="H265" s="1397"/>
      <c r="I265" s="1397"/>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2"/>
      <c r="BX265" s="1332"/>
      <c r="BY265" s="981"/>
      <c r="BZ265" s="1332"/>
      <c r="CA265" s="1332"/>
      <c r="CB265" s="981"/>
      <c r="CC265" s="981"/>
      <c r="CD265" s="1332"/>
      <c r="CE265" s="981"/>
      <c r="CF265" s="981"/>
      <c r="CG265" s="981"/>
      <c r="CH265" s="981"/>
      <c r="CI265" s="981"/>
      <c r="CJ265" s="981"/>
      <c r="CK265" s="981"/>
      <c r="CL265" s="981"/>
      <c r="CM265" s="981"/>
      <c r="CN265" s="981"/>
      <c r="CO265" s="981"/>
      <c r="CP265" s="981"/>
      <c r="CQ265" s="981"/>
      <c r="CR265" s="981"/>
      <c r="CS265" s="981"/>
      <c r="CT265" s="981"/>
      <c r="CU265" s="981"/>
    </row>
    <row r="266">
      <c r="A266" s="1392"/>
      <c r="B266" s="788" t="s">
        <v>1256</v>
      </c>
      <c r="C266" s="784" t="s">
        <v>1256</v>
      </c>
      <c r="D266" s="785" t="s">
        <v>1256</v>
      </c>
      <c r="E266" s="786" t="s">
        <v>1256</v>
      </c>
      <c r="F266" s="787" t="s">
        <v>1256</v>
      </c>
      <c r="G266" s="788" t="s">
        <v>1256</v>
      </c>
      <c r="H266" s="1397"/>
      <c r="I266" s="1397"/>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2"/>
      <c r="BX266" s="1332"/>
      <c r="BY266" s="981"/>
      <c r="BZ266" s="1332"/>
      <c r="CA266" s="1332"/>
      <c r="CB266" s="981"/>
      <c r="CC266" s="981"/>
      <c r="CD266" s="1332"/>
      <c r="CE266" s="981"/>
      <c r="CF266" s="981"/>
      <c r="CG266" s="981"/>
      <c r="CH266" s="981"/>
      <c r="CI266" s="981"/>
      <c r="CJ266" s="981"/>
      <c r="CK266" s="981"/>
      <c r="CL266" s="981"/>
      <c r="CM266" s="981"/>
      <c r="CN266" s="981"/>
      <c r="CO266" s="981"/>
      <c r="CP266" s="981"/>
      <c r="CQ266" s="981"/>
      <c r="CR266" s="981"/>
      <c r="CS266" s="981"/>
      <c r="CT266" s="981"/>
      <c r="CU266" s="981"/>
    </row>
    <row r="267">
      <c r="A267" s="1392"/>
      <c r="B267" s="788" t="s">
        <v>1256</v>
      </c>
      <c r="C267" s="784" t="s">
        <v>1256</v>
      </c>
      <c r="D267" s="785" t="s">
        <v>1256</v>
      </c>
      <c r="E267" s="786" t="s">
        <v>1256</v>
      </c>
      <c r="F267" s="787" t="s">
        <v>1256</v>
      </c>
      <c r="G267" s="788" t="s">
        <v>1256</v>
      </c>
      <c r="H267" s="1397"/>
      <c r="I267" s="1397"/>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2"/>
      <c r="BX267" s="1332"/>
      <c r="BY267" s="981"/>
      <c r="BZ267" s="1332"/>
      <c r="CA267" s="1332"/>
      <c r="CB267" s="981"/>
      <c r="CC267" s="981"/>
      <c r="CD267" s="1332"/>
      <c r="CE267" s="981"/>
      <c r="CF267" s="981"/>
      <c r="CG267" s="981"/>
      <c r="CH267" s="981"/>
      <c r="CI267" s="981"/>
      <c r="CJ267" s="981"/>
      <c r="CK267" s="981"/>
      <c r="CL267" s="981"/>
      <c r="CM267" s="981"/>
      <c r="CN267" s="981"/>
      <c r="CO267" s="981"/>
      <c r="CP267" s="981"/>
      <c r="CQ267" s="981"/>
      <c r="CR267" s="981"/>
      <c r="CS267" s="981"/>
      <c r="CT267" s="981"/>
      <c r="CU267" s="981"/>
    </row>
    <row r="268">
      <c r="A268" s="1392"/>
      <c r="B268" s="788" t="s">
        <v>1256</v>
      </c>
      <c r="C268" s="784" t="s">
        <v>1256</v>
      </c>
      <c r="D268" s="785" t="s">
        <v>1256</v>
      </c>
      <c r="E268" s="786" t="s">
        <v>1256</v>
      </c>
      <c r="F268" s="787" t="s">
        <v>1256</v>
      </c>
      <c r="G268" s="788" t="s">
        <v>1256</v>
      </c>
      <c r="H268" s="1397"/>
      <c r="I268" s="1397"/>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2"/>
      <c r="BX268" s="1332"/>
      <c r="BY268" s="981"/>
      <c r="BZ268" s="1332"/>
      <c r="CA268" s="1332"/>
      <c r="CB268" s="981"/>
      <c r="CC268" s="981"/>
      <c r="CD268" s="1332"/>
      <c r="CE268" s="981"/>
      <c r="CF268" s="981"/>
      <c r="CG268" s="981"/>
      <c r="CH268" s="981"/>
      <c r="CI268" s="981"/>
      <c r="CJ268" s="981"/>
      <c r="CK268" s="981"/>
      <c r="CL268" s="981"/>
      <c r="CM268" s="981"/>
      <c r="CN268" s="981"/>
      <c r="CO268" s="981"/>
      <c r="CP268" s="981"/>
      <c r="CQ268" s="981"/>
      <c r="CR268" s="981"/>
      <c r="CS268" s="981"/>
      <c r="CT268" s="981"/>
      <c r="CU268" s="981"/>
    </row>
    <row r="269">
      <c r="A269" s="1392"/>
      <c r="B269" s="788" t="s">
        <v>1256</v>
      </c>
      <c r="C269" s="784" t="s">
        <v>1256</v>
      </c>
      <c r="D269" s="785" t="s">
        <v>1256</v>
      </c>
      <c r="E269" s="786" t="s">
        <v>1256</v>
      </c>
      <c r="F269" s="787" t="s">
        <v>1256</v>
      </c>
      <c r="G269" s="788" t="s">
        <v>1256</v>
      </c>
      <c r="H269" s="1397"/>
      <c r="I269" s="1397"/>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2"/>
      <c r="BX269" s="1332"/>
      <c r="BY269" s="981"/>
      <c r="BZ269" s="1332"/>
      <c r="CA269" s="1332"/>
      <c r="CB269" s="981"/>
      <c r="CC269" s="981"/>
      <c r="CD269" s="1332"/>
      <c r="CE269" s="981"/>
      <c r="CF269" s="981"/>
      <c r="CG269" s="981"/>
      <c r="CH269" s="981"/>
      <c r="CI269" s="981"/>
      <c r="CJ269" s="981"/>
      <c r="CK269" s="981"/>
      <c r="CL269" s="981"/>
      <c r="CM269" s="981"/>
      <c r="CN269" s="981"/>
      <c r="CO269" s="981"/>
      <c r="CP269" s="981"/>
      <c r="CQ269" s="981"/>
      <c r="CR269" s="981"/>
      <c r="CS269" s="981"/>
      <c r="CT269" s="981"/>
      <c r="CU269" s="981"/>
    </row>
    <row r="270">
      <c r="A270" s="1392"/>
      <c r="B270" s="788" t="s">
        <v>1256</v>
      </c>
      <c r="C270" s="784" t="s">
        <v>1256</v>
      </c>
      <c r="D270" s="785" t="s">
        <v>1256</v>
      </c>
      <c r="E270" s="786" t="s">
        <v>1256</v>
      </c>
      <c r="F270" s="787" t="s">
        <v>1256</v>
      </c>
      <c r="G270" s="788" t="s">
        <v>1256</v>
      </c>
      <c r="H270" s="1397"/>
      <c r="I270" s="1397"/>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2"/>
      <c r="BX270" s="1332"/>
      <c r="BY270" s="981"/>
      <c r="BZ270" s="1332"/>
      <c r="CA270" s="1332"/>
      <c r="CB270" s="981"/>
      <c r="CC270" s="981"/>
      <c r="CD270" s="1332"/>
      <c r="CE270" s="981"/>
      <c r="CF270" s="981"/>
      <c r="CG270" s="981"/>
      <c r="CH270" s="981"/>
      <c r="CI270" s="981"/>
      <c r="CJ270" s="981"/>
      <c r="CK270" s="981"/>
      <c r="CL270" s="981"/>
      <c r="CM270" s="981"/>
      <c r="CN270" s="981"/>
      <c r="CO270" s="981"/>
      <c r="CP270" s="981"/>
      <c r="CQ270" s="981"/>
      <c r="CR270" s="981"/>
      <c r="CS270" s="981"/>
      <c r="CT270" s="981"/>
      <c r="CU270" s="981"/>
    </row>
    <row r="271">
      <c r="A271" s="1392"/>
      <c r="B271" s="788" t="s">
        <v>1256</v>
      </c>
      <c r="C271" s="784" t="s">
        <v>1256</v>
      </c>
      <c r="D271" s="785" t="s">
        <v>1256</v>
      </c>
      <c r="E271" s="786" t="s">
        <v>1256</v>
      </c>
      <c r="F271" s="787" t="s">
        <v>1256</v>
      </c>
      <c r="G271" s="788" t="s">
        <v>1256</v>
      </c>
      <c r="H271" s="1397"/>
      <c r="I271" s="1397"/>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2"/>
      <c r="BX271" s="1332"/>
      <c r="BY271" s="981"/>
      <c r="BZ271" s="1332"/>
      <c r="CA271" s="1332"/>
      <c r="CB271" s="981"/>
      <c r="CC271" s="981"/>
      <c r="CD271" s="1332"/>
      <c r="CE271" s="981"/>
      <c r="CF271" s="981"/>
      <c r="CG271" s="981"/>
      <c r="CH271" s="981"/>
      <c r="CI271" s="981"/>
      <c r="CJ271" s="981"/>
      <c r="CK271" s="981"/>
      <c r="CL271" s="981"/>
      <c r="CM271" s="981"/>
      <c r="CN271" s="981"/>
      <c r="CO271" s="981"/>
      <c r="CP271" s="981"/>
      <c r="CQ271" s="981"/>
      <c r="CR271" s="981"/>
      <c r="CS271" s="981"/>
      <c r="CT271" s="981"/>
      <c r="CU271" s="981"/>
    </row>
    <row r="272">
      <c r="A272" s="1392"/>
      <c r="B272" s="788" t="s">
        <v>1256</v>
      </c>
      <c r="C272" s="784" t="s">
        <v>1256</v>
      </c>
      <c r="D272" s="785" t="s">
        <v>1256</v>
      </c>
      <c r="E272" s="786" t="s">
        <v>1256</v>
      </c>
      <c r="F272" s="787" t="s">
        <v>1256</v>
      </c>
      <c r="G272" s="788" t="s">
        <v>1256</v>
      </c>
      <c r="H272" s="1397"/>
      <c r="I272" s="1397"/>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2"/>
      <c r="BX272" s="1332"/>
      <c r="BY272" s="981"/>
      <c r="BZ272" s="1332"/>
      <c r="CA272" s="1332"/>
      <c r="CB272" s="981"/>
      <c r="CC272" s="981"/>
      <c r="CD272" s="1332"/>
      <c r="CE272" s="981"/>
      <c r="CF272" s="981"/>
      <c r="CG272" s="981"/>
      <c r="CH272" s="981"/>
      <c r="CI272" s="981"/>
      <c r="CJ272" s="981"/>
      <c r="CK272" s="981"/>
      <c r="CL272" s="981"/>
      <c r="CM272" s="981"/>
      <c r="CN272" s="981"/>
      <c r="CO272" s="981"/>
      <c r="CP272" s="981"/>
      <c r="CQ272" s="981"/>
      <c r="CR272" s="981"/>
      <c r="CS272" s="981"/>
      <c r="CT272" s="981"/>
      <c r="CU272" s="981"/>
    </row>
    <row r="273">
      <c r="A273" s="1392"/>
      <c r="B273" s="788" t="s">
        <v>1256</v>
      </c>
      <c r="C273" s="784" t="s">
        <v>1256</v>
      </c>
      <c r="D273" s="785" t="s">
        <v>1256</v>
      </c>
      <c r="E273" s="786" t="s">
        <v>1256</v>
      </c>
      <c r="F273" s="787" t="s">
        <v>1256</v>
      </c>
      <c r="G273" s="788" t="s">
        <v>1256</v>
      </c>
      <c r="H273" s="1397"/>
      <c r="I273" s="1397"/>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2"/>
      <c r="BX273" s="1332"/>
      <c r="BY273" s="981"/>
      <c r="BZ273" s="1332"/>
      <c r="CA273" s="1332"/>
      <c r="CB273" s="981"/>
      <c r="CC273" s="981"/>
      <c r="CD273" s="1332"/>
      <c r="CE273" s="981"/>
      <c r="CF273" s="981"/>
      <c r="CG273" s="981"/>
      <c r="CH273" s="981"/>
      <c r="CI273" s="981"/>
      <c r="CJ273" s="981"/>
      <c r="CK273" s="981"/>
      <c r="CL273" s="981"/>
      <c r="CM273" s="981"/>
      <c r="CN273" s="981"/>
      <c r="CO273" s="981"/>
      <c r="CP273" s="981"/>
      <c r="CQ273" s="981"/>
      <c r="CR273" s="981"/>
      <c r="CS273" s="981"/>
      <c r="CT273" s="981"/>
      <c r="CU273" s="981"/>
    </row>
    <row r="274">
      <c r="A274" s="1392"/>
      <c r="B274" s="788" t="s">
        <v>1256</v>
      </c>
      <c r="C274" s="784" t="s">
        <v>1256</v>
      </c>
      <c r="D274" s="785" t="s">
        <v>1256</v>
      </c>
      <c r="E274" s="786" t="s">
        <v>1256</v>
      </c>
      <c r="F274" s="787" t="s">
        <v>1256</v>
      </c>
      <c r="G274" s="788" t="s">
        <v>1256</v>
      </c>
      <c r="H274" s="1397"/>
      <c r="I274" s="1397"/>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2"/>
      <c r="BX274" s="1332"/>
      <c r="BY274" s="981"/>
      <c r="BZ274" s="1332"/>
      <c r="CA274" s="1332"/>
      <c r="CB274" s="981"/>
      <c r="CC274" s="981"/>
      <c r="CD274" s="1332"/>
      <c r="CE274" s="981"/>
      <c r="CF274" s="981"/>
      <c r="CG274" s="981"/>
      <c r="CH274" s="981"/>
      <c r="CI274" s="981"/>
      <c r="CJ274" s="981"/>
      <c r="CK274" s="981"/>
      <c r="CL274" s="981"/>
      <c r="CM274" s="981"/>
      <c r="CN274" s="981"/>
      <c r="CO274" s="981"/>
      <c r="CP274" s="981"/>
      <c r="CQ274" s="981"/>
      <c r="CR274" s="981"/>
      <c r="CS274" s="981"/>
      <c r="CT274" s="981"/>
      <c r="CU274" s="981"/>
    </row>
    <row r="275">
      <c r="A275" s="1392"/>
      <c r="B275" s="788" t="s">
        <v>1256</v>
      </c>
      <c r="C275" s="784" t="s">
        <v>1256</v>
      </c>
      <c r="D275" s="785" t="s">
        <v>1256</v>
      </c>
      <c r="E275" s="786" t="s">
        <v>1256</v>
      </c>
      <c r="F275" s="787" t="s">
        <v>1256</v>
      </c>
      <c r="G275" s="788" t="s">
        <v>1256</v>
      </c>
      <c r="H275" s="1397"/>
      <c r="I275" s="1397"/>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2"/>
      <c r="BX275" s="1332"/>
      <c r="BY275" s="981"/>
      <c r="BZ275" s="1332"/>
      <c r="CA275" s="1332"/>
      <c r="CB275" s="981"/>
      <c r="CC275" s="981"/>
      <c r="CD275" s="1332"/>
      <c r="CE275" s="981"/>
      <c r="CF275" s="981"/>
      <c r="CG275" s="981"/>
      <c r="CH275" s="981"/>
      <c r="CI275" s="981"/>
      <c r="CJ275" s="981"/>
      <c r="CK275" s="981"/>
      <c r="CL275" s="981"/>
      <c r="CM275" s="981"/>
      <c r="CN275" s="981"/>
      <c r="CO275" s="981"/>
      <c r="CP275" s="981"/>
      <c r="CQ275" s="981"/>
      <c r="CR275" s="981"/>
      <c r="CS275" s="981"/>
      <c r="CT275" s="981"/>
      <c r="CU275" s="981"/>
    </row>
    <row r="276">
      <c r="A276" s="1392"/>
      <c r="B276" s="788" t="s">
        <v>1256</v>
      </c>
      <c r="C276" s="784" t="s">
        <v>1256</v>
      </c>
      <c r="D276" s="785" t="s">
        <v>1256</v>
      </c>
      <c r="E276" s="786" t="s">
        <v>1256</v>
      </c>
      <c r="F276" s="787" t="s">
        <v>1256</v>
      </c>
      <c r="G276" s="788" t="s">
        <v>1256</v>
      </c>
      <c r="H276" s="1397"/>
      <c r="I276" s="1397"/>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2"/>
      <c r="BX276" s="1332"/>
      <c r="BY276" s="981"/>
      <c r="BZ276" s="1332"/>
      <c r="CA276" s="1332"/>
      <c r="CB276" s="981"/>
      <c r="CC276" s="981"/>
      <c r="CD276" s="1332"/>
      <c r="CE276" s="981"/>
      <c r="CF276" s="981"/>
      <c r="CG276" s="981"/>
      <c r="CH276" s="981"/>
      <c r="CI276" s="981"/>
      <c r="CJ276" s="981"/>
      <c r="CK276" s="981"/>
      <c r="CL276" s="981"/>
      <c r="CM276" s="981"/>
      <c r="CN276" s="981"/>
      <c r="CO276" s="981"/>
      <c r="CP276" s="981"/>
      <c r="CQ276" s="981"/>
      <c r="CR276" s="981"/>
      <c r="CS276" s="981"/>
      <c r="CT276" s="981"/>
      <c r="CU276" s="981"/>
    </row>
    <row r="277">
      <c r="A277" s="1392"/>
      <c r="B277" s="788" t="s">
        <v>1256</v>
      </c>
      <c r="C277" s="784" t="s">
        <v>1256</v>
      </c>
      <c r="D277" s="785" t="s">
        <v>1256</v>
      </c>
      <c r="E277" s="786" t="s">
        <v>1256</v>
      </c>
      <c r="F277" s="787" t="s">
        <v>1256</v>
      </c>
      <c r="G277" s="788" t="s">
        <v>1256</v>
      </c>
      <c r="H277" s="1397"/>
      <c r="I277" s="1397"/>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2"/>
      <c r="BX277" s="1332"/>
      <c r="BY277" s="981"/>
      <c r="BZ277" s="1332"/>
      <c r="CA277" s="1332"/>
      <c r="CB277" s="981"/>
      <c r="CC277" s="981"/>
      <c r="CD277" s="1332"/>
      <c r="CE277" s="981"/>
      <c r="CF277" s="981"/>
      <c r="CG277" s="981"/>
      <c r="CH277" s="981"/>
      <c r="CI277" s="981"/>
      <c r="CJ277" s="981"/>
      <c r="CK277" s="981"/>
      <c r="CL277" s="981"/>
      <c r="CM277" s="981"/>
      <c r="CN277" s="981"/>
      <c r="CO277" s="981"/>
      <c r="CP277" s="981"/>
      <c r="CQ277" s="981"/>
      <c r="CR277" s="981"/>
      <c r="CS277" s="981"/>
      <c r="CT277" s="981"/>
      <c r="CU277" s="981"/>
    </row>
    <row r="278">
      <c r="A278" s="1392"/>
      <c r="B278" s="788" t="s">
        <v>1256</v>
      </c>
      <c r="C278" s="784" t="s">
        <v>1256</v>
      </c>
      <c r="D278" s="785" t="s">
        <v>1256</v>
      </c>
      <c r="E278" s="786" t="s">
        <v>1256</v>
      </c>
      <c r="F278" s="787" t="s">
        <v>1256</v>
      </c>
      <c r="G278" s="788" t="s">
        <v>1256</v>
      </c>
      <c r="H278" s="1397"/>
      <c r="I278" s="1397"/>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2"/>
      <c r="BX278" s="1332"/>
      <c r="BY278" s="981"/>
      <c r="BZ278" s="1332"/>
      <c r="CA278" s="1332"/>
      <c r="CB278" s="981"/>
      <c r="CC278" s="981"/>
      <c r="CD278" s="1332"/>
      <c r="CE278" s="981"/>
      <c r="CF278" s="981"/>
      <c r="CG278" s="981"/>
      <c r="CH278" s="981"/>
      <c r="CI278" s="981"/>
      <c r="CJ278" s="981"/>
      <c r="CK278" s="981"/>
      <c r="CL278" s="981"/>
      <c r="CM278" s="981"/>
      <c r="CN278" s="981"/>
      <c r="CO278" s="981"/>
      <c r="CP278" s="981"/>
      <c r="CQ278" s="981"/>
      <c r="CR278" s="981"/>
      <c r="CS278" s="981"/>
      <c r="CT278" s="981"/>
      <c r="CU278" s="981"/>
    </row>
    <row r="279">
      <c r="A279" s="1392"/>
      <c r="B279" s="788" t="s">
        <v>1256</v>
      </c>
      <c r="C279" s="784" t="s">
        <v>1256</v>
      </c>
      <c r="D279" s="785" t="s">
        <v>1256</v>
      </c>
      <c r="E279" s="786" t="s">
        <v>1256</v>
      </c>
      <c r="F279" s="787" t="s">
        <v>1256</v>
      </c>
      <c r="G279" s="788" t="s">
        <v>1256</v>
      </c>
      <c r="H279" s="1397"/>
      <c r="I279" s="1397"/>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2"/>
      <c r="BX279" s="1332"/>
      <c r="BY279" s="981"/>
      <c r="BZ279" s="1332"/>
      <c r="CA279" s="1332"/>
      <c r="CB279" s="981"/>
      <c r="CC279" s="981"/>
      <c r="CD279" s="1332"/>
      <c r="CE279" s="981"/>
      <c r="CF279" s="981"/>
      <c r="CG279" s="981"/>
      <c r="CH279" s="981"/>
      <c r="CI279" s="981"/>
      <c r="CJ279" s="981"/>
      <c r="CK279" s="981"/>
      <c r="CL279" s="981"/>
      <c r="CM279" s="981"/>
      <c r="CN279" s="981"/>
      <c r="CO279" s="981"/>
      <c r="CP279" s="981"/>
      <c r="CQ279" s="981"/>
      <c r="CR279" s="981"/>
      <c r="CS279" s="981"/>
      <c r="CT279" s="981"/>
      <c r="CU279" s="981"/>
    </row>
    <row r="280">
      <c r="A280" s="1392"/>
      <c r="B280" s="788" t="s">
        <v>1256</v>
      </c>
      <c r="C280" s="784" t="s">
        <v>1256</v>
      </c>
      <c r="D280" s="785" t="s">
        <v>1256</v>
      </c>
      <c r="E280" s="786" t="s">
        <v>1256</v>
      </c>
      <c r="F280" s="787" t="s">
        <v>1256</v>
      </c>
      <c r="G280" s="788" t="s">
        <v>1256</v>
      </c>
      <c r="H280" s="1397"/>
      <c r="I280" s="1397"/>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2"/>
      <c r="BX280" s="1332"/>
      <c r="BY280" s="981"/>
      <c r="BZ280" s="1332"/>
      <c r="CA280" s="1332"/>
      <c r="CB280" s="981"/>
      <c r="CC280" s="981"/>
      <c r="CD280" s="1332"/>
      <c r="CE280" s="981"/>
      <c r="CF280" s="981"/>
      <c r="CG280" s="981"/>
      <c r="CH280" s="981"/>
      <c r="CI280" s="981"/>
      <c r="CJ280" s="981"/>
      <c r="CK280" s="981"/>
      <c r="CL280" s="981"/>
      <c r="CM280" s="981"/>
      <c r="CN280" s="981"/>
      <c r="CO280" s="981"/>
      <c r="CP280" s="981"/>
      <c r="CQ280" s="981"/>
      <c r="CR280" s="981"/>
      <c r="CS280" s="981"/>
      <c r="CT280" s="981"/>
      <c r="CU280" s="981"/>
    </row>
    <row r="281">
      <c r="A281" s="1392"/>
      <c r="B281" s="788" t="s">
        <v>1256</v>
      </c>
      <c r="C281" s="784" t="s">
        <v>1256</v>
      </c>
      <c r="D281" s="785" t="s">
        <v>1256</v>
      </c>
      <c r="E281" s="786" t="s">
        <v>1256</v>
      </c>
      <c r="F281" s="787" t="s">
        <v>1256</v>
      </c>
      <c r="G281" s="788" t="s">
        <v>1256</v>
      </c>
      <c r="H281" s="1397"/>
      <c r="I281" s="1397"/>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2"/>
      <c r="BX281" s="1332"/>
      <c r="BY281" s="981"/>
      <c r="BZ281" s="1332"/>
      <c r="CA281" s="1332"/>
      <c r="CB281" s="981"/>
      <c r="CC281" s="981"/>
      <c r="CD281" s="1332"/>
      <c r="CE281" s="981"/>
      <c r="CF281" s="981"/>
      <c r="CG281" s="981"/>
      <c r="CH281" s="981"/>
      <c r="CI281" s="981"/>
      <c r="CJ281" s="981"/>
      <c r="CK281" s="981"/>
      <c r="CL281" s="981"/>
      <c r="CM281" s="981"/>
      <c r="CN281" s="981"/>
      <c r="CO281" s="981"/>
      <c r="CP281" s="981"/>
      <c r="CQ281" s="981"/>
      <c r="CR281" s="981"/>
      <c r="CS281" s="981"/>
      <c r="CT281" s="981"/>
      <c r="CU281" s="981"/>
    </row>
    <row r="282">
      <c r="A282" s="1392"/>
      <c r="B282" s="788" t="s">
        <v>1256</v>
      </c>
      <c r="C282" s="784" t="s">
        <v>1256</v>
      </c>
      <c r="D282" s="785" t="s">
        <v>1256</v>
      </c>
      <c r="E282" s="786" t="s">
        <v>1256</v>
      </c>
      <c r="F282" s="787" t="s">
        <v>1256</v>
      </c>
      <c r="G282" s="788" t="s">
        <v>1256</v>
      </c>
      <c r="H282" s="1397"/>
      <c r="I282" s="1397"/>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2"/>
      <c r="BX282" s="1332"/>
      <c r="BY282" s="981"/>
      <c r="BZ282" s="1332"/>
      <c r="CA282" s="1332"/>
      <c r="CB282" s="981"/>
      <c r="CC282" s="981"/>
      <c r="CD282" s="1332"/>
      <c r="CE282" s="981"/>
      <c r="CF282" s="981"/>
      <c r="CG282" s="981"/>
      <c r="CH282" s="981"/>
      <c r="CI282" s="981"/>
      <c r="CJ282" s="981"/>
      <c r="CK282" s="981"/>
      <c r="CL282" s="981"/>
      <c r="CM282" s="981"/>
      <c r="CN282" s="981"/>
      <c r="CO282" s="981"/>
      <c r="CP282" s="981"/>
      <c r="CQ282" s="981"/>
      <c r="CR282" s="981"/>
      <c r="CS282" s="981"/>
      <c r="CT282" s="981"/>
      <c r="CU282" s="981"/>
    </row>
    <row r="283">
      <c r="A283" s="1392"/>
      <c r="B283" s="788" t="s">
        <v>1256</v>
      </c>
      <c r="C283" s="784" t="s">
        <v>1256</v>
      </c>
      <c r="D283" s="785" t="s">
        <v>1256</v>
      </c>
      <c r="E283" s="786" t="s">
        <v>1256</v>
      </c>
      <c r="F283" s="787" t="s">
        <v>1256</v>
      </c>
      <c r="G283" s="788" t="s">
        <v>1256</v>
      </c>
      <c r="H283" s="1397"/>
      <c r="I283" s="1397"/>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2"/>
      <c r="BX283" s="1332"/>
      <c r="BY283" s="981"/>
      <c r="BZ283" s="1332"/>
      <c r="CA283" s="1332"/>
      <c r="CB283" s="981"/>
      <c r="CC283" s="981"/>
      <c r="CD283" s="1332"/>
      <c r="CE283" s="981"/>
      <c r="CF283" s="981"/>
      <c r="CG283" s="981"/>
      <c r="CH283" s="981"/>
      <c r="CI283" s="981"/>
      <c r="CJ283" s="981"/>
      <c r="CK283" s="981"/>
      <c r="CL283" s="981"/>
      <c r="CM283" s="981"/>
      <c r="CN283" s="981"/>
      <c r="CO283" s="981"/>
      <c r="CP283" s="981"/>
      <c r="CQ283" s="981"/>
      <c r="CR283" s="981"/>
      <c r="CS283" s="981"/>
      <c r="CT283" s="981"/>
      <c r="CU283" s="981"/>
    </row>
    <row r="284">
      <c r="A284" s="1392"/>
      <c r="B284" s="788" t="s">
        <v>1256</v>
      </c>
      <c r="C284" s="784" t="s">
        <v>1256</v>
      </c>
      <c r="D284" s="785" t="s">
        <v>1256</v>
      </c>
      <c r="E284" s="786" t="s">
        <v>1256</v>
      </c>
      <c r="F284" s="787" t="s">
        <v>1256</v>
      </c>
      <c r="G284" s="788" t="s">
        <v>1256</v>
      </c>
      <c r="H284" s="1397"/>
      <c r="I284" s="1397"/>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2"/>
      <c r="BX284" s="1332"/>
      <c r="BY284" s="981"/>
      <c r="BZ284" s="1332"/>
      <c r="CA284" s="1332"/>
      <c r="CB284" s="981"/>
      <c r="CC284" s="981"/>
      <c r="CD284" s="1332"/>
      <c r="CE284" s="981"/>
      <c r="CF284" s="981"/>
      <c r="CG284" s="981"/>
      <c r="CH284" s="981"/>
      <c r="CI284" s="981"/>
      <c r="CJ284" s="981"/>
      <c r="CK284" s="981"/>
      <c r="CL284" s="981"/>
      <c r="CM284" s="981"/>
      <c r="CN284" s="981"/>
      <c r="CO284" s="981"/>
      <c r="CP284" s="981"/>
      <c r="CQ284" s="981"/>
      <c r="CR284" s="981"/>
      <c r="CS284" s="981"/>
      <c r="CT284" s="981"/>
      <c r="CU284" s="981"/>
    </row>
    <row r="285">
      <c r="A285" s="1392"/>
      <c r="B285" s="788" t="s">
        <v>1256</v>
      </c>
      <c r="C285" s="784" t="s">
        <v>1256</v>
      </c>
      <c r="D285" s="785" t="s">
        <v>1256</v>
      </c>
      <c r="E285" s="786" t="s">
        <v>1256</v>
      </c>
      <c r="F285" s="787" t="s">
        <v>1256</v>
      </c>
      <c r="G285" s="788" t="s">
        <v>1256</v>
      </c>
      <c r="H285" s="1397"/>
      <c r="I285" s="1397"/>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2"/>
      <c r="BX285" s="1332"/>
      <c r="BY285" s="981"/>
      <c r="BZ285" s="1332"/>
      <c r="CA285" s="1332"/>
      <c r="CB285" s="981"/>
      <c r="CC285" s="981"/>
      <c r="CD285" s="1332"/>
      <c r="CE285" s="981"/>
      <c r="CF285" s="981"/>
      <c r="CG285" s="981"/>
      <c r="CH285" s="981"/>
      <c r="CI285" s="981"/>
      <c r="CJ285" s="981"/>
      <c r="CK285" s="981"/>
      <c r="CL285" s="981"/>
      <c r="CM285" s="981"/>
      <c r="CN285" s="981"/>
      <c r="CO285" s="981"/>
      <c r="CP285" s="981"/>
      <c r="CQ285" s="981"/>
      <c r="CR285" s="981"/>
      <c r="CS285" s="981"/>
      <c r="CT285" s="981"/>
      <c r="CU285" s="981"/>
    </row>
    <row r="286">
      <c r="A286" s="1392"/>
      <c r="B286" s="788" t="s">
        <v>1256</v>
      </c>
      <c r="C286" s="784" t="s">
        <v>1256</v>
      </c>
      <c r="D286" s="785" t="s">
        <v>1256</v>
      </c>
      <c r="E286" s="786" t="s">
        <v>1256</v>
      </c>
      <c r="F286" s="787" t="s">
        <v>1256</v>
      </c>
      <c r="G286" s="788" t="s">
        <v>1256</v>
      </c>
      <c r="H286" s="1397"/>
      <c r="I286" s="1397"/>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2"/>
      <c r="BX286" s="1332"/>
      <c r="BY286" s="981"/>
      <c r="BZ286" s="1332"/>
      <c r="CA286" s="1332"/>
      <c r="CB286" s="981"/>
      <c r="CC286" s="981"/>
      <c r="CD286" s="1332"/>
      <c r="CE286" s="981"/>
      <c r="CF286" s="981"/>
      <c r="CG286" s="981"/>
      <c r="CH286" s="981"/>
      <c r="CI286" s="981"/>
      <c r="CJ286" s="981"/>
      <c r="CK286" s="981"/>
      <c r="CL286" s="981"/>
      <c r="CM286" s="981"/>
      <c r="CN286" s="981"/>
      <c r="CO286" s="981"/>
      <c r="CP286" s="981"/>
      <c r="CQ286" s="981"/>
      <c r="CR286" s="981"/>
      <c r="CS286" s="981"/>
      <c r="CT286" s="981"/>
      <c r="CU286" s="981"/>
    </row>
    <row r="287">
      <c r="A287" s="1392"/>
      <c r="B287" s="788" t="s">
        <v>1256</v>
      </c>
      <c r="C287" s="784" t="s">
        <v>1256</v>
      </c>
      <c r="D287" s="785" t="s">
        <v>1256</v>
      </c>
      <c r="E287" s="786" t="s">
        <v>1256</v>
      </c>
      <c r="F287" s="787" t="s">
        <v>1256</v>
      </c>
      <c r="G287" s="788" t="s">
        <v>1256</v>
      </c>
      <c r="H287" s="1397"/>
      <c r="I287" s="1397"/>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2"/>
      <c r="BX287" s="1332"/>
      <c r="BY287" s="981"/>
      <c r="BZ287" s="1332"/>
      <c r="CA287" s="1332"/>
      <c r="CB287" s="981"/>
      <c r="CC287" s="981"/>
      <c r="CD287" s="1332"/>
      <c r="CE287" s="981"/>
      <c r="CF287" s="981"/>
      <c r="CG287" s="981"/>
      <c r="CH287" s="981"/>
      <c r="CI287" s="981"/>
      <c r="CJ287" s="981"/>
      <c r="CK287" s="981"/>
      <c r="CL287" s="981"/>
      <c r="CM287" s="981"/>
      <c r="CN287" s="981"/>
      <c r="CO287" s="981"/>
      <c r="CP287" s="981"/>
      <c r="CQ287" s="981"/>
      <c r="CR287" s="981"/>
      <c r="CS287" s="981"/>
      <c r="CT287" s="981"/>
      <c r="CU287" s="981"/>
    </row>
    <row r="288">
      <c r="A288" s="1392"/>
      <c r="B288" s="788" t="s">
        <v>1256</v>
      </c>
      <c r="C288" s="784" t="s">
        <v>1256</v>
      </c>
      <c r="D288" s="785" t="s">
        <v>1256</v>
      </c>
      <c r="E288" s="786" t="s">
        <v>1256</v>
      </c>
      <c r="F288" s="787" t="s">
        <v>1256</v>
      </c>
      <c r="G288" s="788" t="s">
        <v>1256</v>
      </c>
      <c r="H288" s="1397"/>
      <c r="I288" s="1397"/>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2"/>
      <c r="BX288" s="1332"/>
      <c r="BY288" s="981"/>
      <c r="BZ288" s="1332"/>
      <c r="CA288" s="1332"/>
      <c r="CB288" s="981"/>
      <c r="CC288" s="981"/>
      <c r="CD288" s="1332"/>
      <c r="CE288" s="981"/>
      <c r="CF288" s="981"/>
      <c r="CG288" s="981"/>
      <c r="CH288" s="981"/>
      <c r="CI288" s="981"/>
      <c r="CJ288" s="981"/>
      <c r="CK288" s="981"/>
      <c r="CL288" s="981"/>
      <c r="CM288" s="981"/>
      <c r="CN288" s="981"/>
      <c r="CO288" s="981"/>
      <c r="CP288" s="981"/>
      <c r="CQ288" s="981"/>
      <c r="CR288" s="981"/>
      <c r="CS288" s="981"/>
      <c r="CT288" s="981"/>
      <c r="CU288" s="981"/>
    </row>
    <row r="289">
      <c r="A289" s="1392"/>
      <c r="B289" s="788" t="s">
        <v>1256</v>
      </c>
      <c r="C289" s="784" t="s">
        <v>1256</v>
      </c>
      <c r="D289" s="785" t="s">
        <v>1256</v>
      </c>
      <c r="E289" s="786" t="s">
        <v>1256</v>
      </c>
      <c r="F289" s="787" t="s">
        <v>1256</v>
      </c>
      <c r="G289" s="788" t="s">
        <v>1256</v>
      </c>
      <c r="H289" s="1397"/>
      <c r="I289" s="1397"/>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2"/>
      <c r="BX289" s="1332"/>
      <c r="BY289" s="981"/>
      <c r="BZ289" s="1332"/>
      <c r="CA289" s="1332"/>
      <c r="CB289" s="981"/>
      <c r="CC289" s="981"/>
      <c r="CD289" s="1332"/>
      <c r="CE289" s="981"/>
      <c r="CF289" s="981"/>
      <c r="CG289" s="981"/>
      <c r="CH289" s="981"/>
      <c r="CI289" s="981"/>
      <c r="CJ289" s="981"/>
      <c r="CK289" s="981"/>
      <c r="CL289" s="981"/>
      <c r="CM289" s="981"/>
      <c r="CN289" s="981"/>
      <c r="CO289" s="981"/>
      <c r="CP289" s="981"/>
      <c r="CQ289" s="981"/>
      <c r="CR289" s="981"/>
      <c r="CS289" s="981"/>
      <c r="CT289" s="981"/>
      <c r="CU289" s="981"/>
    </row>
    <row r="290">
      <c r="A290" s="1392"/>
      <c r="B290" s="788" t="s">
        <v>1256</v>
      </c>
      <c r="C290" s="784" t="s">
        <v>1256</v>
      </c>
      <c r="D290" s="785" t="s">
        <v>1256</v>
      </c>
      <c r="E290" s="786" t="s">
        <v>1256</v>
      </c>
      <c r="F290" s="787" t="s">
        <v>1256</v>
      </c>
      <c r="G290" s="788" t="s">
        <v>1256</v>
      </c>
      <c r="H290" s="1397"/>
      <c r="I290" s="1397"/>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2"/>
      <c r="BX290" s="1332"/>
      <c r="BY290" s="981"/>
      <c r="BZ290" s="1332"/>
      <c r="CA290" s="1332"/>
      <c r="CB290" s="981"/>
      <c r="CC290" s="981"/>
      <c r="CD290" s="1332"/>
      <c r="CE290" s="981"/>
      <c r="CF290" s="981"/>
      <c r="CG290" s="981"/>
      <c r="CH290" s="981"/>
      <c r="CI290" s="981"/>
      <c r="CJ290" s="981"/>
      <c r="CK290" s="981"/>
      <c r="CL290" s="981"/>
      <c r="CM290" s="981"/>
      <c r="CN290" s="981"/>
      <c r="CO290" s="981"/>
      <c r="CP290" s="981"/>
      <c r="CQ290" s="981"/>
      <c r="CR290" s="981"/>
      <c r="CS290" s="981"/>
      <c r="CT290" s="981"/>
      <c r="CU290" s="981"/>
    </row>
    <row r="291">
      <c r="A291" s="1392"/>
      <c r="B291" s="788" t="s">
        <v>1256</v>
      </c>
      <c r="C291" s="784" t="s">
        <v>1256</v>
      </c>
      <c r="D291" s="785" t="s">
        <v>1256</v>
      </c>
      <c r="E291" s="786" t="s">
        <v>1256</v>
      </c>
      <c r="F291" s="787" t="s">
        <v>1256</v>
      </c>
      <c r="G291" s="788" t="s">
        <v>1256</v>
      </c>
      <c r="H291" s="1397"/>
      <c r="I291" s="1397"/>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2"/>
      <c r="BX291" s="1332"/>
      <c r="BY291" s="981"/>
      <c r="BZ291" s="1332"/>
      <c r="CA291" s="1332"/>
      <c r="CB291" s="981"/>
      <c r="CC291" s="981"/>
      <c r="CD291" s="1332"/>
      <c r="CE291" s="981"/>
      <c r="CF291" s="981"/>
      <c r="CG291" s="981"/>
      <c r="CH291" s="981"/>
      <c r="CI291" s="981"/>
      <c r="CJ291" s="981"/>
      <c r="CK291" s="981"/>
      <c r="CL291" s="981"/>
      <c r="CM291" s="981"/>
      <c r="CN291" s="981"/>
      <c r="CO291" s="981"/>
      <c r="CP291" s="981"/>
      <c r="CQ291" s="981"/>
      <c r="CR291" s="981"/>
      <c r="CS291" s="981"/>
      <c r="CT291" s="981"/>
      <c r="CU291" s="981"/>
    </row>
    <row r="292">
      <c r="A292" s="1392"/>
      <c r="B292" s="788" t="s">
        <v>1256</v>
      </c>
      <c r="C292" s="784" t="s">
        <v>1256</v>
      </c>
      <c r="D292" s="785" t="s">
        <v>1256</v>
      </c>
      <c r="E292" s="786" t="s">
        <v>1256</v>
      </c>
      <c r="F292" s="787" t="s">
        <v>1256</v>
      </c>
      <c r="G292" s="788" t="s">
        <v>1256</v>
      </c>
      <c r="H292" s="1397"/>
      <c r="I292" s="1397"/>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2"/>
      <c r="BX292" s="1332"/>
      <c r="BY292" s="981"/>
      <c r="BZ292" s="1332"/>
      <c r="CA292" s="1332"/>
      <c r="CB292" s="981"/>
      <c r="CC292" s="981"/>
      <c r="CD292" s="1332"/>
      <c r="CE292" s="981"/>
      <c r="CF292" s="981"/>
      <c r="CG292" s="981"/>
      <c r="CH292" s="981"/>
      <c r="CI292" s="981"/>
      <c r="CJ292" s="981"/>
      <c r="CK292" s="981"/>
      <c r="CL292" s="981"/>
      <c r="CM292" s="981"/>
      <c r="CN292" s="981"/>
      <c r="CO292" s="981"/>
      <c r="CP292" s="981"/>
      <c r="CQ292" s="981"/>
      <c r="CR292" s="981"/>
      <c r="CS292" s="981"/>
      <c r="CT292" s="981"/>
      <c r="CU292" s="981"/>
    </row>
    <row r="293">
      <c r="A293" s="1392"/>
      <c r="B293" s="788" t="s">
        <v>1256</v>
      </c>
      <c r="C293" s="784" t="s">
        <v>1256</v>
      </c>
      <c r="D293" s="785" t="s">
        <v>1256</v>
      </c>
      <c r="E293" s="786" t="s">
        <v>1256</v>
      </c>
      <c r="F293" s="787" t="s">
        <v>1256</v>
      </c>
      <c r="G293" s="788" t="s">
        <v>1256</v>
      </c>
      <c r="H293" s="1397"/>
      <c r="I293" s="1397"/>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2"/>
      <c r="BX293" s="1332"/>
      <c r="BY293" s="981"/>
      <c r="BZ293" s="1332"/>
      <c r="CA293" s="1332"/>
      <c r="CB293" s="981"/>
      <c r="CC293" s="981"/>
      <c r="CD293" s="1332"/>
      <c r="CE293" s="981"/>
      <c r="CF293" s="981"/>
      <c r="CG293" s="981"/>
      <c r="CH293" s="981"/>
      <c r="CI293" s="981"/>
      <c r="CJ293" s="981"/>
      <c r="CK293" s="981"/>
      <c r="CL293" s="981"/>
      <c r="CM293" s="981"/>
      <c r="CN293" s="981"/>
      <c r="CO293" s="981"/>
      <c r="CP293" s="981"/>
      <c r="CQ293" s="981"/>
      <c r="CR293" s="981"/>
      <c r="CS293" s="981"/>
      <c r="CT293" s="981"/>
      <c r="CU293" s="981"/>
    </row>
    <row r="294">
      <c r="A294" s="1392"/>
      <c r="B294" s="788" t="s">
        <v>1256</v>
      </c>
      <c r="C294" s="784" t="s">
        <v>1256</v>
      </c>
      <c r="D294" s="785" t="s">
        <v>1256</v>
      </c>
      <c r="E294" s="786" t="s">
        <v>1256</v>
      </c>
      <c r="F294" s="787" t="s">
        <v>1256</v>
      </c>
      <c r="G294" s="788" t="s">
        <v>1256</v>
      </c>
      <c r="H294" s="1397"/>
      <c r="I294" s="1397"/>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2"/>
      <c r="BX294" s="1332"/>
      <c r="BY294" s="981"/>
      <c r="BZ294" s="1332"/>
      <c r="CA294" s="1332"/>
      <c r="CB294" s="981"/>
      <c r="CC294" s="981"/>
      <c r="CD294" s="1332"/>
      <c r="CE294" s="981"/>
      <c r="CF294" s="981"/>
      <c r="CG294" s="981"/>
      <c r="CH294" s="981"/>
      <c r="CI294" s="981"/>
      <c r="CJ294" s="981"/>
      <c r="CK294" s="981"/>
      <c r="CL294" s="981"/>
      <c r="CM294" s="981"/>
      <c r="CN294" s="981"/>
      <c r="CO294" s="981"/>
      <c r="CP294" s="981"/>
      <c r="CQ294" s="981"/>
      <c r="CR294" s="981"/>
      <c r="CS294" s="981"/>
      <c r="CT294" s="981"/>
      <c r="CU294" s="981"/>
    </row>
    <row r="295">
      <c r="A295" s="1392"/>
      <c r="B295" s="788" t="s">
        <v>1256</v>
      </c>
      <c r="C295" s="784" t="s">
        <v>1256</v>
      </c>
      <c r="D295" s="785" t="s">
        <v>1256</v>
      </c>
      <c r="E295" s="786" t="s">
        <v>1256</v>
      </c>
      <c r="F295" s="787" t="s">
        <v>1256</v>
      </c>
      <c r="G295" s="788" t="s">
        <v>1256</v>
      </c>
      <c r="H295" s="1397"/>
      <c r="I295" s="1397"/>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2"/>
      <c r="BX295" s="1332"/>
      <c r="BY295" s="981"/>
      <c r="BZ295" s="1332"/>
      <c r="CA295" s="1332"/>
      <c r="CB295" s="981"/>
      <c r="CC295" s="981"/>
      <c r="CD295" s="1332"/>
      <c r="CE295" s="981"/>
      <c r="CF295" s="981"/>
      <c r="CG295" s="981"/>
      <c r="CH295" s="981"/>
      <c r="CI295" s="981"/>
      <c r="CJ295" s="981"/>
      <c r="CK295" s="981"/>
      <c r="CL295" s="981"/>
      <c r="CM295" s="981"/>
      <c r="CN295" s="981"/>
      <c r="CO295" s="981"/>
      <c r="CP295" s="981"/>
      <c r="CQ295" s="981"/>
      <c r="CR295" s="981"/>
      <c r="CS295" s="981"/>
      <c r="CT295" s="981"/>
      <c r="CU295" s="981"/>
    </row>
    <row r="296">
      <c r="A296" s="1392"/>
      <c r="B296" s="788" t="s">
        <v>1256</v>
      </c>
      <c r="C296" s="784" t="s">
        <v>1256</v>
      </c>
      <c r="D296" s="785" t="s">
        <v>1256</v>
      </c>
      <c r="E296" s="786" t="s">
        <v>1256</v>
      </c>
      <c r="F296" s="787" t="s">
        <v>1256</v>
      </c>
      <c r="G296" s="788" t="s">
        <v>1256</v>
      </c>
      <c r="H296" s="1397"/>
      <c r="I296" s="1397"/>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2"/>
      <c r="BX296" s="1332"/>
      <c r="BY296" s="981"/>
      <c r="BZ296" s="1332"/>
      <c r="CA296" s="1332"/>
      <c r="CB296" s="981"/>
      <c r="CC296" s="981"/>
      <c r="CD296" s="1332"/>
      <c r="CE296" s="981"/>
      <c r="CF296" s="981"/>
      <c r="CG296" s="981"/>
      <c r="CH296" s="981"/>
      <c r="CI296" s="981"/>
      <c r="CJ296" s="981"/>
      <c r="CK296" s="981"/>
      <c r="CL296" s="981"/>
      <c r="CM296" s="981"/>
      <c r="CN296" s="981"/>
      <c r="CO296" s="981"/>
      <c r="CP296" s="981"/>
      <c r="CQ296" s="981"/>
      <c r="CR296" s="981"/>
      <c r="CS296" s="981"/>
      <c r="CT296" s="981"/>
      <c r="CU296" s="981"/>
    </row>
    <row r="297">
      <c r="A297" s="1392"/>
      <c r="B297" s="788" t="s">
        <v>1256</v>
      </c>
      <c r="C297" s="784" t="s">
        <v>1256</v>
      </c>
      <c r="D297" s="785" t="s">
        <v>1256</v>
      </c>
      <c r="E297" s="786" t="s">
        <v>1256</v>
      </c>
      <c r="F297" s="787" t="s">
        <v>1256</v>
      </c>
      <c r="G297" s="788" t="s">
        <v>1256</v>
      </c>
      <c r="H297" s="1397"/>
      <c r="I297" s="1397"/>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2"/>
      <c r="BX297" s="1332"/>
      <c r="BY297" s="981"/>
      <c r="BZ297" s="1332"/>
      <c r="CA297" s="1332"/>
      <c r="CB297" s="981"/>
      <c r="CC297" s="981"/>
      <c r="CD297" s="1332"/>
      <c r="CE297" s="981"/>
      <c r="CF297" s="981"/>
      <c r="CG297" s="981"/>
      <c r="CH297" s="981"/>
      <c r="CI297" s="981"/>
      <c r="CJ297" s="981"/>
      <c r="CK297" s="981"/>
      <c r="CL297" s="981"/>
      <c r="CM297" s="981"/>
      <c r="CN297" s="981"/>
      <c r="CO297" s="981"/>
      <c r="CP297" s="981"/>
      <c r="CQ297" s="981"/>
      <c r="CR297" s="981"/>
      <c r="CS297" s="981"/>
      <c r="CT297" s="981"/>
      <c r="CU297" s="981"/>
    </row>
    <row r="298">
      <c r="A298" s="1392"/>
      <c r="B298" s="788" t="s">
        <v>1256</v>
      </c>
      <c r="C298" s="784" t="s">
        <v>1256</v>
      </c>
      <c r="D298" s="785" t="s">
        <v>1256</v>
      </c>
      <c r="E298" s="786" t="s">
        <v>1256</v>
      </c>
      <c r="F298" s="787" t="s">
        <v>1256</v>
      </c>
      <c r="G298" s="788" t="s">
        <v>1256</v>
      </c>
      <c r="H298" s="1397"/>
      <c r="I298" s="1397"/>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2"/>
      <c r="BX298" s="1332"/>
      <c r="BY298" s="981"/>
      <c r="BZ298" s="1332"/>
      <c r="CA298" s="1332"/>
      <c r="CB298" s="981"/>
      <c r="CC298" s="981"/>
      <c r="CD298" s="1332"/>
      <c r="CE298" s="981"/>
      <c r="CF298" s="981"/>
      <c r="CG298" s="981"/>
      <c r="CH298" s="981"/>
      <c r="CI298" s="981"/>
      <c r="CJ298" s="981"/>
      <c r="CK298" s="981"/>
      <c r="CL298" s="981"/>
      <c r="CM298" s="981"/>
      <c r="CN298" s="981"/>
      <c r="CO298" s="981"/>
      <c r="CP298" s="981"/>
      <c r="CQ298" s="981"/>
      <c r="CR298" s="981"/>
      <c r="CS298" s="981"/>
      <c r="CT298" s="981"/>
      <c r="CU298" s="981"/>
    </row>
    <row r="299">
      <c r="A299" s="1392"/>
      <c r="B299" s="788" t="s">
        <v>1256</v>
      </c>
      <c r="C299" s="784" t="s">
        <v>1256</v>
      </c>
      <c r="D299" s="785" t="s">
        <v>1256</v>
      </c>
      <c r="E299" s="786" t="s">
        <v>1256</v>
      </c>
      <c r="F299" s="787" t="s">
        <v>1256</v>
      </c>
      <c r="G299" s="788" t="s">
        <v>1256</v>
      </c>
      <c r="H299" s="1397"/>
      <c r="I299" s="1397"/>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2"/>
      <c r="BX299" s="1332"/>
      <c r="BY299" s="981"/>
      <c r="BZ299" s="1332"/>
      <c r="CA299" s="1332"/>
      <c r="CB299" s="981"/>
      <c r="CC299" s="981"/>
      <c r="CD299" s="1332"/>
      <c r="CE299" s="981"/>
      <c r="CF299" s="981"/>
      <c r="CG299" s="981"/>
      <c r="CH299" s="981"/>
      <c r="CI299" s="981"/>
      <c r="CJ299" s="981"/>
      <c r="CK299" s="981"/>
      <c r="CL299" s="981"/>
      <c r="CM299" s="981"/>
      <c r="CN299" s="981"/>
      <c r="CO299" s="981"/>
      <c r="CP299" s="981"/>
      <c r="CQ299" s="981"/>
      <c r="CR299" s="981"/>
      <c r="CS299" s="981"/>
      <c r="CT299" s="981"/>
      <c r="CU299" s="981"/>
    </row>
    <row r="300">
      <c r="A300" s="1392"/>
      <c r="B300" s="788" t="s">
        <v>1256</v>
      </c>
      <c r="C300" s="784" t="s">
        <v>1256</v>
      </c>
      <c r="D300" s="785" t="s">
        <v>1256</v>
      </c>
      <c r="E300" s="786" t="s">
        <v>1256</v>
      </c>
      <c r="F300" s="787" t="s">
        <v>1256</v>
      </c>
      <c r="G300" s="788" t="s">
        <v>1256</v>
      </c>
      <c r="H300" s="1397"/>
      <c r="I300" s="1397"/>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2"/>
      <c r="BX300" s="1332"/>
      <c r="BY300" s="981"/>
      <c r="BZ300" s="1332"/>
      <c r="CA300" s="1332"/>
      <c r="CB300" s="981"/>
      <c r="CC300" s="981"/>
      <c r="CD300" s="1332"/>
      <c r="CE300" s="981"/>
      <c r="CF300" s="981"/>
      <c r="CG300" s="981"/>
      <c r="CH300" s="981"/>
      <c r="CI300" s="981"/>
      <c r="CJ300" s="981"/>
      <c r="CK300" s="981"/>
      <c r="CL300" s="981"/>
      <c r="CM300" s="981"/>
      <c r="CN300" s="981"/>
      <c r="CO300" s="981"/>
      <c r="CP300" s="981"/>
      <c r="CQ300" s="981"/>
      <c r="CR300" s="981"/>
      <c r="CS300" s="981"/>
      <c r="CT300" s="981"/>
      <c r="CU300" s="981"/>
    </row>
    <row r="301">
      <c r="A301" s="1392"/>
      <c r="B301" s="788" t="s">
        <v>1256</v>
      </c>
      <c r="C301" s="784" t="s">
        <v>1256</v>
      </c>
      <c r="D301" s="785" t="s">
        <v>1256</v>
      </c>
      <c r="E301" s="786" t="s">
        <v>1256</v>
      </c>
      <c r="F301" s="787" t="s">
        <v>1256</v>
      </c>
      <c r="G301" s="788" t="s">
        <v>1256</v>
      </c>
      <c r="H301" s="1397"/>
      <c r="I301" s="1397"/>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2"/>
      <c r="BX301" s="1332"/>
      <c r="BY301" s="981"/>
      <c r="BZ301" s="1332"/>
      <c r="CA301" s="1332"/>
      <c r="CB301" s="981"/>
      <c r="CC301" s="981"/>
      <c r="CD301" s="1332"/>
      <c r="CE301" s="981"/>
      <c r="CF301" s="981"/>
      <c r="CG301" s="981"/>
      <c r="CH301" s="981"/>
      <c r="CI301" s="981"/>
      <c r="CJ301" s="981"/>
      <c r="CK301" s="981"/>
      <c r="CL301" s="981"/>
      <c r="CM301" s="981"/>
      <c r="CN301" s="981"/>
      <c r="CO301" s="981"/>
      <c r="CP301" s="981"/>
      <c r="CQ301" s="981"/>
      <c r="CR301" s="981"/>
      <c r="CS301" s="981"/>
      <c r="CT301" s="981"/>
      <c r="CU301" s="981"/>
    </row>
    <row r="302">
      <c r="A302" s="1392"/>
      <c r="B302" s="788" t="s">
        <v>1256</v>
      </c>
      <c r="C302" s="784" t="s">
        <v>1256</v>
      </c>
      <c r="D302" s="785" t="s">
        <v>1256</v>
      </c>
      <c r="E302" s="786" t="s">
        <v>1256</v>
      </c>
      <c r="F302" s="787" t="s">
        <v>1256</v>
      </c>
      <c r="G302" s="788" t="s">
        <v>1256</v>
      </c>
      <c r="H302" s="1397"/>
      <c r="I302" s="1397"/>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2"/>
      <c r="BX302" s="1332"/>
      <c r="BY302" s="981"/>
      <c r="BZ302" s="1332"/>
      <c r="CA302" s="1332"/>
      <c r="CB302" s="981"/>
      <c r="CC302" s="981"/>
      <c r="CD302" s="1332"/>
      <c r="CE302" s="981"/>
      <c r="CF302" s="981"/>
      <c r="CG302" s="981"/>
      <c r="CH302" s="981"/>
      <c r="CI302" s="981"/>
      <c r="CJ302" s="981"/>
      <c r="CK302" s="981"/>
      <c r="CL302" s="981"/>
      <c r="CM302" s="981"/>
      <c r="CN302" s="981"/>
      <c r="CO302" s="981"/>
      <c r="CP302" s="981"/>
      <c r="CQ302" s="981"/>
      <c r="CR302" s="981"/>
      <c r="CS302" s="981"/>
      <c r="CT302" s="981"/>
      <c r="CU302" s="981"/>
    </row>
    <row r="303">
      <c r="A303" s="1392"/>
      <c r="B303" s="788"/>
      <c r="C303" s="784"/>
      <c r="D303" s="785"/>
      <c r="E303" s="786"/>
      <c r="F303" s="787"/>
      <c r="G303" s="788"/>
      <c r="H303" s="785"/>
      <c r="I303" s="1397"/>
      <c r="J303" s="1332"/>
      <c r="K303" s="1332"/>
      <c r="L303" s="1332"/>
      <c r="M303" s="1332"/>
      <c r="N303" s="1332"/>
      <c r="O303" s="981"/>
      <c r="P303" s="1332"/>
      <c r="Q303" s="1332"/>
      <c r="R303" s="1332"/>
      <c r="S303" s="981"/>
      <c r="T303" s="1332"/>
      <c r="U303" s="1332"/>
      <c r="V303" s="1332"/>
      <c r="W303" s="981"/>
      <c r="X303" s="1332"/>
      <c r="Y303" s="1332"/>
      <c r="Z303" s="1332"/>
      <c r="AA303" s="1332"/>
      <c r="AB303" s="1332"/>
      <c r="AC303" s="1332"/>
      <c r="AD303" s="1332"/>
      <c r="AE303" s="1332"/>
      <c r="AF303" s="981"/>
      <c r="AG303" s="1332"/>
      <c r="AH303" s="1332"/>
      <c r="AI303" s="1332"/>
      <c r="AJ303" s="1332"/>
      <c r="AK303" s="1332"/>
      <c r="AL303" s="1332"/>
      <c r="AM303" s="1332"/>
      <c r="AN303" s="1332"/>
      <c r="AO303" s="1332"/>
      <c r="AP303" s="1332"/>
      <c r="AQ303" s="981"/>
      <c r="AR303" s="1332"/>
      <c r="AS303" s="1332"/>
      <c r="AT303" s="1332"/>
      <c r="AU303" s="1332"/>
      <c r="AV303" s="1332"/>
      <c r="AW303" s="1332"/>
      <c r="AX303" s="1332"/>
      <c r="AY303" s="1332"/>
      <c r="AZ303" s="1332"/>
      <c r="BA303" s="1332"/>
      <c r="BB303" s="981"/>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1"/>
      <c r="CO303" s="1332"/>
      <c r="CP303" s="1332"/>
      <c r="CQ303" s="1332"/>
      <c r="CR303" s="1332"/>
      <c r="CS303" s="1332"/>
      <c r="CT303" s="1332"/>
      <c r="CU303" s="1332"/>
    </row>
    <row r="304">
      <c r="A304" s="1392"/>
      <c r="B304" s="788"/>
      <c r="C304" s="784"/>
      <c r="D304" s="785"/>
      <c r="E304" s="786"/>
      <c r="F304" s="787"/>
      <c r="G304" s="788"/>
      <c r="H304" s="785"/>
      <c r="I304" s="1397"/>
      <c r="J304" s="1332"/>
      <c r="K304" s="1332"/>
      <c r="L304" s="1332"/>
      <c r="M304" s="1332"/>
      <c r="N304" s="1332"/>
      <c r="O304" s="981"/>
      <c r="P304" s="1332"/>
      <c r="Q304" s="1332"/>
      <c r="R304" s="1332"/>
      <c r="S304" s="981"/>
      <c r="T304" s="1332"/>
      <c r="U304" s="1332"/>
      <c r="V304" s="1332"/>
      <c r="W304" s="981"/>
      <c r="X304" s="1332"/>
      <c r="Y304" s="1332"/>
      <c r="Z304" s="1332"/>
      <c r="AA304" s="1332"/>
      <c r="AB304" s="1332"/>
      <c r="AC304" s="1332"/>
      <c r="AD304" s="1332"/>
      <c r="AE304" s="1332"/>
      <c r="AF304" s="981"/>
      <c r="AG304" s="1332"/>
      <c r="AH304" s="1332"/>
      <c r="AI304" s="1332"/>
      <c r="AJ304" s="1332"/>
      <c r="AK304" s="1332"/>
      <c r="AL304" s="1332"/>
      <c r="AM304" s="1332"/>
      <c r="AN304" s="1332"/>
      <c r="AO304" s="1332"/>
      <c r="AP304" s="1332"/>
      <c r="AQ304" s="981"/>
      <c r="AR304" s="1332"/>
      <c r="AS304" s="1332"/>
      <c r="AT304" s="1332"/>
      <c r="AU304" s="1332"/>
      <c r="AV304" s="1332"/>
      <c r="AW304" s="1332"/>
      <c r="AX304" s="1332"/>
      <c r="AY304" s="1332"/>
      <c r="AZ304" s="1332"/>
      <c r="BA304" s="1332"/>
      <c r="BB304" s="981"/>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1"/>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8951</v>
      </c>
      <c r="C1" s="1463" t="s">
        <v>8952</v>
      </c>
      <c r="D1" s="1464" t="s">
        <v>8953</v>
      </c>
      <c r="E1" s="1464" t="s">
        <v>8245</v>
      </c>
      <c r="F1" s="1464" t="s">
        <v>8246</v>
      </c>
      <c r="G1" s="1464" t="s">
        <v>8954</v>
      </c>
      <c r="H1" s="1465" t="s">
        <v>8955</v>
      </c>
      <c r="I1" s="1465" t="s">
        <v>8956</v>
      </c>
      <c r="J1" s="1466" t="s">
        <v>8257</v>
      </c>
      <c r="K1" s="1466" t="s">
        <v>8957</v>
      </c>
      <c r="L1" s="1466" t="s">
        <v>8958</v>
      </c>
      <c r="M1" s="1466" t="s">
        <v>8959</v>
      </c>
      <c r="N1" s="1466" t="s">
        <v>8320</v>
      </c>
      <c r="O1" s="1466" t="s">
        <v>8960</v>
      </c>
      <c r="P1" s="1466" t="s">
        <v>8961</v>
      </c>
      <c r="Q1" s="1467" t="s">
        <v>8962</v>
      </c>
      <c r="R1" s="1467" t="s">
        <v>8253</v>
      </c>
      <c r="S1" s="1467" t="s">
        <v>8963</v>
      </c>
      <c r="T1" s="1467" t="s">
        <v>8964</v>
      </c>
      <c r="U1" s="1467" t="s">
        <v>8965</v>
      </c>
      <c r="V1" s="1467" t="s">
        <v>8966</v>
      </c>
      <c r="W1" s="1468" t="s">
        <v>8247</v>
      </c>
      <c r="X1" s="1468" t="s">
        <v>8248</v>
      </c>
      <c r="Y1" s="1468" t="s">
        <v>8967</v>
      </c>
      <c r="Z1" s="1468" t="s">
        <v>8968</v>
      </c>
      <c r="AA1" s="1468" t="s">
        <v>8250</v>
      </c>
      <c r="AB1" s="1468" t="s">
        <v>8969</v>
      </c>
      <c r="AC1" s="1468" t="s">
        <v>8970</v>
      </c>
      <c r="AD1" s="1464" t="s">
        <v>8971</v>
      </c>
      <c r="AE1" s="1464" t="s">
        <v>8972</v>
      </c>
      <c r="AF1" s="1469" t="s">
        <v>8254</v>
      </c>
      <c r="AG1" s="1469" t="s">
        <v>8973</v>
      </c>
      <c r="AH1" s="1469" t="s">
        <v>8974</v>
      </c>
      <c r="AI1" s="1469" t="s">
        <v>8255</v>
      </c>
      <c r="AJ1" s="1469" t="s">
        <v>8975</v>
      </c>
      <c r="AK1" s="1469" t="s">
        <v>8976</v>
      </c>
      <c r="AL1" s="1469" t="s">
        <v>8977</v>
      </c>
      <c r="AM1" s="1470" t="s">
        <v>8256</v>
      </c>
      <c r="AN1" s="1470" t="s">
        <v>8978</v>
      </c>
      <c r="AO1" s="1470" t="s">
        <v>8979</v>
      </c>
      <c r="AP1" s="1470" t="s">
        <v>8980</v>
      </c>
      <c r="AQ1" s="1470" t="s">
        <v>8981</v>
      </c>
      <c r="AR1" s="1470" t="s">
        <v>8982</v>
      </c>
      <c r="AS1" s="1470" t="s">
        <v>8983</v>
      </c>
      <c r="AT1" s="1471" t="s">
        <v>8984</v>
      </c>
      <c r="AU1" s="1472" t="s">
        <v>8985</v>
      </c>
      <c r="AV1" s="1473" t="s">
        <v>8986</v>
      </c>
      <c r="AW1" s="1474" t="s">
        <v>8987</v>
      </c>
    </row>
    <row r="2" ht="15.75" customHeight="1">
      <c r="A2" s="1475" t="s">
        <v>8988</v>
      </c>
      <c r="B2" s="1476" t="s">
        <v>8989</v>
      </c>
      <c r="C2" s="1477">
        <v>0.04882025462962963</v>
      </c>
      <c r="D2" s="1478" t="s">
        <v>8990</v>
      </c>
      <c r="E2" s="1478" t="s">
        <v>8991</v>
      </c>
      <c r="F2" s="1479" t="s">
        <v>8992</v>
      </c>
      <c r="G2" s="1478" t="s">
        <v>8993</v>
      </c>
      <c r="H2" s="1480" t="s">
        <v>6314</v>
      </c>
      <c r="I2" s="1480" t="s">
        <v>8994</v>
      </c>
      <c r="J2" s="1481" t="s">
        <v>5202</v>
      </c>
      <c r="K2" s="1482" t="s">
        <v>8995</v>
      </c>
      <c r="L2" s="1482" t="s">
        <v>234</v>
      </c>
      <c r="M2" s="1482" t="s">
        <v>6289</v>
      </c>
      <c r="N2" s="1482" t="s">
        <v>4067</v>
      </c>
      <c r="O2" s="1482" t="s">
        <v>8996</v>
      </c>
      <c r="P2" s="1482" t="s">
        <v>8997</v>
      </c>
      <c r="Q2" s="1483" t="s">
        <v>8998</v>
      </c>
      <c r="R2" s="1484" t="s">
        <v>8999</v>
      </c>
      <c r="S2" s="1483" t="s">
        <v>6805</v>
      </c>
      <c r="T2" s="1484" t="s">
        <v>3273</v>
      </c>
      <c r="U2" s="1483" t="s">
        <v>6984</v>
      </c>
      <c r="V2" s="1483" t="s">
        <v>3772</v>
      </c>
      <c r="W2" s="1485" t="s">
        <v>6510</v>
      </c>
      <c r="X2" s="1486" t="s">
        <v>9000</v>
      </c>
      <c r="Y2" s="1486" t="s">
        <v>5881</v>
      </c>
      <c r="Z2" s="1487" t="s">
        <v>6868</v>
      </c>
      <c r="AA2" s="1486" t="s">
        <v>9001</v>
      </c>
      <c r="AB2" s="1486" t="s">
        <v>9002</v>
      </c>
      <c r="AC2" s="1487" t="s">
        <v>4093</v>
      </c>
      <c r="AD2" s="1488" t="s">
        <v>9003</v>
      </c>
      <c r="AE2" s="1489" t="s">
        <v>4798</v>
      </c>
      <c r="AF2" s="1490" t="s">
        <v>9004</v>
      </c>
      <c r="AG2" s="1490" t="s">
        <v>9005</v>
      </c>
      <c r="AH2" s="1490" t="s">
        <v>3848</v>
      </c>
      <c r="AI2" s="1491" t="s">
        <v>5415</v>
      </c>
      <c r="AJ2" s="1491" t="s">
        <v>9006</v>
      </c>
      <c r="AK2" s="1491" t="s">
        <v>9007</v>
      </c>
      <c r="AL2" s="1491" t="s">
        <v>5657</v>
      </c>
      <c r="AM2" s="1492" t="s">
        <v>9008</v>
      </c>
      <c r="AN2" s="1493" t="s">
        <v>9009</v>
      </c>
      <c r="AO2" s="1493" t="s">
        <v>7085</v>
      </c>
      <c r="AP2" s="1494" t="s">
        <v>9010</v>
      </c>
      <c r="AQ2" s="1492" t="s">
        <v>9011</v>
      </c>
      <c r="AR2" s="1493" t="s">
        <v>9012</v>
      </c>
      <c r="AS2" s="1492" t="s">
        <v>1331</v>
      </c>
      <c r="AT2" s="1495" t="s">
        <v>9013</v>
      </c>
      <c r="AU2" s="1496" t="s">
        <v>9014</v>
      </c>
      <c r="AV2" s="1496" t="str">
        <f t="shared" ref="AV2:AV101" si="1">TEXT(AU2-C2,"m:ss")</f>
        <v>2:23</v>
      </c>
      <c r="AW2" s="1497"/>
    </row>
    <row r="3" ht="15.75" customHeight="1">
      <c r="A3" s="1498" t="s">
        <v>9015</v>
      </c>
      <c r="B3" s="1499" t="s">
        <v>9016</v>
      </c>
      <c r="C3" s="1500">
        <v>0.04932685185185185</v>
      </c>
      <c r="D3" s="1501" t="s">
        <v>9017</v>
      </c>
      <c r="E3" s="1501" t="s">
        <v>6699</v>
      </c>
      <c r="F3" s="1501" t="s">
        <v>9018</v>
      </c>
      <c r="G3" s="1501" t="s">
        <v>9019</v>
      </c>
      <c r="H3" s="1502" t="s">
        <v>9020</v>
      </c>
      <c r="I3" s="1502" t="s">
        <v>9021</v>
      </c>
      <c r="J3" s="1503" t="s">
        <v>1350</v>
      </c>
      <c r="K3" s="1503" t="s">
        <v>9022</v>
      </c>
      <c r="L3" s="1503" t="s">
        <v>2948</v>
      </c>
      <c r="M3" s="1503" t="s">
        <v>9023</v>
      </c>
      <c r="N3" s="1503" t="s">
        <v>2500</v>
      </c>
      <c r="O3" s="1503" t="s">
        <v>9024</v>
      </c>
      <c r="P3" s="1503" t="s">
        <v>5595</v>
      </c>
      <c r="Q3" s="1504" t="s">
        <v>5832</v>
      </c>
      <c r="R3" s="1504" t="s">
        <v>9025</v>
      </c>
      <c r="S3" s="1504" t="s">
        <v>9026</v>
      </c>
      <c r="T3" s="1504" t="s">
        <v>9027</v>
      </c>
      <c r="U3" s="1505" t="s">
        <v>7348</v>
      </c>
      <c r="V3" s="1504" t="s">
        <v>9028</v>
      </c>
      <c r="W3" s="1506" t="s">
        <v>4149</v>
      </c>
      <c r="X3" s="1506" t="s">
        <v>6012</v>
      </c>
      <c r="Y3" s="1507" t="s">
        <v>9029</v>
      </c>
      <c r="Z3" s="1507" t="s">
        <v>1337</v>
      </c>
      <c r="AA3" s="1507" t="s">
        <v>5782</v>
      </c>
      <c r="AB3" s="1506" t="s">
        <v>6788</v>
      </c>
      <c r="AC3" s="1507" t="s">
        <v>9030</v>
      </c>
      <c r="AD3" s="1501" t="s">
        <v>9031</v>
      </c>
      <c r="AE3" s="1501" t="s">
        <v>9032</v>
      </c>
      <c r="AF3" s="1508" t="s">
        <v>9033</v>
      </c>
      <c r="AG3" s="1509" t="s">
        <v>4609</v>
      </c>
      <c r="AH3" s="1509" t="s">
        <v>9034</v>
      </c>
      <c r="AI3" s="1509" t="s">
        <v>9035</v>
      </c>
      <c r="AJ3" s="1508" t="s">
        <v>9036</v>
      </c>
      <c r="AK3" s="1509" t="s">
        <v>3377</v>
      </c>
      <c r="AL3" s="1509" t="s">
        <v>9037</v>
      </c>
      <c r="AM3" s="1510" t="s">
        <v>9038</v>
      </c>
      <c r="AN3" s="1510" t="s">
        <v>4751</v>
      </c>
      <c r="AO3" s="1511" t="s">
        <v>7296</v>
      </c>
      <c r="AP3" s="1511" t="s">
        <v>9039</v>
      </c>
      <c r="AQ3" s="1511" t="s">
        <v>9040</v>
      </c>
      <c r="AR3" s="1511" t="s">
        <v>4074</v>
      </c>
      <c r="AS3" s="1510" t="s">
        <v>4876</v>
      </c>
      <c r="AT3" s="1503" t="s">
        <v>9041</v>
      </c>
      <c r="AU3" s="1512" t="s">
        <v>9042</v>
      </c>
      <c r="AV3" s="1512" t="str">
        <f t="shared" si="1"/>
        <v>3:56</v>
      </c>
      <c r="AW3" s="1513"/>
    </row>
    <row r="4" ht="15.75" customHeight="1">
      <c r="A4" s="1514" t="s">
        <v>9043</v>
      </c>
      <c r="B4" s="1515" t="s">
        <v>9044</v>
      </c>
      <c r="C4" s="1516">
        <v>0.050637731481481485</v>
      </c>
      <c r="D4" s="1517" t="s">
        <v>9045</v>
      </c>
      <c r="E4" s="1517" t="s">
        <v>9046</v>
      </c>
      <c r="F4" s="1517" t="s">
        <v>9047</v>
      </c>
      <c r="G4" s="1517" t="s">
        <v>9048</v>
      </c>
      <c r="H4" s="1518" t="s">
        <v>9049</v>
      </c>
      <c r="I4" s="1518" t="s">
        <v>350</v>
      </c>
      <c r="J4" s="1519" t="s">
        <v>9050</v>
      </c>
      <c r="K4" s="1519" t="s">
        <v>6336</v>
      </c>
      <c r="L4" s="1519" t="s">
        <v>3806</v>
      </c>
      <c r="M4" s="1519" t="s">
        <v>9051</v>
      </c>
      <c r="N4" s="1519" t="s">
        <v>9008</v>
      </c>
      <c r="O4" s="1519" t="s">
        <v>9052</v>
      </c>
      <c r="P4" s="1519" t="s">
        <v>9053</v>
      </c>
      <c r="Q4" s="1520" t="s">
        <v>9054</v>
      </c>
      <c r="R4" s="1520" t="s">
        <v>9055</v>
      </c>
      <c r="S4" s="1520" t="s">
        <v>2267</v>
      </c>
      <c r="T4" s="1520" t="s">
        <v>9056</v>
      </c>
      <c r="U4" s="1520" t="s">
        <v>9057</v>
      </c>
      <c r="V4" s="1520" t="s">
        <v>4287</v>
      </c>
      <c r="W4" s="1521" t="s">
        <v>9058</v>
      </c>
      <c r="X4" s="1521" t="s">
        <v>9059</v>
      </c>
      <c r="Y4" s="1521">
        <v>47.93</v>
      </c>
      <c r="Z4" s="1521" t="s">
        <v>9060</v>
      </c>
      <c r="AA4" s="1521" t="s">
        <v>9061</v>
      </c>
      <c r="AB4" s="1521" t="s">
        <v>9062</v>
      </c>
      <c r="AC4" s="1521">
        <v>49.24</v>
      </c>
      <c r="AD4" s="1522" t="s">
        <v>9063</v>
      </c>
      <c r="AE4" s="1523" t="s">
        <v>5575</v>
      </c>
      <c r="AF4" s="1524" t="s">
        <v>2804</v>
      </c>
      <c r="AG4" s="1524" t="s">
        <v>4604</v>
      </c>
      <c r="AH4" s="1524" t="s">
        <v>5268</v>
      </c>
      <c r="AI4" s="1524" t="s">
        <v>9064</v>
      </c>
      <c r="AJ4" s="1524" t="s">
        <v>9065</v>
      </c>
      <c r="AK4" s="1524" t="s">
        <v>884</v>
      </c>
      <c r="AL4" s="1524" t="s">
        <v>9066</v>
      </c>
      <c r="AM4" s="1525" t="s">
        <v>9067</v>
      </c>
      <c r="AN4" s="1526" t="s">
        <v>9068</v>
      </c>
      <c r="AO4" s="1525" t="s">
        <v>9069</v>
      </c>
      <c r="AP4" s="1526" t="s">
        <v>9070</v>
      </c>
      <c r="AQ4" s="1525" t="s">
        <v>9071</v>
      </c>
      <c r="AR4" s="1525" t="s">
        <v>7503</v>
      </c>
      <c r="AS4" s="1525" t="s">
        <v>754</v>
      </c>
      <c r="AT4" s="1527" t="s">
        <v>9072</v>
      </c>
      <c r="AU4" s="1528" t="s">
        <v>9073</v>
      </c>
      <c r="AV4" s="1529" t="str">
        <f t="shared" si="1"/>
        <v>2:49</v>
      </c>
      <c r="AW4" s="1497"/>
    </row>
    <row r="5" ht="15.75" customHeight="1">
      <c r="A5" s="1530" t="s">
        <v>1056</v>
      </c>
      <c r="B5" s="1531" t="s">
        <v>8989</v>
      </c>
      <c r="C5" s="1532">
        <v>0.04900462962962963</v>
      </c>
      <c r="D5" s="1533" t="s">
        <v>8990</v>
      </c>
      <c r="E5" s="1533" t="s">
        <v>8991</v>
      </c>
      <c r="F5" s="1534" t="s">
        <v>9074</v>
      </c>
      <c r="G5" s="1535" t="s">
        <v>8993</v>
      </c>
      <c r="H5" s="1533" t="s">
        <v>6314</v>
      </c>
      <c r="I5" s="1533" t="s">
        <v>8994</v>
      </c>
      <c r="J5" s="1535" t="s">
        <v>5202</v>
      </c>
      <c r="K5" s="1536" t="s">
        <v>9075</v>
      </c>
      <c r="L5" s="1534" t="s">
        <v>2309</v>
      </c>
      <c r="M5" s="1536" t="s">
        <v>2572</v>
      </c>
      <c r="N5" s="1537" t="s">
        <v>4067</v>
      </c>
      <c r="O5" s="1538" t="s">
        <v>9076</v>
      </c>
      <c r="P5" s="1537" t="s">
        <v>8997</v>
      </c>
      <c r="Q5" s="1537" t="s">
        <v>8998</v>
      </c>
      <c r="R5" s="1535" t="s">
        <v>8999</v>
      </c>
      <c r="S5" s="1537" t="s">
        <v>6805</v>
      </c>
      <c r="T5" s="1535" t="s">
        <v>3273</v>
      </c>
      <c r="U5" s="1537" t="s">
        <v>6984</v>
      </c>
      <c r="V5" s="1539" t="s">
        <v>3772</v>
      </c>
      <c r="W5" s="1533" t="s">
        <v>6510</v>
      </c>
      <c r="X5" s="1535" t="s">
        <v>9000</v>
      </c>
      <c r="Y5" s="1535" t="s">
        <v>5881</v>
      </c>
      <c r="Z5" s="1538" t="s">
        <v>5062</v>
      </c>
      <c r="AA5" s="1535" t="s">
        <v>9001</v>
      </c>
      <c r="AB5" s="1534" t="s">
        <v>3294</v>
      </c>
      <c r="AC5" s="1537" t="s">
        <v>4093</v>
      </c>
      <c r="AD5" s="1535" t="s">
        <v>9003</v>
      </c>
      <c r="AE5" s="1536" t="s">
        <v>8069</v>
      </c>
      <c r="AF5" s="1450" t="s">
        <v>9077</v>
      </c>
      <c r="AG5" s="1328" t="s">
        <v>9078</v>
      </c>
      <c r="AH5" s="1534" t="s">
        <v>5647</v>
      </c>
      <c r="AI5" s="1537" t="s">
        <v>5415</v>
      </c>
      <c r="AJ5" s="1328" t="s">
        <v>9079</v>
      </c>
      <c r="AK5" s="1537" t="s">
        <v>9007</v>
      </c>
      <c r="AL5" s="1535" t="s">
        <v>5657</v>
      </c>
      <c r="AM5" s="1535" t="s">
        <v>9008</v>
      </c>
      <c r="AN5" s="1538" t="s">
        <v>5350</v>
      </c>
      <c r="AO5" s="1536" t="s">
        <v>6806</v>
      </c>
      <c r="AP5" s="1535" t="s">
        <v>9010</v>
      </c>
      <c r="AQ5" s="1535" t="s">
        <v>9011</v>
      </c>
      <c r="AR5" s="1328" t="s">
        <v>9080</v>
      </c>
      <c r="AS5" s="1538" t="s">
        <v>4498</v>
      </c>
      <c r="AT5" s="1534" t="s">
        <v>9081</v>
      </c>
      <c r="AU5" s="1540" t="s">
        <v>9082</v>
      </c>
      <c r="AV5" s="1450" t="str">
        <f t="shared" si="1"/>
        <v>2:03</v>
      </c>
      <c r="AW5" s="1541" t="s">
        <v>9083</v>
      </c>
    </row>
    <row r="6">
      <c r="A6" s="1542" t="s">
        <v>2543</v>
      </c>
      <c r="B6" s="1543" t="s">
        <v>8989</v>
      </c>
      <c r="C6" s="1544">
        <v>0.04926921296296296</v>
      </c>
      <c r="D6" s="1545" t="s">
        <v>9084</v>
      </c>
      <c r="E6" s="1545" t="s">
        <v>2780</v>
      </c>
      <c r="F6" s="1545" t="s">
        <v>9085</v>
      </c>
      <c r="G6" s="1545" t="s">
        <v>9086</v>
      </c>
      <c r="H6" s="1546" t="s">
        <v>9087</v>
      </c>
      <c r="I6" s="1546" t="s">
        <v>2552</v>
      </c>
      <c r="J6" s="1547" t="s">
        <v>9088</v>
      </c>
      <c r="K6" s="1547" t="s">
        <v>7506</v>
      </c>
      <c r="L6" s="1547" t="s">
        <v>9089</v>
      </c>
      <c r="M6" s="1547" t="s">
        <v>9090</v>
      </c>
      <c r="N6" s="1547" t="s">
        <v>102</v>
      </c>
      <c r="O6" s="1547" t="s">
        <v>9091</v>
      </c>
      <c r="P6" s="1547" t="s">
        <v>1090</v>
      </c>
      <c r="Q6" s="1548" t="s">
        <v>9092</v>
      </c>
      <c r="R6" s="1548" t="s">
        <v>3640</v>
      </c>
      <c r="S6" s="1548" t="s">
        <v>9093</v>
      </c>
      <c r="T6" s="1548" t="s">
        <v>3021</v>
      </c>
      <c r="U6" s="1548" t="s">
        <v>9094</v>
      </c>
      <c r="V6" s="1548" t="s">
        <v>9095</v>
      </c>
      <c r="W6" s="1549" t="s">
        <v>9096</v>
      </c>
      <c r="X6" s="1549" t="s">
        <v>4785</v>
      </c>
      <c r="Y6" s="1549" t="s">
        <v>9097</v>
      </c>
      <c r="Z6" s="1549" t="s">
        <v>7039</v>
      </c>
      <c r="AA6" s="1549" t="s">
        <v>9098</v>
      </c>
      <c r="AB6" s="1549" t="s">
        <v>9099</v>
      </c>
      <c r="AC6" s="1549" t="s">
        <v>8516</v>
      </c>
      <c r="AD6" s="1545" t="s">
        <v>9100</v>
      </c>
      <c r="AE6" s="1545" t="s">
        <v>9101</v>
      </c>
      <c r="AF6" s="1550" t="s">
        <v>9102</v>
      </c>
      <c r="AG6" s="1550" t="s">
        <v>6035</v>
      </c>
      <c r="AH6" s="1550" t="s">
        <v>3267</v>
      </c>
      <c r="AI6" s="1550" t="s">
        <v>9103</v>
      </c>
      <c r="AJ6" s="1550" t="s">
        <v>9104</v>
      </c>
      <c r="AK6" s="1550" t="s">
        <v>9008</v>
      </c>
      <c r="AL6" s="1550" t="s">
        <v>1738</v>
      </c>
      <c r="AM6" s="1551" t="s">
        <v>5028</v>
      </c>
      <c r="AN6" s="1551" t="s">
        <v>6302</v>
      </c>
      <c r="AO6" s="1551" t="s">
        <v>9105</v>
      </c>
      <c r="AP6" s="1551" t="s">
        <v>9106</v>
      </c>
      <c r="AQ6" s="1551" t="s">
        <v>4770</v>
      </c>
      <c r="AR6" s="1551" t="s">
        <v>6836</v>
      </c>
      <c r="AS6" s="1551" t="s">
        <v>2070</v>
      </c>
      <c r="AT6" s="1547" t="s">
        <v>9107</v>
      </c>
      <c r="AU6" s="1552" t="s">
        <v>9108</v>
      </c>
      <c r="AV6" s="1553" t="str">
        <f t="shared" si="1"/>
        <v>2:02</v>
      </c>
      <c r="AW6" s="1554"/>
    </row>
    <row r="7" ht="15.75" customHeight="1">
      <c r="A7" s="1555" t="s">
        <v>435</v>
      </c>
      <c r="B7" s="1531" t="s">
        <v>8989</v>
      </c>
      <c r="C7" s="1532">
        <v>0.0493287037037037</v>
      </c>
      <c r="D7" s="1556" t="s">
        <v>9109</v>
      </c>
      <c r="E7" s="1557" t="s">
        <v>9110</v>
      </c>
      <c r="F7" s="1557" t="s">
        <v>9111</v>
      </c>
      <c r="G7" s="1557" t="s">
        <v>9112</v>
      </c>
      <c r="H7" s="1557" t="s">
        <v>9113</v>
      </c>
      <c r="I7" s="1558" t="s">
        <v>9114</v>
      </c>
      <c r="J7" s="1557" t="s">
        <v>9115</v>
      </c>
      <c r="K7" s="1557" t="s">
        <v>780</v>
      </c>
      <c r="L7" s="1557" t="s">
        <v>9116</v>
      </c>
      <c r="M7" s="1557" t="s">
        <v>2572</v>
      </c>
      <c r="N7" s="1557" t="s">
        <v>9117</v>
      </c>
      <c r="O7" s="1557" t="s">
        <v>9118</v>
      </c>
      <c r="P7" s="1557" t="s">
        <v>1283</v>
      </c>
      <c r="Q7" s="1559" t="s">
        <v>1565</v>
      </c>
      <c r="R7" s="1557" t="s">
        <v>4448</v>
      </c>
      <c r="S7" s="1557" t="s">
        <v>9115</v>
      </c>
      <c r="T7" s="1557" t="s">
        <v>5230</v>
      </c>
      <c r="U7" s="1559" t="s">
        <v>9119</v>
      </c>
      <c r="V7" s="1560" t="s">
        <v>8832</v>
      </c>
      <c r="W7" s="1557" t="s">
        <v>9120</v>
      </c>
      <c r="X7" s="1557" t="s">
        <v>6619</v>
      </c>
      <c r="Y7" s="1561">
        <v>46.72</v>
      </c>
      <c r="Z7" s="1561" t="s">
        <v>3700</v>
      </c>
      <c r="AA7" s="1557" t="s">
        <v>3712</v>
      </c>
      <c r="AB7" s="1562" t="s">
        <v>9002</v>
      </c>
      <c r="AC7" s="1557" t="s">
        <v>5515</v>
      </c>
      <c r="AD7" s="1557" t="s">
        <v>7003</v>
      </c>
      <c r="AE7" s="1563" t="s">
        <v>4798</v>
      </c>
      <c r="AF7" s="1561" t="s">
        <v>9121</v>
      </c>
      <c r="AG7" s="1560" t="s">
        <v>6177</v>
      </c>
      <c r="AH7" s="1562" t="s">
        <v>3848</v>
      </c>
      <c r="AI7" s="1557" t="s">
        <v>6071</v>
      </c>
      <c r="AJ7" s="1561" t="s">
        <v>9122</v>
      </c>
      <c r="AK7" s="1561" t="s">
        <v>5984</v>
      </c>
      <c r="AL7" s="1560" t="s">
        <v>6302</v>
      </c>
      <c r="AM7" s="1557" t="s">
        <v>9123</v>
      </c>
      <c r="AN7" s="1560" t="s">
        <v>4253</v>
      </c>
      <c r="AO7" s="1560" t="s">
        <v>2845</v>
      </c>
      <c r="AP7" s="1560" t="s">
        <v>9124</v>
      </c>
      <c r="AQ7" s="1450" t="s">
        <v>9125</v>
      </c>
      <c r="AR7" s="1560" t="s">
        <v>9126</v>
      </c>
      <c r="AS7" s="1560" t="s">
        <v>9127</v>
      </c>
      <c r="AT7" s="1560" t="s">
        <v>9128</v>
      </c>
      <c r="AU7" s="1564" t="s">
        <v>9129</v>
      </c>
      <c r="AV7" s="1450" t="str">
        <f t="shared" si="1"/>
        <v>2:15</v>
      </c>
      <c r="AW7" s="1541"/>
    </row>
    <row r="8" ht="15.75" customHeight="1">
      <c r="A8" s="1530" t="s">
        <v>6717</v>
      </c>
      <c r="B8" s="1531" t="s">
        <v>8989</v>
      </c>
      <c r="C8" s="1532">
        <v>0.049444444444444444</v>
      </c>
      <c r="D8" s="1538" t="s">
        <v>9130</v>
      </c>
      <c r="E8" s="1538" t="s">
        <v>9131</v>
      </c>
      <c r="F8" s="1558" t="s">
        <v>9132</v>
      </c>
      <c r="G8" s="1536" t="s">
        <v>9133</v>
      </c>
      <c r="H8" s="1558" t="s">
        <v>9134</v>
      </c>
      <c r="I8" s="1558" t="s">
        <v>2954</v>
      </c>
      <c r="J8" s="1538" t="s">
        <v>9135</v>
      </c>
      <c r="K8" s="1558" t="s">
        <v>3531</v>
      </c>
      <c r="L8" s="1558" t="s">
        <v>4189</v>
      </c>
      <c r="M8" s="1558" t="s">
        <v>6607</v>
      </c>
      <c r="N8" s="1538" t="s">
        <v>9136</v>
      </c>
      <c r="O8" s="1558" t="s">
        <v>9137</v>
      </c>
      <c r="P8" s="1450" t="s">
        <v>8059</v>
      </c>
      <c r="Q8" s="1538" t="s">
        <v>9138</v>
      </c>
      <c r="R8" s="1558" t="s">
        <v>6796</v>
      </c>
      <c r="S8" s="1558" t="s">
        <v>3438</v>
      </c>
      <c r="T8" s="1450" t="s">
        <v>9139</v>
      </c>
      <c r="U8" s="1558" t="s">
        <v>9140</v>
      </c>
      <c r="V8" s="1558" t="s">
        <v>5210</v>
      </c>
      <c r="W8" s="1565" t="s">
        <v>9141</v>
      </c>
      <c r="X8" s="1450" t="s">
        <v>2571</v>
      </c>
      <c r="Y8" s="1566" t="s">
        <v>9142</v>
      </c>
      <c r="Z8" s="1558" t="s">
        <v>7244</v>
      </c>
      <c r="AA8" s="1567" t="str">
        <f>HYPERLINK("https://www.twitch.tv/videos/571775470","1:28.03")</f>
        <v>1:28.03</v>
      </c>
      <c r="AB8" s="1450" t="s">
        <v>415</v>
      </c>
      <c r="AC8" s="1059" t="str">
        <f>HYPERLINK("https://clips.twitch.tv/HelpfulSaltyCoyoteHoneyBadger","47.31")</f>
        <v>47.31</v>
      </c>
      <c r="AD8" s="1567" t="str">
        <f>HYPERLINK("https://www.twitch.tv/videos/625954575","1:47.79")</f>
        <v>1:47.79</v>
      </c>
      <c r="AE8" s="1450" t="s">
        <v>9143</v>
      </c>
      <c r="AF8" s="1450" t="s">
        <v>9144</v>
      </c>
      <c r="AG8" s="1567" t="str">
        <f>HYPERLINK("https://www.twitch.tv/videos/566334947","1:28.73")</f>
        <v>1:28.73</v>
      </c>
      <c r="AH8" s="1558" t="s">
        <v>9145</v>
      </c>
      <c r="AI8" s="1568" t="str">
        <f>HYPERLINK("https://www.twitch.tv/videos/584107631","1:27.68")</f>
        <v>1:27.68</v>
      </c>
      <c r="AJ8" s="1450" t="s">
        <v>9146</v>
      </c>
      <c r="AK8" s="1558" t="s">
        <v>6798</v>
      </c>
      <c r="AL8" s="1558" t="s">
        <v>9147</v>
      </c>
      <c r="AM8" s="1538" t="s">
        <v>4542</v>
      </c>
      <c r="AN8" s="1538" t="s">
        <v>2784</v>
      </c>
      <c r="AO8" s="1538" t="s">
        <v>5537</v>
      </c>
      <c r="AP8" s="1558" t="s">
        <v>9148</v>
      </c>
      <c r="AQ8" s="1450" t="s">
        <v>9149</v>
      </c>
      <c r="AR8" s="1538" t="s">
        <v>9150</v>
      </c>
      <c r="AS8" s="1059" t="str">
        <f>HYPERLINK("https://www.twitch.tv/videos/571767101","42.91")</f>
        <v>42.91</v>
      </c>
      <c r="AT8" s="1534" t="s">
        <v>9151</v>
      </c>
      <c r="AU8" s="1564" t="s">
        <v>9152</v>
      </c>
      <c r="AV8" s="1450" t="str">
        <f t="shared" si="1"/>
        <v>2:32</v>
      </c>
      <c r="AW8" s="1569" t="s">
        <v>9153</v>
      </c>
    </row>
    <row r="9" ht="15.75" customHeight="1">
      <c r="A9" s="1530" t="s">
        <v>1809</v>
      </c>
      <c r="B9" s="1531" t="s">
        <v>8989</v>
      </c>
      <c r="C9" s="1532">
        <v>0.04949074074074074</v>
      </c>
      <c r="D9" s="1570" t="s">
        <v>9154</v>
      </c>
      <c r="E9" s="1566" t="s">
        <v>9155</v>
      </c>
      <c r="F9" s="1566" t="s">
        <v>2134</v>
      </c>
      <c r="G9" s="1566" t="s">
        <v>9156</v>
      </c>
      <c r="H9" s="1538" t="s">
        <v>9157</v>
      </c>
      <c r="I9" s="1557">
        <v>47.34</v>
      </c>
      <c r="J9" s="1566" t="s">
        <v>1636</v>
      </c>
      <c r="K9" s="1566" t="s">
        <v>7361</v>
      </c>
      <c r="L9" s="1566">
        <v>55.97</v>
      </c>
      <c r="M9" s="1566" t="s">
        <v>2049</v>
      </c>
      <c r="N9" s="1566" t="s">
        <v>9158</v>
      </c>
      <c r="O9" s="1571" t="s">
        <v>8996</v>
      </c>
      <c r="P9" s="1566">
        <v>47.49</v>
      </c>
      <c r="Q9" s="1566" t="s">
        <v>9159</v>
      </c>
      <c r="R9" s="1566" t="s">
        <v>1225</v>
      </c>
      <c r="S9" s="1572" t="s">
        <v>1832</v>
      </c>
      <c r="T9" s="1566" t="s">
        <v>9160</v>
      </c>
      <c r="U9" s="1538" t="s">
        <v>9161</v>
      </c>
      <c r="V9" s="1566">
        <v>59.32</v>
      </c>
      <c r="W9" s="1570" t="s">
        <v>9162</v>
      </c>
      <c r="X9" s="1573" t="s">
        <v>9163</v>
      </c>
      <c r="Y9" s="1566">
        <v>46.65</v>
      </c>
      <c r="Z9" s="1566" t="s">
        <v>9164</v>
      </c>
      <c r="AA9" s="1566" t="s">
        <v>2497</v>
      </c>
      <c r="AB9" s="1566" t="s">
        <v>9165</v>
      </c>
      <c r="AC9" s="1566">
        <v>47.89</v>
      </c>
      <c r="AD9" s="1566" t="s">
        <v>1831</v>
      </c>
      <c r="AE9" s="1566">
        <v>47.98</v>
      </c>
      <c r="AF9" s="1573" t="s">
        <v>9166</v>
      </c>
      <c r="AG9" s="1566" t="s">
        <v>9167</v>
      </c>
      <c r="AH9" s="1566">
        <v>57.45</v>
      </c>
      <c r="AI9" s="1561" t="s">
        <v>6722</v>
      </c>
      <c r="AJ9" s="1574" t="s">
        <v>9079</v>
      </c>
      <c r="AK9" s="1566" t="s">
        <v>5483</v>
      </c>
      <c r="AL9" s="1566">
        <v>56.23</v>
      </c>
      <c r="AM9" s="1570" t="s">
        <v>4021</v>
      </c>
      <c r="AN9" s="1570" t="s">
        <v>9168</v>
      </c>
      <c r="AO9" s="1566" t="s">
        <v>9169</v>
      </c>
      <c r="AP9" s="1566" t="s">
        <v>9170</v>
      </c>
      <c r="AQ9" s="1566" t="s">
        <v>9171</v>
      </c>
      <c r="AR9" s="1573" t="s">
        <v>3922</v>
      </c>
      <c r="AS9" s="1566">
        <v>46.19</v>
      </c>
      <c r="AT9" s="1575" t="s">
        <v>9013</v>
      </c>
      <c r="AU9" s="1450" t="s">
        <v>9172</v>
      </c>
      <c r="AV9" s="1450" t="str">
        <f t="shared" si="1"/>
        <v>1:33</v>
      </c>
      <c r="AW9" s="1569" t="s">
        <v>9173</v>
      </c>
    </row>
    <row r="10">
      <c r="A10" s="1576" t="s">
        <v>825</v>
      </c>
      <c r="B10" s="1577" t="s">
        <v>8989</v>
      </c>
      <c r="C10" s="1532">
        <v>0.04951388888888889</v>
      </c>
      <c r="D10" s="1560" t="s">
        <v>9130</v>
      </c>
      <c r="E10" s="1560" t="s">
        <v>253</v>
      </c>
      <c r="F10" s="1560" t="s">
        <v>9174</v>
      </c>
      <c r="G10" s="1561" t="s">
        <v>9175</v>
      </c>
      <c r="H10" s="1560" t="s">
        <v>9176</v>
      </c>
      <c r="I10" s="1560" t="s">
        <v>4550</v>
      </c>
      <c r="J10" s="1557" t="s">
        <v>1488</v>
      </c>
      <c r="K10" s="1560" t="s">
        <v>9177</v>
      </c>
      <c r="L10" s="1560" t="s">
        <v>9178</v>
      </c>
      <c r="M10" s="1563" t="s">
        <v>6289</v>
      </c>
      <c r="N10" s="1560" t="s">
        <v>5926</v>
      </c>
      <c r="O10" s="1560" t="s">
        <v>9179</v>
      </c>
      <c r="P10" s="1560" t="s">
        <v>6206</v>
      </c>
      <c r="Q10" s="1560" t="s">
        <v>4793</v>
      </c>
      <c r="R10" s="1560" t="s">
        <v>5785</v>
      </c>
      <c r="S10" s="1538" t="s">
        <v>2903</v>
      </c>
      <c r="T10" s="1560" t="s">
        <v>9180</v>
      </c>
      <c r="U10" s="1560" t="s">
        <v>9181</v>
      </c>
      <c r="V10" s="1560" t="s">
        <v>9182</v>
      </c>
      <c r="W10" s="1560" t="s">
        <v>9183</v>
      </c>
      <c r="X10" s="1538" t="s">
        <v>9184</v>
      </c>
      <c r="Y10" s="1560" t="s">
        <v>6206</v>
      </c>
      <c r="Z10" s="1571" t="s">
        <v>6868</v>
      </c>
      <c r="AA10" s="1538" t="s">
        <v>9035</v>
      </c>
      <c r="AB10" s="1560" t="s">
        <v>415</v>
      </c>
      <c r="AC10" s="1560" t="s">
        <v>3794</v>
      </c>
      <c r="AD10" s="1578" t="s">
        <v>3725</v>
      </c>
      <c r="AE10" s="1561">
        <v>47.81</v>
      </c>
      <c r="AF10" s="1560" t="s">
        <v>9185</v>
      </c>
      <c r="AG10" s="1560" t="s">
        <v>9186</v>
      </c>
      <c r="AH10" s="1560" t="s">
        <v>749</v>
      </c>
      <c r="AI10" s="1560" t="s">
        <v>9187</v>
      </c>
      <c r="AJ10" s="1560" t="s">
        <v>9188</v>
      </c>
      <c r="AK10" s="1560" t="s">
        <v>9189</v>
      </c>
      <c r="AL10" s="1560" t="s">
        <v>8635</v>
      </c>
      <c r="AM10" s="1560" t="s">
        <v>4542</v>
      </c>
      <c r="AN10" s="1571" t="s">
        <v>9009</v>
      </c>
      <c r="AO10" s="1571" t="s">
        <v>7085</v>
      </c>
      <c r="AP10" s="1560" t="s">
        <v>9190</v>
      </c>
      <c r="AQ10" s="1560" t="s">
        <v>9191</v>
      </c>
      <c r="AR10" s="1571" t="s">
        <v>9012</v>
      </c>
      <c r="AS10" s="1563" t="s">
        <v>1331</v>
      </c>
      <c r="AT10" s="1560" t="s">
        <v>9192</v>
      </c>
      <c r="AU10" s="1579" t="s">
        <v>9193</v>
      </c>
      <c r="AV10" s="1450" t="str">
        <f t="shared" si="1"/>
        <v>2:15</v>
      </c>
      <c r="AW10" s="1580" t="s">
        <v>9194</v>
      </c>
    </row>
    <row r="11" ht="15.75" customHeight="1">
      <c r="A11" s="1555" t="s">
        <v>330</v>
      </c>
      <c r="B11" s="1531" t="s">
        <v>8989</v>
      </c>
      <c r="C11" s="1532">
        <v>0.04957175925925926</v>
      </c>
      <c r="D11" s="1581" t="s">
        <v>9195</v>
      </c>
      <c r="E11" s="1557" t="s">
        <v>9196</v>
      </c>
      <c r="F11" s="1582" t="s">
        <v>8992</v>
      </c>
      <c r="G11" s="1560" t="s">
        <v>9197</v>
      </c>
      <c r="H11" s="1583" t="s">
        <v>5428</v>
      </c>
      <c r="I11" s="1560" t="s">
        <v>1385</v>
      </c>
      <c r="J11" s="1113" t="s">
        <v>9198</v>
      </c>
      <c r="K11" s="1560" t="s">
        <v>7805</v>
      </c>
      <c r="L11" s="1562" t="s">
        <v>234</v>
      </c>
      <c r="M11" s="1113" t="s">
        <v>9199</v>
      </c>
      <c r="N11" s="1557" t="s">
        <v>9200</v>
      </c>
      <c r="O11" s="1113" t="s">
        <v>9201</v>
      </c>
      <c r="P11" s="1560" t="s">
        <v>6598</v>
      </c>
      <c r="Q11" s="1560" t="s">
        <v>9159</v>
      </c>
      <c r="R11" s="1560" t="s">
        <v>5704</v>
      </c>
      <c r="S11" s="1560" t="s">
        <v>9202</v>
      </c>
      <c r="T11" s="1560" t="s">
        <v>4076</v>
      </c>
      <c r="U11" s="1560" t="s">
        <v>6286</v>
      </c>
      <c r="V11" s="980" t="s">
        <v>5560</v>
      </c>
      <c r="W11" s="1584" t="s">
        <v>9203</v>
      </c>
      <c r="X11" s="1560" t="s">
        <v>9204</v>
      </c>
      <c r="Y11" s="1557">
        <v>46.63</v>
      </c>
      <c r="Z11" s="1067" t="s">
        <v>306</v>
      </c>
      <c r="AA11" s="1557" t="s">
        <v>9205</v>
      </c>
      <c r="AB11" s="1562" t="s">
        <v>9002</v>
      </c>
      <c r="AC11" s="1560" t="s">
        <v>5513</v>
      </c>
      <c r="AD11" s="1560" t="s">
        <v>9206</v>
      </c>
      <c r="AE11" s="1561" t="s">
        <v>9207</v>
      </c>
      <c r="AF11" s="1557" t="s">
        <v>9208</v>
      </c>
      <c r="AG11" s="1566" t="s">
        <v>9209</v>
      </c>
      <c r="AH11" s="1560" t="s">
        <v>9210</v>
      </c>
      <c r="AI11" s="980" t="s">
        <v>9211</v>
      </c>
      <c r="AJ11" s="1561" t="s">
        <v>9212</v>
      </c>
      <c r="AK11" s="1560" t="s">
        <v>1296</v>
      </c>
      <c r="AL11" s="1560" t="s">
        <v>5182</v>
      </c>
      <c r="AM11" s="1560" t="s">
        <v>4076</v>
      </c>
      <c r="AN11" s="1113" t="s">
        <v>9213</v>
      </c>
      <c r="AO11" s="1560" t="s">
        <v>9126</v>
      </c>
      <c r="AP11" s="1560" t="s">
        <v>9214</v>
      </c>
      <c r="AQ11" s="1560" t="s">
        <v>9215</v>
      </c>
      <c r="AR11" s="1560" t="s">
        <v>4629</v>
      </c>
      <c r="AS11" s="1560" t="s">
        <v>9216</v>
      </c>
      <c r="AT11" s="1585" t="s">
        <v>9217</v>
      </c>
      <c r="AU11" s="1579" t="s">
        <v>9218</v>
      </c>
      <c r="AV11" s="1450" t="str">
        <f t="shared" si="1"/>
        <v>2:59</v>
      </c>
      <c r="AW11" s="1586"/>
    </row>
    <row r="12">
      <c r="A12" s="1555" t="s">
        <v>6602</v>
      </c>
      <c r="B12" s="1587" t="s">
        <v>8989</v>
      </c>
      <c r="C12" s="1532">
        <v>0.04958333333333333</v>
      </c>
      <c r="D12" s="980" t="s">
        <v>9219</v>
      </c>
      <c r="E12" s="1566" t="s">
        <v>6562</v>
      </c>
      <c r="F12" s="1566" t="s">
        <v>9220</v>
      </c>
      <c r="G12" s="1566" t="s">
        <v>9221</v>
      </c>
      <c r="H12" s="1570" t="s">
        <v>9222</v>
      </c>
      <c r="I12" s="1570" t="s">
        <v>5771</v>
      </c>
      <c r="J12" s="1570" t="s">
        <v>151</v>
      </c>
      <c r="K12" s="1570" t="s">
        <v>6994</v>
      </c>
      <c r="L12" s="1566">
        <v>56.42</v>
      </c>
      <c r="M12" s="1566" t="s">
        <v>1118</v>
      </c>
      <c r="N12" s="1566" t="s">
        <v>9223</v>
      </c>
      <c r="O12" s="1570" t="s">
        <v>9224</v>
      </c>
      <c r="P12" s="1570" t="s">
        <v>280</v>
      </c>
      <c r="Q12" s="1570" t="s">
        <v>9225</v>
      </c>
      <c r="R12" s="1566" t="s">
        <v>9226</v>
      </c>
      <c r="S12" s="1570" t="s">
        <v>9227</v>
      </c>
      <c r="T12" s="1570" t="s">
        <v>5028</v>
      </c>
      <c r="U12" s="1570" t="s">
        <v>9228</v>
      </c>
      <c r="V12" s="1566">
        <v>59.45</v>
      </c>
      <c r="W12" s="1570" t="s">
        <v>9229</v>
      </c>
      <c r="X12" s="1570" t="s">
        <v>9230</v>
      </c>
      <c r="Y12" s="1570" t="s">
        <v>5135</v>
      </c>
      <c r="Z12" s="1566" t="s">
        <v>4183</v>
      </c>
      <c r="AA12" s="1566" t="s">
        <v>3216</v>
      </c>
      <c r="AB12" s="1566" t="s">
        <v>4597</v>
      </c>
      <c r="AC12" s="1570" t="s">
        <v>4905</v>
      </c>
      <c r="AD12" s="1570" t="s">
        <v>9231</v>
      </c>
      <c r="AE12" s="1566">
        <v>47.89</v>
      </c>
      <c r="AF12" s="1566" t="s">
        <v>9232</v>
      </c>
      <c r="AG12" s="1563" t="s">
        <v>9005</v>
      </c>
      <c r="AH12" s="1566">
        <v>57.71</v>
      </c>
      <c r="AI12" s="1570" t="s">
        <v>2228</v>
      </c>
      <c r="AJ12" s="1566" t="s">
        <v>9233</v>
      </c>
      <c r="AK12" s="1570" t="s">
        <v>6809</v>
      </c>
      <c r="AL12" s="1566">
        <v>56.69</v>
      </c>
      <c r="AM12" s="1570" t="s">
        <v>9234</v>
      </c>
      <c r="AN12" s="1570" t="s">
        <v>4144</v>
      </c>
      <c r="AO12" s="1570" t="s">
        <v>2938</v>
      </c>
      <c r="AP12" s="1566" t="s">
        <v>9235</v>
      </c>
      <c r="AQ12" s="1570" t="s">
        <v>9236</v>
      </c>
      <c r="AR12" s="1570" t="s">
        <v>9237</v>
      </c>
      <c r="AS12" s="1566">
        <v>43.65</v>
      </c>
      <c r="AT12" s="1570" t="s">
        <v>9238</v>
      </c>
      <c r="AU12" s="1564" t="s">
        <v>9239</v>
      </c>
      <c r="AV12" s="1450" t="str">
        <f t="shared" si="1"/>
        <v>1:34</v>
      </c>
      <c r="AW12" s="1588" t="s">
        <v>9240</v>
      </c>
    </row>
    <row r="13" ht="15.75" customHeight="1">
      <c r="A13" s="1589" t="s">
        <v>7126</v>
      </c>
      <c r="B13" s="1531" t="s">
        <v>8989</v>
      </c>
      <c r="C13" s="1532">
        <v>0.04967592592592593</v>
      </c>
      <c r="D13" s="980" t="s">
        <v>9241</v>
      </c>
      <c r="E13" s="1558" t="s">
        <v>954</v>
      </c>
      <c r="F13" s="1558" t="s">
        <v>9242</v>
      </c>
      <c r="G13" s="1558" t="s">
        <v>9243</v>
      </c>
      <c r="H13" s="980" t="s">
        <v>9244</v>
      </c>
      <c r="I13" s="1558" t="s">
        <v>9245</v>
      </c>
      <c r="J13" s="1558" t="s">
        <v>9246</v>
      </c>
      <c r="K13" s="1558" t="s">
        <v>6525</v>
      </c>
      <c r="L13" s="1558" t="s">
        <v>4503</v>
      </c>
      <c r="M13" s="1558" t="s">
        <v>8809</v>
      </c>
      <c r="N13" s="1558" t="s">
        <v>2224</v>
      </c>
      <c r="O13" s="1558" t="s">
        <v>3334</v>
      </c>
      <c r="P13" s="1558" t="s">
        <v>9245</v>
      </c>
      <c r="Q13" s="1558" t="s">
        <v>9247</v>
      </c>
      <c r="R13" s="1558" t="s">
        <v>1225</v>
      </c>
      <c r="S13" s="1590" t="s">
        <v>9248</v>
      </c>
      <c r="T13" s="1558" t="s">
        <v>4919</v>
      </c>
      <c r="U13" s="1558" t="s">
        <v>9249</v>
      </c>
      <c r="V13" s="1558" t="s">
        <v>9250</v>
      </c>
      <c r="W13" s="1558" t="s">
        <v>9251</v>
      </c>
      <c r="X13" s="1558" t="s">
        <v>1047</v>
      </c>
      <c r="Y13" s="1558" t="s">
        <v>4390</v>
      </c>
      <c r="Z13" s="1558" t="s">
        <v>9252</v>
      </c>
      <c r="AA13" s="1558" t="s">
        <v>9253</v>
      </c>
      <c r="AB13" s="1558" t="s">
        <v>1840</v>
      </c>
      <c r="AC13" s="1558" t="s">
        <v>759</v>
      </c>
      <c r="AD13" s="1558" t="s">
        <v>9254</v>
      </c>
      <c r="AE13" s="1558" t="s">
        <v>5468</v>
      </c>
      <c r="AF13" s="1538" t="s">
        <v>9255</v>
      </c>
      <c r="AG13" s="1558" t="s">
        <v>9256</v>
      </c>
      <c r="AH13" s="1558" t="s">
        <v>4818</v>
      </c>
      <c r="AI13" s="1558" t="s">
        <v>3019</v>
      </c>
      <c r="AJ13" s="1558" t="s">
        <v>9257</v>
      </c>
      <c r="AK13" s="1558" t="s">
        <v>4191</v>
      </c>
      <c r="AL13" s="1558" t="s">
        <v>9258</v>
      </c>
      <c r="AM13" s="1558" t="s">
        <v>9259</v>
      </c>
      <c r="AN13" s="980" t="s">
        <v>9116</v>
      </c>
      <c r="AO13" s="1558" t="s">
        <v>9260</v>
      </c>
      <c r="AP13" s="1558" t="s">
        <v>9261</v>
      </c>
      <c r="AQ13" s="1538" t="s">
        <v>9262</v>
      </c>
      <c r="AR13" s="1558" t="s">
        <v>1844</v>
      </c>
      <c r="AS13" s="1558" t="s">
        <v>1571</v>
      </c>
      <c r="AT13" s="1558" t="s">
        <v>9263</v>
      </c>
      <c r="AU13" s="1558" t="s">
        <v>9264</v>
      </c>
      <c r="AV13" s="1450" t="str">
        <f t="shared" si="1"/>
        <v>2:47</v>
      </c>
      <c r="AW13" s="1541" t="s">
        <v>9265</v>
      </c>
    </row>
    <row r="14" ht="15.75" customHeight="1">
      <c r="A14" s="1589" t="s">
        <v>2151</v>
      </c>
      <c r="B14" s="1591" t="s">
        <v>9016</v>
      </c>
      <c r="C14" s="1532">
        <v>0.04967592592592593</v>
      </c>
      <c r="D14" s="1592" t="s">
        <v>9266</v>
      </c>
      <c r="E14" s="980" t="s">
        <v>3297</v>
      </c>
      <c r="F14" s="980" t="s">
        <v>9267</v>
      </c>
      <c r="G14" s="1592" t="s">
        <v>9268</v>
      </c>
      <c r="H14" s="1593" t="s">
        <v>9020</v>
      </c>
      <c r="I14" s="980" t="s">
        <v>9269</v>
      </c>
      <c r="J14" s="980" t="s">
        <v>9270</v>
      </c>
      <c r="K14" s="1594" t="s">
        <v>9022</v>
      </c>
      <c r="L14" s="1595" t="s">
        <v>4728</v>
      </c>
      <c r="M14" s="980" t="s">
        <v>6585</v>
      </c>
      <c r="N14" s="1596" t="s">
        <v>5278</v>
      </c>
      <c r="O14" s="980" t="s">
        <v>6909</v>
      </c>
      <c r="P14" s="1596" t="s">
        <v>5513</v>
      </c>
      <c r="Q14" s="980" t="s">
        <v>9271</v>
      </c>
      <c r="R14" s="1594" t="s">
        <v>9025</v>
      </c>
      <c r="S14" s="1597" t="s">
        <v>9026</v>
      </c>
      <c r="T14" s="1598" t="s">
        <v>4021</v>
      </c>
      <c r="U14" s="1599" t="s">
        <v>9272</v>
      </c>
      <c r="V14" s="1600" t="s">
        <v>9028</v>
      </c>
      <c r="W14" s="1601" t="s">
        <v>4149</v>
      </c>
      <c r="X14" s="1601" t="s">
        <v>6012</v>
      </c>
      <c r="Y14" s="1594" t="s">
        <v>9029</v>
      </c>
      <c r="Z14" s="1601" t="s">
        <v>1337</v>
      </c>
      <c r="AA14" s="1602" t="s">
        <v>5782</v>
      </c>
      <c r="AB14" s="1594" t="s">
        <v>6788</v>
      </c>
      <c r="AC14" s="1603" t="s">
        <v>9030</v>
      </c>
      <c r="AD14" s="980" t="s">
        <v>9273</v>
      </c>
      <c r="AE14" s="1604" t="s">
        <v>9032</v>
      </c>
      <c r="AF14" s="1328" t="s">
        <v>9274</v>
      </c>
      <c r="AG14" s="1601" t="s">
        <v>4609</v>
      </c>
      <c r="AH14" s="1605" t="s">
        <v>9034</v>
      </c>
      <c r="AI14" s="1605" t="s">
        <v>9035</v>
      </c>
      <c r="AJ14" s="980" t="s">
        <v>9275</v>
      </c>
      <c r="AK14" s="1601" t="s">
        <v>3377</v>
      </c>
      <c r="AL14" s="1601" t="s">
        <v>9037</v>
      </c>
      <c r="AM14" s="980" t="s">
        <v>885</v>
      </c>
      <c r="AN14" s="1606" t="s">
        <v>4751</v>
      </c>
      <c r="AO14" s="1594" t="s">
        <v>7296</v>
      </c>
      <c r="AP14" s="1607" t="s">
        <v>9039</v>
      </c>
      <c r="AQ14" s="1608" t="s">
        <v>9040</v>
      </c>
      <c r="AR14" s="1608" t="s">
        <v>4074</v>
      </c>
      <c r="AS14" s="1609" t="s">
        <v>4876</v>
      </c>
      <c r="AT14" s="1594" t="s">
        <v>9041</v>
      </c>
      <c r="AU14" s="1579" t="s">
        <v>9276</v>
      </c>
      <c r="AV14" s="1450" t="str">
        <f t="shared" si="1"/>
        <v>4:01</v>
      </c>
      <c r="AW14" s="1580" t="s">
        <v>9277</v>
      </c>
    </row>
    <row r="15" ht="15.75" customHeight="1">
      <c r="A15" s="1610" t="s">
        <v>2771</v>
      </c>
      <c r="B15" s="1531" t="s">
        <v>8989</v>
      </c>
      <c r="C15" s="1611">
        <v>0.04971064814814815</v>
      </c>
      <c r="D15" s="1401" t="s">
        <v>9278</v>
      </c>
      <c r="E15" s="1612" t="s">
        <v>511</v>
      </c>
      <c r="F15" s="1612" t="s">
        <v>9279</v>
      </c>
      <c r="G15" s="1612" t="s">
        <v>9280</v>
      </c>
      <c r="H15" s="1538" t="s">
        <v>9281</v>
      </c>
      <c r="I15" s="905" t="s">
        <v>5783</v>
      </c>
      <c r="J15" s="1596" t="s">
        <v>2546</v>
      </c>
      <c r="K15" s="1596" t="s">
        <v>4344</v>
      </c>
      <c r="L15" s="1596" t="s">
        <v>4728</v>
      </c>
      <c r="M15" s="1613" t="s">
        <v>6289</v>
      </c>
      <c r="N15" s="1596" t="s">
        <v>2697</v>
      </c>
      <c r="O15" s="1596" t="s">
        <v>9282</v>
      </c>
      <c r="P15" s="1596" t="s">
        <v>9283</v>
      </c>
      <c r="Q15" s="1538" t="s">
        <v>9284</v>
      </c>
      <c r="R15" s="1599" t="s">
        <v>9285</v>
      </c>
      <c r="S15" s="1538" t="s">
        <v>1832</v>
      </c>
      <c r="T15" s="1599" t="s">
        <v>9286</v>
      </c>
      <c r="U15" s="1538" t="s">
        <v>9287</v>
      </c>
      <c r="V15" s="1599" t="s">
        <v>3454</v>
      </c>
      <c r="W15" s="1614" t="s">
        <v>9288</v>
      </c>
      <c r="X15" s="1614" t="s">
        <v>4105</v>
      </c>
      <c r="Y15" s="1614" t="s">
        <v>8070</v>
      </c>
      <c r="Z15" s="1614" t="s">
        <v>9289</v>
      </c>
      <c r="AA15" s="1614" t="s">
        <v>6177</v>
      </c>
      <c r="AB15" s="1614" t="s">
        <v>4429</v>
      </c>
      <c r="AC15" s="1614" t="s">
        <v>1143</v>
      </c>
      <c r="AD15" s="1612" t="s">
        <v>9290</v>
      </c>
      <c r="AE15" s="1612" t="s">
        <v>5386</v>
      </c>
      <c r="AF15" s="1615" t="s">
        <v>9291</v>
      </c>
      <c r="AG15" s="1615" t="s">
        <v>7401</v>
      </c>
      <c r="AH15" s="1615" t="s">
        <v>5396</v>
      </c>
      <c r="AI15" s="1615" t="s">
        <v>9292</v>
      </c>
      <c r="AJ15" s="1615" t="s">
        <v>9293</v>
      </c>
      <c r="AK15" s="1615" t="s">
        <v>9294</v>
      </c>
      <c r="AL15" s="1615" t="s">
        <v>3579</v>
      </c>
      <c r="AM15" s="1616" t="s">
        <v>9295</v>
      </c>
      <c r="AN15" s="1617" t="s">
        <v>4728</v>
      </c>
      <c r="AO15" s="1617" t="s">
        <v>9296</v>
      </c>
      <c r="AP15" s="1616" t="s">
        <v>9297</v>
      </c>
      <c r="AQ15" s="1616" t="s">
        <v>9298</v>
      </c>
      <c r="AR15" s="1617" t="s">
        <v>9299</v>
      </c>
      <c r="AS15" s="1616" t="s">
        <v>273</v>
      </c>
      <c r="AT15" s="1564" t="s">
        <v>9300</v>
      </c>
      <c r="AU15" s="1579" t="s">
        <v>9301</v>
      </c>
      <c r="AV15" s="1450" t="str">
        <f t="shared" si="1"/>
        <v>2:35</v>
      </c>
      <c r="AW15" s="1618" t="s">
        <v>9302</v>
      </c>
    </row>
    <row r="16">
      <c r="A16" s="1589" t="s">
        <v>1879</v>
      </c>
      <c r="B16" s="1587" t="s">
        <v>8989</v>
      </c>
      <c r="C16" s="1619">
        <v>0.04976851851851852</v>
      </c>
      <c r="D16" s="1570" t="s">
        <v>9303</v>
      </c>
      <c r="E16" s="1570" t="s">
        <v>9304</v>
      </c>
      <c r="F16" s="1570" t="s">
        <v>6973</v>
      </c>
      <c r="G16" s="1573" t="s">
        <v>9305</v>
      </c>
      <c r="H16" s="1570" t="s">
        <v>9306</v>
      </c>
      <c r="I16" s="1570" t="s">
        <v>3753</v>
      </c>
      <c r="J16" s="1570" t="s">
        <v>9307</v>
      </c>
      <c r="K16" s="1575" t="s">
        <v>8995</v>
      </c>
      <c r="L16" s="1570" t="s">
        <v>8681</v>
      </c>
      <c r="M16" s="1570" t="s">
        <v>9308</v>
      </c>
      <c r="N16" s="1570" t="s">
        <v>688</v>
      </c>
      <c r="O16" s="1570" t="s">
        <v>9309</v>
      </c>
      <c r="P16" s="1570" t="s">
        <v>6598</v>
      </c>
      <c r="Q16" s="1570" t="s">
        <v>9310</v>
      </c>
      <c r="R16" s="1570" t="s">
        <v>6934</v>
      </c>
      <c r="S16" s="1570" t="s">
        <v>9311</v>
      </c>
      <c r="T16" s="1570" t="s">
        <v>5890</v>
      </c>
      <c r="U16" s="1570" t="s">
        <v>9312</v>
      </c>
      <c r="V16" s="1570" t="s">
        <v>9313</v>
      </c>
      <c r="W16" s="1570" t="s">
        <v>9314</v>
      </c>
      <c r="X16" s="1570" t="s">
        <v>9315</v>
      </c>
      <c r="Y16" s="1570" t="s">
        <v>9142</v>
      </c>
      <c r="Z16" s="1570" t="s">
        <v>9316</v>
      </c>
      <c r="AA16" s="1570" t="s">
        <v>9317</v>
      </c>
      <c r="AB16" s="1570" t="s">
        <v>9318</v>
      </c>
      <c r="AC16" s="1570" t="s">
        <v>596</v>
      </c>
      <c r="AD16" s="1570" t="s">
        <v>3236</v>
      </c>
      <c r="AE16" s="1570" t="s">
        <v>5621</v>
      </c>
      <c r="AF16" s="1570" t="s">
        <v>9319</v>
      </c>
      <c r="AG16" s="1570" t="s">
        <v>309</v>
      </c>
      <c r="AH16" s="1570" t="s">
        <v>9320</v>
      </c>
      <c r="AI16" s="1570" t="s">
        <v>3216</v>
      </c>
      <c r="AJ16" s="1570" t="s">
        <v>9321</v>
      </c>
      <c r="AK16" s="1570" t="s">
        <v>9322</v>
      </c>
      <c r="AL16" s="1570" t="s">
        <v>344</v>
      </c>
      <c r="AM16" s="1570" t="s">
        <v>2226</v>
      </c>
      <c r="AN16" s="1570" t="s">
        <v>234</v>
      </c>
      <c r="AO16" s="1570" t="s">
        <v>9323</v>
      </c>
      <c r="AP16" s="1570" t="s">
        <v>9324</v>
      </c>
      <c r="AQ16" s="1620" t="s">
        <v>9325</v>
      </c>
      <c r="AR16" s="1570" t="s">
        <v>9326</v>
      </c>
      <c r="AS16" s="1570" t="s">
        <v>837</v>
      </c>
      <c r="AT16" s="1570" t="s">
        <v>2410</v>
      </c>
      <c r="AU16" s="1558" t="s">
        <v>9327</v>
      </c>
      <c r="AV16" s="1450" t="str">
        <f t="shared" si="1"/>
        <v>2:14</v>
      </c>
      <c r="AW16" s="1621"/>
    </row>
    <row r="17" ht="15.75" customHeight="1">
      <c r="A17" s="1530" t="s">
        <v>6400</v>
      </c>
      <c r="B17" s="1622" t="s">
        <v>8989</v>
      </c>
      <c r="C17" s="1532">
        <v>0.04982638888888889</v>
      </c>
      <c r="D17" s="1401" t="s">
        <v>9328</v>
      </c>
      <c r="E17" s="1401" t="s">
        <v>4842</v>
      </c>
      <c r="F17" s="1401" t="s">
        <v>9329</v>
      </c>
      <c r="G17" s="1401" t="s">
        <v>9330</v>
      </c>
      <c r="H17" s="1401" t="s">
        <v>9331</v>
      </c>
      <c r="I17" s="1401" t="s">
        <v>5724</v>
      </c>
      <c r="J17" s="1401" t="s">
        <v>9332</v>
      </c>
      <c r="K17" s="980" t="s">
        <v>9333</v>
      </c>
      <c r="L17" s="1401" t="s">
        <v>9334</v>
      </c>
      <c r="M17" s="1401" t="s">
        <v>9335</v>
      </c>
      <c r="N17" s="1401" t="s">
        <v>2098</v>
      </c>
      <c r="O17" s="1401" t="s">
        <v>9336</v>
      </c>
      <c r="P17" s="980" t="s">
        <v>4477</v>
      </c>
      <c r="Q17" s="1401" t="s">
        <v>9337</v>
      </c>
      <c r="R17" s="1401" t="s">
        <v>1871</v>
      </c>
      <c r="S17" s="1401" t="s">
        <v>3438</v>
      </c>
      <c r="T17" s="1401" t="s">
        <v>9338</v>
      </c>
      <c r="U17" s="1401" t="s">
        <v>9339</v>
      </c>
      <c r="V17" s="1401" t="s">
        <v>7686</v>
      </c>
      <c r="W17" s="1401" t="s">
        <v>5501</v>
      </c>
      <c r="X17" s="1401" t="s">
        <v>9005</v>
      </c>
      <c r="Y17" s="1401" t="s">
        <v>9114</v>
      </c>
      <c r="Z17" s="1401" t="s">
        <v>7813</v>
      </c>
      <c r="AA17" s="1623" t="s">
        <v>9340</v>
      </c>
      <c r="AB17" s="1401" t="s">
        <v>5926</v>
      </c>
      <c r="AC17" s="1401" t="s">
        <v>1025</v>
      </c>
      <c r="AD17" s="1401" t="s">
        <v>7032</v>
      </c>
      <c r="AE17" s="1401" t="s">
        <v>4967</v>
      </c>
      <c r="AF17" s="1401" t="s">
        <v>9341</v>
      </c>
      <c r="AG17" s="1401" t="s">
        <v>1529</v>
      </c>
      <c r="AH17" s="980" t="s">
        <v>9342</v>
      </c>
      <c r="AI17" s="1401" t="s">
        <v>8725</v>
      </c>
      <c r="AJ17" s="1401" t="s">
        <v>9343</v>
      </c>
      <c r="AK17" s="1401" t="s">
        <v>9344</v>
      </c>
      <c r="AL17" s="1401" t="s">
        <v>4421</v>
      </c>
      <c r="AM17" s="1401" t="s">
        <v>3461</v>
      </c>
      <c r="AN17" s="1401" t="s">
        <v>9345</v>
      </c>
      <c r="AO17" s="1401" t="s">
        <v>9150</v>
      </c>
      <c r="AP17" s="1564" t="s">
        <v>9119</v>
      </c>
      <c r="AQ17" s="1401" t="s">
        <v>9346</v>
      </c>
      <c r="AR17" s="1401" t="s">
        <v>9347</v>
      </c>
      <c r="AS17" s="1401" t="s">
        <v>9348</v>
      </c>
      <c r="AT17" s="1401" t="s">
        <v>9349</v>
      </c>
      <c r="AU17" s="1383" t="s">
        <v>9350</v>
      </c>
      <c r="AV17" s="1450" t="str">
        <f t="shared" si="1"/>
        <v>2:18</v>
      </c>
      <c r="AW17" s="1624" t="s">
        <v>9351</v>
      </c>
    </row>
    <row r="18">
      <c r="A18" s="1625" t="s">
        <v>2647</v>
      </c>
      <c r="B18" s="1577" t="s">
        <v>9016</v>
      </c>
      <c r="C18" s="1626">
        <v>0.04985763888888889</v>
      </c>
      <c r="D18" s="1328" t="s">
        <v>9352</v>
      </c>
      <c r="E18" s="1627" t="s">
        <v>9353</v>
      </c>
      <c r="F18" s="1612" t="s">
        <v>1145</v>
      </c>
      <c r="G18" s="1627" t="s">
        <v>9354</v>
      </c>
      <c r="H18" s="1075" t="s">
        <v>9355</v>
      </c>
      <c r="I18" s="802" t="s">
        <v>239</v>
      </c>
      <c r="J18" s="1628" t="s">
        <v>9356</v>
      </c>
      <c r="K18" s="1629" t="s">
        <v>1619</v>
      </c>
      <c r="L18" s="1628" t="s">
        <v>9357</v>
      </c>
      <c r="M18" s="1628" t="s">
        <v>9358</v>
      </c>
      <c r="N18" s="1629" t="s">
        <v>9359</v>
      </c>
      <c r="O18" s="1628" t="s">
        <v>9360</v>
      </c>
      <c r="P18" s="1628" t="s">
        <v>4548</v>
      </c>
      <c r="Q18" s="1630" t="s">
        <v>9361</v>
      </c>
      <c r="R18" s="1631" t="s">
        <v>5557</v>
      </c>
      <c r="S18" s="1630" t="s">
        <v>9362</v>
      </c>
      <c r="T18" s="1632" t="s">
        <v>9363</v>
      </c>
      <c r="U18" s="1632" t="s">
        <v>9364</v>
      </c>
      <c r="V18" s="1631" t="s">
        <v>6417</v>
      </c>
      <c r="W18" s="1633" t="s">
        <v>9365</v>
      </c>
      <c r="X18" s="1634" t="s">
        <v>6865</v>
      </c>
      <c r="Y18" s="1614" t="s">
        <v>8516</v>
      </c>
      <c r="Z18" s="1634" t="s">
        <v>9366</v>
      </c>
      <c r="AA18" s="1635" t="s">
        <v>1925</v>
      </c>
      <c r="AB18" s="1633" t="s">
        <v>9367</v>
      </c>
      <c r="AC18" s="1633" t="s">
        <v>4967</v>
      </c>
      <c r="AD18" s="1627" t="s">
        <v>9368</v>
      </c>
      <c r="AE18" s="1627" t="s">
        <v>5353</v>
      </c>
      <c r="AF18" s="1636" t="s">
        <v>9369</v>
      </c>
      <c r="AG18" s="1637" t="s">
        <v>156</v>
      </c>
      <c r="AH18" s="1637" t="s">
        <v>9370</v>
      </c>
      <c r="AI18" s="1636" t="s">
        <v>9371</v>
      </c>
      <c r="AJ18" s="1637" t="s">
        <v>9372</v>
      </c>
      <c r="AK18" s="1637" t="s">
        <v>2334</v>
      </c>
      <c r="AL18" s="1636" t="s">
        <v>4137</v>
      </c>
      <c r="AM18" s="1608" t="s">
        <v>9038</v>
      </c>
      <c r="AN18" s="1638" t="s">
        <v>4622</v>
      </c>
      <c r="AO18" s="1638" t="s">
        <v>9373</v>
      </c>
      <c r="AP18" s="1638" t="s">
        <v>9374</v>
      </c>
      <c r="AQ18" s="1638" t="s">
        <v>4566</v>
      </c>
      <c r="AR18" s="1638" t="s">
        <v>9375</v>
      </c>
      <c r="AS18" s="1638" t="s">
        <v>929</v>
      </c>
      <c r="AT18" s="1628" t="s">
        <v>9376</v>
      </c>
      <c r="AU18" s="1639" t="s">
        <v>9350</v>
      </c>
      <c r="AV18" s="1640" t="str">
        <f t="shared" si="1"/>
        <v>2:15</v>
      </c>
      <c r="AW18" s="1641"/>
    </row>
    <row r="19" ht="15.75" customHeight="1">
      <c r="A19" s="1530" t="s">
        <v>2087</v>
      </c>
      <c r="B19" s="1531" t="s">
        <v>8989</v>
      </c>
      <c r="C19" s="1532">
        <v>0.049895833333333334</v>
      </c>
      <c r="D19" s="980" t="s">
        <v>9377</v>
      </c>
      <c r="E19" s="1642" t="s">
        <v>954</v>
      </c>
      <c r="F19" s="1612" t="s">
        <v>9378</v>
      </c>
      <c r="G19" s="1642" t="s">
        <v>9379</v>
      </c>
      <c r="H19" s="802" t="s">
        <v>9380</v>
      </c>
      <c r="I19" s="905" t="s">
        <v>5623</v>
      </c>
      <c r="J19" s="1596" t="s">
        <v>9381</v>
      </c>
      <c r="K19" s="1643" t="s">
        <v>9382</v>
      </c>
      <c r="L19" s="1596" t="s">
        <v>9089</v>
      </c>
      <c r="M19" s="1596" t="s">
        <v>5064</v>
      </c>
      <c r="N19" s="1596" t="s">
        <v>9383</v>
      </c>
      <c r="O19" s="1643" t="s">
        <v>9384</v>
      </c>
      <c r="P19" s="980" t="s">
        <v>1067</v>
      </c>
      <c r="Q19" s="1599" t="s">
        <v>3514</v>
      </c>
      <c r="R19" s="1644" t="s">
        <v>7810</v>
      </c>
      <c r="S19" s="1644" t="s">
        <v>9385</v>
      </c>
      <c r="T19" s="1644" t="s">
        <v>9386</v>
      </c>
      <c r="U19" s="1644" t="s">
        <v>1829</v>
      </c>
      <c r="V19" s="1599" t="s">
        <v>4456</v>
      </c>
      <c r="W19" s="1614" t="s">
        <v>9387</v>
      </c>
      <c r="X19" s="1645" t="s">
        <v>9388</v>
      </c>
      <c r="Y19" s="1614" t="s">
        <v>9389</v>
      </c>
      <c r="Z19" s="1614" t="s">
        <v>9390</v>
      </c>
      <c r="AA19" s="1614" t="s">
        <v>3321</v>
      </c>
      <c r="AB19" s="1645" t="s">
        <v>7372</v>
      </c>
      <c r="AC19" s="1645" t="s">
        <v>1218</v>
      </c>
      <c r="AD19" s="1642" t="s">
        <v>9391</v>
      </c>
      <c r="AE19" s="1642" t="s">
        <v>9392</v>
      </c>
      <c r="AF19" s="1646" t="s">
        <v>9393</v>
      </c>
      <c r="AG19" s="1615" t="s">
        <v>9394</v>
      </c>
      <c r="AH19" s="1615" t="s">
        <v>9395</v>
      </c>
      <c r="AI19" s="1615" t="s">
        <v>9396</v>
      </c>
      <c r="AJ19" s="1646" t="s">
        <v>9397</v>
      </c>
      <c r="AK19" s="1646" t="s">
        <v>960</v>
      </c>
      <c r="AL19" s="1615" t="s">
        <v>9398</v>
      </c>
      <c r="AM19" s="1617" t="s">
        <v>9399</v>
      </c>
      <c r="AN19" s="1616" t="s">
        <v>3161</v>
      </c>
      <c r="AO19" s="1617" t="s">
        <v>6980</v>
      </c>
      <c r="AP19" s="1616" t="s">
        <v>5711</v>
      </c>
      <c r="AQ19" s="1617" t="s">
        <v>9400</v>
      </c>
      <c r="AR19" s="1616" t="s">
        <v>1159</v>
      </c>
      <c r="AS19" s="1616" t="s">
        <v>3948</v>
      </c>
      <c r="AT19" s="1643" t="s">
        <v>6582</v>
      </c>
      <c r="AU19" s="1640" t="s">
        <v>9401</v>
      </c>
      <c r="AV19" s="1450" t="str">
        <f t="shared" si="1"/>
        <v>2:22</v>
      </c>
      <c r="AW19" s="1586" t="s">
        <v>9402</v>
      </c>
    </row>
    <row r="20">
      <c r="A20" s="1589" t="s">
        <v>1550</v>
      </c>
      <c r="B20" s="1577" t="s">
        <v>8989</v>
      </c>
      <c r="C20" s="1532">
        <v>0.04991898148148148</v>
      </c>
      <c r="D20" s="1647" t="s">
        <v>9403</v>
      </c>
      <c r="E20" s="1648" t="s">
        <v>9404</v>
      </c>
      <c r="F20" s="1648" t="s">
        <v>9405</v>
      </c>
      <c r="G20" s="1648" t="s">
        <v>9406</v>
      </c>
      <c r="H20" s="1648" t="s">
        <v>9407</v>
      </c>
      <c r="I20" s="1648">
        <v>48.07</v>
      </c>
      <c r="J20" s="1648" t="s">
        <v>9366</v>
      </c>
      <c r="K20" s="1648" t="s">
        <v>1790</v>
      </c>
      <c r="L20" s="1648">
        <v>56.32</v>
      </c>
      <c r="M20" s="1648" t="s">
        <v>175</v>
      </c>
      <c r="N20" s="1648" t="s">
        <v>9408</v>
      </c>
      <c r="O20" s="1648" t="s">
        <v>9409</v>
      </c>
      <c r="P20" s="1648">
        <v>47.77</v>
      </c>
      <c r="Q20" s="1648" t="s">
        <v>9410</v>
      </c>
      <c r="R20" s="1648" t="s">
        <v>6838</v>
      </c>
      <c r="S20" s="1648" t="s">
        <v>9411</v>
      </c>
      <c r="T20" s="1648" t="s">
        <v>2664</v>
      </c>
      <c r="U20" s="1648" t="s">
        <v>9412</v>
      </c>
      <c r="V20" s="1648">
        <v>59.79</v>
      </c>
      <c r="W20" s="1648" t="s">
        <v>9413</v>
      </c>
      <c r="X20" s="1648" t="s">
        <v>1925</v>
      </c>
      <c r="Y20" s="1648">
        <v>47.0</v>
      </c>
      <c r="Z20" s="1648" t="s">
        <v>9414</v>
      </c>
      <c r="AA20" s="1648" t="s">
        <v>9415</v>
      </c>
      <c r="AB20" s="1648" t="s">
        <v>6788</v>
      </c>
      <c r="AC20" s="1648">
        <v>47.56</v>
      </c>
      <c r="AD20" s="1648" t="s">
        <v>9031</v>
      </c>
      <c r="AE20" s="1648">
        <v>47.95</v>
      </c>
      <c r="AF20" s="1648" t="s">
        <v>9416</v>
      </c>
      <c r="AG20" s="1648" t="s">
        <v>9417</v>
      </c>
      <c r="AH20" s="1648">
        <v>57.67</v>
      </c>
      <c r="AI20" s="1648" t="s">
        <v>1047</v>
      </c>
      <c r="AJ20" s="1648" t="s">
        <v>9418</v>
      </c>
      <c r="AK20" s="1648" t="s">
        <v>7396</v>
      </c>
      <c r="AL20" s="1648">
        <v>56.37</v>
      </c>
      <c r="AM20" s="1648" t="s">
        <v>9419</v>
      </c>
      <c r="AN20" s="1648">
        <v>55.92</v>
      </c>
      <c r="AO20" s="1648" t="s">
        <v>4508</v>
      </c>
      <c r="AP20" s="1648" t="s">
        <v>8888</v>
      </c>
      <c r="AQ20" s="1648" t="s">
        <v>9420</v>
      </c>
      <c r="AR20" s="1648" t="s">
        <v>7502</v>
      </c>
      <c r="AS20" s="1648">
        <v>46.83</v>
      </c>
      <c r="AT20" s="1649" t="s">
        <v>9421</v>
      </c>
      <c r="AU20" s="1570" t="s">
        <v>9422</v>
      </c>
      <c r="AV20" s="1450" t="str">
        <f t="shared" si="1"/>
        <v>1:53</v>
      </c>
      <c r="AW20" s="1580" t="s">
        <v>9423</v>
      </c>
    </row>
    <row r="21">
      <c r="A21" s="1589" t="s">
        <v>2105</v>
      </c>
      <c r="B21" s="1577" t="s">
        <v>8989</v>
      </c>
      <c r="C21" s="1650">
        <v>0.049930555555555554</v>
      </c>
      <c r="D21" s="1651" t="s">
        <v>9424</v>
      </c>
      <c r="E21" s="1570" t="s">
        <v>6455</v>
      </c>
      <c r="F21" s="1570" t="s">
        <v>4232</v>
      </c>
      <c r="G21" s="1570" t="s">
        <v>9425</v>
      </c>
      <c r="H21" s="1570" t="s">
        <v>9426</v>
      </c>
      <c r="I21" s="1570" t="s">
        <v>5771</v>
      </c>
      <c r="J21" s="1570" t="s">
        <v>6427</v>
      </c>
      <c r="K21" s="1570" t="s">
        <v>9427</v>
      </c>
      <c r="L21" s="1570" t="s">
        <v>3579</v>
      </c>
      <c r="M21" s="1570" t="s">
        <v>1086</v>
      </c>
      <c r="N21" s="1570" t="s">
        <v>9428</v>
      </c>
      <c r="O21" s="1570" t="s">
        <v>798</v>
      </c>
      <c r="P21" s="1566">
        <v>47.54</v>
      </c>
      <c r="Q21" s="1652" t="s">
        <v>5778</v>
      </c>
      <c r="R21" s="1566" t="s">
        <v>9429</v>
      </c>
      <c r="S21" s="1652" t="s">
        <v>9248</v>
      </c>
      <c r="T21" s="1566" t="s">
        <v>9430</v>
      </c>
      <c r="U21" s="1652" t="s">
        <v>9431</v>
      </c>
      <c r="V21" s="1566">
        <v>58.55</v>
      </c>
      <c r="W21" s="1652" t="s">
        <v>9432</v>
      </c>
      <c r="X21" s="1652" t="s">
        <v>9433</v>
      </c>
      <c r="Y21" s="1538" t="s">
        <v>9142</v>
      </c>
      <c r="Z21" s="1652" t="s">
        <v>9434</v>
      </c>
      <c r="AA21" s="1570" t="s">
        <v>9435</v>
      </c>
      <c r="AB21" s="1652" t="s">
        <v>9318</v>
      </c>
      <c r="AC21" s="1450">
        <v>47.2</v>
      </c>
      <c r="AD21" s="1652" t="s">
        <v>9436</v>
      </c>
      <c r="AE21" s="1566">
        <v>47.88</v>
      </c>
      <c r="AF21" s="1652" t="s">
        <v>9437</v>
      </c>
      <c r="AG21" s="1652" t="s">
        <v>9438</v>
      </c>
      <c r="AH21" s="1652">
        <v>57.68</v>
      </c>
      <c r="AI21" s="1652" t="s">
        <v>2925</v>
      </c>
      <c r="AJ21" s="1566" t="s">
        <v>9439</v>
      </c>
      <c r="AK21" s="1538" t="s">
        <v>9440</v>
      </c>
      <c r="AL21" s="1652">
        <v>55.92</v>
      </c>
      <c r="AM21" s="1652" t="s">
        <v>2966</v>
      </c>
      <c r="AN21" s="1538" t="s">
        <v>5787</v>
      </c>
      <c r="AO21" s="1652" t="s">
        <v>7800</v>
      </c>
      <c r="AP21" s="1652" t="s">
        <v>9441</v>
      </c>
      <c r="AQ21" s="1652" t="s">
        <v>7002</v>
      </c>
      <c r="AR21" s="1652" t="s">
        <v>6528</v>
      </c>
      <c r="AS21" s="1653">
        <v>42.83</v>
      </c>
      <c r="AT21" s="1566" t="s">
        <v>9442</v>
      </c>
      <c r="AU21" s="1579" t="s">
        <v>9443</v>
      </c>
      <c r="AV21" s="1450" t="str">
        <f t="shared" si="1"/>
        <v>4:29</v>
      </c>
      <c r="AW21" s="1580" t="s">
        <v>9444</v>
      </c>
    </row>
    <row r="22" ht="15.75" customHeight="1">
      <c r="A22" s="1589" t="s">
        <v>2264</v>
      </c>
      <c r="B22" s="1531" t="s">
        <v>8989</v>
      </c>
      <c r="C22" s="1532">
        <v>0.0499537037037037</v>
      </c>
      <c r="D22" s="1558" t="s">
        <v>9445</v>
      </c>
      <c r="E22" s="1558" t="s">
        <v>2880</v>
      </c>
      <c r="F22" s="1558" t="s">
        <v>9446</v>
      </c>
      <c r="G22" s="1538" t="s">
        <v>9447</v>
      </c>
      <c r="H22" s="1558" t="s">
        <v>9448</v>
      </c>
      <c r="I22" s="1654" t="s">
        <v>9392</v>
      </c>
      <c r="J22" s="1558" t="s">
        <v>1417</v>
      </c>
      <c r="K22" s="1558" t="s">
        <v>5200</v>
      </c>
      <c r="L22" s="1558" t="s">
        <v>9449</v>
      </c>
      <c r="M22" s="1558" t="s">
        <v>9450</v>
      </c>
      <c r="N22" s="1558" t="s">
        <v>9451</v>
      </c>
      <c r="O22" s="1558" t="s">
        <v>9452</v>
      </c>
      <c r="P22" s="1558" t="s">
        <v>7700</v>
      </c>
      <c r="Q22" s="1558" t="s">
        <v>4623</v>
      </c>
      <c r="R22" s="1599" t="s">
        <v>5557</v>
      </c>
      <c r="S22" s="1558" t="s">
        <v>4067</v>
      </c>
      <c r="T22" s="1558" t="s">
        <v>9184</v>
      </c>
      <c r="U22" s="1558" t="s">
        <v>9453</v>
      </c>
      <c r="V22" s="1558" t="s">
        <v>9454</v>
      </c>
      <c r="W22" s="1558" t="s">
        <v>9455</v>
      </c>
      <c r="X22" s="1558" t="s">
        <v>7373</v>
      </c>
      <c r="Y22" s="1558" t="s">
        <v>4349</v>
      </c>
      <c r="Z22" s="1558" t="s">
        <v>9456</v>
      </c>
      <c r="AA22" s="1558" t="s">
        <v>7373</v>
      </c>
      <c r="AB22" s="1558" t="s">
        <v>9457</v>
      </c>
      <c r="AC22" s="1558" t="s">
        <v>5673</v>
      </c>
      <c r="AD22" s="1558" t="s">
        <v>7413</v>
      </c>
      <c r="AE22" s="1558" t="s">
        <v>5965</v>
      </c>
      <c r="AF22" s="1558" t="s">
        <v>9458</v>
      </c>
      <c r="AG22" s="1558" t="s">
        <v>5069</v>
      </c>
      <c r="AH22" s="1558" t="s">
        <v>5218</v>
      </c>
      <c r="AI22" s="1558" t="s">
        <v>9459</v>
      </c>
      <c r="AJ22" s="1537" t="s">
        <v>9006</v>
      </c>
      <c r="AK22" s="1558" t="s">
        <v>2530</v>
      </c>
      <c r="AL22" s="1558" t="s">
        <v>9460</v>
      </c>
      <c r="AM22" s="1558" t="s">
        <v>9163</v>
      </c>
      <c r="AN22" s="1558" t="s">
        <v>557</v>
      </c>
      <c r="AO22" s="1558" t="s">
        <v>9461</v>
      </c>
      <c r="AP22" s="1558" t="s">
        <v>9462</v>
      </c>
      <c r="AQ22" s="1558" t="s">
        <v>4828</v>
      </c>
      <c r="AR22" s="1558" t="s">
        <v>7503</v>
      </c>
      <c r="AS22" s="1558" t="s">
        <v>9463</v>
      </c>
      <c r="AT22" s="1558" t="s">
        <v>3121</v>
      </c>
      <c r="AU22" s="1558" t="s">
        <v>9464</v>
      </c>
      <c r="AV22" s="1450" t="str">
        <f t="shared" si="1"/>
        <v>3:21</v>
      </c>
      <c r="AW22" s="1624" t="s">
        <v>9465</v>
      </c>
    </row>
    <row r="23" ht="15.75" customHeight="1">
      <c r="A23" s="1530" t="s">
        <v>9466</v>
      </c>
      <c r="B23" s="1531" t="s">
        <v>8989</v>
      </c>
      <c r="C23" s="1532">
        <v>0.049965277777777775</v>
      </c>
      <c r="D23" s="980" t="s">
        <v>9467</v>
      </c>
      <c r="E23" s="1558" t="s">
        <v>4372</v>
      </c>
      <c r="F23" s="1558" t="s">
        <v>9468</v>
      </c>
      <c r="G23" s="1558" t="s">
        <v>9469</v>
      </c>
      <c r="H23" s="1450" t="s">
        <v>2288</v>
      </c>
      <c r="I23" s="1558" t="s">
        <v>1385</v>
      </c>
      <c r="J23" s="1558" t="s">
        <v>382</v>
      </c>
      <c r="K23" s="1558" t="s">
        <v>9470</v>
      </c>
      <c r="L23" s="1558" t="s">
        <v>5433</v>
      </c>
      <c r="M23" s="1558" t="s">
        <v>6607</v>
      </c>
      <c r="N23" s="1558" t="s">
        <v>9471</v>
      </c>
      <c r="O23" s="1558" t="s">
        <v>2613</v>
      </c>
      <c r="P23" s="1450" t="s">
        <v>5281</v>
      </c>
      <c r="Q23" s="1558" t="s">
        <v>9472</v>
      </c>
      <c r="R23" s="1558" t="s">
        <v>3299</v>
      </c>
      <c r="S23" s="1558" t="s">
        <v>7254</v>
      </c>
      <c r="T23" s="1558" t="s">
        <v>8777</v>
      </c>
      <c r="U23" s="1558" t="s">
        <v>9473</v>
      </c>
      <c r="V23" s="1558" t="s">
        <v>5041</v>
      </c>
      <c r="W23" s="1558" t="s">
        <v>9474</v>
      </c>
      <c r="X23" s="1450" t="s">
        <v>6865</v>
      </c>
      <c r="Y23" s="1450" t="s">
        <v>5607</v>
      </c>
      <c r="Z23" s="1558" t="s">
        <v>9475</v>
      </c>
      <c r="AA23" s="1558" t="s">
        <v>2331</v>
      </c>
      <c r="AB23" s="1558" t="s">
        <v>9476</v>
      </c>
      <c r="AC23" s="1558" t="s">
        <v>784</v>
      </c>
      <c r="AD23" s="1558" t="s">
        <v>5293</v>
      </c>
      <c r="AE23" s="1558" t="s">
        <v>9477</v>
      </c>
      <c r="AF23" s="1558" t="s">
        <v>943</v>
      </c>
      <c r="AG23" s="1558" t="s">
        <v>9478</v>
      </c>
      <c r="AH23" s="1558" t="s">
        <v>6167</v>
      </c>
      <c r="AI23" s="1558" t="s">
        <v>690</v>
      </c>
      <c r="AJ23" s="1450" t="s">
        <v>9479</v>
      </c>
      <c r="AK23" s="1615" t="s">
        <v>7179</v>
      </c>
      <c r="AL23" s="1558" t="s">
        <v>4615</v>
      </c>
      <c r="AM23" s="1558" t="s">
        <v>3712</v>
      </c>
      <c r="AN23" s="1450" t="s">
        <v>6302</v>
      </c>
      <c r="AO23" s="1450" t="s">
        <v>7503</v>
      </c>
      <c r="AP23" s="1450" t="s">
        <v>9480</v>
      </c>
      <c r="AQ23" s="1450" t="s">
        <v>9125</v>
      </c>
      <c r="AR23" s="1450" t="s">
        <v>490</v>
      </c>
      <c r="AS23" s="1450" t="s">
        <v>5881</v>
      </c>
      <c r="AT23" s="1450" t="s">
        <v>9341</v>
      </c>
      <c r="AU23" s="1558" t="s">
        <v>9481</v>
      </c>
      <c r="AV23" s="1450" t="str">
        <f t="shared" si="1"/>
        <v>3:46</v>
      </c>
      <c r="AW23" s="1621" t="s">
        <v>8549</v>
      </c>
    </row>
    <row r="24" ht="15.75" customHeight="1">
      <c r="A24" s="1655" t="s">
        <v>6358</v>
      </c>
      <c r="B24" s="1531" t="s">
        <v>8989</v>
      </c>
      <c r="C24" s="1532">
        <v>0.05</v>
      </c>
      <c r="D24" s="980" t="s">
        <v>9482</v>
      </c>
      <c r="E24" s="1558" t="s">
        <v>8809</v>
      </c>
      <c r="F24" s="1558" t="s">
        <v>9446</v>
      </c>
      <c r="G24" s="1450" t="s">
        <v>9483</v>
      </c>
      <c r="H24" s="1558" t="s">
        <v>9484</v>
      </c>
      <c r="I24" s="1450" t="s">
        <v>1848</v>
      </c>
      <c r="J24" s="1558" t="s">
        <v>2868</v>
      </c>
      <c r="K24" s="1558" t="s">
        <v>9485</v>
      </c>
      <c r="L24" s="1558" t="s">
        <v>3319</v>
      </c>
      <c r="M24" s="1558" t="s">
        <v>9486</v>
      </c>
      <c r="N24" s="1558" t="s">
        <v>9487</v>
      </c>
      <c r="O24" s="1558" t="s">
        <v>9432</v>
      </c>
      <c r="P24" s="1450" t="s">
        <v>4015</v>
      </c>
      <c r="Q24" s="1558" t="s">
        <v>1852</v>
      </c>
      <c r="R24" s="1558" t="s">
        <v>6805</v>
      </c>
      <c r="S24" s="1558" t="s">
        <v>7985</v>
      </c>
      <c r="T24" s="1558" t="s">
        <v>6840</v>
      </c>
      <c r="U24" s="1558" t="s">
        <v>9488</v>
      </c>
      <c r="V24" s="1558" t="s">
        <v>9489</v>
      </c>
      <c r="W24" s="1558" t="s">
        <v>9490</v>
      </c>
      <c r="X24" s="1558" t="s">
        <v>9317</v>
      </c>
      <c r="Y24" s="1558" t="s">
        <v>9491</v>
      </c>
      <c r="Z24" s="1558" t="s">
        <v>9492</v>
      </c>
      <c r="AA24" s="1558" t="s">
        <v>9315</v>
      </c>
      <c r="AB24" s="1558" t="s">
        <v>9493</v>
      </c>
      <c r="AC24" s="1450" t="s">
        <v>1889</v>
      </c>
      <c r="AD24" s="1558" t="s">
        <v>9494</v>
      </c>
      <c r="AE24" s="1450" t="s">
        <v>5595</v>
      </c>
      <c r="AF24" s="1656" t="s">
        <v>9004</v>
      </c>
      <c r="AG24" s="1558" t="s">
        <v>607</v>
      </c>
      <c r="AH24" s="1558" t="s">
        <v>7968</v>
      </c>
      <c r="AI24" s="1558" t="s">
        <v>309</v>
      </c>
      <c r="AJ24" s="1450" t="s">
        <v>9495</v>
      </c>
      <c r="AK24" s="1558" t="s">
        <v>9496</v>
      </c>
      <c r="AL24" s="1450" t="s">
        <v>3267</v>
      </c>
      <c r="AM24" s="1558" t="s">
        <v>2057</v>
      </c>
      <c r="AN24" s="1450" t="s">
        <v>2631</v>
      </c>
      <c r="AO24" s="1558" t="s">
        <v>3488</v>
      </c>
      <c r="AP24" s="1558" t="s">
        <v>9497</v>
      </c>
      <c r="AQ24" s="1450" t="s">
        <v>9498</v>
      </c>
      <c r="AR24" s="1558" t="s">
        <v>1757</v>
      </c>
      <c r="AS24" s="1450" t="s">
        <v>9348</v>
      </c>
      <c r="AT24" s="1558" t="s">
        <v>9499</v>
      </c>
      <c r="AU24" s="1558" t="s">
        <v>9500</v>
      </c>
      <c r="AV24" s="1450" t="str">
        <f t="shared" si="1"/>
        <v>1:53</v>
      </c>
      <c r="AW24" s="1621"/>
    </row>
    <row r="25" ht="15.75" customHeight="1">
      <c r="A25" s="1589" t="s">
        <v>2678</v>
      </c>
      <c r="B25" s="1577" t="s">
        <v>9016</v>
      </c>
      <c r="C25" s="1532">
        <v>0.05008101851851852</v>
      </c>
      <c r="D25" s="980" t="s">
        <v>9501</v>
      </c>
      <c r="E25" s="980" t="s">
        <v>9502</v>
      </c>
      <c r="F25" s="980" t="s">
        <v>9412</v>
      </c>
      <c r="G25" s="980" t="s">
        <v>9503</v>
      </c>
      <c r="H25" s="980" t="s">
        <v>9504</v>
      </c>
      <c r="I25" s="980" t="s">
        <v>9505</v>
      </c>
      <c r="J25" s="1594" t="s">
        <v>1350</v>
      </c>
      <c r="K25" s="980" t="s">
        <v>1089</v>
      </c>
      <c r="L25" s="980" t="s">
        <v>9357</v>
      </c>
      <c r="M25" s="1596" t="s">
        <v>9335</v>
      </c>
      <c r="N25" s="1594" t="s">
        <v>2500</v>
      </c>
      <c r="O25" s="980" t="s">
        <v>9506</v>
      </c>
      <c r="P25" s="1594" t="s">
        <v>5595</v>
      </c>
      <c r="Q25" s="1594" t="s">
        <v>5832</v>
      </c>
      <c r="R25" s="980" t="s">
        <v>6762</v>
      </c>
      <c r="S25" s="980" t="s">
        <v>336</v>
      </c>
      <c r="T25" s="1594" t="s">
        <v>9027</v>
      </c>
      <c r="U25" s="980" t="s">
        <v>9507</v>
      </c>
      <c r="V25" s="980" t="s">
        <v>9508</v>
      </c>
      <c r="W25" s="980" t="s">
        <v>6728</v>
      </c>
      <c r="X25" s="980" t="s">
        <v>5890</v>
      </c>
      <c r="Y25" s="980" t="s">
        <v>5135</v>
      </c>
      <c r="Z25" s="980" t="s">
        <v>1128</v>
      </c>
      <c r="AA25" s="980" t="s">
        <v>9371</v>
      </c>
      <c r="AB25" s="980" t="s">
        <v>2518</v>
      </c>
      <c r="AC25" s="980" t="s">
        <v>1833</v>
      </c>
      <c r="AD25" s="980" t="s">
        <v>6314</v>
      </c>
      <c r="AE25" s="980" t="s">
        <v>3313</v>
      </c>
      <c r="AF25" s="980" t="s">
        <v>9036</v>
      </c>
      <c r="AG25" s="980" t="s">
        <v>9509</v>
      </c>
      <c r="AH25" s="980" t="s">
        <v>5008</v>
      </c>
      <c r="AI25" s="980" t="s">
        <v>3423</v>
      </c>
      <c r="AJ25" s="980" t="s">
        <v>9510</v>
      </c>
      <c r="AK25" s="980" t="s">
        <v>9511</v>
      </c>
      <c r="AL25" s="980" t="s">
        <v>9512</v>
      </c>
      <c r="AM25" s="980" t="s">
        <v>9103</v>
      </c>
      <c r="AN25" s="980" t="s">
        <v>4413</v>
      </c>
      <c r="AO25" s="980" t="s">
        <v>6921</v>
      </c>
      <c r="AP25" s="980" t="s">
        <v>9513</v>
      </c>
      <c r="AQ25" s="980" t="s">
        <v>9514</v>
      </c>
      <c r="AR25" s="980" t="s">
        <v>9515</v>
      </c>
      <c r="AS25" s="980" t="s">
        <v>4667</v>
      </c>
      <c r="AT25" s="980" t="s">
        <v>9516</v>
      </c>
      <c r="AU25" s="1615" t="s">
        <v>9042</v>
      </c>
      <c r="AV25" s="1450" t="str">
        <f t="shared" si="1"/>
        <v>2:51</v>
      </c>
      <c r="AW25" s="1657"/>
    </row>
    <row r="26">
      <c r="A26" s="1589" t="s">
        <v>7481</v>
      </c>
      <c r="B26" s="1587" t="s">
        <v>9016</v>
      </c>
      <c r="C26" s="1532">
        <v>0.05016203703703704</v>
      </c>
      <c r="D26" s="1566" t="s">
        <v>9517</v>
      </c>
      <c r="E26" s="1658" t="s">
        <v>6699</v>
      </c>
      <c r="F26" s="1566" t="s">
        <v>9518</v>
      </c>
      <c r="G26" s="1566" t="s">
        <v>9519</v>
      </c>
      <c r="H26" s="1566" t="s">
        <v>9520</v>
      </c>
      <c r="I26" s="1566" t="s">
        <v>5353</v>
      </c>
      <c r="J26" s="1566" t="s">
        <v>9521</v>
      </c>
      <c r="K26" s="1566" t="s">
        <v>5243</v>
      </c>
      <c r="L26" s="980" t="s">
        <v>5130</v>
      </c>
      <c r="M26" s="1594" t="s">
        <v>9023</v>
      </c>
      <c r="N26" s="1566" t="s">
        <v>9522</v>
      </c>
      <c r="O26" s="1566" t="s">
        <v>9523</v>
      </c>
      <c r="P26" s="1566" t="s">
        <v>5460</v>
      </c>
      <c r="Q26" s="1566" t="s">
        <v>2806</v>
      </c>
      <c r="R26" s="1566" t="s">
        <v>967</v>
      </c>
      <c r="S26" s="1566" t="s">
        <v>9524</v>
      </c>
      <c r="T26" s="1566" t="s">
        <v>1390</v>
      </c>
      <c r="U26" s="1566" t="s">
        <v>9364</v>
      </c>
      <c r="V26" s="1566" t="s">
        <v>9525</v>
      </c>
      <c r="W26" s="1566" t="s">
        <v>9526</v>
      </c>
      <c r="X26" s="1566" t="s">
        <v>1299</v>
      </c>
      <c r="Y26" s="1566" t="s">
        <v>1090</v>
      </c>
      <c r="Z26" s="1566" t="s">
        <v>9434</v>
      </c>
      <c r="AA26" s="1566" t="s">
        <v>9527</v>
      </c>
      <c r="AB26" s="1566" t="s">
        <v>9528</v>
      </c>
      <c r="AC26" s="1566" t="s">
        <v>4798</v>
      </c>
      <c r="AD26" s="1566" t="s">
        <v>9529</v>
      </c>
      <c r="AE26" s="1566" t="s">
        <v>2654</v>
      </c>
      <c r="AF26" s="1566" t="s">
        <v>5846</v>
      </c>
      <c r="AG26" s="1566" t="s">
        <v>9530</v>
      </c>
      <c r="AH26" s="1566" t="s">
        <v>4292</v>
      </c>
      <c r="AI26" s="1558" t="s">
        <v>4161</v>
      </c>
      <c r="AJ26" s="1566" t="s">
        <v>9531</v>
      </c>
      <c r="AK26" s="1566" t="s">
        <v>9356</v>
      </c>
      <c r="AL26" s="1566" t="s">
        <v>2512</v>
      </c>
      <c r="AM26" s="1566" t="s">
        <v>4072</v>
      </c>
      <c r="AN26" s="1566" t="s">
        <v>6076</v>
      </c>
      <c r="AO26" s="1566" t="s">
        <v>9532</v>
      </c>
      <c r="AP26" s="1566" t="s">
        <v>9533</v>
      </c>
      <c r="AQ26" s="1566" t="s">
        <v>4057</v>
      </c>
      <c r="AR26" s="1566" t="s">
        <v>2742</v>
      </c>
      <c r="AS26" s="1566" t="s">
        <v>754</v>
      </c>
      <c r="AT26" s="1566" t="s">
        <v>9534</v>
      </c>
      <c r="AU26" s="1558" t="s">
        <v>9535</v>
      </c>
      <c r="AV26" s="1450" t="str">
        <f t="shared" si="1"/>
        <v>3:20</v>
      </c>
      <c r="AW26" s="1065"/>
    </row>
    <row r="27" ht="15.75" customHeight="1">
      <c r="A27" s="1555" t="s">
        <v>1413</v>
      </c>
      <c r="B27" s="1531" t="s">
        <v>8989</v>
      </c>
      <c r="C27" s="1532">
        <v>0.05025462962962963</v>
      </c>
      <c r="D27" s="980" t="s">
        <v>9536</v>
      </c>
      <c r="E27" s="1612" t="s">
        <v>9537</v>
      </c>
      <c r="F27" s="1642" t="s">
        <v>9538</v>
      </c>
      <c r="G27" s="1538" t="s">
        <v>9539</v>
      </c>
      <c r="H27" s="905" t="s">
        <v>9540</v>
      </c>
      <c r="I27" s="905" t="s">
        <v>1042</v>
      </c>
      <c r="J27" s="1596" t="s">
        <v>7361</v>
      </c>
      <c r="K27" s="1643" t="s">
        <v>8097</v>
      </c>
      <c r="L27" s="1643" t="s">
        <v>5178</v>
      </c>
      <c r="M27" s="1659" t="str">
        <f>HYPERLINK("https://youtu.be/teAIifUZjFw","1:14.18")</f>
        <v>1:14.18</v>
      </c>
      <c r="N27" s="1643" t="s">
        <v>3775</v>
      </c>
      <c r="O27" s="1643" t="s">
        <v>9541</v>
      </c>
      <c r="P27" s="1643" t="s">
        <v>2096</v>
      </c>
      <c r="Q27" s="1644" t="s">
        <v>9542</v>
      </c>
      <c r="R27" s="1599" t="s">
        <v>9543</v>
      </c>
      <c r="S27" s="1599" t="s">
        <v>5492</v>
      </c>
      <c r="T27" s="1660" t="str">
        <f>HYPERLINK("https://youtu.be/AiXricVH5ss","1:24.99")</f>
        <v>1:24.99</v>
      </c>
      <c r="U27" s="1661" t="str">
        <f>HYPERLINK("https://www.twitch.tv/videos/450151935","2:00.31")</f>
        <v>2:00.31</v>
      </c>
      <c r="V27" s="1599" t="s">
        <v>9028</v>
      </c>
      <c r="W27" s="1662" t="str">
        <f>HYPERLINK("https://youtu.be/eafNhBoXVWA","1:46.09")</f>
        <v>1:46.09</v>
      </c>
      <c r="X27" s="1645" t="s">
        <v>4474</v>
      </c>
      <c r="Y27" s="1645" t="s">
        <v>9245</v>
      </c>
      <c r="Z27" s="1645" t="s">
        <v>9544</v>
      </c>
      <c r="AA27" s="1614" t="s">
        <v>9209</v>
      </c>
      <c r="AB27" s="1645" t="s">
        <v>7161</v>
      </c>
      <c r="AC27" s="1645" t="s">
        <v>7217</v>
      </c>
      <c r="AD27" s="1663" t="str">
        <f>HYPERLINK("https://youtu.be/8FEcTKESSh0","1:49.80")</f>
        <v>1:49.80</v>
      </c>
      <c r="AE27" s="1612" t="s">
        <v>5468</v>
      </c>
      <c r="AF27" s="1646" t="s">
        <v>9545</v>
      </c>
      <c r="AG27" s="1646" t="s">
        <v>9546</v>
      </c>
      <c r="AH27" s="1646" t="s">
        <v>9547</v>
      </c>
      <c r="AI27" s="1646" t="s">
        <v>4073</v>
      </c>
      <c r="AJ27" s="1646" t="s">
        <v>9548</v>
      </c>
      <c r="AK27" s="1615" t="s">
        <v>9430</v>
      </c>
      <c r="AL27" s="1646" t="s">
        <v>9549</v>
      </c>
      <c r="AM27" s="1617" t="s">
        <v>9399</v>
      </c>
      <c r="AN27" s="1617" t="s">
        <v>8778</v>
      </c>
      <c r="AO27" s="1617" t="s">
        <v>9515</v>
      </c>
      <c r="AP27" s="1616" t="s">
        <v>9550</v>
      </c>
      <c r="AQ27" s="1616" t="s">
        <v>9551</v>
      </c>
      <c r="AR27" s="1617" t="s">
        <v>9552</v>
      </c>
      <c r="AS27" s="1616" t="s">
        <v>5651</v>
      </c>
      <c r="AT27" s="1659" t="str">
        <f>HYPERLINK("https://youtu.be/xDirVtS1AZ4?t=4416","2:27.45")</f>
        <v>2:27.45</v>
      </c>
      <c r="AU27" s="1640" t="s">
        <v>9553</v>
      </c>
      <c r="AV27" s="1450" t="str">
        <f t="shared" si="1"/>
        <v>2:34</v>
      </c>
      <c r="AW27" s="1586" t="s">
        <v>9554</v>
      </c>
    </row>
    <row r="28">
      <c r="A28" s="1589" t="s">
        <v>7010</v>
      </c>
      <c r="B28" s="1587" t="s">
        <v>8989</v>
      </c>
      <c r="C28" s="1532">
        <v>0.0502662037037037</v>
      </c>
      <c r="D28" s="980" t="s">
        <v>9555</v>
      </c>
      <c r="E28" s="1558" t="s">
        <v>9199</v>
      </c>
      <c r="F28" s="1558" t="s">
        <v>9556</v>
      </c>
      <c r="G28" s="1558" t="s">
        <v>9557</v>
      </c>
      <c r="H28" s="1558" t="s">
        <v>9558</v>
      </c>
      <c r="I28" s="980" t="s">
        <v>263</v>
      </c>
      <c r="J28" s="980" t="s">
        <v>6181</v>
      </c>
      <c r="K28" s="1558" t="s">
        <v>9485</v>
      </c>
      <c r="L28" s="1558" t="s">
        <v>3579</v>
      </c>
      <c r="M28" s="980" t="s">
        <v>2788</v>
      </c>
      <c r="N28" s="1558" t="s">
        <v>9559</v>
      </c>
      <c r="O28" s="1558" t="s">
        <v>9560</v>
      </c>
      <c r="P28" s="980" t="s">
        <v>9561</v>
      </c>
      <c r="Q28" s="1558" t="s">
        <v>9562</v>
      </c>
      <c r="R28" s="980" t="s">
        <v>9563</v>
      </c>
      <c r="S28" s="1558" t="s">
        <v>9564</v>
      </c>
      <c r="T28" s="980" t="s">
        <v>9565</v>
      </c>
      <c r="U28" s="1558" t="s">
        <v>1027</v>
      </c>
      <c r="V28" s="980" t="s">
        <v>5041</v>
      </c>
      <c r="W28" s="980" t="s">
        <v>6730</v>
      </c>
      <c r="X28" s="980" t="s">
        <v>6865</v>
      </c>
      <c r="Y28" s="980" t="s">
        <v>881</v>
      </c>
      <c r="Z28" s="980" t="s">
        <v>9566</v>
      </c>
      <c r="AA28" s="1558" t="s">
        <v>9567</v>
      </c>
      <c r="AB28" s="980" t="s">
        <v>7216</v>
      </c>
      <c r="AC28" s="1558" t="s">
        <v>9505</v>
      </c>
      <c r="AD28" s="980" t="s">
        <v>6340</v>
      </c>
      <c r="AE28" s="1558" t="s">
        <v>9101</v>
      </c>
      <c r="AF28" s="1558" t="s">
        <v>9568</v>
      </c>
      <c r="AG28" s="980" t="s">
        <v>1913</v>
      </c>
      <c r="AH28" s="980" t="s">
        <v>2638</v>
      </c>
      <c r="AI28" s="1558" t="s">
        <v>9569</v>
      </c>
      <c r="AJ28" s="980" t="s">
        <v>9570</v>
      </c>
      <c r="AK28" s="980" t="s">
        <v>6619</v>
      </c>
      <c r="AL28" s="980" t="s">
        <v>4615</v>
      </c>
      <c r="AM28" s="980" t="s">
        <v>9571</v>
      </c>
      <c r="AN28" s="980" t="s">
        <v>4615</v>
      </c>
      <c r="AO28" s="980" t="s">
        <v>1845</v>
      </c>
      <c r="AP28" s="1558" t="s">
        <v>9572</v>
      </c>
      <c r="AQ28" s="980" t="s">
        <v>2227</v>
      </c>
      <c r="AR28" s="1558" t="s">
        <v>8886</v>
      </c>
      <c r="AS28" s="980" t="s">
        <v>1970</v>
      </c>
      <c r="AT28" s="1558" t="s">
        <v>9573</v>
      </c>
      <c r="AU28" s="1558" t="s">
        <v>9574</v>
      </c>
      <c r="AV28" s="1450" t="str">
        <f t="shared" si="1"/>
        <v>2:28</v>
      </c>
      <c r="AW28" s="1588" t="s">
        <v>9575</v>
      </c>
    </row>
    <row r="29">
      <c r="A29" s="1589" t="s">
        <v>9576</v>
      </c>
      <c r="B29" s="1664" t="s">
        <v>8989</v>
      </c>
      <c r="C29" s="1532">
        <v>0.0503125</v>
      </c>
      <c r="D29" s="980" t="s">
        <v>9577</v>
      </c>
      <c r="E29" s="1612" t="s">
        <v>9578</v>
      </c>
      <c r="F29" s="1612" t="s">
        <v>9579</v>
      </c>
      <c r="G29" s="1612" t="s">
        <v>9580</v>
      </c>
      <c r="H29" s="840" t="s">
        <v>9581</v>
      </c>
      <c r="I29" s="840" t="s">
        <v>8069</v>
      </c>
      <c r="J29" s="1596" t="s">
        <v>1841</v>
      </c>
      <c r="K29" s="1596" t="s">
        <v>6097</v>
      </c>
      <c r="L29" s="1596" t="s">
        <v>3518</v>
      </c>
      <c r="M29" s="1596" t="s">
        <v>9582</v>
      </c>
      <c r="N29" s="1596" t="s">
        <v>7100</v>
      </c>
      <c r="O29" s="1596" t="s">
        <v>4149</v>
      </c>
      <c r="P29" s="1596" t="s">
        <v>4709</v>
      </c>
      <c r="Q29" s="1599" t="s">
        <v>9583</v>
      </c>
      <c r="R29" s="1599" t="s">
        <v>9584</v>
      </c>
      <c r="S29" s="1599" t="s">
        <v>549</v>
      </c>
      <c r="T29" s="1599" t="s">
        <v>9585</v>
      </c>
      <c r="U29" s="1599" t="s">
        <v>9586</v>
      </c>
      <c r="V29" s="1599" t="s">
        <v>9587</v>
      </c>
      <c r="W29" s="1614" t="s">
        <v>9588</v>
      </c>
      <c r="X29" s="1614" t="s">
        <v>4474</v>
      </c>
      <c r="Y29" s="1614" t="s">
        <v>1546</v>
      </c>
      <c r="Z29" s="1614" t="s">
        <v>2403</v>
      </c>
      <c r="AA29" s="1614" t="s">
        <v>9589</v>
      </c>
      <c r="AB29" s="1614" t="s">
        <v>3804</v>
      </c>
      <c r="AC29" s="1614" t="s">
        <v>9590</v>
      </c>
      <c r="AD29" s="1612" t="s">
        <v>9591</v>
      </c>
      <c r="AE29" s="1612" t="s">
        <v>5965</v>
      </c>
      <c r="AF29" s="1615" t="s">
        <v>9592</v>
      </c>
      <c r="AG29" s="1615" t="s">
        <v>7432</v>
      </c>
      <c r="AH29" s="1615" t="s">
        <v>9593</v>
      </c>
      <c r="AI29" s="1615" t="s">
        <v>5149</v>
      </c>
      <c r="AJ29" s="1615" t="s">
        <v>9594</v>
      </c>
      <c r="AK29" s="1615" t="s">
        <v>9595</v>
      </c>
      <c r="AL29" s="1615" t="s">
        <v>9596</v>
      </c>
      <c r="AM29" s="1617" t="s">
        <v>9292</v>
      </c>
      <c r="AN29" s="1617" t="s">
        <v>9597</v>
      </c>
      <c r="AO29" s="1617" t="s">
        <v>3215</v>
      </c>
      <c r="AP29" s="1617" t="s">
        <v>9598</v>
      </c>
      <c r="AQ29" s="1617" t="s">
        <v>9599</v>
      </c>
      <c r="AR29" s="1617" t="s">
        <v>3017</v>
      </c>
      <c r="AS29" s="1617" t="s">
        <v>302</v>
      </c>
      <c r="AT29" s="1596" t="s">
        <v>9600</v>
      </c>
      <c r="AU29" s="1579" t="s">
        <v>9601</v>
      </c>
      <c r="AV29" s="1450" t="str">
        <f t="shared" si="1"/>
        <v>2:59</v>
      </c>
      <c r="AW29" s="1580" t="s">
        <v>9602</v>
      </c>
    </row>
    <row r="30" ht="15.75" customHeight="1">
      <c r="A30" s="1530" t="s">
        <v>9603</v>
      </c>
      <c r="B30" s="1622" t="s">
        <v>9016</v>
      </c>
      <c r="C30" s="1532">
        <v>0.05042824074074074</v>
      </c>
      <c r="D30" s="980" t="s">
        <v>9328</v>
      </c>
      <c r="E30" s="1612" t="s">
        <v>6372</v>
      </c>
      <c r="F30" s="1612" t="s">
        <v>9604</v>
      </c>
      <c r="G30" s="1642" t="s">
        <v>9605</v>
      </c>
      <c r="H30" s="905" t="s">
        <v>9606</v>
      </c>
      <c r="I30" s="840" t="s">
        <v>3365</v>
      </c>
      <c r="J30" s="1596" t="s">
        <v>4862</v>
      </c>
      <c r="K30" s="1596" t="s">
        <v>5243</v>
      </c>
      <c r="L30" s="1596" t="s">
        <v>2474</v>
      </c>
      <c r="M30" s="1596" t="s">
        <v>1901</v>
      </c>
      <c r="N30" s="1596" t="s">
        <v>4192</v>
      </c>
      <c r="O30" s="1596" t="s">
        <v>9607</v>
      </c>
      <c r="P30" s="1643" t="s">
        <v>759</v>
      </c>
      <c r="Q30" s="1599" t="s">
        <v>9608</v>
      </c>
      <c r="R30" s="1599" t="s">
        <v>3438</v>
      </c>
      <c r="S30" s="1599" t="s">
        <v>7190</v>
      </c>
      <c r="T30" s="1644" t="s">
        <v>3216</v>
      </c>
      <c r="U30" s="1599" t="s">
        <v>9161</v>
      </c>
      <c r="V30" s="1644" t="s">
        <v>5022</v>
      </c>
      <c r="W30" s="1645" t="s">
        <v>6900</v>
      </c>
      <c r="X30" s="1614" t="s">
        <v>2610</v>
      </c>
      <c r="Y30" s="1645" t="s">
        <v>9609</v>
      </c>
      <c r="Z30" s="1614" t="s">
        <v>9610</v>
      </c>
      <c r="AA30" s="1645" t="s">
        <v>9611</v>
      </c>
      <c r="AB30" s="980" t="s">
        <v>9612</v>
      </c>
      <c r="AC30" s="1645" t="s">
        <v>3689</v>
      </c>
      <c r="AD30" s="1604" t="s">
        <v>9031</v>
      </c>
      <c r="AE30" s="1612" t="s">
        <v>3313</v>
      </c>
      <c r="AF30" s="1615" t="s">
        <v>9613</v>
      </c>
      <c r="AG30" s="1646" t="s">
        <v>3996</v>
      </c>
      <c r="AH30" s="1646" t="s">
        <v>6163</v>
      </c>
      <c r="AI30" s="1450" t="s">
        <v>9567</v>
      </c>
      <c r="AJ30" s="1646" t="s">
        <v>9614</v>
      </c>
      <c r="AK30" s="1615" t="s">
        <v>9615</v>
      </c>
      <c r="AL30" s="1646" t="s">
        <v>3694</v>
      </c>
      <c r="AM30" s="1617" t="s">
        <v>9616</v>
      </c>
      <c r="AN30" s="1617" t="s">
        <v>5117</v>
      </c>
      <c r="AO30" s="1617" t="s">
        <v>1937</v>
      </c>
      <c r="AP30" s="1617" t="s">
        <v>9617</v>
      </c>
      <c r="AQ30" s="1616" t="s">
        <v>9618</v>
      </c>
      <c r="AR30" s="1616" t="s">
        <v>3739</v>
      </c>
      <c r="AS30" s="1616" t="s">
        <v>5216</v>
      </c>
      <c r="AT30" s="1596" t="s">
        <v>9619</v>
      </c>
      <c r="AU30" s="1579" t="s">
        <v>9620</v>
      </c>
      <c r="AV30" s="1450" t="str">
        <f t="shared" si="1"/>
        <v>2:55</v>
      </c>
      <c r="AW30" s="1641"/>
    </row>
    <row r="31" ht="15.75" customHeight="1">
      <c r="A31" s="1530" t="s">
        <v>4342</v>
      </c>
      <c r="B31" s="1531" t="s">
        <v>8989</v>
      </c>
      <c r="C31" s="1665">
        <v>0.05043981481481481</v>
      </c>
      <c r="D31" s="980" t="s">
        <v>9621</v>
      </c>
      <c r="E31" s="1450" t="s">
        <v>6926</v>
      </c>
      <c r="F31" s="1450" t="s">
        <v>1573</v>
      </c>
      <c r="G31" s="1450" t="s">
        <v>9622</v>
      </c>
      <c r="H31" s="1450" t="s">
        <v>9222</v>
      </c>
      <c r="I31" s="1450" t="s">
        <v>4749</v>
      </c>
      <c r="J31" s="1450" t="s">
        <v>4484</v>
      </c>
      <c r="K31" s="1450" t="s">
        <v>9470</v>
      </c>
      <c r="L31" s="1450" t="s">
        <v>3876</v>
      </c>
      <c r="M31" s="1450" t="s">
        <v>9623</v>
      </c>
      <c r="N31" s="1450" t="s">
        <v>9027</v>
      </c>
      <c r="O31" s="1450" t="s">
        <v>9624</v>
      </c>
      <c r="P31" s="1450" t="s">
        <v>5386</v>
      </c>
      <c r="Q31" s="1450" t="s">
        <v>9625</v>
      </c>
      <c r="R31" s="1450" t="s">
        <v>9626</v>
      </c>
      <c r="S31" s="1450" t="s">
        <v>9627</v>
      </c>
      <c r="T31" s="1450" t="s">
        <v>9628</v>
      </c>
      <c r="U31" s="1450" t="s">
        <v>9629</v>
      </c>
      <c r="V31" s="1450" t="s">
        <v>2284</v>
      </c>
      <c r="W31" s="1450" t="s">
        <v>9630</v>
      </c>
      <c r="X31" s="1450" t="s">
        <v>9631</v>
      </c>
      <c r="Y31" s="1450" t="s">
        <v>9491</v>
      </c>
      <c r="Z31" s="1450" t="s">
        <v>1128</v>
      </c>
      <c r="AA31" s="1450" t="s">
        <v>3423</v>
      </c>
      <c r="AB31" s="1450" t="s">
        <v>4862</v>
      </c>
      <c r="AC31" s="1450" t="s">
        <v>7217</v>
      </c>
      <c r="AD31" s="1450" t="s">
        <v>6314</v>
      </c>
      <c r="AE31" s="1450" t="s">
        <v>5621</v>
      </c>
      <c r="AF31" s="1450" t="s">
        <v>9632</v>
      </c>
      <c r="AG31" s="1450" t="s">
        <v>5955</v>
      </c>
      <c r="AH31" s="1450" t="s">
        <v>4101</v>
      </c>
      <c r="AI31" s="1450" t="s">
        <v>5149</v>
      </c>
      <c r="AJ31" s="1450" t="s">
        <v>9633</v>
      </c>
      <c r="AK31" s="1450" t="s">
        <v>9634</v>
      </c>
      <c r="AL31" s="1450" t="s">
        <v>6033</v>
      </c>
      <c r="AM31" s="1450" t="s">
        <v>1230</v>
      </c>
      <c r="AN31" s="1450" t="s">
        <v>4195</v>
      </c>
      <c r="AO31" s="1450" t="s">
        <v>9635</v>
      </c>
      <c r="AP31" s="1568" t="str">
        <f>HYPERLINK("https://www.twitch.tv/videos/511415405","2:00.79")</f>
        <v>2:00.79</v>
      </c>
      <c r="AQ31" s="1450" t="s">
        <v>3604</v>
      </c>
      <c r="AR31" s="1450" t="s">
        <v>6921</v>
      </c>
      <c r="AS31" s="1450" t="s">
        <v>9097</v>
      </c>
      <c r="AT31" s="1450" t="s">
        <v>9636</v>
      </c>
      <c r="AU31" s="1450" t="s">
        <v>9637</v>
      </c>
      <c r="AV31" s="1450" t="str">
        <f t="shared" si="1"/>
        <v>2:36</v>
      </c>
      <c r="AW31" s="1569" t="s">
        <v>7551</v>
      </c>
    </row>
    <row r="32">
      <c r="A32" s="1589" t="s">
        <v>1194</v>
      </c>
      <c r="B32" s="1577" t="s">
        <v>8989</v>
      </c>
      <c r="C32" s="1532">
        <v>0.050486111111111114</v>
      </c>
      <c r="D32" s="1612" t="s">
        <v>9638</v>
      </c>
      <c r="E32" s="1612" t="s">
        <v>4268</v>
      </c>
      <c r="F32" s="1612" t="s">
        <v>9639</v>
      </c>
      <c r="G32" s="1612" t="s">
        <v>9640</v>
      </c>
      <c r="H32" s="980" t="s">
        <v>9641</v>
      </c>
      <c r="I32" s="840" t="s">
        <v>925</v>
      </c>
      <c r="J32" s="1596" t="s">
        <v>5919</v>
      </c>
      <c r="K32" s="1596" t="s">
        <v>7445</v>
      </c>
      <c r="L32" s="1596" t="s">
        <v>6568</v>
      </c>
      <c r="M32" s="1596" t="s">
        <v>5032</v>
      </c>
      <c r="N32" s="1596" t="s">
        <v>9642</v>
      </c>
      <c r="O32" s="1596" t="s">
        <v>9643</v>
      </c>
      <c r="P32" s="1596" t="s">
        <v>9392</v>
      </c>
      <c r="Q32" s="1599" t="s">
        <v>170</v>
      </c>
      <c r="R32" s="1599" t="s">
        <v>4808</v>
      </c>
      <c r="S32" s="1599" t="s">
        <v>9356</v>
      </c>
      <c r="T32" s="1599" t="s">
        <v>9644</v>
      </c>
      <c r="U32" s="1599" t="s">
        <v>9645</v>
      </c>
      <c r="V32" s="1599" t="s">
        <v>9646</v>
      </c>
      <c r="W32" s="1614" t="s">
        <v>9647</v>
      </c>
      <c r="X32" s="1614" t="s">
        <v>9648</v>
      </c>
      <c r="Y32" s="1614" t="s">
        <v>8033</v>
      </c>
      <c r="Z32" s="1614" t="s">
        <v>9649</v>
      </c>
      <c r="AA32" s="1558" t="s">
        <v>9650</v>
      </c>
      <c r="AB32" s="1614" t="s">
        <v>3405</v>
      </c>
      <c r="AC32" s="1614" t="s">
        <v>1042</v>
      </c>
      <c r="AD32" s="1612" t="s">
        <v>9651</v>
      </c>
      <c r="AE32" s="1612" t="s">
        <v>2223</v>
      </c>
      <c r="AF32" s="1615" t="s">
        <v>9652</v>
      </c>
      <c r="AG32" s="1615" t="s">
        <v>528</v>
      </c>
      <c r="AH32" s="1615" t="s">
        <v>9653</v>
      </c>
      <c r="AI32" s="1615" t="s">
        <v>2707</v>
      </c>
      <c r="AJ32" s="1615" t="s">
        <v>9654</v>
      </c>
      <c r="AK32" s="1615" t="s">
        <v>7020</v>
      </c>
      <c r="AL32" s="1615" t="s">
        <v>2889</v>
      </c>
      <c r="AM32" s="1617" t="s">
        <v>9655</v>
      </c>
      <c r="AN32" s="1617" t="s">
        <v>9357</v>
      </c>
      <c r="AO32" s="1617" t="s">
        <v>9656</v>
      </c>
      <c r="AP32" s="1617" t="s">
        <v>9657</v>
      </c>
      <c r="AQ32" s="1617" t="s">
        <v>9658</v>
      </c>
      <c r="AR32" s="1617" t="s">
        <v>1156</v>
      </c>
      <c r="AS32" s="1617" t="s">
        <v>1546</v>
      </c>
      <c r="AT32" s="1596" t="s">
        <v>9659</v>
      </c>
      <c r="AU32" s="1579" t="s">
        <v>9660</v>
      </c>
      <c r="AV32" s="1450" t="str">
        <f t="shared" si="1"/>
        <v>3:47</v>
      </c>
      <c r="AW32" s="1580"/>
    </row>
    <row r="33" ht="15.75" customHeight="1">
      <c r="A33" s="1589" t="s">
        <v>1722</v>
      </c>
      <c r="B33" s="1531" t="s">
        <v>8989</v>
      </c>
      <c r="C33" s="1532">
        <v>0.05049768518518519</v>
      </c>
      <c r="D33" s="980" t="s">
        <v>9661</v>
      </c>
      <c r="E33" s="1642" t="s">
        <v>9662</v>
      </c>
      <c r="F33" s="1663" t="str">
        <f>HYPERLINK("https://www.youtube.com/watch?v=rtR6KkKhM6I","1:59.91")</f>
        <v>1:59.91</v>
      </c>
      <c r="G33" s="1642" t="s">
        <v>9663</v>
      </c>
      <c r="H33" s="1666" t="str">
        <f>HYPERLINK("https://www.youtube.com/watch?v=cg-eipYsN1s","1:54.47")</f>
        <v>1:54.47</v>
      </c>
      <c r="I33" s="905" t="s">
        <v>9609</v>
      </c>
      <c r="J33" s="1643" t="s">
        <v>6528</v>
      </c>
      <c r="K33" s="1596" t="s">
        <v>7501</v>
      </c>
      <c r="L33" s="1659" t="str">
        <f>HYPERLINK("https://www.youtube.com/watch?v=tJdjPKdAbw4","57.01")</f>
        <v>57.01</v>
      </c>
      <c r="M33" s="1643" t="s">
        <v>6796</v>
      </c>
      <c r="N33" s="1596" t="s">
        <v>2303</v>
      </c>
      <c r="O33" s="1643" t="s">
        <v>9365</v>
      </c>
      <c r="P33" s="1643" t="s">
        <v>280</v>
      </c>
      <c r="Q33" s="1644" t="s">
        <v>238</v>
      </c>
      <c r="R33" s="1644" t="s">
        <v>9664</v>
      </c>
      <c r="S33" s="1661" t="str">
        <f>HYPERLINK("https://www.youtube.com/watch?v=_3ms_ZhYFzo","1:18.01")</f>
        <v>1:18.01</v>
      </c>
      <c r="T33" s="1644" t="s">
        <v>9665</v>
      </c>
      <c r="U33" s="1661" t="str">
        <f>HYPERLINK("https://www.youtube.com/watch?v=ZOy_TI3Zw14","2:02.38")</f>
        <v>2:02.38</v>
      </c>
      <c r="V33" s="1644" t="s">
        <v>9646</v>
      </c>
      <c r="W33" s="1645" t="s">
        <v>3311</v>
      </c>
      <c r="X33" s="1645" t="s">
        <v>7020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7217</v>
      </c>
      <c r="AD33" s="1663" t="str">
        <f>HYPERLINK("https://www.youtube.com/watch?v=ikF77QyREZg","1:50.30")</f>
        <v>1:50.30</v>
      </c>
      <c r="AE33" s="1642" t="s">
        <v>9392</v>
      </c>
      <c r="AF33" s="1646" t="s">
        <v>9666</v>
      </c>
      <c r="AG33" s="1667" t="str">
        <f>HYPERLINK("https://www.youtube.com/watch?v=KXwTRrVVluY","1:30.62")</f>
        <v>1:30.62</v>
      </c>
      <c r="AH33" s="1646" t="s">
        <v>3054</v>
      </c>
      <c r="AI33" s="1646" t="s">
        <v>9546</v>
      </c>
      <c r="AJ33" s="1646" t="s">
        <v>9667</v>
      </c>
      <c r="AK33" s="1615" t="s">
        <v>9668</v>
      </c>
      <c r="AL33" s="1646" t="s">
        <v>9669</v>
      </c>
      <c r="AM33" s="1668" t="str">
        <f>HYPERLINK("https://www.youtube.com/watch?v=BAoEwuQ0LoI","1:25.68")</f>
        <v>1:25.68</v>
      </c>
      <c r="AN33" s="1668" t="str">
        <f>HYPERLINK("https://www.youtube.com/watch?v=F-LtZeEZXek","56.36")</f>
        <v>56.36</v>
      </c>
      <c r="AO33" s="1616" t="s">
        <v>9670</v>
      </c>
      <c r="AP33" s="1616" t="s">
        <v>9671</v>
      </c>
      <c r="AQ33" s="1616" t="s">
        <v>9672</v>
      </c>
      <c r="AR33" s="1668" t="str">
        <f>HYPERLINK("https://www.youtube.com/watch?v=WSIIkWWbKgE","1:21.74")</f>
        <v>1:21.74</v>
      </c>
      <c r="AS33" s="1616" t="s">
        <v>5643</v>
      </c>
      <c r="AT33" s="1659" t="str">
        <f>HYPERLINK("https://www.youtube.com/watch?v=H67SXBLcISI","2:29.09")</f>
        <v>2:29.09</v>
      </c>
      <c r="AU33" s="1640" t="s">
        <v>9673</v>
      </c>
      <c r="AV33" s="1450" t="str">
        <f t="shared" si="1"/>
        <v>2:03</v>
      </c>
      <c r="AW33" s="1669" t="s">
        <v>9674</v>
      </c>
    </row>
    <row r="34">
      <c r="A34" s="1589" t="s">
        <v>3096</v>
      </c>
      <c r="B34" s="1577" t="s">
        <v>9016</v>
      </c>
      <c r="C34" s="1532">
        <v>0.050520833333333334</v>
      </c>
      <c r="D34" s="1612" t="s">
        <v>9675</v>
      </c>
      <c r="E34" s="1651" t="s">
        <v>4601</v>
      </c>
      <c r="F34" s="1651" t="s">
        <v>9039</v>
      </c>
      <c r="G34" s="1612" t="s">
        <v>9676</v>
      </c>
      <c r="H34" s="1651" t="s">
        <v>9355</v>
      </c>
      <c r="I34" s="1651" t="s">
        <v>3120</v>
      </c>
      <c r="J34" s="1596" t="s">
        <v>9677</v>
      </c>
      <c r="K34" s="1670" t="s">
        <v>9678</v>
      </c>
      <c r="L34" s="1596" t="s">
        <v>9679</v>
      </c>
      <c r="M34" s="1538" t="s">
        <v>5864</v>
      </c>
      <c r="N34" s="1596" t="s">
        <v>885</v>
      </c>
      <c r="O34" s="1596" t="s">
        <v>9541</v>
      </c>
      <c r="P34" s="1596" t="s">
        <v>411</v>
      </c>
      <c r="Q34" s="1059" t="str">
        <f>HYPERLINK("https://www.twitch.tv/planktonsecretformula/v/1588460220?sr=a", "2:12.43")</f>
        <v>2:12.43</v>
      </c>
      <c r="R34" s="1599" t="s">
        <v>9626</v>
      </c>
      <c r="S34" s="1599" t="s">
        <v>9680</v>
      </c>
      <c r="T34" s="1630" t="s">
        <v>9681</v>
      </c>
      <c r="U34" s="1651" t="s">
        <v>9682</v>
      </c>
      <c r="V34" s="1651" t="s">
        <v>9683</v>
      </c>
      <c r="W34" s="1623" t="s">
        <v>9684</v>
      </c>
      <c r="X34" s="1614" t="s">
        <v>856</v>
      </c>
      <c r="Y34" s="1614" t="s">
        <v>7700</v>
      </c>
      <c r="Z34" s="1614" t="s">
        <v>9158</v>
      </c>
      <c r="AA34" s="1558" t="s">
        <v>9685</v>
      </c>
      <c r="AB34" s="1614" t="s">
        <v>4145</v>
      </c>
      <c r="AC34" s="1614" t="s">
        <v>940</v>
      </c>
      <c r="AD34" s="1612" t="s">
        <v>3955</v>
      </c>
      <c r="AE34" s="1612" t="s">
        <v>5460</v>
      </c>
      <c r="AF34" s="1615" t="s">
        <v>9686</v>
      </c>
      <c r="AG34" s="1651" t="s">
        <v>4637</v>
      </c>
      <c r="AH34" s="1615" t="s">
        <v>9687</v>
      </c>
      <c r="AI34" s="1615" t="s">
        <v>7801</v>
      </c>
      <c r="AJ34" s="1615" t="s">
        <v>9688</v>
      </c>
      <c r="AK34" s="1615" t="s">
        <v>9689</v>
      </c>
      <c r="AL34" s="1615" t="s">
        <v>9690</v>
      </c>
      <c r="AM34" s="1617" t="s">
        <v>3216</v>
      </c>
      <c r="AN34" s="1617" t="s">
        <v>9395</v>
      </c>
      <c r="AO34" s="1617" t="s">
        <v>3017</v>
      </c>
      <c r="AP34" s="1617" t="s">
        <v>9691</v>
      </c>
      <c r="AQ34" s="1059" t="str">
        <f>HYPERLINK("https://www.twitch.tv/planktonsecretformula/v/1678454360?sr=a&amp;t=0s", "1:37.46")</f>
        <v>1:37.46</v>
      </c>
      <c r="AR34" s="1617" t="s">
        <v>9692</v>
      </c>
      <c r="AS34" s="1617" t="s">
        <v>717</v>
      </c>
      <c r="AT34" s="1596" t="s">
        <v>9693</v>
      </c>
      <c r="AU34" s="1579" t="s">
        <v>9694</v>
      </c>
      <c r="AV34" s="1450" t="str">
        <f t="shared" si="1"/>
        <v>4:40</v>
      </c>
      <c r="AW34" s="1580" t="s">
        <v>9695</v>
      </c>
    </row>
    <row r="35" ht="15.75" customHeight="1">
      <c r="A35" s="1655" t="s">
        <v>9696</v>
      </c>
      <c r="B35" s="1531" t="s">
        <v>8989</v>
      </c>
      <c r="C35" s="1532">
        <v>0.050555555555555555</v>
      </c>
      <c r="D35" s="980" t="s">
        <v>9697</v>
      </c>
      <c r="E35" s="1612" t="s">
        <v>9698</v>
      </c>
      <c r="F35" s="1612" t="s">
        <v>9699</v>
      </c>
      <c r="G35" s="1612" t="s">
        <v>9700</v>
      </c>
      <c r="H35" s="840" t="s">
        <v>9701</v>
      </c>
      <c r="I35" s="840" t="s">
        <v>9702</v>
      </c>
      <c r="J35" s="1596" t="s">
        <v>9703</v>
      </c>
      <c r="K35" s="1596" t="s">
        <v>9704</v>
      </c>
      <c r="L35" s="1596" t="s">
        <v>9705</v>
      </c>
      <c r="M35" s="1596" t="s">
        <v>3209</v>
      </c>
      <c r="N35" s="1596" t="s">
        <v>9706</v>
      </c>
      <c r="O35" s="1596" t="s">
        <v>9607</v>
      </c>
      <c r="P35" s="1596" t="s">
        <v>4905</v>
      </c>
      <c r="Q35" s="1599" t="s">
        <v>9707</v>
      </c>
      <c r="R35" s="1599" t="s">
        <v>2712</v>
      </c>
      <c r="S35" s="1599" t="s">
        <v>6951</v>
      </c>
      <c r="T35" s="1599" t="s">
        <v>9708</v>
      </c>
      <c r="U35" s="1599" t="s">
        <v>9709</v>
      </c>
      <c r="V35" s="1599" t="s">
        <v>9028</v>
      </c>
      <c r="W35" s="1614" t="s">
        <v>9710</v>
      </c>
      <c r="X35" s="1614" t="s">
        <v>9711</v>
      </c>
      <c r="Y35" s="1614" t="s">
        <v>9712</v>
      </c>
      <c r="Z35" s="1614" t="s">
        <v>1381</v>
      </c>
      <c r="AA35" s="1614" t="s">
        <v>9713</v>
      </c>
      <c r="AB35" s="1614" t="s">
        <v>7062</v>
      </c>
      <c r="AC35" s="1645" t="s">
        <v>2173</v>
      </c>
      <c r="AD35" s="1612" t="s">
        <v>9714</v>
      </c>
      <c r="AE35" s="1612" t="s">
        <v>9392</v>
      </c>
      <c r="AF35" s="1615" t="s">
        <v>9715</v>
      </c>
      <c r="AG35" s="1615" t="s">
        <v>9716</v>
      </c>
      <c r="AH35" s="1615" t="s">
        <v>5674</v>
      </c>
      <c r="AI35" s="1615" t="s">
        <v>9717</v>
      </c>
      <c r="AJ35" s="1615" t="s">
        <v>9718</v>
      </c>
      <c r="AK35" s="1615" t="s">
        <v>4474</v>
      </c>
      <c r="AL35" s="1615" t="s">
        <v>5762</v>
      </c>
      <c r="AM35" s="1617" t="s">
        <v>1925</v>
      </c>
      <c r="AN35" s="1617" t="s">
        <v>4622</v>
      </c>
      <c r="AO35" s="1617" t="s">
        <v>9719</v>
      </c>
      <c r="AP35" s="1617" t="s">
        <v>9720</v>
      </c>
      <c r="AQ35" s="1617" t="s">
        <v>9721</v>
      </c>
      <c r="AR35" s="1617" t="s">
        <v>9408</v>
      </c>
      <c r="AS35" s="1617" t="s">
        <v>881</v>
      </c>
      <c r="AT35" s="1596" t="s">
        <v>9722</v>
      </c>
      <c r="AU35" s="1579" t="s">
        <v>9723</v>
      </c>
      <c r="AV35" s="1450" t="str">
        <f t="shared" si="1"/>
        <v>2:07</v>
      </c>
      <c r="AW35" s="1641"/>
    </row>
    <row r="36">
      <c r="A36" s="1589" t="s">
        <v>644</v>
      </c>
      <c r="B36" s="1577" t="s">
        <v>8989</v>
      </c>
      <c r="C36" s="1532">
        <v>0.050555555555555555</v>
      </c>
      <c r="D36" s="980" t="s">
        <v>9724</v>
      </c>
      <c r="E36" s="980" t="s">
        <v>9725</v>
      </c>
      <c r="F36" s="980" t="s">
        <v>9726</v>
      </c>
      <c r="G36" s="980" t="s">
        <v>9727</v>
      </c>
      <c r="H36" s="980" t="s">
        <v>9728</v>
      </c>
      <c r="I36" s="980" t="s">
        <v>2556</v>
      </c>
      <c r="J36" s="980" t="s">
        <v>1300</v>
      </c>
      <c r="K36" s="980" t="s">
        <v>9729</v>
      </c>
      <c r="L36" s="980" t="s">
        <v>4262</v>
      </c>
      <c r="M36" s="980" t="s">
        <v>4172</v>
      </c>
      <c r="N36" s="980" t="s">
        <v>9730</v>
      </c>
      <c r="O36" s="980" t="s">
        <v>9731</v>
      </c>
      <c r="P36" s="980" t="s">
        <v>9732</v>
      </c>
      <c r="Q36" s="980" t="s">
        <v>9733</v>
      </c>
      <c r="R36" s="980" t="s">
        <v>1938</v>
      </c>
      <c r="S36" s="980" t="s">
        <v>9734</v>
      </c>
      <c r="T36" s="980" t="s">
        <v>9595</v>
      </c>
      <c r="U36" s="980" t="s">
        <v>9735</v>
      </c>
      <c r="V36" s="980" t="s">
        <v>9736</v>
      </c>
      <c r="W36" s="980" t="s">
        <v>4758</v>
      </c>
      <c r="X36" s="980" t="s">
        <v>9737</v>
      </c>
      <c r="Y36" s="980" t="s">
        <v>5135</v>
      </c>
      <c r="Z36" s="980" t="s">
        <v>9738</v>
      </c>
      <c r="AA36" s="980" t="s">
        <v>9739</v>
      </c>
      <c r="AB36" s="980" t="s">
        <v>9740</v>
      </c>
      <c r="AC36" s="980" t="s">
        <v>7217</v>
      </c>
      <c r="AD36" s="980" t="s">
        <v>9741</v>
      </c>
      <c r="AE36" s="980" t="s">
        <v>9207</v>
      </c>
      <c r="AF36" s="980" t="s">
        <v>9742</v>
      </c>
      <c r="AG36" s="980" t="s">
        <v>5131</v>
      </c>
      <c r="AH36" s="980" t="s">
        <v>4444</v>
      </c>
      <c r="AI36" s="980" t="s">
        <v>9743</v>
      </c>
      <c r="AJ36" s="980" t="s">
        <v>9744</v>
      </c>
      <c r="AK36" s="980" t="s">
        <v>1673</v>
      </c>
      <c r="AL36" s="980" t="s">
        <v>9745</v>
      </c>
      <c r="AM36" s="980" t="s">
        <v>4042</v>
      </c>
      <c r="AN36" s="980" t="s">
        <v>4079</v>
      </c>
      <c r="AO36" s="980" t="s">
        <v>6376</v>
      </c>
      <c r="AP36" s="980" t="s">
        <v>9746</v>
      </c>
      <c r="AQ36" s="980" t="s">
        <v>9747</v>
      </c>
      <c r="AR36" s="980" t="s">
        <v>9296</v>
      </c>
      <c r="AS36" s="980" t="s">
        <v>837</v>
      </c>
      <c r="AT36" s="980" t="s">
        <v>9748</v>
      </c>
      <c r="AU36" s="1579" t="s">
        <v>9637</v>
      </c>
      <c r="AV36" s="1450" t="str">
        <f t="shared" si="1"/>
        <v>2:26</v>
      </c>
      <c r="AW36" s="1580" t="s">
        <v>9749</v>
      </c>
    </row>
    <row r="37" ht="15.75" customHeight="1">
      <c r="A37" s="1530" t="s">
        <v>739</v>
      </c>
      <c r="B37" s="1622" t="s">
        <v>9016</v>
      </c>
      <c r="C37" s="1532">
        <v>0.05056712962962963</v>
      </c>
      <c r="D37" s="1594" t="s">
        <v>9017</v>
      </c>
      <c r="E37" s="1642" t="s">
        <v>9537</v>
      </c>
      <c r="F37" s="1658" t="s">
        <v>9018</v>
      </c>
      <c r="G37" s="1558" t="s">
        <v>9750</v>
      </c>
      <c r="H37" s="1558" t="s">
        <v>9094</v>
      </c>
      <c r="I37" s="1658" t="s">
        <v>9021</v>
      </c>
      <c r="J37" s="1558" t="s">
        <v>1101</v>
      </c>
      <c r="K37" s="1558" t="s">
        <v>4919</v>
      </c>
      <c r="L37" s="1558" t="s">
        <v>2290</v>
      </c>
      <c r="M37" s="1558" t="s">
        <v>2243</v>
      </c>
      <c r="N37" s="1558" t="s">
        <v>9496</v>
      </c>
      <c r="O37" s="1558" t="s">
        <v>9751</v>
      </c>
      <c r="P37" s="1558" t="s">
        <v>4015</v>
      </c>
      <c r="Q37" s="1558" t="s">
        <v>9752</v>
      </c>
      <c r="R37" s="1558" t="s">
        <v>3117</v>
      </c>
      <c r="S37" s="1558" t="s">
        <v>9105</v>
      </c>
      <c r="T37" s="1558" t="s">
        <v>2359</v>
      </c>
      <c r="U37" s="1558" t="s">
        <v>9242</v>
      </c>
      <c r="V37" s="1558" t="s">
        <v>2883</v>
      </c>
      <c r="W37" s="1558" t="s">
        <v>9753</v>
      </c>
      <c r="X37" s="1558" t="s">
        <v>9754</v>
      </c>
      <c r="Y37" s="1558" t="s">
        <v>861</v>
      </c>
      <c r="Z37" s="1558" t="s">
        <v>9414</v>
      </c>
      <c r="AA37" s="1558" t="s">
        <v>7020</v>
      </c>
      <c r="AB37" s="1558" t="s">
        <v>6176</v>
      </c>
      <c r="AC37" s="1450" t="s">
        <v>536</v>
      </c>
      <c r="AD37" s="1558" t="s">
        <v>9755</v>
      </c>
      <c r="AE37" s="1558" t="s">
        <v>2654</v>
      </c>
      <c r="AF37" s="1558" t="s">
        <v>9756</v>
      </c>
      <c r="AG37" s="1558" t="s">
        <v>9595</v>
      </c>
      <c r="AH37" s="1558" t="s">
        <v>2962</v>
      </c>
      <c r="AI37" s="1558" t="s">
        <v>9757</v>
      </c>
      <c r="AJ37" s="1558" t="s">
        <v>3226</v>
      </c>
      <c r="AK37" s="1558" t="s">
        <v>5238</v>
      </c>
      <c r="AL37" s="1558" t="s">
        <v>4195</v>
      </c>
      <c r="AM37" s="1558" t="s">
        <v>3321</v>
      </c>
      <c r="AN37" s="1558" t="s">
        <v>344</v>
      </c>
      <c r="AO37" s="1558" t="s">
        <v>9758</v>
      </c>
      <c r="AP37" s="1558" t="s">
        <v>9759</v>
      </c>
      <c r="AQ37" s="1558" t="s">
        <v>6938</v>
      </c>
      <c r="AR37" s="1558" t="s">
        <v>2697</v>
      </c>
      <c r="AS37" s="1558" t="s">
        <v>4093</v>
      </c>
      <c r="AT37" s="1558" t="s">
        <v>5556</v>
      </c>
      <c r="AU37" s="1558" t="s">
        <v>9443</v>
      </c>
      <c r="AV37" s="1450" t="str">
        <f t="shared" si="1"/>
        <v>3:34</v>
      </c>
      <c r="AW37" s="1588" t="s">
        <v>9760</v>
      </c>
    </row>
    <row r="38" ht="15.75" customHeight="1">
      <c r="A38" s="1589" t="s">
        <v>644</v>
      </c>
      <c r="B38" s="1622" t="s">
        <v>9016</v>
      </c>
      <c r="C38" s="1665">
        <v>0.05056712962962963</v>
      </c>
      <c r="D38" s="980" t="s">
        <v>9761</v>
      </c>
      <c r="E38" s="1450" t="s">
        <v>9762</v>
      </c>
      <c r="F38" s="1450" t="s">
        <v>9473</v>
      </c>
      <c r="G38" s="1450" t="s">
        <v>9763</v>
      </c>
      <c r="H38" s="1450" t="s">
        <v>4447</v>
      </c>
      <c r="I38" s="1450" t="s">
        <v>1179</v>
      </c>
      <c r="J38" s="1558" t="s">
        <v>3475</v>
      </c>
      <c r="K38" s="1558" t="s">
        <v>3475</v>
      </c>
      <c r="L38" s="1450" t="s">
        <v>9764</v>
      </c>
      <c r="M38" s="1450" t="s">
        <v>9765</v>
      </c>
      <c r="N38" s="1450" t="s">
        <v>9419</v>
      </c>
      <c r="O38" s="1658" t="s">
        <v>9024</v>
      </c>
      <c r="P38" s="1450" t="s">
        <v>8066</v>
      </c>
      <c r="Q38" s="1450" t="s">
        <v>785</v>
      </c>
      <c r="R38" s="1558" t="s">
        <v>3475</v>
      </c>
      <c r="S38" s="1450" t="s">
        <v>9766</v>
      </c>
      <c r="T38" s="1450" t="s">
        <v>156</v>
      </c>
      <c r="U38" s="1450" t="s">
        <v>9767</v>
      </c>
      <c r="V38" s="1450" t="s">
        <v>9768</v>
      </c>
      <c r="W38" s="1450" t="s">
        <v>9769</v>
      </c>
      <c r="X38" s="1450" t="s">
        <v>9589</v>
      </c>
      <c r="Y38" s="1450" t="s">
        <v>9590</v>
      </c>
      <c r="Z38" s="1450" t="s">
        <v>151</v>
      </c>
      <c r="AA38" s="1450" t="s">
        <v>9770</v>
      </c>
      <c r="AB38" s="1450" t="s">
        <v>9260</v>
      </c>
      <c r="AC38" s="1450" t="s">
        <v>4477</v>
      </c>
      <c r="AD38" s="1450" t="s">
        <v>2323</v>
      </c>
      <c r="AE38" s="1450" t="s">
        <v>9712</v>
      </c>
      <c r="AF38" s="1450" t="s">
        <v>9771</v>
      </c>
      <c r="AG38" s="1450" t="s">
        <v>9772</v>
      </c>
      <c r="AH38" s="1450" t="s">
        <v>4464</v>
      </c>
      <c r="AI38" s="1450" t="s">
        <v>3801</v>
      </c>
      <c r="AJ38" s="1450" t="s">
        <v>9773</v>
      </c>
      <c r="AK38" s="1450" t="s">
        <v>1159</v>
      </c>
      <c r="AL38" s="1450" t="s">
        <v>9593</v>
      </c>
      <c r="AM38" s="1450" t="s">
        <v>872</v>
      </c>
      <c r="AN38" s="1558" t="s">
        <v>9774</v>
      </c>
      <c r="AO38" s="1558" t="s">
        <v>3475</v>
      </c>
      <c r="AP38" s="1450" t="s">
        <v>5407</v>
      </c>
      <c r="AQ38" s="1450" t="s">
        <v>252</v>
      </c>
      <c r="AR38" s="1450" t="s">
        <v>9775</v>
      </c>
      <c r="AS38" s="1450" t="s">
        <v>9776</v>
      </c>
      <c r="AT38" s="1450" t="s">
        <v>9777</v>
      </c>
      <c r="AU38" s="1558" t="s">
        <v>9778</v>
      </c>
      <c r="AV38" s="1450" t="str">
        <f t="shared" si="1"/>
        <v>3:07</v>
      </c>
      <c r="AW38" s="1621" t="s">
        <v>9779</v>
      </c>
    </row>
    <row r="39" ht="15.75" customHeight="1">
      <c r="A39" s="1530" t="s">
        <v>4258</v>
      </c>
      <c r="B39" s="1531" t="s">
        <v>8989</v>
      </c>
      <c r="C39" s="1665">
        <v>0.05060185185185185</v>
      </c>
      <c r="D39" s="980" t="s">
        <v>9780</v>
      </c>
      <c r="E39" s="1642" t="s">
        <v>3297</v>
      </c>
      <c r="F39" s="1642" t="s">
        <v>6114</v>
      </c>
      <c r="G39" s="1642" t="s">
        <v>9781</v>
      </c>
      <c r="H39" s="905" t="s">
        <v>9782</v>
      </c>
      <c r="I39" s="905" t="s">
        <v>4782</v>
      </c>
      <c r="J39" s="1643" t="s">
        <v>9223</v>
      </c>
      <c r="K39" s="1643" t="s">
        <v>7445</v>
      </c>
      <c r="L39" s="1643" t="s">
        <v>5622</v>
      </c>
      <c r="M39" s="1643" t="s">
        <v>9783</v>
      </c>
      <c r="N39" s="1643" t="s">
        <v>5323</v>
      </c>
      <c r="O39" s="1643" t="s">
        <v>9784</v>
      </c>
      <c r="P39" s="1643" t="s">
        <v>5965</v>
      </c>
      <c r="Q39" s="1644" t="s">
        <v>9785</v>
      </c>
      <c r="R39" s="1644" t="s">
        <v>5510</v>
      </c>
      <c r="S39" s="1644" t="s">
        <v>7062</v>
      </c>
      <c r="T39" s="1644" t="s">
        <v>9786</v>
      </c>
      <c r="U39" s="1644" t="s">
        <v>6250</v>
      </c>
      <c r="V39" s="1644" t="s">
        <v>3920</v>
      </c>
      <c r="W39" s="1645" t="s">
        <v>9787</v>
      </c>
      <c r="X39" s="1645" t="s">
        <v>7435</v>
      </c>
      <c r="Y39" s="1645" t="s">
        <v>1916</v>
      </c>
      <c r="Z39" s="1645" t="s">
        <v>1841</v>
      </c>
      <c r="AA39" s="1645" t="s">
        <v>9788</v>
      </c>
      <c r="AB39" s="1645" t="s">
        <v>9260</v>
      </c>
      <c r="AC39" s="1645" t="s">
        <v>5623</v>
      </c>
      <c r="AD39" s="1642" t="s">
        <v>6593</v>
      </c>
      <c r="AE39" s="1642" t="s">
        <v>7700</v>
      </c>
      <c r="AF39" s="1646" t="s">
        <v>9789</v>
      </c>
      <c r="AG39" s="1646" t="s">
        <v>9716</v>
      </c>
      <c r="AH39" s="1646" t="s">
        <v>8147</v>
      </c>
      <c r="AI39" s="1646" t="s">
        <v>5618</v>
      </c>
      <c r="AJ39" s="1646" t="s">
        <v>9790</v>
      </c>
      <c r="AK39" s="1646" t="s">
        <v>9791</v>
      </c>
      <c r="AL39" s="1646" t="s">
        <v>9792</v>
      </c>
      <c r="AM39" s="1616" t="s">
        <v>9793</v>
      </c>
      <c r="AN39" s="1616" t="s">
        <v>9794</v>
      </c>
      <c r="AO39" s="1616" t="s">
        <v>9795</v>
      </c>
      <c r="AP39" s="1616" t="s">
        <v>9796</v>
      </c>
      <c r="AQ39" s="1616" t="s">
        <v>9658</v>
      </c>
      <c r="AR39" s="1616" t="s">
        <v>9797</v>
      </c>
      <c r="AS39" s="1616" t="s">
        <v>4390</v>
      </c>
      <c r="AT39" s="1643" t="s">
        <v>9798</v>
      </c>
      <c r="AU39" s="1640" t="s">
        <v>9799</v>
      </c>
      <c r="AV39" s="1450" t="str">
        <f t="shared" si="1"/>
        <v>1:56</v>
      </c>
      <c r="AW39" s="1641"/>
    </row>
    <row r="40" ht="15.75" customHeight="1">
      <c r="A40" s="1555" t="s">
        <v>897</v>
      </c>
      <c r="B40" s="1531" t="s">
        <v>8989</v>
      </c>
      <c r="C40" s="1532">
        <v>0.05061342592592592</v>
      </c>
      <c r="D40" s="980" t="s">
        <v>9800</v>
      </c>
      <c r="E40" s="1558" t="s">
        <v>9199</v>
      </c>
      <c r="F40" s="1558" t="s">
        <v>5445</v>
      </c>
      <c r="G40" s="1450" t="s">
        <v>9801</v>
      </c>
      <c r="H40" s="1558" t="s">
        <v>9802</v>
      </c>
      <c r="I40" s="1558" t="s">
        <v>388</v>
      </c>
      <c r="J40" s="1558" t="s">
        <v>7803</v>
      </c>
      <c r="K40" s="1450" t="s">
        <v>9470</v>
      </c>
      <c r="L40" s="1558" t="s">
        <v>9803</v>
      </c>
      <c r="M40" s="1558" t="s">
        <v>9804</v>
      </c>
      <c r="N40" s="1558" t="s">
        <v>4397</v>
      </c>
      <c r="O40" s="1558" t="s">
        <v>9805</v>
      </c>
      <c r="P40" s="1558" t="s">
        <v>1585</v>
      </c>
      <c r="Q40" s="1536" t="s">
        <v>9806</v>
      </c>
      <c r="R40" s="1558" t="s">
        <v>9807</v>
      </c>
      <c r="S40" s="1450" t="s">
        <v>9808</v>
      </c>
      <c r="T40" s="1558" t="s">
        <v>9571</v>
      </c>
      <c r="U40" s="1558" t="s">
        <v>6702</v>
      </c>
      <c r="V40" s="1558" t="s">
        <v>2479</v>
      </c>
      <c r="W40" s="1567" t="str">
        <f>HYPERLINK("https://www.youtube.com/watch?v=nn1ub1z3NYM","1:45.96")</f>
        <v>1:45.96</v>
      </c>
      <c r="X40" s="1558" t="s">
        <v>5760</v>
      </c>
      <c r="Y40" s="1450" t="s">
        <v>5607</v>
      </c>
      <c r="Z40" s="1558" t="s">
        <v>1500</v>
      </c>
      <c r="AA40" s="1558" t="s">
        <v>9809</v>
      </c>
      <c r="AB40" s="1558" t="s">
        <v>9810</v>
      </c>
      <c r="AC40" s="1558" t="s">
        <v>1042</v>
      </c>
      <c r="AD40" s="1558" t="s">
        <v>9811</v>
      </c>
      <c r="AE40" s="1536" t="s">
        <v>4620</v>
      </c>
      <c r="AF40" s="1450" t="s">
        <v>9812</v>
      </c>
      <c r="AG40" s="1558" t="s">
        <v>1936</v>
      </c>
      <c r="AH40" s="1558" t="s">
        <v>3054</v>
      </c>
      <c r="AI40" s="1558" t="s">
        <v>9813</v>
      </c>
      <c r="AJ40" s="1450" t="s">
        <v>8414</v>
      </c>
      <c r="AK40" s="1558" t="s">
        <v>9814</v>
      </c>
      <c r="AL40" s="1450" t="s">
        <v>4350</v>
      </c>
      <c r="AM40" s="1450" t="s">
        <v>9815</v>
      </c>
      <c r="AN40" s="1450" t="s">
        <v>2512</v>
      </c>
      <c r="AO40" s="1558" t="s">
        <v>3605</v>
      </c>
      <c r="AP40" s="1558" t="s">
        <v>9816</v>
      </c>
      <c r="AQ40" s="1558" t="s">
        <v>9817</v>
      </c>
      <c r="AR40" s="1558" t="s">
        <v>1300</v>
      </c>
      <c r="AS40" s="1558" t="s">
        <v>4705</v>
      </c>
      <c r="AT40" s="1558" t="s">
        <v>9818</v>
      </c>
      <c r="AU40" s="1558" t="s">
        <v>9819</v>
      </c>
      <c r="AV40" s="1450" t="str">
        <f t="shared" si="1"/>
        <v>2:25</v>
      </c>
      <c r="AW40" s="1588"/>
    </row>
    <row r="41">
      <c r="A41" s="1555" t="s">
        <v>9820</v>
      </c>
      <c r="B41" s="1587" t="s">
        <v>8989</v>
      </c>
      <c r="C41" s="1532">
        <v>0.050625</v>
      </c>
      <c r="D41" s="1671" t="s">
        <v>9821</v>
      </c>
      <c r="E41" s="1558" t="s">
        <v>4734</v>
      </c>
      <c r="F41" s="1558" t="s">
        <v>9822</v>
      </c>
      <c r="G41" s="1558" t="s">
        <v>9823</v>
      </c>
      <c r="H41" s="1558" t="s">
        <v>1745</v>
      </c>
      <c r="I41" s="1558" t="s">
        <v>1833</v>
      </c>
      <c r="J41" s="1558" t="s">
        <v>9824</v>
      </c>
      <c r="K41" s="1558" t="s">
        <v>3626</v>
      </c>
      <c r="L41" s="1558" t="s">
        <v>9825</v>
      </c>
      <c r="M41" s="1558" t="s">
        <v>9826</v>
      </c>
      <c r="N41" s="1558" t="s">
        <v>9827</v>
      </c>
      <c r="O41" s="1558" t="s">
        <v>9828</v>
      </c>
      <c r="P41" s="1558" t="s">
        <v>9712</v>
      </c>
      <c r="Q41" s="1558" t="s">
        <v>4641</v>
      </c>
      <c r="R41" s="1558" t="s">
        <v>4012</v>
      </c>
      <c r="S41" s="1558" t="s">
        <v>2682</v>
      </c>
      <c r="T41" s="1558" t="s">
        <v>2359</v>
      </c>
      <c r="U41" s="1558" t="s">
        <v>9829</v>
      </c>
      <c r="V41" s="1558" t="s">
        <v>2214</v>
      </c>
      <c r="W41" s="1558" t="s">
        <v>7119</v>
      </c>
      <c r="X41" s="1558" t="s">
        <v>9830</v>
      </c>
      <c r="Y41" s="1558" t="s">
        <v>9831</v>
      </c>
      <c r="Z41" s="1558" t="s">
        <v>9832</v>
      </c>
      <c r="AA41" s="1558" t="s">
        <v>9833</v>
      </c>
      <c r="AB41" s="1558"/>
      <c r="AC41" s="1558" t="s">
        <v>9834</v>
      </c>
      <c r="AD41" s="1558" t="s">
        <v>9835</v>
      </c>
      <c r="AE41" s="1558" t="s">
        <v>4967</v>
      </c>
      <c r="AF41" s="1558" t="s">
        <v>9836</v>
      </c>
      <c r="AG41" s="1558" t="s">
        <v>9837</v>
      </c>
      <c r="AH41" s="1558" t="s">
        <v>9838</v>
      </c>
      <c r="AI41" s="1558" t="s">
        <v>726</v>
      </c>
      <c r="AJ41" s="1558" t="s">
        <v>9839</v>
      </c>
      <c r="AK41" s="1558" t="s">
        <v>9000</v>
      </c>
      <c r="AL41" s="1558" t="s">
        <v>9840</v>
      </c>
      <c r="AM41" s="1558" t="s">
        <v>9841</v>
      </c>
      <c r="AN41" s="1558" t="s">
        <v>9068</v>
      </c>
      <c r="AO41" s="1558" t="s">
        <v>5458</v>
      </c>
      <c r="AP41" s="1558" t="s">
        <v>9842</v>
      </c>
      <c r="AQ41" s="1558" t="s">
        <v>9843</v>
      </c>
      <c r="AR41" s="1558" t="s">
        <v>7505</v>
      </c>
      <c r="AS41" s="1558" t="s">
        <v>5840</v>
      </c>
      <c r="AT41" s="1558" t="s">
        <v>8715</v>
      </c>
      <c r="AU41" s="1558" t="s">
        <v>9844</v>
      </c>
      <c r="AV41" s="1450" t="str">
        <f t="shared" si="1"/>
        <v>2:05</v>
      </c>
      <c r="AW41" s="1621"/>
    </row>
    <row r="42">
      <c r="A42" s="1555" t="s">
        <v>9845</v>
      </c>
      <c r="B42" s="1577" t="s">
        <v>8989</v>
      </c>
      <c r="C42" s="1532">
        <v>0.0506712962962963</v>
      </c>
      <c r="D42" s="1671" t="s">
        <v>9846</v>
      </c>
      <c r="E42" s="1612" t="s">
        <v>3297</v>
      </c>
      <c r="F42" s="1612" t="s">
        <v>9339</v>
      </c>
      <c r="G42" s="1612" t="s">
        <v>9847</v>
      </c>
      <c r="H42" s="840" t="s">
        <v>9848</v>
      </c>
      <c r="I42" s="840" t="s">
        <v>9849</v>
      </c>
      <c r="J42" s="1596" t="s">
        <v>9850</v>
      </c>
      <c r="K42" s="1596" t="s">
        <v>8104</v>
      </c>
      <c r="L42" s="1596" t="s">
        <v>4324</v>
      </c>
      <c r="M42" s="1596" t="s">
        <v>8105</v>
      </c>
      <c r="N42" s="1596" t="s">
        <v>9851</v>
      </c>
      <c r="O42" s="1596" t="s">
        <v>2247</v>
      </c>
      <c r="P42" s="1596" t="s">
        <v>8069</v>
      </c>
      <c r="Q42" s="1599" t="s">
        <v>7355</v>
      </c>
      <c r="R42" s="1599" t="s">
        <v>9852</v>
      </c>
      <c r="S42" s="1599" t="s">
        <v>9853</v>
      </c>
      <c r="T42" s="1599" t="s">
        <v>9854</v>
      </c>
      <c r="U42" s="1599" t="s">
        <v>9855</v>
      </c>
      <c r="V42" s="1599" t="s">
        <v>9856</v>
      </c>
      <c r="W42" s="1614" t="s">
        <v>9857</v>
      </c>
      <c r="X42" s="1614" t="s">
        <v>9858</v>
      </c>
      <c r="Y42" s="1614" t="s">
        <v>6306</v>
      </c>
      <c r="Z42" s="1614" t="s">
        <v>9859</v>
      </c>
      <c r="AA42" s="1558" t="s">
        <v>1678</v>
      </c>
      <c r="AB42" s="1614" t="s">
        <v>9860</v>
      </c>
      <c r="AC42" s="1614" t="s">
        <v>7217</v>
      </c>
      <c r="AD42" s="1612" t="s">
        <v>9861</v>
      </c>
      <c r="AE42" s="1612" t="s">
        <v>536</v>
      </c>
      <c r="AF42" s="1615" t="s">
        <v>9862</v>
      </c>
      <c r="AG42" s="1615" t="s">
        <v>3996</v>
      </c>
      <c r="AH42" s="1615" t="s">
        <v>5218</v>
      </c>
      <c r="AI42" s="1615" t="s">
        <v>9863</v>
      </c>
      <c r="AJ42" s="1615" t="s">
        <v>9864</v>
      </c>
      <c r="AK42" s="1615" t="s">
        <v>174</v>
      </c>
      <c r="AL42" s="1615" t="s">
        <v>2622</v>
      </c>
      <c r="AM42" s="1617" t="s">
        <v>9340</v>
      </c>
      <c r="AN42" s="1617" t="s">
        <v>9596</v>
      </c>
      <c r="AO42" s="1617" t="s">
        <v>9532</v>
      </c>
      <c r="AP42" s="1617" t="s">
        <v>9865</v>
      </c>
      <c r="AQ42" s="1617" t="s">
        <v>9866</v>
      </c>
      <c r="AR42" s="1617" t="s">
        <v>4867</v>
      </c>
      <c r="AS42" s="1617" t="s">
        <v>9867</v>
      </c>
      <c r="AT42" s="1596" t="s">
        <v>9868</v>
      </c>
      <c r="AU42" s="1579" t="s">
        <v>9660</v>
      </c>
      <c r="AV42" s="1450" t="str">
        <f t="shared" si="1"/>
        <v>3:31</v>
      </c>
      <c r="AW42" s="1641"/>
    </row>
    <row r="43" ht="15.75" customHeight="1">
      <c r="A43" s="1655" t="s">
        <v>9869</v>
      </c>
      <c r="B43" s="1531" t="s">
        <v>8989</v>
      </c>
      <c r="C43" s="1532">
        <v>0.05070601851851852</v>
      </c>
      <c r="D43" s="980" t="s">
        <v>9870</v>
      </c>
      <c r="E43" s="1642" t="s">
        <v>3196</v>
      </c>
      <c r="F43" s="1642" t="s">
        <v>9190</v>
      </c>
      <c r="G43" s="1642" t="s">
        <v>9871</v>
      </c>
      <c r="H43" s="905" t="s">
        <v>9872</v>
      </c>
      <c r="I43" s="905" t="s">
        <v>388</v>
      </c>
      <c r="J43" s="1643" t="s">
        <v>9873</v>
      </c>
      <c r="K43" s="1643" t="s">
        <v>3549</v>
      </c>
      <c r="L43" s="1643" t="s">
        <v>5454</v>
      </c>
      <c r="M43" s="1643" t="s">
        <v>9874</v>
      </c>
      <c r="N43" s="1643" t="s">
        <v>9708</v>
      </c>
      <c r="O43" s="1643" t="s">
        <v>9875</v>
      </c>
      <c r="P43" s="1643" t="s">
        <v>5477</v>
      </c>
      <c r="Q43" s="1644" t="s">
        <v>9876</v>
      </c>
      <c r="R43" s="1644" t="s">
        <v>730</v>
      </c>
      <c r="S43" s="1644" t="s">
        <v>5458</v>
      </c>
      <c r="T43" s="1644" t="s">
        <v>9711</v>
      </c>
      <c r="U43" s="1644" t="s">
        <v>9877</v>
      </c>
      <c r="V43" s="1644" t="s">
        <v>2479</v>
      </c>
      <c r="W43" s="1645" t="s">
        <v>9878</v>
      </c>
      <c r="X43" s="1645" t="s">
        <v>6177</v>
      </c>
      <c r="Y43" s="1645" t="s">
        <v>8216</v>
      </c>
      <c r="Z43" s="1645" t="s">
        <v>9080</v>
      </c>
      <c r="AA43" s="1645" t="s">
        <v>9879</v>
      </c>
      <c r="AB43" s="1645" t="s">
        <v>2641</v>
      </c>
      <c r="AC43" s="1645" t="s">
        <v>3113</v>
      </c>
      <c r="AD43" s="1642" t="s">
        <v>9880</v>
      </c>
      <c r="AE43" s="1642" t="s">
        <v>6308</v>
      </c>
      <c r="AF43" s="1646" t="s">
        <v>9144</v>
      </c>
      <c r="AG43" s="1646" t="s">
        <v>9881</v>
      </c>
      <c r="AH43" s="1646" t="s">
        <v>2256</v>
      </c>
      <c r="AI43" s="1646" t="s">
        <v>9882</v>
      </c>
      <c r="AJ43" s="1646" t="s">
        <v>9883</v>
      </c>
      <c r="AK43" s="1646" t="s">
        <v>9884</v>
      </c>
      <c r="AL43" s="1646" t="s">
        <v>5424</v>
      </c>
      <c r="AM43" s="1616" t="s">
        <v>9737</v>
      </c>
      <c r="AN43" s="1616" t="s">
        <v>5424</v>
      </c>
      <c r="AO43" s="1616" t="s">
        <v>2303</v>
      </c>
      <c r="AP43" s="1616" t="s">
        <v>9885</v>
      </c>
      <c r="AQ43" s="1616" t="s">
        <v>9886</v>
      </c>
      <c r="AR43" s="1616" t="s">
        <v>4689</v>
      </c>
      <c r="AS43" s="1616" t="s">
        <v>4393</v>
      </c>
      <c r="AT43" s="1643" t="s">
        <v>9887</v>
      </c>
      <c r="AU43" s="1640" t="s">
        <v>9888</v>
      </c>
      <c r="AV43" s="1450" t="str">
        <f t="shared" si="1"/>
        <v>2:54</v>
      </c>
      <c r="AW43" s="1641"/>
    </row>
    <row r="44">
      <c r="A44" s="1589" t="s">
        <v>2824</v>
      </c>
      <c r="B44" s="1587" t="s">
        <v>8989</v>
      </c>
      <c r="C44" s="1532">
        <v>0.050826388888888886</v>
      </c>
      <c r="D44" s="1558" t="s">
        <v>9889</v>
      </c>
      <c r="E44" s="1558" t="s">
        <v>6982</v>
      </c>
      <c r="F44" s="1612" t="s">
        <v>9890</v>
      </c>
      <c r="G44" s="1558" t="s">
        <v>9891</v>
      </c>
      <c r="H44" s="1558" t="s">
        <v>6578</v>
      </c>
      <c r="I44" s="1558" t="s">
        <v>1290</v>
      </c>
      <c r="J44" s="1558" t="s">
        <v>9892</v>
      </c>
      <c r="K44" s="1558" t="s">
        <v>3970</v>
      </c>
      <c r="L44" s="1558" t="s">
        <v>5953</v>
      </c>
      <c r="M44" s="1558" t="s">
        <v>9893</v>
      </c>
      <c r="N44" s="1558" t="s">
        <v>6827</v>
      </c>
      <c r="O44" s="1558" t="s">
        <v>9894</v>
      </c>
      <c r="P44" s="1558" t="s">
        <v>9477</v>
      </c>
      <c r="Q44" s="1558" t="s">
        <v>9895</v>
      </c>
      <c r="R44" s="1558" t="s">
        <v>9896</v>
      </c>
      <c r="S44" s="1558" t="s">
        <v>9897</v>
      </c>
      <c r="T44" s="1558" t="s">
        <v>1706</v>
      </c>
      <c r="U44" s="1558" t="s">
        <v>9898</v>
      </c>
      <c r="V44" s="1558" t="s">
        <v>8149</v>
      </c>
      <c r="W44" s="1558" t="s">
        <v>5509</v>
      </c>
      <c r="X44" s="1558" t="s">
        <v>9899</v>
      </c>
      <c r="Y44" s="1558" t="s">
        <v>8060</v>
      </c>
      <c r="Z44" s="1558" t="s">
        <v>9900</v>
      </c>
      <c r="AA44" s="1614" t="s">
        <v>9901</v>
      </c>
      <c r="AB44" s="1558" t="s">
        <v>1841</v>
      </c>
      <c r="AC44" s="1558" t="s">
        <v>7217</v>
      </c>
      <c r="AD44" s="1558" t="s">
        <v>9902</v>
      </c>
      <c r="AE44" s="1558" t="s">
        <v>4967</v>
      </c>
      <c r="AF44" s="1558" t="s">
        <v>9903</v>
      </c>
      <c r="AG44" s="1558" t="s">
        <v>1173</v>
      </c>
      <c r="AH44" s="1558" t="s">
        <v>3895</v>
      </c>
      <c r="AI44" s="1558" t="s">
        <v>9904</v>
      </c>
      <c r="AJ44" s="1558" t="s">
        <v>9905</v>
      </c>
      <c r="AK44" s="1558" t="s">
        <v>9814</v>
      </c>
      <c r="AL44" s="1558" t="s">
        <v>4355</v>
      </c>
      <c r="AM44" s="1558" t="s">
        <v>9814</v>
      </c>
      <c r="AN44" s="1558" t="s">
        <v>9068</v>
      </c>
      <c r="AO44" s="1558" t="s">
        <v>6921</v>
      </c>
      <c r="AP44" s="1558" t="s">
        <v>9906</v>
      </c>
      <c r="AQ44" s="1558" t="s">
        <v>9907</v>
      </c>
      <c r="AR44" s="1558" t="s">
        <v>5156</v>
      </c>
      <c r="AS44" s="1558" t="s">
        <v>6144</v>
      </c>
      <c r="AT44" s="1558" t="s">
        <v>9908</v>
      </c>
      <c r="AU44" s="1558" t="s">
        <v>9909</v>
      </c>
      <c r="AV44" s="1450" t="str">
        <f t="shared" si="1"/>
        <v>2:25</v>
      </c>
      <c r="AW44" s="1621"/>
    </row>
    <row r="45" ht="15.75" customHeight="1">
      <c r="A45" s="1589" t="s">
        <v>4642</v>
      </c>
      <c r="B45" s="1531" t="s">
        <v>8989</v>
      </c>
      <c r="C45" s="1665">
        <v>0.050868055555555555</v>
      </c>
      <c r="D45" s="980" t="s">
        <v>9910</v>
      </c>
      <c r="E45" s="1450" t="s">
        <v>7182</v>
      </c>
      <c r="F45" s="1450" t="s">
        <v>9911</v>
      </c>
      <c r="G45" s="1450" t="s">
        <v>9912</v>
      </c>
      <c r="H45" s="1450" t="s">
        <v>9094</v>
      </c>
      <c r="I45" s="1450" t="s">
        <v>1290</v>
      </c>
      <c r="J45" s="1450" t="s">
        <v>4867</v>
      </c>
      <c r="K45" s="1450" t="s">
        <v>9485</v>
      </c>
      <c r="L45" s="1450" t="s">
        <v>9342</v>
      </c>
      <c r="M45" s="1450" t="s">
        <v>5384</v>
      </c>
      <c r="N45" s="1450" t="s">
        <v>8515</v>
      </c>
      <c r="O45" s="1450" t="s">
        <v>9913</v>
      </c>
      <c r="P45" s="1450" t="s">
        <v>2552</v>
      </c>
      <c r="Q45" s="1450" t="s">
        <v>9914</v>
      </c>
      <c r="R45" s="1450" t="s">
        <v>6846</v>
      </c>
      <c r="S45" s="1450" t="s">
        <v>9299</v>
      </c>
      <c r="T45" s="1450" t="s">
        <v>4609</v>
      </c>
      <c r="U45" s="1450" t="s">
        <v>9915</v>
      </c>
      <c r="V45" s="1450" t="s">
        <v>9525</v>
      </c>
      <c r="W45" s="1450" t="s">
        <v>9916</v>
      </c>
      <c r="X45" s="1450" t="s">
        <v>9530</v>
      </c>
      <c r="Y45" s="1450" t="s">
        <v>3633</v>
      </c>
      <c r="Z45" s="1450" t="s">
        <v>9917</v>
      </c>
      <c r="AA45" s="1450" t="s">
        <v>9918</v>
      </c>
      <c r="AB45" s="1450" t="s">
        <v>194</v>
      </c>
      <c r="AC45" s="1450" t="s">
        <v>3016</v>
      </c>
      <c r="AD45" s="1450" t="s">
        <v>9919</v>
      </c>
      <c r="AE45" s="1450" t="s">
        <v>618</v>
      </c>
      <c r="AF45" s="1450" t="s">
        <v>9920</v>
      </c>
      <c r="AG45" s="1450" t="s">
        <v>6041</v>
      </c>
      <c r="AH45" s="1450" t="s">
        <v>9095</v>
      </c>
      <c r="AI45" s="1450" t="s">
        <v>6947</v>
      </c>
      <c r="AJ45" s="1450" t="s">
        <v>9921</v>
      </c>
      <c r="AK45" s="1450" t="s">
        <v>5412</v>
      </c>
      <c r="AL45" s="1450" t="s">
        <v>3205</v>
      </c>
      <c r="AM45" s="1450" t="s">
        <v>9922</v>
      </c>
      <c r="AN45" s="1450" t="s">
        <v>3341</v>
      </c>
      <c r="AO45" s="1450" t="s">
        <v>9470</v>
      </c>
      <c r="AP45" s="1450" t="s">
        <v>9923</v>
      </c>
      <c r="AQ45" s="1450" t="s">
        <v>9924</v>
      </c>
      <c r="AR45" s="1450" t="s">
        <v>9333</v>
      </c>
      <c r="AS45" s="1450" t="s">
        <v>5120</v>
      </c>
      <c r="AT45" s="1450" t="s">
        <v>9925</v>
      </c>
      <c r="AU45" s="1450" t="s">
        <v>9926</v>
      </c>
      <c r="AV45" s="1450" t="str">
        <f t="shared" si="1"/>
        <v>2:44</v>
      </c>
      <c r="AW45" s="1569"/>
    </row>
    <row r="46" ht="15.75" customHeight="1">
      <c r="A46" s="1589" t="s">
        <v>1809</v>
      </c>
      <c r="B46" s="1672" t="s">
        <v>9044</v>
      </c>
      <c r="C46" s="1673">
        <v>0.05092592592592592</v>
      </c>
      <c r="D46" s="1674" t="s">
        <v>9045</v>
      </c>
      <c r="E46" s="1675" t="s">
        <v>9046</v>
      </c>
      <c r="F46" s="1674" t="s">
        <v>9047</v>
      </c>
      <c r="G46" s="1558" t="s">
        <v>9927</v>
      </c>
      <c r="H46" s="1674" t="s">
        <v>9049</v>
      </c>
      <c r="I46" s="1450" t="s">
        <v>1408</v>
      </c>
      <c r="J46" s="1642" t="s">
        <v>9928</v>
      </c>
      <c r="K46" s="1450" t="s">
        <v>9708</v>
      </c>
      <c r="L46" s="1642" t="s">
        <v>2329</v>
      </c>
      <c r="M46" s="1450" t="s">
        <v>2712</v>
      </c>
      <c r="N46" s="1674" t="s">
        <v>9008</v>
      </c>
      <c r="O46" s="1450" t="s">
        <v>9929</v>
      </c>
      <c r="P46" s="1642" t="s">
        <v>636</v>
      </c>
      <c r="Q46" s="1675" t="s">
        <v>9054</v>
      </c>
      <c r="R46" s="1674" t="s">
        <v>9055</v>
      </c>
      <c r="S46" s="1450" t="s">
        <v>1159</v>
      </c>
      <c r="T46" s="1642" t="s">
        <v>7258</v>
      </c>
      <c r="U46" s="1675" t="s">
        <v>9057</v>
      </c>
      <c r="V46" s="1674" t="s">
        <v>4287</v>
      </c>
      <c r="W46" s="1450" t="s">
        <v>9930</v>
      </c>
      <c r="X46" s="1674" t="s">
        <v>9059</v>
      </c>
      <c r="Y46" s="1450" t="s">
        <v>5708</v>
      </c>
      <c r="Z46" s="1612" t="s">
        <v>9931</v>
      </c>
      <c r="AA46" s="1450" t="s">
        <v>2305</v>
      </c>
      <c r="AB46" s="1642" t="s">
        <v>9373</v>
      </c>
      <c r="AC46" s="1558" t="s">
        <v>9932</v>
      </c>
      <c r="AD46" s="1642" t="s">
        <v>9933</v>
      </c>
      <c r="AE46" s="1558" t="s">
        <v>9934</v>
      </c>
      <c r="AF46" s="1642" t="s">
        <v>9935</v>
      </c>
      <c r="AG46" s="1450" t="s">
        <v>7974</v>
      </c>
      <c r="AH46" s="1612" t="s">
        <v>9825</v>
      </c>
      <c r="AI46" s="1675" t="s">
        <v>9064</v>
      </c>
      <c r="AJ46" s="1642" t="s">
        <v>9936</v>
      </c>
      <c r="AK46" s="1450" t="s">
        <v>5926</v>
      </c>
      <c r="AL46" s="1674" t="s">
        <v>9066</v>
      </c>
      <c r="AM46" s="1450" t="s">
        <v>9435</v>
      </c>
      <c r="AN46" s="1642" t="s">
        <v>3915</v>
      </c>
      <c r="AO46" s="1558" t="s">
        <v>4882</v>
      </c>
      <c r="AP46" s="1612" t="s">
        <v>9937</v>
      </c>
      <c r="AQ46" s="1558" t="s">
        <v>9938</v>
      </c>
      <c r="AR46" s="1612" t="s">
        <v>9939</v>
      </c>
      <c r="AS46" s="1450" t="s">
        <v>971</v>
      </c>
      <c r="AT46" s="1674" t="s">
        <v>9072</v>
      </c>
      <c r="AU46" s="1675" t="s">
        <v>9073</v>
      </c>
      <c r="AV46" s="1450" t="str">
        <f t="shared" si="1"/>
        <v>2:24</v>
      </c>
      <c r="AW46" s="1588"/>
    </row>
    <row r="47">
      <c r="A47" s="1589" t="s">
        <v>2579</v>
      </c>
      <c r="B47" s="1591" t="s">
        <v>9016</v>
      </c>
      <c r="C47" s="1532">
        <v>0.05092592592592592</v>
      </c>
      <c r="D47" s="980" t="s">
        <v>9940</v>
      </c>
      <c r="E47" s="1612" t="s">
        <v>9941</v>
      </c>
      <c r="F47" s="1612" t="s">
        <v>9942</v>
      </c>
      <c r="G47" s="1612" t="s">
        <v>9943</v>
      </c>
      <c r="H47" s="840" t="s">
        <v>9944</v>
      </c>
      <c r="I47" s="840" t="s">
        <v>2960</v>
      </c>
      <c r="J47" s="1596" t="s">
        <v>9160</v>
      </c>
      <c r="K47" s="1596" t="s">
        <v>3591</v>
      </c>
      <c r="L47" s="1596" t="s">
        <v>5856</v>
      </c>
      <c r="M47" s="1596" t="s">
        <v>3131</v>
      </c>
      <c r="N47" s="1596" t="s">
        <v>872</v>
      </c>
      <c r="O47" s="1596" t="s">
        <v>9945</v>
      </c>
      <c r="P47" s="1596" t="s">
        <v>772</v>
      </c>
      <c r="Q47" s="1599" t="s">
        <v>7246</v>
      </c>
      <c r="R47" s="1599" t="s">
        <v>6893</v>
      </c>
      <c r="S47" s="1599" t="s">
        <v>7501</v>
      </c>
      <c r="T47" s="1599" t="s">
        <v>9946</v>
      </c>
      <c r="U47" s="1676" t="s">
        <v>7348</v>
      </c>
      <c r="V47" s="1599" t="s">
        <v>9947</v>
      </c>
      <c r="W47" s="1614" t="s">
        <v>6867</v>
      </c>
      <c r="X47" s="1614" t="s">
        <v>9948</v>
      </c>
      <c r="Y47" s="1614" t="s">
        <v>9949</v>
      </c>
      <c r="Z47" s="1614" t="s">
        <v>7190</v>
      </c>
      <c r="AA47" s="1614" t="s">
        <v>1868</v>
      </c>
      <c r="AB47" s="1614" t="s">
        <v>9950</v>
      </c>
      <c r="AC47" s="1614" t="s">
        <v>2448</v>
      </c>
      <c r="AD47" s="1612" t="s">
        <v>9951</v>
      </c>
      <c r="AE47" s="1612" t="s">
        <v>5224</v>
      </c>
      <c r="AF47" s="1615" t="s">
        <v>9952</v>
      </c>
      <c r="AG47" s="1615" t="s">
        <v>5236</v>
      </c>
      <c r="AH47" s="1615" t="s">
        <v>4464</v>
      </c>
      <c r="AI47" s="1615" t="s">
        <v>9953</v>
      </c>
      <c r="AJ47" s="1605" t="s">
        <v>9036</v>
      </c>
      <c r="AK47" s="1615" t="s">
        <v>194</v>
      </c>
      <c r="AL47" s="1615" t="s">
        <v>5927</v>
      </c>
      <c r="AM47" s="1617" t="s">
        <v>4073</v>
      </c>
      <c r="AN47" s="1617" t="s">
        <v>3730</v>
      </c>
      <c r="AO47" s="1617" t="s">
        <v>2401</v>
      </c>
      <c r="AP47" s="1617" t="s">
        <v>9954</v>
      </c>
      <c r="AQ47" s="1617" t="s">
        <v>4307</v>
      </c>
      <c r="AR47" s="1617" t="s">
        <v>7235</v>
      </c>
      <c r="AS47" s="1617" t="s">
        <v>6598</v>
      </c>
      <c r="AT47" s="1596" t="s">
        <v>9955</v>
      </c>
      <c r="AU47" s="1019" t="s">
        <v>9956</v>
      </c>
      <c r="AV47" s="1450" t="str">
        <f t="shared" si="1"/>
        <v>4:25</v>
      </c>
      <c r="AW47" s="1586"/>
    </row>
    <row r="48" ht="15.75" customHeight="1">
      <c r="A48" s="1530" t="s">
        <v>4494</v>
      </c>
      <c r="B48" s="1622" t="s">
        <v>9016</v>
      </c>
      <c r="C48" s="1532">
        <v>0.05100810185185185</v>
      </c>
      <c r="D48" s="980" t="s">
        <v>9957</v>
      </c>
      <c r="E48" s="1612" t="s">
        <v>9958</v>
      </c>
      <c r="F48" s="1612" t="s">
        <v>9959</v>
      </c>
      <c r="G48" s="1642" t="s">
        <v>9960</v>
      </c>
      <c r="H48" s="840" t="s">
        <v>9961</v>
      </c>
      <c r="I48" s="840" t="s">
        <v>1408</v>
      </c>
      <c r="J48" s="1596" t="s">
        <v>5156</v>
      </c>
      <c r="K48" s="1596" t="s">
        <v>9706</v>
      </c>
      <c r="L48" s="1596" t="s">
        <v>4409</v>
      </c>
      <c r="M48" s="1596" t="s">
        <v>1451</v>
      </c>
      <c r="N48" s="1596" t="s">
        <v>9962</v>
      </c>
      <c r="O48" s="1596" t="s">
        <v>9203</v>
      </c>
      <c r="P48" s="1596" t="s">
        <v>9963</v>
      </c>
      <c r="Q48" s="1599" t="s">
        <v>9964</v>
      </c>
      <c r="R48" s="1599" t="s">
        <v>3438</v>
      </c>
      <c r="S48" s="1599" t="s">
        <v>7161</v>
      </c>
      <c r="T48" s="1599" t="s">
        <v>9965</v>
      </c>
      <c r="U48" s="1599" t="s">
        <v>9966</v>
      </c>
      <c r="V48" s="1644" t="s">
        <v>1362</v>
      </c>
      <c r="W48" s="1614" t="s">
        <v>9967</v>
      </c>
      <c r="X48" s="1614" t="s">
        <v>9757</v>
      </c>
      <c r="Y48" s="1614" t="s">
        <v>4015</v>
      </c>
      <c r="Z48" s="1614" t="s">
        <v>7118</v>
      </c>
      <c r="AA48" s="1614" t="s">
        <v>1020</v>
      </c>
      <c r="AB48" s="1614" t="s">
        <v>3943</v>
      </c>
      <c r="AC48" s="1645" t="s">
        <v>7666</v>
      </c>
      <c r="AD48" s="1612" t="s">
        <v>9968</v>
      </c>
      <c r="AE48" s="1642" t="s">
        <v>4955</v>
      </c>
      <c r="AF48" s="1615" t="s">
        <v>9969</v>
      </c>
      <c r="AG48" s="1615" t="s">
        <v>9970</v>
      </c>
      <c r="AH48" s="1615" t="s">
        <v>9971</v>
      </c>
      <c r="AI48" s="1615" t="s">
        <v>9417</v>
      </c>
      <c r="AJ48" s="1615" t="s">
        <v>9972</v>
      </c>
      <c r="AK48" s="1615" t="s">
        <v>9973</v>
      </c>
      <c r="AL48" s="1615" t="s">
        <v>4528</v>
      </c>
      <c r="AM48" s="1617" t="s">
        <v>9974</v>
      </c>
      <c r="AN48" s="1617" t="s">
        <v>3413</v>
      </c>
      <c r="AO48" s="1617" t="s">
        <v>9975</v>
      </c>
      <c r="AP48" s="1617" t="s">
        <v>9976</v>
      </c>
      <c r="AQ48" s="1617" t="s">
        <v>4307</v>
      </c>
      <c r="AR48" s="1617" t="s">
        <v>9977</v>
      </c>
      <c r="AS48" s="1617" t="s">
        <v>4550</v>
      </c>
      <c r="AT48" s="1596" t="s">
        <v>9978</v>
      </c>
      <c r="AU48" s="1579" t="s">
        <v>9979</v>
      </c>
      <c r="AV48" s="1450" t="str">
        <f t="shared" si="1"/>
        <v>3:17</v>
      </c>
      <c r="AW48" s="1580" t="s">
        <v>9980</v>
      </c>
    </row>
    <row r="49" ht="15.75" customHeight="1">
      <c r="A49" s="1589" t="s">
        <v>979</v>
      </c>
      <c r="B49" s="1577" t="s">
        <v>9016</v>
      </c>
      <c r="C49" s="1532">
        <v>0.05112268518518519</v>
      </c>
      <c r="D49" s="1612" t="s">
        <v>9981</v>
      </c>
      <c r="E49" s="1612" t="s">
        <v>4654</v>
      </c>
      <c r="F49" s="1612" t="s">
        <v>9982</v>
      </c>
      <c r="G49" s="1612" t="s">
        <v>9983</v>
      </c>
      <c r="H49" s="980" t="s">
        <v>9984</v>
      </c>
      <c r="I49" s="840" t="s">
        <v>5353</v>
      </c>
      <c r="J49" s="1596" t="s">
        <v>4076</v>
      </c>
      <c r="K49" s="1596" t="s">
        <v>9985</v>
      </c>
      <c r="L49" s="1538" t="s">
        <v>3648</v>
      </c>
      <c r="M49" s="1596" t="s">
        <v>4448</v>
      </c>
      <c r="N49" s="1596" t="s">
        <v>9737</v>
      </c>
      <c r="O49" s="1596" t="s">
        <v>9986</v>
      </c>
      <c r="P49" s="1596" t="s">
        <v>1524</v>
      </c>
      <c r="Q49" s="1599" t="s">
        <v>9987</v>
      </c>
      <c r="R49" s="1677" t="s">
        <v>9988</v>
      </c>
      <c r="S49" s="1599" t="s">
        <v>415</v>
      </c>
      <c r="T49" s="1599" t="s">
        <v>9989</v>
      </c>
      <c r="U49" s="1599" t="s">
        <v>9990</v>
      </c>
      <c r="V49" s="1599" t="s">
        <v>9991</v>
      </c>
      <c r="W49" s="1614" t="s">
        <v>9992</v>
      </c>
      <c r="X49" s="1614" t="s">
        <v>9993</v>
      </c>
      <c r="Y49" s="1633" t="s">
        <v>971</v>
      </c>
      <c r="Z49" s="1614" t="s">
        <v>9994</v>
      </c>
      <c r="AA49" s="1558" t="s">
        <v>9995</v>
      </c>
      <c r="AB49" s="1614" t="s">
        <v>2845</v>
      </c>
      <c r="AC49" s="1614" t="s">
        <v>5060</v>
      </c>
      <c r="AD49" s="1612" t="s">
        <v>9996</v>
      </c>
      <c r="AE49" s="1612" t="s">
        <v>5575</v>
      </c>
      <c r="AF49" s="1615" t="s">
        <v>9221</v>
      </c>
      <c r="AG49" s="1615" t="s">
        <v>274</v>
      </c>
      <c r="AH49" s="1615" t="s">
        <v>463</v>
      </c>
      <c r="AI49" s="1615" t="s">
        <v>9997</v>
      </c>
      <c r="AJ49" s="1615" t="s">
        <v>9998</v>
      </c>
      <c r="AK49" s="1615" t="s">
        <v>4148</v>
      </c>
      <c r="AL49" s="1615" t="s">
        <v>9999</v>
      </c>
      <c r="AM49" s="1617" t="s">
        <v>10000</v>
      </c>
      <c r="AN49" s="1678" t="s">
        <v>3217</v>
      </c>
      <c r="AO49" s="1617" t="s">
        <v>8104</v>
      </c>
      <c r="AP49" s="1617" t="s">
        <v>10001</v>
      </c>
      <c r="AQ49" s="1617" t="s">
        <v>10002</v>
      </c>
      <c r="AR49" s="1617" t="s">
        <v>10003</v>
      </c>
      <c r="AS49" s="1617" t="s">
        <v>8947</v>
      </c>
      <c r="AT49" s="1596" t="s">
        <v>10004</v>
      </c>
      <c r="AU49" s="1579" t="s">
        <v>10005</v>
      </c>
      <c r="AV49" s="1450" t="str">
        <f t="shared" si="1"/>
        <v>4:57</v>
      </c>
      <c r="AW49" s="1641"/>
    </row>
    <row r="50">
      <c r="A50" s="1589" t="s">
        <v>2374</v>
      </c>
      <c r="B50" s="1587" t="s">
        <v>9016</v>
      </c>
      <c r="C50" s="1532">
        <v>0.05112268518518519</v>
      </c>
      <c r="D50" s="1558" t="s">
        <v>10006</v>
      </c>
      <c r="E50" s="1558" t="s">
        <v>4514</v>
      </c>
      <c r="F50" s="1558" t="s">
        <v>6156</v>
      </c>
      <c r="G50" s="1658" t="s">
        <v>9019</v>
      </c>
      <c r="H50" s="980" t="s">
        <v>10007</v>
      </c>
      <c r="I50" s="1558" t="s">
        <v>765</v>
      </c>
      <c r="J50" s="1558" t="s">
        <v>7504</v>
      </c>
      <c r="K50" s="1558" t="s">
        <v>2501</v>
      </c>
      <c r="L50" s="1558" t="s">
        <v>1362</v>
      </c>
      <c r="M50" s="1558" t="s">
        <v>10008</v>
      </c>
      <c r="N50" s="1558" t="s">
        <v>9103</v>
      </c>
      <c r="O50" s="1558" t="s">
        <v>10009</v>
      </c>
      <c r="P50" s="1558" t="s">
        <v>3633</v>
      </c>
      <c r="Q50" s="1558" t="s">
        <v>10010</v>
      </c>
      <c r="R50" s="1558" t="s">
        <v>10011</v>
      </c>
      <c r="S50" s="1558" t="s">
        <v>3778</v>
      </c>
      <c r="T50" s="1558" t="s">
        <v>7435</v>
      </c>
      <c r="U50" s="1599" t="s">
        <v>9441</v>
      </c>
      <c r="V50" s="1558" t="s">
        <v>10012</v>
      </c>
      <c r="W50" s="1558" t="s">
        <v>10013</v>
      </c>
      <c r="X50" s="1558" t="s">
        <v>1484</v>
      </c>
      <c r="Y50" s="1558" t="s">
        <v>8066</v>
      </c>
      <c r="Z50" s="1558" t="s">
        <v>9246</v>
      </c>
      <c r="AA50" s="1614" t="s">
        <v>613</v>
      </c>
      <c r="AB50" s="1558" t="s">
        <v>10014</v>
      </c>
      <c r="AC50" s="1558" t="s">
        <v>5224</v>
      </c>
      <c r="AD50" s="1558" t="s">
        <v>10015</v>
      </c>
      <c r="AE50" s="1558" t="s">
        <v>3633</v>
      </c>
      <c r="AF50" s="1558" t="s">
        <v>10016</v>
      </c>
      <c r="AG50" s="1558" t="s">
        <v>10017</v>
      </c>
      <c r="AH50" s="1558" t="s">
        <v>2525</v>
      </c>
      <c r="AI50" s="1558" t="s">
        <v>6189</v>
      </c>
      <c r="AJ50" s="1558" t="s">
        <v>10018</v>
      </c>
      <c r="AK50" s="1558" t="s">
        <v>9532</v>
      </c>
      <c r="AL50" s="1558" t="s">
        <v>10019</v>
      </c>
      <c r="AM50" s="1558" t="s">
        <v>2707</v>
      </c>
      <c r="AN50" s="1558" t="s">
        <v>10020</v>
      </c>
      <c r="AO50" s="1558" t="s">
        <v>7361</v>
      </c>
      <c r="AP50" s="1558" t="s">
        <v>10021</v>
      </c>
      <c r="AQ50" s="1558" t="s">
        <v>10022</v>
      </c>
      <c r="AR50" s="1558" t="s">
        <v>2255</v>
      </c>
      <c r="AS50" s="1558" t="s">
        <v>8060</v>
      </c>
      <c r="AT50" s="1558" t="s">
        <v>10023</v>
      </c>
      <c r="AU50" s="1558" t="s">
        <v>10024</v>
      </c>
      <c r="AV50" s="1450" t="str">
        <f t="shared" si="1"/>
        <v>3:15</v>
      </c>
      <c r="AW50" s="1032"/>
    </row>
    <row r="51">
      <c r="A51" s="1589" t="s">
        <v>2713</v>
      </c>
      <c r="B51" s="1587" t="s">
        <v>8989</v>
      </c>
      <c r="C51" s="1532">
        <v>0.051145833333333335</v>
      </c>
      <c r="D51" s="980" t="s">
        <v>10025</v>
      </c>
      <c r="E51" s="1654" t="s">
        <v>4133</v>
      </c>
      <c r="F51" s="1654" t="s">
        <v>1683</v>
      </c>
      <c r="G51" s="1654" t="s">
        <v>10026</v>
      </c>
      <c r="H51" s="980" t="s">
        <v>10027</v>
      </c>
      <c r="I51" s="1654" t="s">
        <v>9932</v>
      </c>
      <c r="J51" s="1654" t="s">
        <v>10028</v>
      </c>
      <c r="K51" s="1654" t="s">
        <v>10028</v>
      </c>
      <c r="L51" s="1654" t="s">
        <v>4137</v>
      </c>
      <c r="M51" s="1654" t="s">
        <v>3463</v>
      </c>
      <c r="N51" s="1654" t="s">
        <v>10029</v>
      </c>
      <c r="O51" s="1654" t="s">
        <v>10030</v>
      </c>
      <c r="P51" s="1654" t="s">
        <v>9032</v>
      </c>
      <c r="Q51" s="1654" t="s">
        <v>10031</v>
      </c>
      <c r="R51" s="1654" t="s">
        <v>10032</v>
      </c>
      <c r="S51" s="1534" t="s">
        <v>6769</v>
      </c>
      <c r="T51" s="1654" t="s">
        <v>10033</v>
      </c>
      <c r="U51" s="1654" t="s">
        <v>230</v>
      </c>
      <c r="V51" s="1654" t="s">
        <v>10034</v>
      </c>
      <c r="W51" s="1654" t="s">
        <v>10035</v>
      </c>
      <c r="X51" s="1654" t="s">
        <v>10036</v>
      </c>
      <c r="Y51" s="1654" t="s">
        <v>596</v>
      </c>
      <c r="Z51" s="1654" t="s">
        <v>10037</v>
      </c>
      <c r="AA51" s="1654" t="s">
        <v>9770</v>
      </c>
      <c r="AB51" s="1654" t="s">
        <v>5919</v>
      </c>
      <c r="AC51" s="1654" t="s">
        <v>1232</v>
      </c>
      <c r="AD51" s="1654" t="s">
        <v>10038</v>
      </c>
      <c r="AE51" s="1654" t="s">
        <v>9477</v>
      </c>
      <c r="AF51" s="1654" t="s">
        <v>10039</v>
      </c>
      <c r="AG51" s="1654" t="s">
        <v>10040</v>
      </c>
      <c r="AH51" s="1654" t="s">
        <v>3758</v>
      </c>
      <c r="AI51" s="1654" t="s">
        <v>10041</v>
      </c>
      <c r="AJ51" s="1654" t="s">
        <v>10042</v>
      </c>
      <c r="AK51" s="1654" t="s">
        <v>10043</v>
      </c>
      <c r="AL51" s="1654" t="s">
        <v>4976</v>
      </c>
      <c r="AM51" s="1654" t="s">
        <v>3616</v>
      </c>
      <c r="AN51" s="1654" t="s">
        <v>5647</v>
      </c>
      <c r="AO51" s="1654" t="s">
        <v>5156</v>
      </c>
      <c r="AP51" s="1654" t="s">
        <v>10044</v>
      </c>
      <c r="AQ51" s="1654" t="s">
        <v>3369</v>
      </c>
      <c r="AR51" s="1654" t="s">
        <v>10045</v>
      </c>
      <c r="AS51" s="1654" t="s">
        <v>1396</v>
      </c>
      <c r="AT51" s="1654" t="s">
        <v>699</v>
      </c>
      <c r="AU51" s="1654" t="s">
        <v>10046</v>
      </c>
      <c r="AV51" s="1450" t="str">
        <f t="shared" si="1"/>
        <v>3:47</v>
      </c>
      <c r="AW51" s="1679" t="s">
        <v>10047</v>
      </c>
    </row>
    <row r="52" ht="15.75" customHeight="1">
      <c r="A52" s="1530" t="s">
        <v>10048</v>
      </c>
      <c r="B52" s="1680" t="s">
        <v>8989</v>
      </c>
      <c r="C52" s="1532">
        <v>0.051180555555555556</v>
      </c>
      <c r="D52" s="980" t="s">
        <v>10049</v>
      </c>
      <c r="E52" s="1558" t="s">
        <v>10050</v>
      </c>
      <c r="F52" s="1558" t="s">
        <v>4150</v>
      </c>
      <c r="G52" s="1558" t="s">
        <v>10051</v>
      </c>
      <c r="H52" s="1558" t="s">
        <v>10052</v>
      </c>
      <c r="I52" s="1558" t="s">
        <v>161</v>
      </c>
      <c r="J52" s="1558" t="s">
        <v>885</v>
      </c>
      <c r="K52" s="1558" t="s">
        <v>7100</v>
      </c>
      <c r="L52" s="1558" t="s">
        <v>9210</v>
      </c>
      <c r="M52" s="1558" t="s">
        <v>5967</v>
      </c>
      <c r="N52" s="1558" t="s">
        <v>10053</v>
      </c>
      <c r="O52" s="1558" t="s">
        <v>10054</v>
      </c>
      <c r="P52" s="1558" t="s">
        <v>5606</v>
      </c>
      <c r="Q52" s="1558" t="s">
        <v>6814</v>
      </c>
      <c r="R52" s="1558" t="s">
        <v>10055</v>
      </c>
      <c r="S52" s="1558" t="s">
        <v>8886</v>
      </c>
      <c r="T52" s="1450" t="s">
        <v>4193</v>
      </c>
      <c r="U52" s="1450" t="s">
        <v>10056</v>
      </c>
      <c r="V52" s="1558" t="s">
        <v>1964</v>
      </c>
      <c r="W52" s="1558" t="s">
        <v>10057</v>
      </c>
      <c r="X52" s="1558" t="s">
        <v>10058</v>
      </c>
      <c r="Y52" s="1558" t="s">
        <v>9477</v>
      </c>
      <c r="Z52" s="1558" t="s">
        <v>10059</v>
      </c>
      <c r="AA52" s="1558" t="s">
        <v>10060</v>
      </c>
      <c r="AB52" s="1558" t="s">
        <v>10061</v>
      </c>
      <c r="AC52" s="1558" t="s">
        <v>847</v>
      </c>
      <c r="AD52" s="1558" t="s">
        <v>9968</v>
      </c>
      <c r="AE52" s="1558" t="s">
        <v>3214</v>
      </c>
      <c r="AF52" s="1450" t="s">
        <v>10062</v>
      </c>
      <c r="AG52" s="1558" t="s">
        <v>387</v>
      </c>
      <c r="AH52" s="1558" t="s">
        <v>10063</v>
      </c>
      <c r="AI52" s="1558" t="s">
        <v>10064</v>
      </c>
      <c r="AJ52" s="1558" t="s">
        <v>10065</v>
      </c>
      <c r="AK52" s="1558" t="s">
        <v>10066</v>
      </c>
      <c r="AL52" s="1558" t="s">
        <v>4877</v>
      </c>
      <c r="AM52" s="1558" t="s">
        <v>6918</v>
      </c>
      <c r="AN52" s="1558" t="s">
        <v>9669</v>
      </c>
      <c r="AO52" s="1567" t="str">
        <f>HYPERLINK("https://clips.twitch.tv/AltruisticEmpathicManateeDoritosChip","1:20.90")</f>
        <v>1:20.90</v>
      </c>
      <c r="AP52" s="1558" t="s">
        <v>10067</v>
      </c>
      <c r="AQ52" s="1558" t="s">
        <v>10068</v>
      </c>
      <c r="AR52" s="1558" t="s">
        <v>10069</v>
      </c>
      <c r="AS52" s="1558" t="s">
        <v>9097</v>
      </c>
      <c r="AT52" s="1558" t="s">
        <v>10070</v>
      </c>
      <c r="AU52" s="1558" t="s">
        <v>10071</v>
      </c>
      <c r="AV52" s="1450" t="str">
        <f t="shared" si="1"/>
        <v>2:40</v>
      </c>
      <c r="AW52" s="1621" t="s">
        <v>10072</v>
      </c>
    </row>
    <row r="53" ht="15.75" customHeight="1">
      <c r="A53" s="1589" t="s">
        <v>3746</v>
      </c>
      <c r="B53" s="1672" t="s">
        <v>8989</v>
      </c>
      <c r="C53" s="1681">
        <v>0.05123738425925926</v>
      </c>
      <c r="D53" s="1612" t="s">
        <v>10073</v>
      </c>
      <c r="E53" s="1612" t="s">
        <v>3906</v>
      </c>
      <c r="F53" s="1612" t="s">
        <v>10074</v>
      </c>
      <c r="G53" s="1612" t="s">
        <v>9495</v>
      </c>
      <c r="H53" s="840" t="s">
        <v>10075</v>
      </c>
      <c r="I53" s="840" t="s">
        <v>2556</v>
      </c>
      <c r="J53" s="1596" t="s">
        <v>9706</v>
      </c>
      <c r="K53" s="1596" t="s">
        <v>6833</v>
      </c>
      <c r="L53" s="1596" t="s">
        <v>10076</v>
      </c>
      <c r="M53" s="1596" t="s">
        <v>5557</v>
      </c>
      <c r="N53" s="1682" t="s">
        <v>1158</v>
      </c>
      <c r="O53" s="1596" t="s">
        <v>3456</v>
      </c>
      <c r="P53" s="1596" t="s">
        <v>9143</v>
      </c>
      <c r="Q53" s="1599" t="s">
        <v>10077</v>
      </c>
      <c r="R53" s="1599" t="s">
        <v>9664</v>
      </c>
      <c r="S53" s="1599" t="s">
        <v>10078</v>
      </c>
      <c r="T53" s="1599" t="s">
        <v>10079</v>
      </c>
      <c r="U53" s="1599" t="s">
        <v>10080</v>
      </c>
      <c r="V53" s="1599" t="s">
        <v>4220</v>
      </c>
      <c r="W53" s="1614" t="s">
        <v>10081</v>
      </c>
      <c r="X53" s="1614" t="s">
        <v>10082</v>
      </c>
      <c r="Y53" s="1614" t="s">
        <v>10083</v>
      </c>
      <c r="Z53" s="1614" t="s">
        <v>1350</v>
      </c>
      <c r="AA53" s="1614" t="s">
        <v>9417</v>
      </c>
      <c r="AB53" s="1614" t="s">
        <v>9808</v>
      </c>
      <c r="AC53" s="1614" t="s">
        <v>482</v>
      </c>
      <c r="AD53" s="1612" t="s">
        <v>10084</v>
      </c>
      <c r="AE53" s="1612" t="s">
        <v>5468</v>
      </c>
      <c r="AF53" s="1615" t="s">
        <v>10085</v>
      </c>
      <c r="AG53" s="1615" t="s">
        <v>10086</v>
      </c>
      <c r="AH53" s="1615" t="s">
        <v>10087</v>
      </c>
      <c r="AI53" s="1615" t="s">
        <v>312</v>
      </c>
      <c r="AJ53" s="1615" t="s">
        <v>10088</v>
      </c>
      <c r="AK53" s="1585" t="s">
        <v>9569</v>
      </c>
      <c r="AL53" s="1615" t="s">
        <v>9357</v>
      </c>
      <c r="AM53" s="1617" t="s">
        <v>10089</v>
      </c>
      <c r="AN53" s="1617" t="s">
        <v>570</v>
      </c>
      <c r="AO53" s="1617" t="s">
        <v>10090</v>
      </c>
      <c r="AP53" s="1617" t="s">
        <v>10091</v>
      </c>
      <c r="AQ53" s="980" t="s">
        <v>10092</v>
      </c>
      <c r="AR53" s="1683" t="s">
        <v>10093</v>
      </c>
      <c r="AS53" s="1617" t="s">
        <v>10094</v>
      </c>
      <c r="AT53" s="1596" t="s">
        <v>10095</v>
      </c>
      <c r="AU53" s="1579" t="s">
        <v>10096</v>
      </c>
      <c r="AV53" s="1450" t="str">
        <f t="shared" si="1"/>
        <v>4:25</v>
      </c>
      <c r="AW53" s="1580" t="s">
        <v>10097</v>
      </c>
    </row>
    <row r="54" ht="15.75" customHeight="1">
      <c r="A54" s="1589" t="s">
        <v>1722</v>
      </c>
      <c r="B54" s="1684" t="s">
        <v>9044</v>
      </c>
      <c r="C54" s="1665">
        <v>0.051319444444444445</v>
      </c>
      <c r="D54" s="980" t="s">
        <v>10098</v>
      </c>
      <c r="E54" s="1450" t="s">
        <v>10099</v>
      </c>
      <c r="F54" s="1450" t="s">
        <v>10100</v>
      </c>
      <c r="G54" s="1450" t="s">
        <v>10101</v>
      </c>
      <c r="H54" s="1450" t="s">
        <v>5073</v>
      </c>
      <c r="I54" s="1450" t="s">
        <v>6610</v>
      </c>
      <c r="J54" s="1450" t="s">
        <v>10102</v>
      </c>
      <c r="K54" s="1450" t="s">
        <v>9163</v>
      </c>
      <c r="L54" s="1450" t="s">
        <v>3896</v>
      </c>
      <c r="M54" s="1450" t="s">
        <v>9852</v>
      </c>
      <c r="N54" s="1450" t="s">
        <v>9648</v>
      </c>
      <c r="O54" s="1450" t="s">
        <v>10103</v>
      </c>
      <c r="P54" s="1685" t="s">
        <v>9053</v>
      </c>
      <c r="Q54" s="1450" t="s">
        <v>10104</v>
      </c>
      <c r="R54" s="1450" t="s">
        <v>5956</v>
      </c>
      <c r="S54" s="1450" t="s">
        <v>1156</v>
      </c>
      <c r="T54" s="1450" t="s">
        <v>10105</v>
      </c>
      <c r="U54" s="1450" t="s">
        <v>1002</v>
      </c>
      <c r="V54" s="1450" t="s">
        <v>451</v>
      </c>
      <c r="W54" s="1450" t="s">
        <v>10106</v>
      </c>
      <c r="X54" s="1450" t="s">
        <v>309</v>
      </c>
      <c r="Y54" s="1450" t="s">
        <v>10107</v>
      </c>
      <c r="Z54" s="1450" t="s">
        <v>6923</v>
      </c>
      <c r="AA54" s="1450" t="s">
        <v>9882</v>
      </c>
      <c r="AB54" s="1450" t="s">
        <v>4508</v>
      </c>
      <c r="AC54" s="1450" t="s">
        <v>6145</v>
      </c>
      <c r="AD54" s="1450" t="s">
        <v>10108</v>
      </c>
      <c r="AE54" s="1685" t="s">
        <v>5575</v>
      </c>
      <c r="AF54" s="1685" t="s">
        <v>2804</v>
      </c>
      <c r="AG54" s="1450" t="s">
        <v>4591</v>
      </c>
      <c r="AH54" s="1450" t="s">
        <v>10109</v>
      </c>
      <c r="AI54" s="1450" t="s">
        <v>10110</v>
      </c>
      <c r="AJ54" s="1450" t="s">
        <v>10111</v>
      </c>
      <c r="AK54" s="1450" t="s">
        <v>6097</v>
      </c>
      <c r="AL54" s="1450" t="s">
        <v>6327</v>
      </c>
      <c r="AM54" s="1685" t="s">
        <v>9067</v>
      </c>
      <c r="AN54" s="1558" t="s">
        <v>2474</v>
      </c>
      <c r="AO54" s="1450" t="s">
        <v>4952</v>
      </c>
      <c r="AP54" s="1450" t="s">
        <v>10112</v>
      </c>
      <c r="AQ54" s="1450" t="s">
        <v>10113</v>
      </c>
      <c r="AR54" s="1450" t="s">
        <v>8097</v>
      </c>
      <c r="AS54" s="1450" t="s">
        <v>4437</v>
      </c>
      <c r="AT54" s="1450" t="s">
        <v>10114</v>
      </c>
      <c r="AU54" s="1450" t="s">
        <v>10115</v>
      </c>
      <c r="AV54" s="1450" t="str">
        <f t="shared" si="1"/>
        <v>3:15</v>
      </c>
      <c r="AW54" s="1621" t="s">
        <v>10116</v>
      </c>
    </row>
    <row r="55">
      <c r="A55" s="1589" t="s">
        <v>1946</v>
      </c>
      <c r="B55" s="1577" t="s">
        <v>8989</v>
      </c>
      <c r="C55" s="1532">
        <v>0.05133101851851852</v>
      </c>
      <c r="D55" s="1671" t="s">
        <v>10117</v>
      </c>
      <c r="E55" s="1612" t="s">
        <v>10118</v>
      </c>
      <c r="F55" s="1612" t="s">
        <v>10119</v>
      </c>
      <c r="G55" s="1612" t="s">
        <v>10120</v>
      </c>
      <c r="H55" s="840" t="s">
        <v>10121</v>
      </c>
      <c r="I55" s="840" t="s">
        <v>3113</v>
      </c>
      <c r="J55" s="1596" t="s">
        <v>1866</v>
      </c>
      <c r="K55" s="1596" t="s">
        <v>10122</v>
      </c>
      <c r="L55" s="1596" t="s">
        <v>4181</v>
      </c>
      <c r="M55" s="1596" t="s">
        <v>10123</v>
      </c>
      <c r="N55" s="1596" t="s">
        <v>9253</v>
      </c>
      <c r="O55" s="1596" t="s">
        <v>10124</v>
      </c>
      <c r="P55" s="1596" t="s">
        <v>9207</v>
      </c>
      <c r="Q55" s="1599" t="s">
        <v>10125</v>
      </c>
      <c r="R55" s="1599" t="s">
        <v>9896</v>
      </c>
      <c r="S55" s="1599" t="s">
        <v>7453</v>
      </c>
      <c r="T55" s="1599" t="s">
        <v>9901</v>
      </c>
      <c r="U55" s="1599" t="s">
        <v>10126</v>
      </c>
      <c r="V55" s="1599" t="s">
        <v>9683</v>
      </c>
      <c r="W55" s="1614" t="s">
        <v>10127</v>
      </c>
      <c r="X55" s="1614" t="s">
        <v>10128</v>
      </c>
      <c r="Y55" s="1614" t="s">
        <v>5513</v>
      </c>
      <c r="Z55" s="1614" t="s">
        <v>1500</v>
      </c>
      <c r="AA55" s="1614" t="s">
        <v>10129</v>
      </c>
      <c r="AB55" s="1614" t="s">
        <v>6393</v>
      </c>
      <c r="AC55" s="1614" t="s">
        <v>263</v>
      </c>
      <c r="AD55" s="1612" t="s">
        <v>9484</v>
      </c>
      <c r="AE55" s="1612" t="s">
        <v>5513</v>
      </c>
      <c r="AF55" s="1615" t="s">
        <v>10130</v>
      </c>
      <c r="AG55" s="1615" t="s">
        <v>5888</v>
      </c>
      <c r="AH55" s="1615" t="s">
        <v>4063</v>
      </c>
      <c r="AI55" s="1615" t="s">
        <v>10131</v>
      </c>
      <c r="AJ55" s="1615" t="s">
        <v>10132</v>
      </c>
      <c r="AK55" s="1615" t="s">
        <v>10058</v>
      </c>
      <c r="AL55" s="1615" t="s">
        <v>3231</v>
      </c>
      <c r="AM55" s="1617" t="s">
        <v>9509</v>
      </c>
      <c r="AN55" s="1617" t="s">
        <v>4071</v>
      </c>
      <c r="AO55" s="1617" t="s">
        <v>10133</v>
      </c>
      <c r="AP55" s="1617" t="s">
        <v>10134</v>
      </c>
      <c r="AQ55" s="1617" t="s">
        <v>9721</v>
      </c>
      <c r="AR55" s="1617" t="s">
        <v>10135</v>
      </c>
      <c r="AS55" s="1617" t="s">
        <v>8997</v>
      </c>
      <c r="AT55" s="1596" t="s">
        <v>10136</v>
      </c>
      <c r="AU55" s="1579" t="s">
        <v>10137</v>
      </c>
      <c r="AV55" s="1450" t="str">
        <f t="shared" si="1"/>
        <v>1:34</v>
      </c>
      <c r="AW55" s="1641"/>
    </row>
    <row r="56">
      <c r="A56" s="1589" t="s">
        <v>2992</v>
      </c>
      <c r="B56" s="1577" t="s">
        <v>8989</v>
      </c>
      <c r="C56" s="1532">
        <v>0.05134259259259259</v>
      </c>
      <c r="D56" s="1612" t="s">
        <v>10138</v>
      </c>
      <c r="E56" s="1612" t="s">
        <v>6607</v>
      </c>
      <c r="F56" s="1612" t="s">
        <v>10139</v>
      </c>
      <c r="G56" s="1612" t="s">
        <v>10140</v>
      </c>
      <c r="H56" s="1612" t="s">
        <v>10141</v>
      </c>
      <c r="I56" s="1612" t="s">
        <v>1290</v>
      </c>
      <c r="J56" s="1596" t="s">
        <v>5028</v>
      </c>
      <c r="K56" s="1596" t="s">
        <v>6809</v>
      </c>
      <c r="L56" s="1596" t="s">
        <v>4887</v>
      </c>
      <c r="M56" s="1596" t="s">
        <v>3640</v>
      </c>
      <c r="N56" s="1596" t="s">
        <v>2075</v>
      </c>
      <c r="O56" s="1596" t="s">
        <v>10142</v>
      </c>
      <c r="P56" s="1596" t="s">
        <v>4548</v>
      </c>
      <c r="Q56" s="1599" t="s">
        <v>10143</v>
      </c>
      <c r="R56" s="1599" t="s">
        <v>2597</v>
      </c>
      <c r="S56" s="1599" t="s">
        <v>10144</v>
      </c>
      <c r="T56" s="1599" t="s">
        <v>10145</v>
      </c>
      <c r="U56" s="1599" t="s">
        <v>9990</v>
      </c>
      <c r="V56" s="1599" t="s">
        <v>10146</v>
      </c>
      <c r="W56" s="1614" t="s">
        <v>10147</v>
      </c>
      <c r="X56" s="1614" t="s">
        <v>9064</v>
      </c>
      <c r="Y56" s="1614" t="s">
        <v>9732</v>
      </c>
      <c r="Z56" s="1614" t="s">
        <v>3037</v>
      </c>
      <c r="AA56" s="1558" t="s">
        <v>591</v>
      </c>
      <c r="AB56" s="1614" t="s">
        <v>9323</v>
      </c>
      <c r="AC56" s="1614" t="s">
        <v>9609</v>
      </c>
      <c r="AD56" s="1612" t="s">
        <v>10148</v>
      </c>
      <c r="AE56" s="1612" t="s">
        <v>10149</v>
      </c>
      <c r="AF56" s="1615" t="s">
        <v>10150</v>
      </c>
      <c r="AG56" s="1615" t="s">
        <v>10151</v>
      </c>
      <c r="AH56" s="1615" t="s">
        <v>1971</v>
      </c>
      <c r="AI56" s="1615" t="s">
        <v>419</v>
      </c>
      <c r="AJ56" s="1615" t="s">
        <v>10152</v>
      </c>
      <c r="AK56" s="1615" t="s">
        <v>10153</v>
      </c>
      <c r="AL56" s="1615" t="s">
        <v>5746</v>
      </c>
      <c r="AM56" s="1617" t="s">
        <v>10154</v>
      </c>
      <c r="AN56" s="1617" t="s">
        <v>6568</v>
      </c>
      <c r="AO56" s="1617" t="s">
        <v>10155</v>
      </c>
      <c r="AP56" s="1617" t="s">
        <v>10156</v>
      </c>
      <c r="AQ56" s="1617" t="s">
        <v>9721</v>
      </c>
      <c r="AR56" s="1617" t="s">
        <v>9359</v>
      </c>
      <c r="AS56" s="1617" t="s">
        <v>1970</v>
      </c>
      <c r="AT56" s="1596" t="s">
        <v>10157</v>
      </c>
      <c r="AU56" s="1579" t="s">
        <v>10024</v>
      </c>
      <c r="AV56" s="1450" t="str">
        <f t="shared" si="1"/>
        <v>2:56</v>
      </c>
      <c r="AW56" s="1580" t="s">
        <v>10158</v>
      </c>
    </row>
    <row r="57" ht="15.75" customHeight="1">
      <c r="A57" s="1555" t="s">
        <v>1413</v>
      </c>
      <c r="B57" s="1684" t="s">
        <v>9044</v>
      </c>
      <c r="C57" s="1665">
        <v>0.05134259259259259</v>
      </c>
      <c r="D57" s="980" t="s">
        <v>10159</v>
      </c>
      <c r="E57" s="1642" t="s">
        <v>6022</v>
      </c>
      <c r="F57" s="1642" t="s">
        <v>10139</v>
      </c>
      <c r="G57" s="1642" t="s">
        <v>10160</v>
      </c>
      <c r="H57" s="905" t="s">
        <v>10161</v>
      </c>
      <c r="I57" s="1686" t="s">
        <v>350</v>
      </c>
      <c r="J57" s="1643" t="s">
        <v>10162</v>
      </c>
      <c r="K57" s="1643" t="s">
        <v>4042</v>
      </c>
      <c r="L57" s="1687" t="s">
        <v>3806</v>
      </c>
      <c r="M57" s="1643" t="s">
        <v>5704</v>
      </c>
      <c r="N57" s="1643" t="s">
        <v>7362</v>
      </c>
      <c r="O57" s="1687" t="s">
        <v>9052</v>
      </c>
      <c r="P57" s="1643" t="s">
        <v>388</v>
      </c>
      <c r="Q57" s="1644" t="s">
        <v>10163</v>
      </c>
      <c r="R57" s="1644" t="s">
        <v>1623</v>
      </c>
      <c r="S57" s="1644" t="s">
        <v>10164</v>
      </c>
      <c r="T57" s="1688" t="s">
        <v>9056</v>
      </c>
      <c r="U57" s="1644" t="s">
        <v>10165</v>
      </c>
      <c r="V57" s="1644" t="s">
        <v>4065</v>
      </c>
      <c r="W57" s="1689" t="s">
        <v>9058</v>
      </c>
      <c r="X57" s="1645" t="s">
        <v>4364</v>
      </c>
      <c r="Y57" s="1645" t="s">
        <v>6610</v>
      </c>
      <c r="Z57" s="1645" t="s">
        <v>7200</v>
      </c>
      <c r="AA57" s="1645" t="s">
        <v>9569</v>
      </c>
      <c r="AB57" s="1689" t="s">
        <v>9062</v>
      </c>
      <c r="AC57" s="1645" t="s">
        <v>7517</v>
      </c>
      <c r="AD57" s="1617" t="s">
        <v>10166</v>
      </c>
      <c r="AE57" s="1642" t="s">
        <v>10167</v>
      </c>
      <c r="AF57" s="1646" t="s">
        <v>10168</v>
      </c>
      <c r="AG57" s="1646" t="s">
        <v>10169</v>
      </c>
      <c r="AH57" s="1646" t="s">
        <v>10170</v>
      </c>
      <c r="AI57" s="1646" t="s">
        <v>10171</v>
      </c>
      <c r="AJ57" s="1646" t="s">
        <v>10172</v>
      </c>
      <c r="AK57" s="1690" t="s">
        <v>884</v>
      </c>
      <c r="AL57" s="1646" t="s">
        <v>1563</v>
      </c>
      <c r="AM57" s="1616" t="s">
        <v>10017</v>
      </c>
      <c r="AN57" s="1617" t="s">
        <v>4681</v>
      </c>
      <c r="AO57" s="1616" t="s">
        <v>10173</v>
      </c>
      <c r="AP57" s="1616" t="s">
        <v>10174</v>
      </c>
      <c r="AQ57" s="1616" t="s">
        <v>10175</v>
      </c>
      <c r="AR57" s="1616" t="s">
        <v>10176</v>
      </c>
      <c r="AS57" s="1616" t="s">
        <v>4620</v>
      </c>
      <c r="AT57" s="1643" t="s">
        <v>10177</v>
      </c>
      <c r="AU57" s="1640" t="s">
        <v>10178</v>
      </c>
      <c r="AV57" s="1450" t="str">
        <f t="shared" si="1"/>
        <v>1:58</v>
      </c>
      <c r="AW57" s="1641"/>
    </row>
    <row r="58" ht="15.75" customHeight="1">
      <c r="A58" s="1530" t="s">
        <v>3378</v>
      </c>
      <c r="B58" s="1531" t="s">
        <v>8989</v>
      </c>
      <c r="C58" s="1665">
        <v>0.05134259259259259</v>
      </c>
      <c r="D58" s="980" t="s">
        <v>10179</v>
      </c>
      <c r="E58" s="1450" t="s">
        <v>10180</v>
      </c>
      <c r="F58" s="1450" t="s">
        <v>10181</v>
      </c>
      <c r="G58" s="1450" t="s">
        <v>7231</v>
      </c>
      <c r="H58" s="1450" t="s">
        <v>9242</v>
      </c>
      <c r="I58" s="1450" t="s">
        <v>6330</v>
      </c>
      <c r="J58" s="1450" t="s">
        <v>10182</v>
      </c>
      <c r="K58" s="1450" t="s">
        <v>3970</v>
      </c>
      <c r="L58" s="1450" t="s">
        <v>10183</v>
      </c>
      <c r="M58" s="1450" t="s">
        <v>10184</v>
      </c>
      <c r="N58" s="1450" t="s">
        <v>2925</v>
      </c>
      <c r="O58" s="1450" t="s">
        <v>10185</v>
      </c>
      <c r="P58" s="1450" t="s">
        <v>1080</v>
      </c>
      <c r="Q58" s="1450" t="s">
        <v>2465</v>
      </c>
      <c r="R58" s="1450" t="s">
        <v>9896</v>
      </c>
      <c r="S58" s="1450" t="s">
        <v>9766</v>
      </c>
      <c r="T58" s="1450" t="s">
        <v>10186</v>
      </c>
      <c r="U58" s="1450" t="s">
        <v>10187</v>
      </c>
      <c r="V58" s="1450" t="s">
        <v>9508</v>
      </c>
      <c r="W58" s="1450" t="s">
        <v>10188</v>
      </c>
      <c r="X58" s="1450" t="s">
        <v>10189</v>
      </c>
      <c r="Y58" s="1450" t="s">
        <v>388</v>
      </c>
      <c r="Z58" s="1450" t="s">
        <v>7161</v>
      </c>
      <c r="AA58" s="1450" t="s">
        <v>9716</v>
      </c>
      <c r="AB58" s="1450" t="s">
        <v>9126</v>
      </c>
      <c r="AC58" s="1450" t="s">
        <v>847</v>
      </c>
      <c r="AD58" s="1450" t="s">
        <v>10190</v>
      </c>
      <c r="AE58" s="1450" t="s">
        <v>388</v>
      </c>
      <c r="AF58" s="1450" t="s">
        <v>10191</v>
      </c>
      <c r="AG58" s="1450" t="s">
        <v>10192</v>
      </c>
      <c r="AH58" s="1450" t="s">
        <v>5211</v>
      </c>
      <c r="AI58" s="1450" t="s">
        <v>10193</v>
      </c>
      <c r="AJ58" s="1450" t="s">
        <v>10132</v>
      </c>
      <c r="AK58" s="1450" t="s">
        <v>6890</v>
      </c>
      <c r="AL58" s="1450" t="s">
        <v>3315</v>
      </c>
      <c r="AM58" s="1450" t="s">
        <v>4146</v>
      </c>
      <c r="AN58" s="1450" t="s">
        <v>5802</v>
      </c>
      <c r="AO58" s="1450" t="s">
        <v>6525</v>
      </c>
      <c r="AP58" s="1450" t="s">
        <v>10194</v>
      </c>
      <c r="AQ58" s="1450" t="s">
        <v>10195</v>
      </c>
      <c r="AR58" s="1450" t="s">
        <v>10196</v>
      </c>
      <c r="AS58" s="1616" t="s">
        <v>4425</v>
      </c>
      <c r="AT58" s="1450" t="s">
        <v>10197</v>
      </c>
      <c r="AU58" s="1450" t="s">
        <v>9443</v>
      </c>
      <c r="AV58" s="1450" t="str">
        <f t="shared" si="1"/>
        <v>2:27</v>
      </c>
      <c r="AW58" s="1621"/>
    </row>
    <row r="59" ht="15.75" customHeight="1">
      <c r="A59" s="1589" t="s">
        <v>1345</v>
      </c>
      <c r="B59" s="1587" t="s">
        <v>9044</v>
      </c>
      <c r="C59" s="1532">
        <v>0.05140046296296296</v>
      </c>
      <c r="D59" s="1558" t="s">
        <v>10198</v>
      </c>
      <c r="E59" s="1558" t="s">
        <v>1746</v>
      </c>
      <c r="F59" s="1558" t="s">
        <v>10199</v>
      </c>
      <c r="G59" s="1675" t="s">
        <v>9048</v>
      </c>
      <c r="H59" s="980" t="s">
        <v>10200</v>
      </c>
      <c r="I59" s="1558" t="s">
        <v>1669</v>
      </c>
      <c r="J59" s="1675" t="s">
        <v>9050</v>
      </c>
      <c r="K59" s="1558" t="s">
        <v>7123</v>
      </c>
      <c r="L59" s="1558" t="s">
        <v>10201</v>
      </c>
      <c r="M59" s="1675" t="s">
        <v>9051</v>
      </c>
      <c r="N59" s="1558" t="s">
        <v>10202</v>
      </c>
      <c r="O59" s="1558" t="s">
        <v>10203</v>
      </c>
      <c r="P59" s="1558" t="s">
        <v>1042</v>
      </c>
      <c r="Q59" s="1558" t="s">
        <v>9987</v>
      </c>
      <c r="R59" s="1558" t="s">
        <v>10204</v>
      </c>
      <c r="S59" s="1558" t="s">
        <v>9038</v>
      </c>
      <c r="T59" s="1558" t="s">
        <v>10205</v>
      </c>
      <c r="U59" s="1558" t="s">
        <v>9911</v>
      </c>
      <c r="V59" s="1558" t="s">
        <v>5979</v>
      </c>
      <c r="W59" s="1558" t="s">
        <v>10206</v>
      </c>
      <c r="X59" s="1558" t="s">
        <v>628</v>
      </c>
      <c r="Y59" s="1558" t="s">
        <v>10207</v>
      </c>
      <c r="Z59" s="1558" t="s">
        <v>10208</v>
      </c>
      <c r="AA59" s="1691" t="s">
        <v>9061</v>
      </c>
      <c r="AB59" s="1558" t="s">
        <v>6070</v>
      </c>
      <c r="AC59" s="1558" t="s">
        <v>10209</v>
      </c>
      <c r="AD59" s="1558" t="s">
        <v>9426</v>
      </c>
      <c r="AE59" s="1558" t="s">
        <v>2603</v>
      </c>
      <c r="AF59" s="1558" t="s">
        <v>10210</v>
      </c>
      <c r="AG59" s="1675" t="s">
        <v>4604</v>
      </c>
      <c r="AH59" s="1675" t="s">
        <v>5268</v>
      </c>
      <c r="AI59" s="1558" t="s">
        <v>10211</v>
      </c>
      <c r="AJ59" s="1558" t="s">
        <v>10212</v>
      </c>
      <c r="AK59" s="1558" t="s">
        <v>7179</v>
      </c>
      <c r="AL59" s="1558" t="s">
        <v>3895</v>
      </c>
      <c r="AM59" s="1558" t="s">
        <v>10213</v>
      </c>
      <c r="AN59" s="1558" t="s">
        <v>3817</v>
      </c>
      <c r="AO59" s="1675" t="s">
        <v>9069</v>
      </c>
      <c r="AP59" s="1692" t="s">
        <v>9070</v>
      </c>
      <c r="AQ59" s="1558" t="s">
        <v>3242</v>
      </c>
      <c r="AR59" s="1558" t="s">
        <v>1619</v>
      </c>
      <c r="AS59" s="1558" t="s">
        <v>4709</v>
      </c>
      <c r="AT59" s="1558" t="s">
        <v>10214</v>
      </c>
      <c r="AU59" s="1558" t="s">
        <v>9443</v>
      </c>
      <c r="AV59" s="1450" t="str">
        <f t="shared" si="1"/>
        <v>2:22</v>
      </c>
      <c r="AW59" s="1588" t="s">
        <v>10215</v>
      </c>
    </row>
    <row r="60" ht="15.75" customHeight="1">
      <c r="A60" s="1589" t="s">
        <v>4048</v>
      </c>
      <c r="B60" s="1577" t="s">
        <v>8989</v>
      </c>
      <c r="C60" s="1532">
        <v>0.05153935185185185</v>
      </c>
      <c r="D60" s="1654" t="s">
        <v>10216</v>
      </c>
      <c r="E60" s="1654" t="s">
        <v>7727</v>
      </c>
      <c r="F60" s="1654" t="s">
        <v>10217</v>
      </c>
      <c r="G60" s="1654" t="s">
        <v>4960</v>
      </c>
      <c r="H60" s="980" t="s">
        <v>10218</v>
      </c>
      <c r="I60" s="1654" t="s">
        <v>1290</v>
      </c>
      <c r="J60" s="1654" t="s">
        <v>10219</v>
      </c>
      <c r="K60" s="1654" t="s">
        <v>3675</v>
      </c>
      <c r="L60" s="1654" t="s">
        <v>4220</v>
      </c>
      <c r="M60" s="1654" t="s">
        <v>6720</v>
      </c>
      <c r="N60" s="1654" t="s">
        <v>10220</v>
      </c>
      <c r="O60" s="1654" t="s">
        <v>3799</v>
      </c>
      <c r="P60" s="1654" t="s">
        <v>8066</v>
      </c>
      <c r="Q60" s="1654" t="s">
        <v>10221</v>
      </c>
      <c r="R60" s="1654" t="s">
        <v>3438</v>
      </c>
      <c r="S60" s="1693" t="s">
        <v>9850</v>
      </c>
      <c r="T60" s="1654" t="s">
        <v>9668</v>
      </c>
      <c r="U60" s="1654" t="s">
        <v>10222</v>
      </c>
      <c r="V60" s="1654" t="s">
        <v>1703</v>
      </c>
      <c r="W60" s="1654" t="s">
        <v>10223</v>
      </c>
      <c r="X60" s="1654" t="s">
        <v>1762</v>
      </c>
      <c r="Y60" s="1654" t="s">
        <v>3689</v>
      </c>
      <c r="Z60" s="1654" t="s">
        <v>6914</v>
      </c>
      <c r="AA60" s="1654" t="s">
        <v>962</v>
      </c>
      <c r="AB60" s="1654" t="s">
        <v>10224</v>
      </c>
      <c r="AC60" s="1654" t="s">
        <v>10209</v>
      </c>
      <c r="AD60" s="1654" t="s">
        <v>10225</v>
      </c>
      <c r="AE60" s="1654" t="s">
        <v>4967</v>
      </c>
      <c r="AF60" s="1538" t="s">
        <v>10226</v>
      </c>
      <c r="AG60" s="1654" t="s">
        <v>10227</v>
      </c>
      <c r="AH60" s="1654" t="s">
        <v>10228</v>
      </c>
      <c r="AI60" s="1654" t="s">
        <v>10229</v>
      </c>
      <c r="AJ60" s="1654" t="s">
        <v>10230</v>
      </c>
      <c r="AK60" s="1654" t="s">
        <v>5131</v>
      </c>
      <c r="AL60" s="1654" t="s">
        <v>10019</v>
      </c>
      <c r="AM60" s="1654" t="s">
        <v>10211</v>
      </c>
      <c r="AN60" s="1654" t="s">
        <v>2592</v>
      </c>
      <c r="AO60" s="1654" t="s">
        <v>5770</v>
      </c>
      <c r="AP60" s="1693" t="s">
        <v>9954</v>
      </c>
      <c r="AQ60" s="1654" t="s">
        <v>10231</v>
      </c>
      <c r="AR60" s="1654" t="s">
        <v>5028</v>
      </c>
      <c r="AS60" s="1654" t="s">
        <v>9097</v>
      </c>
      <c r="AT60" s="1654" t="s">
        <v>10232</v>
      </c>
      <c r="AU60" s="1654" t="s">
        <v>10233</v>
      </c>
      <c r="AV60" s="1450" t="str">
        <f t="shared" si="1"/>
        <v>2:41</v>
      </c>
      <c r="AW60" s="1694" t="s">
        <v>10234</v>
      </c>
    </row>
    <row r="61" ht="15.75" customHeight="1">
      <c r="A61" s="1530" t="s">
        <v>2026</v>
      </c>
      <c r="B61" s="1531" t="s">
        <v>8989</v>
      </c>
      <c r="C61" s="1532">
        <v>0.05157407407407407</v>
      </c>
      <c r="D61" s="980" t="s">
        <v>10235</v>
      </c>
      <c r="E61" s="1612" t="s">
        <v>10236</v>
      </c>
      <c r="F61" s="1612" t="s">
        <v>10237</v>
      </c>
      <c r="G61" s="1642" t="s">
        <v>9727</v>
      </c>
      <c r="H61" s="905" t="s">
        <v>10238</v>
      </c>
      <c r="I61" s="905" t="s">
        <v>2099</v>
      </c>
      <c r="J61" s="1643" t="s">
        <v>5483</v>
      </c>
      <c r="K61" s="1643" t="s">
        <v>3549</v>
      </c>
      <c r="L61" s="1643" t="s">
        <v>10239</v>
      </c>
      <c r="M61" s="1643" t="s">
        <v>9893</v>
      </c>
      <c r="N61" s="1643" t="s">
        <v>1228</v>
      </c>
      <c r="O61" s="1643" t="s">
        <v>10206</v>
      </c>
      <c r="P61" s="1643" t="s">
        <v>10240</v>
      </c>
      <c r="Q61" s="1644" t="s">
        <v>10241</v>
      </c>
      <c r="R61" s="1644" t="s">
        <v>10242</v>
      </c>
      <c r="S61" s="1644" t="s">
        <v>10243</v>
      </c>
      <c r="T61" s="1644" t="s">
        <v>6918</v>
      </c>
      <c r="U61" s="1644" t="s">
        <v>2749</v>
      </c>
      <c r="V61" s="1644" t="s">
        <v>5100</v>
      </c>
      <c r="W61" s="1645" t="s">
        <v>10244</v>
      </c>
      <c r="X61" s="1645" t="s">
        <v>10245</v>
      </c>
      <c r="Y61" s="1645" t="s">
        <v>10107</v>
      </c>
      <c r="Z61" s="1645" t="s">
        <v>9062</v>
      </c>
      <c r="AA61" s="1645" t="s">
        <v>6189</v>
      </c>
      <c r="AB61" s="1645" t="s">
        <v>5919</v>
      </c>
      <c r="AC61" s="1645" t="s">
        <v>6475</v>
      </c>
      <c r="AD61" s="1612" t="s">
        <v>10246</v>
      </c>
      <c r="AE61" s="1642" t="s">
        <v>5595</v>
      </c>
      <c r="AF61" s="1646" t="s">
        <v>10247</v>
      </c>
      <c r="AG61" s="1646" t="s">
        <v>10248</v>
      </c>
      <c r="AH61" s="1646" t="s">
        <v>10249</v>
      </c>
      <c r="AI61" s="1646" t="s">
        <v>1033</v>
      </c>
      <c r="AJ61" s="1646" t="s">
        <v>10250</v>
      </c>
      <c r="AK61" s="1615" t="s">
        <v>628</v>
      </c>
      <c r="AL61" s="1615" t="s">
        <v>10251</v>
      </c>
      <c r="AM61" s="1616" t="s">
        <v>3729</v>
      </c>
      <c r="AN61" s="1616" t="s">
        <v>10252</v>
      </c>
      <c r="AO61" s="1616" t="s">
        <v>10253</v>
      </c>
      <c r="AP61" s="1616" t="s">
        <v>10254</v>
      </c>
      <c r="AQ61" s="1616" t="s">
        <v>10255</v>
      </c>
      <c r="AR61" s="1617" t="s">
        <v>7445</v>
      </c>
      <c r="AS61" s="1616" t="s">
        <v>4425</v>
      </c>
      <c r="AT61" s="1643" t="s">
        <v>10256</v>
      </c>
      <c r="AU61" s="1640" t="s">
        <v>10257</v>
      </c>
      <c r="AV61" s="1450" t="str">
        <f t="shared" si="1"/>
        <v>4:40</v>
      </c>
      <c r="AW61" s="1641" t="s">
        <v>10258</v>
      </c>
    </row>
    <row r="62" ht="15.75" customHeight="1">
      <c r="A62" s="1589" t="s">
        <v>10259</v>
      </c>
      <c r="B62" s="1577" t="s">
        <v>8989</v>
      </c>
      <c r="C62" s="1532">
        <v>0.051631944444444446</v>
      </c>
      <c r="D62" s="1612" t="s">
        <v>10260</v>
      </c>
      <c r="E62" s="1612" t="s">
        <v>7571</v>
      </c>
      <c r="F62" s="1612" t="s">
        <v>9190</v>
      </c>
      <c r="G62" s="1612" t="s">
        <v>10261</v>
      </c>
      <c r="H62" s="840" t="s">
        <v>10262</v>
      </c>
      <c r="I62" s="840" t="s">
        <v>10263</v>
      </c>
      <c r="J62" s="1596" t="s">
        <v>10264</v>
      </c>
      <c r="K62" s="1596" t="s">
        <v>7179</v>
      </c>
      <c r="L62" s="1596" t="s">
        <v>4456</v>
      </c>
      <c r="M62" s="1596" t="s">
        <v>10265</v>
      </c>
      <c r="N62" s="1596" t="s">
        <v>9665</v>
      </c>
      <c r="O62" s="1596" t="s">
        <v>10266</v>
      </c>
      <c r="P62" s="1596" t="s">
        <v>2173</v>
      </c>
      <c r="Q62" s="1599" t="s">
        <v>10267</v>
      </c>
      <c r="R62" s="1599" t="s">
        <v>5956</v>
      </c>
      <c r="S62" s="1599" t="s">
        <v>5667</v>
      </c>
      <c r="T62" s="1599" t="s">
        <v>6312</v>
      </c>
      <c r="U62" s="1599" t="s">
        <v>10268</v>
      </c>
      <c r="V62" s="1599" t="s">
        <v>10269</v>
      </c>
      <c r="W62" s="1614" t="s">
        <v>10270</v>
      </c>
      <c r="X62" s="1614" t="s">
        <v>628</v>
      </c>
      <c r="Y62" s="1614" t="s">
        <v>5091</v>
      </c>
      <c r="Z62" s="1614" t="s">
        <v>10271</v>
      </c>
      <c r="AA62" s="1558" t="s">
        <v>10272</v>
      </c>
      <c r="AB62" s="1614" t="s">
        <v>9860</v>
      </c>
      <c r="AC62" s="1614" t="s">
        <v>4749</v>
      </c>
      <c r="AD62" s="1612" t="s">
        <v>10273</v>
      </c>
      <c r="AE62" s="1612" t="s">
        <v>9561</v>
      </c>
      <c r="AF62" s="1695" t="s">
        <v>10274</v>
      </c>
      <c r="AG62" s="1615" t="s">
        <v>7697</v>
      </c>
      <c r="AH62" s="1615" t="s">
        <v>10249</v>
      </c>
      <c r="AI62" s="1615" t="s">
        <v>4119</v>
      </c>
      <c r="AJ62" s="1615" t="s">
        <v>10275</v>
      </c>
      <c r="AK62" s="1615" t="s">
        <v>1521</v>
      </c>
      <c r="AL62" s="1615" t="s">
        <v>3484</v>
      </c>
      <c r="AM62" s="1617" t="s">
        <v>6189</v>
      </c>
      <c r="AN62" s="1617" t="s">
        <v>5746</v>
      </c>
      <c r="AO62" s="1617" t="s">
        <v>7503</v>
      </c>
      <c r="AP62" s="1617" t="s">
        <v>10276</v>
      </c>
      <c r="AQ62" s="1617" t="s">
        <v>3557</v>
      </c>
      <c r="AR62" s="1617" t="s">
        <v>9827</v>
      </c>
      <c r="AS62" s="1617" t="s">
        <v>4093</v>
      </c>
      <c r="AT62" s="1596" t="s">
        <v>10277</v>
      </c>
      <c r="AU62" s="1579" t="s">
        <v>10278</v>
      </c>
      <c r="AV62" s="1450" t="str">
        <f t="shared" si="1"/>
        <v>2:25</v>
      </c>
      <c r="AW62" s="1657" t="s">
        <v>10279</v>
      </c>
    </row>
    <row r="63" ht="15.75" customHeight="1">
      <c r="A63" s="1655" t="s">
        <v>10280</v>
      </c>
      <c r="B63" s="1531" t="s">
        <v>8989</v>
      </c>
      <c r="C63" s="1665">
        <v>0.051631944444444446</v>
      </c>
      <c r="D63" s="980" t="s">
        <v>10281</v>
      </c>
      <c r="E63" s="336" t="s">
        <v>8653</v>
      </c>
      <c r="F63" s="336" t="s">
        <v>9070</v>
      </c>
      <c r="G63" s="336" t="s">
        <v>10282</v>
      </c>
      <c r="H63" s="336" t="s">
        <v>10283</v>
      </c>
      <c r="I63" s="336" t="s">
        <v>10209</v>
      </c>
      <c r="J63" s="336" t="s">
        <v>3550</v>
      </c>
      <c r="K63" s="336" t="s">
        <v>10284</v>
      </c>
      <c r="L63" s="336" t="s">
        <v>5235</v>
      </c>
      <c r="M63" s="336" t="s">
        <v>712</v>
      </c>
      <c r="N63" s="336" t="s">
        <v>10285</v>
      </c>
      <c r="O63" s="336" t="s">
        <v>4758</v>
      </c>
      <c r="P63" s="336" t="s">
        <v>9021</v>
      </c>
      <c r="Q63" s="336" t="s">
        <v>10286</v>
      </c>
      <c r="R63" s="336" t="s">
        <v>10287</v>
      </c>
      <c r="S63" s="336" t="s">
        <v>10069</v>
      </c>
      <c r="T63" s="336" t="s">
        <v>9509</v>
      </c>
      <c r="U63" s="336" t="s">
        <v>10288</v>
      </c>
      <c r="V63" s="336" t="s">
        <v>10289</v>
      </c>
      <c r="W63" s="336" t="s">
        <v>10290</v>
      </c>
      <c r="X63" s="336" t="s">
        <v>10211</v>
      </c>
      <c r="Y63" s="336" t="s">
        <v>4749</v>
      </c>
      <c r="Z63" s="336" t="s">
        <v>6770</v>
      </c>
      <c r="AA63" s="336" t="s">
        <v>5955</v>
      </c>
      <c r="AB63" s="336" t="s">
        <v>10291</v>
      </c>
      <c r="AC63" s="336" t="s">
        <v>388</v>
      </c>
      <c r="AD63" s="336" t="s">
        <v>6135</v>
      </c>
      <c r="AE63" s="336" t="s">
        <v>3113</v>
      </c>
      <c r="AF63" s="336" t="s">
        <v>9960</v>
      </c>
      <c r="AG63" s="336" t="s">
        <v>10292</v>
      </c>
      <c r="AH63" s="336" t="s">
        <v>5426</v>
      </c>
      <c r="AI63" s="336" t="s">
        <v>3580</v>
      </c>
      <c r="AJ63" s="336" t="s">
        <v>10293</v>
      </c>
      <c r="AK63" s="336" t="s">
        <v>10129</v>
      </c>
      <c r="AL63" s="336" t="s">
        <v>5204</v>
      </c>
      <c r="AM63" s="336" t="s">
        <v>10294</v>
      </c>
      <c r="AN63" s="336" t="s">
        <v>8863</v>
      </c>
      <c r="AO63" s="336" t="s">
        <v>5142</v>
      </c>
      <c r="AP63" s="336" t="s">
        <v>10295</v>
      </c>
      <c r="AQ63" s="336" t="s">
        <v>3695</v>
      </c>
      <c r="AR63" s="336" t="s">
        <v>9650</v>
      </c>
      <c r="AS63" s="336" t="s">
        <v>4735</v>
      </c>
      <c r="AT63" s="336" t="s">
        <v>10296</v>
      </c>
      <c r="AU63" s="1696" t="str">
        <f>HYPERLINK("https://splits.io/pc9","1:16:48")</f>
        <v>1:16:48</v>
      </c>
      <c r="AV63" s="1450" t="str">
        <f t="shared" si="1"/>
        <v>2:27</v>
      </c>
      <c r="AW63" s="1697" t="s">
        <v>10297</v>
      </c>
    </row>
    <row r="64" ht="15.75" customHeight="1">
      <c r="A64" s="1530" t="s">
        <v>5916</v>
      </c>
      <c r="B64" s="1531" t="s">
        <v>8989</v>
      </c>
      <c r="C64" s="1665">
        <v>0.051631944444444446</v>
      </c>
      <c r="D64" s="980" t="s">
        <v>10298</v>
      </c>
      <c r="E64" s="336" t="s">
        <v>7727</v>
      </c>
      <c r="F64" s="336" t="s">
        <v>10299</v>
      </c>
      <c r="G64" s="336" t="s">
        <v>5357</v>
      </c>
      <c r="H64" s="336" t="s">
        <v>9872</v>
      </c>
      <c r="I64" s="336" t="s">
        <v>4749</v>
      </c>
      <c r="J64" s="336" t="s">
        <v>9180</v>
      </c>
      <c r="K64" s="336" t="s">
        <v>8876</v>
      </c>
      <c r="L64" s="336" t="s">
        <v>5902</v>
      </c>
      <c r="M64" s="336" t="s">
        <v>935</v>
      </c>
      <c r="N64" s="336" t="s">
        <v>10300</v>
      </c>
      <c r="O64" s="336" t="s">
        <v>10103</v>
      </c>
      <c r="P64" s="336" t="s">
        <v>9963</v>
      </c>
      <c r="Q64" s="336" t="s">
        <v>10301</v>
      </c>
      <c r="R64" s="336" t="s">
        <v>10242</v>
      </c>
      <c r="S64" s="336" t="s">
        <v>6798</v>
      </c>
      <c r="T64" s="336" t="s">
        <v>10302</v>
      </c>
      <c r="U64" s="336" t="s">
        <v>10303</v>
      </c>
      <c r="V64" s="336" t="s">
        <v>10304</v>
      </c>
      <c r="W64" s="336" t="s">
        <v>10305</v>
      </c>
      <c r="X64" s="336" t="s">
        <v>10306</v>
      </c>
      <c r="Y64" s="336" t="s">
        <v>1161</v>
      </c>
      <c r="Z64" s="336" t="s">
        <v>4862</v>
      </c>
      <c r="AA64" s="336" t="s">
        <v>10307</v>
      </c>
      <c r="AB64" s="336" t="s">
        <v>6862</v>
      </c>
      <c r="AC64" s="336" t="s">
        <v>10308</v>
      </c>
      <c r="AD64" s="336" t="s">
        <v>10309</v>
      </c>
      <c r="AE64" s="1654" t="s">
        <v>5513</v>
      </c>
      <c r="AF64" s="336" t="s">
        <v>10310</v>
      </c>
      <c r="AG64" s="336" t="s">
        <v>10311</v>
      </c>
      <c r="AH64" s="336" t="s">
        <v>2253</v>
      </c>
      <c r="AI64" s="336" t="s">
        <v>5269</v>
      </c>
      <c r="AJ64" s="336" t="s">
        <v>8710</v>
      </c>
      <c r="AK64" s="336" t="s">
        <v>1793</v>
      </c>
      <c r="AL64" s="336" t="s">
        <v>5746</v>
      </c>
      <c r="AM64" s="336" t="s">
        <v>10312</v>
      </c>
      <c r="AN64" s="336" t="s">
        <v>10313</v>
      </c>
      <c r="AO64" s="336" t="s">
        <v>9286</v>
      </c>
      <c r="AP64" s="336" t="s">
        <v>4872</v>
      </c>
      <c r="AQ64" s="336" t="s">
        <v>10314</v>
      </c>
      <c r="AR64" s="336" t="s">
        <v>4849</v>
      </c>
      <c r="AS64" s="336" t="s">
        <v>3041</v>
      </c>
      <c r="AT64" s="336" t="s">
        <v>10315</v>
      </c>
      <c r="AU64" s="336" t="s">
        <v>10316</v>
      </c>
      <c r="AV64" s="1450" t="str">
        <f t="shared" si="1"/>
        <v>3:33</v>
      </c>
      <c r="AW64" s="1697"/>
    </row>
    <row r="65" ht="15.75" customHeight="1">
      <c r="A65" s="1530" t="s">
        <v>4237</v>
      </c>
      <c r="B65" s="1531" t="s">
        <v>8989</v>
      </c>
      <c r="C65" s="1665">
        <v>0.05164351851851852</v>
      </c>
      <c r="D65" s="980" t="s">
        <v>10317</v>
      </c>
      <c r="E65" s="336" t="s">
        <v>9199</v>
      </c>
      <c r="F65" s="336" t="s">
        <v>10318</v>
      </c>
      <c r="G65" s="336" t="s">
        <v>9048</v>
      </c>
      <c r="H65" s="336" t="s">
        <v>10319</v>
      </c>
      <c r="I65" s="336" t="s">
        <v>1290</v>
      </c>
      <c r="J65" s="336" t="s">
        <v>804</v>
      </c>
      <c r="K65" s="336" t="s">
        <v>6747</v>
      </c>
      <c r="L65" s="336" t="s">
        <v>3730</v>
      </c>
      <c r="M65" s="336" t="s">
        <v>10265</v>
      </c>
      <c r="N65" s="336" t="s">
        <v>9388</v>
      </c>
      <c r="O65" s="336" t="s">
        <v>9967</v>
      </c>
      <c r="P65" s="336" t="s">
        <v>5188</v>
      </c>
      <c r="Q65" s="336" t="s">
        <v>10320</v>
      </c>
      <c r="R65" s="336" t="s">
        <v>8917</v>
      </c>
      <c r="S65" s="336" t="s">
        <v>10321</v>
      </c>
      <c r="T65" s="336" t="s">
        <v>10322</v>
      </c>
      <c r="U65" s="336" t="s">
        <v>10323</v>
      </c>
      <c r="V65" s="336" t="s">
        <v>10324</v>
      </c>
      <c r="W65" s="336" t="s">
        <v>10325</v>
      </c>
      <c r="X65" s="336" t="s">
        <v>607</v>
      </c>
      <c r="Y65" s="336" t="s">
        <v>10326</v>
      </c>
      <c r="Z65" s="336" t="s">
        <v>7200</v>
      </c>
      <c r="AA65" s="336" t="s">
        <v>5671</v>
      </c>
      <c r="AB65" s="336" t="s">
        <v>7504</v>
      </c>
      <c r="AC65" s="336" t="s">
        <v>7666</v>
      </c>
      <c r="AD65" s="336" t="s">
        <v>10327</v>
      </c>
      <c r="AE65" s="336" t="s">
        <v>1848</v>
      </c>
      <c r="AF65" s="336" t="s">
        <v>10328</v>
      </c>
      <c r="AG65" s="336" t="s">
        <v>527</v>
      </c>
      <c r="AH65" s="336" t="s">
        <v>5426</v>
      </c>
      <c r="AI65" s="336" t="s">
        <v>10329</v>
      </c>
      <c r="AJ65" s="336" t="s">
        <v>10330</v>
      </c>
      <c r="AK65" s="336" t="s">
        <v>10331</v>
      </c>
      <c r="AL65" s="336" t="s">
        <v>5185</v>
      </c>
      <c r="AM65" s="336" t="s">
        <v>9770</v>
      </c>
      <c r="AN65" s="336" t="s">
        <v>9449</v>
      </c>
      <c r="AO65" s="336" t="s">
        <v>10176</v>
      </c>
      <c r="AP65" s="336" t="s">
        <v>10332</v>
      </c>
      <c r="AQ65" s="336" t="s">
        <v>10333</v>
      </c>
      <c r="AR65" s="336" t="s">
        <v>3626</v>
      </c>
      <c r="AS65" s="336" t="s">
        <v>10334</v>
      </c>
      <c r="AT65" s="336" t="s">
        <v>10130</v>
      </c>
      <c r="AU65" s="336" t="s">
        <v>10335</v>
      </c>
      <c r="AV65" s="1450" t="str">
        <f t="shared" si="1"/>
        <v>3:13</v>
      </c>
      <c r="AW65" s="1697" t="s">
        <v>10336</v>
      </c>
    </row>
    <row r="66" ht="15.75" customHeight="1">
      <c r="A66" s="1555" t="s">
        <v>897</v>
      </c>
      <c r="B66" s="1684" t="s">
        <v>9044</v>
      </c>
      <c r="C66" s="1665">
        <v>0.05167824074074074</v>
      </c>
      <c r="D66" s="980" t="s">
        <v>10337</v>
      </c>
      <c r="E66" s="336" t="s">
        <v>10338</v>
      </c>
      <c r="F66" s="336" t="s">
        <v>5961</v>
      </c>
      <c r="G66" s="336" t="s">
        <v>10339</v>
      </c>
      <c r="H66" s="336" t="s">
        <v>10340</v>
      </c>
      <c r="I66" s="336" t="s">
        <v>1837</v>
      </c>
      <c r="J66" s="336" t="s">
        <v>10202</v>
      </c>
      <c r="K66" s="336" t="s">
        <v>9344</v>
      </c>
      <c r="L66" s="336" t="s">
        <v>1964</v>
      </c>
      <c r="M66" s="336" t="s">
        <v>6846</v>
      </c>
      <c r="N66" s="336" t="s">
        <v>10341</v>
      </c>
      <c r="O66" s="336" t="s">
        <v>10342</v>
      </c>
      <c r="P66" s="336" t="s">
        <v>2384</v>
      </c>
      <c r="Q66" s="336" t="s">
        <v>719</v>
      </c>
      <c r="R66" s="336" t="s">
        <v>10343</v>
      </c>
      <c r="S66" s="336" t="s">
        <v>10344</v>
      </c>
      <c r="T66" s="336" t="s">
        <v>10345</v>
      </c>
      <c r="U66" s="336" t="s">
        <v>9923</v>
      </c>
      <c r="V66" s="336" t="s">
        <v>487</v>
      </c>
      <c r="W66" s="336" t="s">
        <v>5995</v>
      </c>
      <c r="X66" s="336" t="s">
        <v>10346</v>
      </c>
      <c r="Y66" s="336" t="s">
        <v>940</v>
      </c>
      <c r="Z66" s="336" t="s">
        <v>3943</v>
      </c>
      <c r="AA66" s="336" t="s">
        <v>1620</v>
      </c>
      <c r="AB66" s="336" t="s">
        <v>10347</v>
      </c>
      <c r="AC66" s="336" t="s">
        <v>9269</v>
      </c>
      <c r="AD66" s="1654" t="s">
        <v>10348</v>
      </c>
      <c r="AE66" s="336" t="s">
        <v>1862</v>
      </c>
      <c r="AF66" s="336" t="s">
        <v>9812</v>
      </c>
      <c r="AG66" s="336" t="s">
        <v>7808</v>
      </c>
      <c r="AH66" s="336" t="s">
        <v>4456</v>
      </c>
      <c r="AI66" s="336" t="s">
        <v>6432</v>
      </c>
      <c r="AJ66" s="336" t="s">
        <v>10349</v>
      </c>
      <c r="AK66" s="336" t="s">
        <v>9139</v>
      </c>
      <c r="AL66" s="336" t="s">
        <v>5268</v>
      </c>
      <c r="AM66" s="336" t="s">
        <v>10350</v>
      </c>
      <c r="AN66" s="336" t="s">
        <v>10351</v>
      </c>
      <c r="AO66" s="336" t="s">
        <v>10352</v>
      </c>
      <c r="AP66" s="336" t="s">
        <v>10353</v>
      </c>
      <c r="AQ66" s="336" t="s">
        <v>10354</v>
      </c>
      <c r="AR66" s="336" t="s">
        <v>10355</v>
      </c>
      <c r="AS66" s="336" t="s">
        <v>2575</v>
      </c>
      <c r="AT66" s="336" t="s">
        <v>10356</v>
      </c>
      <c r="AU66" s="336" t="s">
        <v>10357</v>
      </c>
      <c r="AV66" s="1450" t="str">
        <f t="shared" si="1"/>
        <v>2:51</v>
      </c>
      <c r="AW66" s="1698"/>
    </row>
    <row r="67" ht="15.75" customHeight="1">
      <c r="A67" s="1589" t="s">
        <v>4642</v>
      </c>
      <c r="B67" s="1622" t="s">
        <v>9016</v>
      </c>
      <c r="C67" s="1665">
        <v>0.05170138888888889</v>
      </c>
      <c r="D67" s="980" t="s">
        <v>10358</v>
      </c>
      <c r="E67" s="336" t="s">
        <v>4273</v>
      </c>
      <c r="F67" s="336" t="s">
        <v>9915</v>
      </c>
      <c r="G67" s="336" t="s">
        <v>9823</v>
      </c>
      <c r="H67" s="336" t="s">
        <v>10359</v>
      </c>
      <c r="I67" s="336" t="s">
        <v>10360</v>
      </c>
      <c r="J67" s="336" t="s">
        <v>9928</v>
      </c>
      <c r="K67" s="336" t="s">
        <v>9286</v>
      </c>
      <c r="L67" s="336" t="s">
        <v>4096</v>
      </c>
      <c r="M67" s="336" t="s">
        <v>7091</v>
      </c>
      <c r="N67" s="336" t="s">
        <v>6205</v>
      </c>
      <c r="O67" s="336" t="s">
        <v>10054</v>
      </c>
      <c r="P67" s="336" t="s">
        <v>482</v>
      </c>
      <c r="Q67" s="336" t="s">
        <v>2829</v>
      </c>
      <c r="R67" s="336" t="s">
        <v>9088</v>
      </c>
      <c r="S67" s="336" t="s">
        <v>10253</v>
      </c>
      <c r="T67" s="336" t="s">
        <v>2925</v>
      </c>
      <c r="U67" s="336" t="s">
        <v>10361</v>
      </c>
      <c r="V67" s="336" t="s">
        <v>10362</v>
      </c>
      <c r="W67" s="336" t="s">
        <v>10290</v>
      </c>
      <c r="X67" s="336" t="s">
        <v>3729</v>
      </c>
      <c r="Y67" s="336" t="s">
        <v>2448</v>
      </c>
      <c r="Z67" s="336" t="s">
        <v>490</v>
      </c>
      <c r="AA67" s="336" t="s">
        <v>628</v>
      </c>
      <c r="AB67" s="336" t="s">
        <v>10363</v>
      </c>
      <c r="AC67" s="336" t="s">
        <v>5848</v>
      </c>
      <c r="AD67" s="336" t="s">
        <v>9984</v>
      </c>
      <c r="AE67" s="336" t="s">
        <v>143</v>
      </c>
      <c r="AF67" s="336" t="s">
        <v>10364</v>
      </c>
      <c r="AG67" s="336" t="s">
        <v>10365</v>
      </c>
      <c r="AH67" s="336" t="s">
        <v>10366</v>
      </c>
      <c r="AI67" s="336" t="s">
        <v>10367</v>
      </c>
      <c r="AJ67" s="336" t="s">
        <v>10368</v>
      </c>
      <c r="AK67" s="336" t="s">
        <v>9373</v>
      </c>
      <c r="AL67" s="336" t="s">
        <v>4531</v>
      </c>
      <c r="AM67" s="336" t="s">
        <v>10229</v>
      </c>
      <c r="AN67" s="336" t="s">
        <v>10369</v>
      </c>
      <c r="AO67" s="336" t="s">
        <v>9975</v>
      </c>
      <c r="AP67" s="336" t="s">
        <v>3328</v>
      </c>
      <c r="AQ67" s="336" t="s">
        <v>10370</v>
      </c>
      <c r="AR67" s="336" t="s">
        <v>10371</v>
      </c>
      <c r="AS67" s="336" t="s">
        <v>6598</v>
      </c>
      <c r="AT67" s="336" t="s">
        <v>10372</v>
      </c>
      <c r="AU67" s="336" t="s">
        <v>10373</v>
      </c>
      <c r="AV67" s="1450" t="str">
        <f t="shared" si="1"/>
        <v>2:37</v>
      </c>
      <c r="AW67" s="1698" t="s">
        <v>10374</v>
      </c>
    </row>
    <row r="68" ht="15.75" customHeight="1">
      <c r="A68" s="1589" t="s">
        <v>5105</v>
      </c>
      <c r="B68" s="1587" t="s">
        <v>9016</v>
      </c>
      <c r="C68" s="1532">
        <v>0.05171296296296296</v>
      </c>
      <c r="D68" s="1671" t="s">
        <v>10375</v>
      </c>
      <c r="E68" s="1654" t="s">
        <v>10376</v>
      </c>
      <c r="F68" s="1654" t="s">
        <v>1466</v>
      </c>
      <c r="G68" s="1654" t="s">
        <v>10377</v>
      </c>
      <c r="H68" s="1654" t="s">
        <v>10378</v>
      </c>
      <c r="I68" s="1654" t="s">
        <v>10379</v>
      </c>
      <c r="J68" s="1654" t="s">
        <v>885</v>
      </c>
      <c r="K68" s="1654" t="s">
        <v>4919</v>
      </c>
      <c r="L68" s="1654" t="s">
        <v>1955</v>
      </c>
      <c r="M68" s="1699" t="s">
        <v>10380</v>
      </c>
      <c r="N68" s="1654" t="s">
        <v>10381</v>
      </c>
      <c r="O68" s="1654" t="s">
        <v>1696</v>
      </c>
      <c r="P68" s="1654" t="s">
        <v>5091</v>
      </c>
      <c r="Q68" s="1654" t="s">
        <v>2675</v>
      </c>
      <c r="R68" s="1654" t="s">
        <v>10382</v>
      </c>
      <c r="S68" s="1654" t="s">
        <v>9123</v>
      </c>
      <c r="T68" s="1654" t="s">
        <v>10383</v>
      </c>
      <c r="U68" s="1654" t="s">
        <v>10181</v>
      </c>
      <c r="V68" s="1699" t="s">
        <v>10384</v>
      </c>
      <c r="W68" s="1699" t="s">
        <v>10385</v>
      </c>
      <c r="X68" s="1654" t="s">
        <v>10060</v>
      </c>
      <c r="Y68" s="980" t="s">
        <v>2556</v>
      </c>
      <c r="Z68" s="1654" t="s">
        <v>1519</v>
      </c>
      <c r="AA68" s="1654" t="s">
        <v>200</v>
      </c>
      <c r="AB68" s="1699" t="s">
        <v>10386</v>
      </c>
      <c r="AC68" s="1654" t="s">
        <v>1848</v>
      </c>
      <c r="AD68" s="1654" t="s">
        <v>10387</v>
      </c>
      <c r="AE68" s="1654" t="s">
        <v>3851</v>
      </c>
      <c r="AF68" s="1654" t="s">
        <v>10388</v>
      </c>
      <c r="AG68" s="1654" t="s">
        <v>527</v>
      </c>
      <c r="AH68" s="1654" t="s">
        <v>10389</v>
      </c>
      <c r="AI68" s="1654" t="s">
        <v>5451</v>
      </c>
      <c r="AJ68" s="1654" t="s">
        <v>10390</v>
      </c>
      <c r="AK68" s="1654" t="s">
        <v>10391</v>
      </c>
      <c r="AL68" s="1654" t="s">
        <v>1749</v>
      </c>
      <c r="AM68" s="1654" t="s">
        <v>10220</v>
      </c>
      <c r="AN68" s="1654" t="s">
        <v>10392</v>
      </c>
      <c r="AO68" s="1654" t="s">
        <v>2901</v>
      </c>
      <c r="AP68" s="1654" t="s">
        <v>2073</v>
      </c>
      <c r="AQ68" s="1654" t="s">
        <v>757</v>
      </c>
      <c r="AR68" s="1654" t="s">
        <v>10003</v>
      </c>
      <c r="AS68" s="1654" t="s">
        <v>8070</v>
      </c>
      <c r="AT68" s="1654" t="s">
        <v>10393</v>
      </c>
      <c r="AU68" s="1654" t="s">
        <v>10394</v>
      </c>
      <c r="AV68" s="1450" t="str">
        <f t="shared" si="1"/>
        <v>4:14</v>
      </c>
      <c r="AW68" s="1694" t="s">
        <v>10395</v>
      </c>
    </row>
    <row r="69" ht="15.75" customHeight="1">
      <c r="A69" s="1589" t="s">
        <v>2189</v>
      </c>
      <c r="B69" s="1680" t="s">
        <v>9016</v>
      </c>
      <c r="C69" s="1532">
        <v>0.05173611111111111</v>
      </c>
      <c r="D69" s="980" t="s">
        <v>10396</v>
      </c>
      <c r="E69" s="1654" t="s">
        <v>10397</v>
      </c>
      <c r="F69" s="1654" t="s">
        <v>10398</v>
      </c>
      <c r="G69" s="1654" t="s">
        <v>10399</v>
      </c>
      <c r="H69" s="1654" t="s">
        <v>6964</v>
      </c>
      <c r="I69" s="1654" t="s">
        <v>495</v>
      </c>
      <c r="J69" s="1654" t="s">
        <v>9430</v>
      </c>
      <c r="K69" s="1654" t="s">
        <v>9001</v>
      </c>
      <c r="L69" s="1654" t="s">
        <v>8145</v>
      </c>
      <c r="M69" s="1654" t="s">
        <v>3643</v>
      </c>
      <c r="N69" s="1654" t="s">
        <v>10400</v>
      </c>
      <c r="O69" s="1654" t="s">
        <v>10401</v>
      </c>
      <c r="P69" s="1654" t="s">
        <v>3753</v>
      </c>
      <c r="Q69" s="1654" t="s">
        <v>10402</v>
      </c>
      <c r="R69" s="1654" t="s">
        <v>10343</v>
      </c>
      <c r="S69" s="1654" t="s">
        <v>5641</v>
      </c>
      <c r="T69" s="1654" t="s">
        <v>10403</v>
      </c>
      <c r="U69" s="1654" t="s">
        <v>10404</v>
      </c>
      <c r="V69" s="1654" t="s">
        <v>360</v>
      </c>
      <c r="W69" s="1654" t="s">
        <v>5675</v>
      </c>
      <c r="X69" s="1654" t="s">
        <v>10248</v>
      </c>
      <c r="Y69" s="1654" t="s">
        <v>1161</v>
      </c>
      <c r="Z69" s="1654" t="s">
        <v>10405</v>
      </c>
      <c r="AA69" s="1654" t="s">
        <v>5955</v>
      </c>
      <c r="AB69" s="1654" t="s">
        <v>7502</v>
      </c>
      <c r="AC69" s="1654" t="s">
        <v>161</v>
      </c>
      <c r="AD69" s="1654" t="s">
        <v>10273</v>
      </c>
      <c r="AE69" s="1654" t="s">
        <v>9702</v>
      </c>
      <c r="AF69" s="1654" t="s">
        <v>9715</v>
      </c>
      <c r="AG69" s="1654" t="s">
        <v>10406</v>
      </c>
      <c r="AH69" s="1654" t="s">
        <v>10407</v>
      </c>
      <c r="AI69" s="1654" t="s">
        <v>10408</v>
      </c>
      <c r="AJ69" s="1654" t="s">
        <v>6161</v>
      </c>
      <c r="AK69" s="1654" t="s">
        <v>6980</v>
      </c>
      <c r="AL69" s="1654" t="s">
        <v>10409</v>
      </c>
      <c r="AM69" s="1654" t="s">
        <v>2981</v>
      </c>
      <c r="AN69" s="1654" t="s">
        <v>5185</v>
      </c>
      <c r="AO69" s="1654" t="s">
        <v>10173</v>
      </c>
      <c r="AP69" s="1654" t="s">
        <v>10410</v>
      </c>
      <c r="AQ69" s="1654" t="s">
        <v>10411</v>
      </c>
      <c r="AR69" s="1654" t="s">
        <v>197</v>
      </c>
      <c r="AS69" s="1654" t="s">
        <v>10412</v>
      </c>
      <c r="AT69" s="1654" t="s">
        <v>10413</v>
      </c>
      <c r="AU69" s="1654" t="s">
        <v>10414</v>
      </c>
      <c r="AV69" s="1450" t="str">
        <f t="shared" si="1"/>
        <v>3:51</v>
      </c>
      <c r="AW69" s="1694" t="s">
        <v>10415</v>
      </c>
    </row>
    <row r="70" ht="15.75" customHeight="1">
      <c r="A70" s="1589" t="s">
        <v>8223</v>
      </c>
      <c r="B70" s="1577" t="s">
        <v>9044</v>
      </c>
      <c r="C70" s="1532">
        <v>0.051805555555555556</v>
      </c>
      <c r="D70" s="1654" t="s">
        <v>10416</v>
      </c>
      <c r="E70" s="1654" t="s">
        <v>10417</v>
      </c>
      <c r="F70" s="980" t="s">
        <v>10418</v>
      </c>
      <c r="G70" s="1654" t="s">
        <v>10419</v>
      </c>
      <c r="H70" s="1561" t="s">
        <v>10420</v>
      </c>
      <c r="I70" s="1561">
        <v>49.81</v>
      </c>
      <c r="J70" s="1561" t="s">
        <v>10421</v>
      </c>
      <c r="K70" s="1561" t="s">
        <v>6329</v>
      </c>
      <c r="L70" s="1561">
        <v>59.57</v>
      </c>
      <c r="M70" s="1561" t="s">
        <v>10422</v>
      </c>
      <c r="N70" s="1561" t="s">
        <v>10423</v>
      </c>
      <c r="O70" s="1560" t="s">
        <v>6900</v>
      </c>
      <c r="P70" s="1560" t="s">
        <v>10424</v>
      </c>
      <c r="Q70" s="1560" t="s">
        <v>10425</v>
      </c>
      <c r="R70" s="1561" t="s">
        <v>10426</v>
      </c>
      <c r="S70" s="1561" t="s">
        <v>10069</v>
      </c>
      <c r="T70" s="1561" t="s">
        <v>10427</v>
      </c>
      <c r="U70" s="1561" t="s">
        <v>10428</v>
      </c>
      <c r="V70" s="1561" t="s">
        <v>4320</v>
      </c>
      <c r="W70" s="1561" t="s">
        <v>10429</v>
      </c>
      <c r="X70" s="1561" t="s">
        <v>10430</v>
      </c>
      <c r="Y70" s="1560" t="s">
        <v>9932</v>
      </c>
      <c r="Z70" s="1700" t="s">
        <v>9060</v>
      </c>
      <c r="AA70" s="1561" t="s">
        <v>964</v>
      </c>
      <c r="AB70" s="1560" t="s">
        <v>4344</v>
      </c>
      <c r="AC70" s="1561">
        <v>49.53</v>
      </c>
      <c r="AD70" s="1561" t="s">
        <v>2004</v>
      </c>
      <c r="AE70" s="1560" t="s">
        <v>10431</v>
      </c>
      <c r="AF70" s="1561" t="s">
        <v>9188</v>
      </c>
      <c r="AG70" s="1561" t="s">
        <v>10432</v>
      </c>
      <c r="AH70" s="1561">
        <v>59.93</v>
      </c>
      <c r="AI70" s="1561" t="s">
        <v>10433</v>
      </c>
      <c r="AJ70" s="1561" t="s">
        <v>10434</v>
      </c>
      <c r="AK70" s="1561" t="s">
        <v>5984</v>
      </c>
      <c r="AL70" s="1561">
        <v>59.13</v>
      </c>
      <c r="AM70" s="1561" t="s">
        <v>10371</v>
      </c>
      <c r="AN70" s="1561">
        <v>57.86</v>
      </c>
      <c r="AO70" s="1561" t="s">
        <v>7257</v>
      </c>
      <c r="AP70" s="1561" t="s">
        <v>10435</v>
      </c>
      <c r="AQ70" s="1561" t="s">
        <v>9938</v>
      </c>
      <c r="AR70" s="1561" t="s">
        <v>6262</v>
      </c>
      <c r="AS70" s="1561">
        <v>47.67</v>
      </c>
      <c r="AT70" s="1654" t="s">
        <v>10436</v>
      </c>
      <c r="AU70" s="1654" t="s">
        <v>10437</v>
      </c>
      <c r="AV70" s="1450" t="str">
        <f t="shared" si="1"/>
        <v>2:57</v>
      </c>
      <c r="AW70" s="1679" t="s">
        <v>10438</v>
      </c>
    </row>
    <row r="71">
      <c r="A71" s="954" t="s">
        <v>1254</v>
      </c>
      <c r="B71" s="1587" t="s">
        <v>9016</v>
      </c>
      <c r="C71" s="1701">
        <v>0.05181712962962963</v>
      </c>
      <c r="D71" s="1538" t="s">
        <v>10439</v>
      </c>
      <c r="E71" s="1538" t="s">
        <v>7577</v>
      </c>
      <c r="F71" s="1538" t="s">
        <v>10440</v>
      </c>
      <c r="G71" s="1538" t="s">
        <v>10441</v>
      </c>
      <c r="H71" s="1538" t="s">
        <v>10442</v>
      </c>
      <c r="I71" s="1538" t="s">
        <v>5050</v>
      </c>
      <c r="J71" s="1538" t="s">
        <v>9415</v>
      </c>
      <c r="K71" s="1538" t="s">
        <v>9027</v>
      </c>
      <c r="L71" s="1538" t="s">
        <v>10407</v>
      </c>
      <c r="M71" s="1538" t="s">
        <v>1452</v>
      </c>
      <c r="N71" s="1538" t="s">
        <v>9904</v>
      </c>
      <c r="O71" s="1538" t="s">
        <v>7032</v>
      </c>
      <c r="P71" s="1538" t="s">
        <v>9505</v>
      </c>
      <c r="Q71" s="1538" t="s">
        <v>10443</v>
      </c>
      <c r="R71" s="1538" t="s">
        <v>6868</v>
      </c>
      <c r="S71" s="1538" t="s">
        <v>3650</v>
      </c>
      <c r="T71" s="1538" t="s">
        <v>10444</v>
      </c>
      <c r="U71" s="1538" t="s">
        <v>10445</v>
      </c>
      <c r="V71" s="1538" t="s">
        <v>10362</v>
      </c>
      <c r="W71" s="1538" t="s">
        <v>9100</v>
      </c>
      <c r="X71" s="1538" t="s">
        <v>9993</v>
      </c>
      <c r="Y71" s="1538" t="s">
        <v>10446</v>
      </c>
      <c r="Z71" s="1538" t="s">
        <v>6414</v>
      </c>
      <c r="AA71" s="1538" t="s">
        <v>955</v>
      </c>
      <c r="AB71" s="1538" t="s">
        <v>10447</v>
      </c>
      <c r="AC71" s="1538" t="s">
        <v>2099</v>
      </c>
      <c r="AD71" s="1538" t="s">
        <v>10448</v>
      </c>
      <c r="AE71" s="1538" t="s">
        <v>2173</v>
      </c>
      <c r="AF71" s="1538" t="s">
        <v>10130</v>
      </c>
      <c r="AG71" s="1538" t="s">
        <v>174</v>
      </c>
      <c r="AH71" s="1538" t="s">
        <v>10449</v>
      </c>
      <c r="AI71" s="1538" t="s">
        <v>246</v>
      </c>
      <c r="AJ71" s="1538" t="s">
        <v>10450</v>
      </c>
      <c r="AK71" s="1538" t="s">
        <v>9719</v>
      </c>
      <c r="AL71" s="1538" t="s">
        <v>4763</v>
      </c>
      <c r="AM71" s="1538" t="s">
        <v>10451</v>
      </c>
      <c r="AN71" s="1538" t="s">
        <v>9764</v>
      </c>
      <c r="AO71" s="1538" t="s">
        <v>10452</v>
      </c>
      <c r="AP71" s="1538" t="s">
        <v>10453</v>
      </c>
      <c r="AQ71" s="1538" t="s">
        <v>10454</v>
      </c>
      <c r="AR71" s="1538" t="s">
        <v>10455</v>
      </c>
      <c r="AS71" s="1538" t="s">
        <v>353</v>
      </c>
      <c r="AT71" s="1538" t="s">
        <v>10456</v>
      </c>
      <c r="AU71" s="1558" t="s">
        <v>10457</v>
      </c>
      <c r="AV71" s="1450" t="str">
        <f t="shared" si="1"/>
        <v>3:49</v>
      </c>
      <c r="AW71" s="1702" t="s">
        <v>10458</v>
      </c>
    </row>
    <row r="72" ht="15.75" customHeight="1">
      <c r="A72" s="1530" t="s">
        <v>3132</v>
      </c>
      <c r="B72" s="1622" t="s">
        <v>9016</v>
      </c>
      <c r="C72" s="1665">
        <v>0.051863425925925924</v>
      </c>
      <c r="D72" s="980" t="s">
        <v>10459</v>
      </c>
      <c r="E72" s="336" t="s">
        <v>6585</v>
      </c>
      <c r="F72" s="336" t="s">
        <v>10460</v>
      </c>
      <c r="G72" s="336" t="s">
        <v>10461</v>
      </c>
      <c r="H72" s="336" t="s">
        <v>10462</v>
      </c>
      <c r="I72" s="336" t="s">
        <v>10463</v>
      </c>
      <c r="J72" s="336" t="s">
        <v>1673</v>
      </c>
      <c r="K72" s="336" t="s">
        <v>1590</v>
      </c>
      <c r="L72" s="336" t="s">
        <v>3140</v>
      </c>
      <c r="M72" s="336" t="s">
        <v>10242</v>
      </c>
      <c r="N72" s="336" t="s">
        <v>5131</v>
      </c>
      <c r="O72" s="336" t="s">
        <v>10464</v>
      </c>
      <c r="P72" s="336" t="s">
        <v>1232</v>
      </c>
      <c r="Q72" s="336" t="s">
        <v>10465</v>
      </c>
      <c r="R72" s="336" t="s">
        <v>5825</v>
      </c>
      <c r="S72" s="336" t="s">
        <v>10466</v>
      </c>
      <c r="T72" s="336" t="s">
        <v>10467</v>
      </c>
      <c r="U72" s="336" t="s">
        <v>10468</v>
      </c>
      <c r="V72" s="336" t="s">
        <v>10012</v>
      </c>
      <c r="W72" s="336" t="s">
        <v>10469</v>
      </c>
      <c r="X72" s="336" t="s">
        <v>10367</v>
      </c>
      <c r="Y72" s="336" t="s">
        <v>3365</v>
      </c>
      <c r="Z72" s="336" t="s">
        <v>10470</v>
      </c>
      <c r="AA72" s="336" t="s">
        <v>10471</v>
      </c>
      <c r="AB72" s="336" t="s">
        <v>8886</v>
      </c>
      <c r="AC72" s="336" t="s">
        <v>5848</v>
      </c>
      <c r="AD72" s="336" t="s">
        <v>10472</v>
      </c>
      <c r="AE72" s="336" t="s">
        <v>1179</v>
      </c>
      <c r="AF72" s="336" t="s">
        <v>10473</v>
      </c>
      <c r="AG72" s="336" t="s">
        <v>10474</v>
      </c>
      <c r="AH72" s="336" t="s">
        <v>5235</v>
      </c>
      <c r="AI72" s="336" t="s">
        <v>10408</v>
      </c>
      <c r="AJ72" s="336" t="s">
        <v>10475</v>
      </c>
      <c r="AK72" s="336" t="s">
        <v>1841</v>
      </c>
      <c r="AL72" s="336" t="s">
        <v>10449</v>
      </c>
      <c r="AM72" s="336" t="s">
        <v>10476</v>
      </c>
      <c r="AN72" s="336" t="s">
        <v>3205</v>
      </c>
      <c r="AO72" s="336" t="s">
        <v>9184</v>
      </c>
      <c r="AP72" s="336" t="s">
        <v>10477</v>
      </c>
      <c r="AQ72" s="336" t="s">
        <v>10478</v>
      </c>
      <c r="AR72" s="336" t="s">
        <v>2228</v>
      </c>
      <c r="AS72" s="336" t="s">
        <v>4840</v>
      </c>
      <c r="AT72" s="336" t="s">
        <v>10479</v>
      </c>
      <c r="AU72" s="336" t="s">
        <v>10480</v>
      </c>
      <c r="AV72" s="1450" t="str">
        <f t="shared" si="1"/>
        <v>2:06</v>
      </c>
      <c r="AW72" s="1694" t="s">
        <v>10481</v>
      </c>
    </row>
    <row r="73" ht="15.75" customHeight="1">
      <c r="A73" s="1530" t="s">
        <v>1124</v>
      </c>
      <c r="B73" s="1531" t="s">
        <v>8989</v>
      </c>
      <c r="C73" s="1665">
        <v>0.051875</v>
      </c>
      <c r="D73" s="980" t="s">
        <v>10482</v>
      </c>
      <c r="E73" s="336" t="s">
        <v>3210</v>
      </c>
      <c r="F73" s="336" t="s">
        <v>10483</v>
      </c>
      <c r="G73" s="336" t="s">
        <v>10484</v>
      </c>
      <c r="H73" s="336" t="s">
        <v>10485</v>
      </c>
      <c r="I73" s="336" t="s">
        <v>10486</v>
      </c>
      <c r="J73" s="336" t="s">
        <v>2530</v>
      </c>
      <c r="K73" s="336" t="s">
        <v>10487</v>
      </c>
      <c r="L73" s="336" t="s">
        <v>9250</v>
      </c>
      <c r="M73" s="336" t="s">
        <v>7141</v>
      </c>
      <c r="N73" s="336" t="s">
        <v>9509</v>
      </c>
      <c r="O73" s="336" t="s">
        <v>4470</v>
      </c>
      <c r="P73" s="336" t="s">
        <v>1524</v>
      </c>
      <c r="Q73" s="336" t="s">
        <v>10488</v>
      </c>
      <c r="R73" s="336" t="s">
        <v>1938</v>
      </c>
      <c r="S73" s="336" t="s">
        <v>4435</v>
      </c>
      <c r="T73" s="336" t="s">
        <v>10489</v>
      </c>
      <c r="U73" s="336" t="s">
        <v>10288</v>
      </c>
      <c r="V73" s="336" t="s">
        <v>6594</v>
      </c>
      <c r="W73" s="336" t="s">
        <v>4470</v>
      </c>
      <c r="X73" s="336" t="s">
        <v>9904</v>
      </c>
      <c r="Y73" s="336" t="s">
        <v>9934</v>
      </c>
      <c r="Z73" s="336" t="s">
        <v>6540</v>
      </c>
      <c r="AA73" s="336" t="s">
        <v>419</v>
      </c>
      <c r="AB73" s="336" t="s">
        <v>622</v>
      </c>
      <c r="AC73" s="336" t="s">
        <v>10490</v>
      </c>
      <c r="AD73" s="336" t="s">
        <v>10327</v>
      </c>
      <c r="AE73" s="336" t="s">
        <v>847</v>
      </c>
      <c r="AF73" s="336" t="s">
        <v>10491</v>
      </c>
      <c r="AG73" s="336" t="s">
        <v>10492</v>
      </c>
      <c r="AH73" s="336" t="s">
        <v>10239</v>
      </c>
      <c r="AI73" s="336" t="s">
        <v>10493</v>
      </c>
      <c r="AJ73" s="336" t="s">
        <v>10494</v>
      </c>
      <c r="AK73" s="336" t="s">
        <v>10495</v>
      </c>
      <c r="AL73" s="336" t="s">
        <v>5674</v>
      </c>
      <c r="AM73" s="336" t="s">
        <v>10496</v>
      </c>
      <c r="AN73" s="336" t="s">
        <v>6398</v>
      </c>
      <c r="AO73" s="1654" t="s">
        <v>10093</v>
      </c>
      <c r="AP73" s="336" t="s">
        <v>10497</v>
      </c>
      <c r="AQ73" s="336" t="s">
        <v>10498</v>
      </c>
      <c r="AR73" s="336" t="s">
        <v>9754</v>
      </c>
      <c r="AS73" s="336" t="s">
        <v>4705</v>
      </c>
      <c r="AT73" s="336" t="s">
        <v>10499</v>
      </c>
      <c r="AU73" s="1654" t="s">
        <v>10500</v>
      </c>
      <c r="AV73" s="1450" t="str">
        <f t="shared" si="1"/>
        <v>0:37</v>
      </c>
      <c r="AW73" s="1698" t="s">
        <v>10501</v>
      </c>
    </row>
    <row r="74">
      <c r="A74" s="1589" t="s">
        <v>7459</v>
      </c>
      <c r="B74" s="1587" t="s">
        <v>8989</v>
      </c>
      <c r="C74" s="1532">
        <v>0.05188657407407407</v>
      </c>
      <c r="D74" s="1654" t="s">
        <v>10502</v>
      </c>
      <c r="E74" s="980" t="s">
        <v>175</v>
      </c>
      <c r="F74" s="980" t="s">
        <v>10503</v>
      </c>
      <c r="G74" s="980" t="s">
        <v>10504</v>
      </c>
      <c r="H74" s="980" t="s">
        <v>10505</v>
      </c>
      <c r="I74" s="980" t="s">
        <v>143</v>
      </c>
      <c r="J74" s="980" t="s">
        <v>4148</v>
      </c>
      <c r="K74" s="980" t="s">
        <v>9729</v>
      </c>
      <c r="L74" s="980" t="s">
        <v>2882</v>
      </c>
      <c r="M74" s="980" t="s">
        <v>10506</v>
      </c>
      <c r="N74" s="980" t="s">
        <v>4073</v>
      </c>
      <c r="O74" s="980" t="s">
        <v>10507</v>
      </c>
      <c r="P74" s="980" t="s">
        <v>5190</v>
      </c>
      <c r="Q74" s="980" t="s">
        <v>10508</v>
      </c>
      <c r="R74" s="980" t="s">
        <v>5624</v>
      </c>
      <c r="S74" s="980" t="s">
        <v>10509</v>
      </c>
      <c r="T74" s="980" t="s">
        <v>9064</v>
      </c>
      <c r="U74" s="980" t="s">
        <v>10510</v>
      </c>
      <c r="V74" s="980" t="s">
        <v>5298</v>
      </c>
      <c r="W74" s="980" t="s">
        <v>10511</v>
      </c>
      <c r="X74" s="980" t="s">
        <v>10512</v>
      </c>
      <c r="Y74" s="980" t="s">
        <v>10513</v>
      </c>
      <c r="Z74" s="980" t="s">
        <v>9740</v>
      </c>
      <c r="AA74" s="980" t="s">
        <v>5149</v>
      </c>
      <c r="AB74" s="980" t="s">
        <v>688</v>
      </c>
      <c r="AC74" s="980" t="s">
        <v>10514</v>
      </c>
      <c r="AD74" s="980" t="s">
        <v>2729</v>
      </c>
      <c r="AE74" s="980" t="s">
        <v>5460</v>
      </c>
      <c r="AF74" s="980" t="s">
        <v>10515</v>
      </c>
      <c r="AG74" s="980" t="s">
        <v>2414</v>
      </c>
      <c r="AH74" s="980" t="s">
        <v>2882</v>
      </c>
      <c r="AI74" s="980" t="s">
        <v>199</v>
      </c>
      <c r="AJ74" s="980" t="s">
        <v>10516</v>
      </c>
      <c r="AK74" s="980" t="s">
        <v>9747</v>
      </c>
      <c r="AL74" s="980" t="s">
        <v>10201</v>
      </c>
      <c r="AM74" s="980" t="s">
        <v>9717</v>
      </c>
      <c r="AN74" s="980" t="s">
        <v>3637</v>
      </c>
      <c r="AO74" s="980" t="s">
        <v>5524</v>
      </c>
      <c r="AP74" s="980" t="s">
        <v>10156</v>
      </c>
      <c r="AQ74" s="980" t="s">
        <v>10498</v>
      </c>
      <c r="AR74" s="980" t="s">
        <v>10517</v>
      </c>
      <c r="AS74" s="980" t="s">
        <v>6598</v>
      </c>
      <c r="AT74" s="980" t="s">
        <v>9268</v>
      </c>
      <c r="AU74" s="1654" t="s">
        <v>10518</v>
      </c>
      <c r="AV74" s="1450" t="str">
        <f t="shared" si="1"/>
        <v>4:21</v>
      </c>
      <c r="AW74" s="1694" t="s">
        <v>10519</v>
      </c>
    </row>
    <row r="75">
      <c r="A75" s="1589" t="s">
        <v>8932</v>
      </c>
      <c r="B75" s="1577" t="s">
        <v>8989</v>
      </c>
      <c r="C75" s="1532">
        <v>0.05193287037037037</v>
      </c>
      <c r="D75" s="1671" t="s">
        <v>10520</v>
      </c>
      <c r="E75" s="1654" t="s">
        <v>7182</v>
      </c>
      <c r="F75" s="1654" t="s">
        <v>10521</v>
      </c>
      <c r="G75" s="1654" t="s">
        <v>10522</v>
      </c>
      <c r="H75" s="1654" t="s">
        <v>10523</v>
      </c>
      <c r="I75" s="1654" t="s">
        <v>2384</v>
      </c>
      <c r="J75" s="1654" t="s">
        <v>4257</v>
      </c>
      <c r="K75" s="1654" t="s">
        <v>9670</v>
      </c>
      <c r="L75" s="1654"/>
      <c r="M75" s="1654" t="s">
        <v>6753</v>
      </c>
      <c r="N75" s="1654" t="s">
        <v>4689</v>
      </c>
      <c r="O75" s="1654" t="s">
        <v>9058</v>
      </c>
      <c r="P75" s="1654" t="s">
        <v>10149</v>
      </c>
      <c r="Q75" s="1654" t="s">
        <v>10524</v>
      </c>
      <c r="R75" s="1654" t="s">
        <v>10525</v>
      </c>
      <c r="S75" s="1654" t="s">
        <v>9323</v>
      </c>
      <c r="T75" s="1654" t="s">
        <v>9685</v>
      </c>
      <c r="U75" s="1654" t="s">
        <v>2269</v>
      </c>
      <c r="V75" s="1654" t="s">
        <v>9525</v>
      </c>
      <c r="W75" s="1654" t="s">
        <v>5989</v>
      </c>
      <c r="X75" s="1654" t="s">
        <v>628</v>
      </c>
      <c r="Y75" s="1654" t="s">
        <v>9491</v>
      </c>
      <c r="Z75" s="1654" t="s">
        <v>9080</v>
      </c>
      <c r="AA75" s="1654" t="s">
        <v>7269</v>
      </c>
      <c r="AB75" s="1654" t="s">
        <v>9359</v>
      </c>
      <c r="AC75" s="1654" t="s">
        <v>3016</v>
      </c>
      <c r="AD75" s="1654" t="s">
        <v>10526</v>
      </c>
      <c r="AE75" s="1654" t="s">
        <v>10527</v>
      </c>
      <c r="AF75" s="1654" t="s">
        <v>10528</v>
      </c>
      <c r="AG75" s="1654" t="s">
        <v>10292</v>
      </c>
      <c r="AH75" s="1654" t="s">
        <v>10529</v>
      </c>
      <c r="AI75" s="1654" t="s">
        <v>10530</v>
      </c>
      <c r="AJ75" s="1654" t="s">
        <v>10531</v>
      </c>
      <c r="AK75" s="1654" t="s">
        <v>10532</v>
      </c>
      <c r="AL75" s="1654" t="s">
        <v>3361</v>
      </c>
      <c r="AM75" s="1654" t="s">
        <v>10533</v>
      </c>
      <c r="AN75" s="1654" t="s">
        <v>3648</v>
      </c>
      <c r="AO75" s="1654" t="s">
        <v>10534</v>
      </c>
      <c r="AP75" s="1654" t="s">
        <v>10535</v>
      </c>
      <c r="AQ75" s="1654" t="s">
        <v>10536</v>
      </c>
      <c r="AR75" s="1654" t="s">
        <v>10537</v>
      </c>
      <c r="AS75" s="1654" t="s">
        <v>3794</v>
      </c>
      <c r="AT75" s="1654" t="s">
        <v>10538</v>
      </c>
      <c r="AU75" s="1654" t="s">
        <v>10539</v>
      </c>
      <c r="AV75" s="1450" t="str">
        <f t="shared" si="1"/>
        <v>4:12</v>
      </c>
      <c r="AW75" s="1698"/>
    </row>
    <row r="76" ht="15.75" customHeight="1">
      <c r="A76" s="1655" t="s">
        <v>10540</v>
      </c>
      <c r="B76" s="1531" t="s">
        <v>8989</v>
      </c>
      <c r="C76" s="1665">
        <v>0.05199074074074074</v>
      </c>
      <c r="D76" s="980" t="s">
        <v>10541</v>
      </c>
      <c r="E76" s="336" t="s">
        <v>10542</v>
      </c>
      <c r="F76" s="336" t="s">
        <v>10543</v>
      </c>
      <c r="G76" s="336" t="s">
        <v>10544</v>
      </c>
      <c r="H76" s="336" t="s">
        <v>7070</v>
      </c>
      <c r="I76" s="336" t="s">
        <v>10107</v>
      </c>
      <c r="J76" s="336" t="s">
        <v>10545</v>
      </c>
      <c r="K76" s="336" t="s">
        <v>10546</v>
      </c>
      <c r="L76" s="336" t="s">
        <v>3140</v>
      </c>
      <c r="M76" s="336" t="s">
        <v>10547</v>
      </c>
      <c r="N76" s="336" t="s">
        <v>9814</v>
      </c>
      <c r="O76" s="336" t="s">
        <v>10548</v>
      </c>
      <c r="P76" s="336" t="s">
        <v>2438</v>
      </c>
      <c r="Q76" s="336" t="s">
        <v>5108</v>
      </c>
      <c r="R76" s="336" t="s">
        <v>5348</v>
      </c>
      <c r="S76" s="336" t="s">
        <v>10549</v>
      </c>
      <c r="T76" s="336" t="s">
        <v>5888</v>
      </c>
      <c r="U76" s="336" t="s">
        <v>10550</v>
      </c>
      <c r="V76" s="336" t="s">
        <v>6594</v>
      </c>
      <c r="W76" s="336" t="s">
        <v>7465</v>
      </c>
      <c r="X76" s="336" t="s">
        <v>10551</v>
      </c>
      <c r="Y76" s="336" t="s">
        <v>2099</v>
      </c>
      <c r="Z76" s="336" t="s">
        <v>10552</v>
      </c>
      <c r="AA76" s="336" t="s">
        <v>10245</v>
      </c>
      <c r="AB76" s="336" t="s">
        <v>10553</v>
      </c>
      <c r="AC76" s="336" t="s">
        <v>5575</v>
      </c>
      <c r="AD76" s="336" t="s">
        <v>10554</v>
      </c>
      <c r="AE76" s="336" t="s">
        <v>7666</v>
      </c>
      <c r="AF76" s="336" t="s">
        <v>10555</v>
      </c>
      <c r="AG76" s="336" t="s">
        <v>10495</v>
      </c>
      <c r="AH76" s="336" t="s">
        <v>10556</v>
      </c>
      <c r="AI76" s="336" t="s">
        <v>10557</v>
      </c>
      <c r="AJ76" s="336" t="s">
        <v>10558</v>
      </c>
      <c r="AK76" s="336" t="s">
        <v>808</v>
      </c>
      <c r="AL76" s="336" t="s">
        <v>3341</v>
      </c>
      <c r="AM76" s="336" t="s">
        <v>9997</v>
      </c>
      <c r="AN76" s="336" t="s">
        <v>10559</v>
      </c>
      <c r="AO76" s="1654" t="s">
        <v>6952</v>
      </c>
      <c r="AP76" s="1654" t="s">
        <v>10560</v>
      </c>
      <c r="AQ76" s="336" t="s">
        <v>5388</v>
      </c>
      <c r="AR76" s="336" t="s">
        <v>10033</v>
      </c>
      <c r="AS76" s="336" t="s">
        <v>1084</v>
      </c>
      <c r="AT76" s="336" t="s">
        <v>10150</v>
      </c>
      <c r="AU76" s="1696" t="str">
        <f>HYPERLINK("https://splits.io/m3t","1:18:40")</f>
        <v>1:18:40</v>
      </c>
      <c r="AV76" s="1450" t="str">
        <f t="shared" si="1"/>
        <v>3:48</v>
      </c>
      <c r="AW76" s="1697" t="s">
        <v>10561</v>
      </c>
    </row>
    <row r="77" ht="15.75" customHeight="1">
      <c r="A77" s="1655" t="s">
        <v>10562</v>
      </c>
      <c r="B77" s="1531" t="s">
        <v>8989</v>
      </c>
      <c r="C77" s="1665">
        <v>0.052002314814814814</v>
      </c>
      <c r="D77" s="980" t="s">
        <v>10563</v>
      </c>
      <c r="E77" s="336" t="s">
        <v>9335</v>
      </c>
      <c r="F77" s="336" t="s">
        <v>10564</v>
      </c>
      <c r="G77" s="336" t="s">
        <v>10565</v>
      </c>
      <c r="H77" s="336" t="s">
        <v>10566</v>
      </c>
      <c r="I77" s="336" t="s">
        <v>3649</v>
      </c>
      <c r="J77" s="336" t="s">
        <v>9706</v>
      </c>
      <c r="K77" s="336" t="s">
        <v>4435</v>
      </c>
      <c r="L77" s="336" t="s">
        <v>3544</v>
      </c>
      <c r="M77" s="336" t="s">
        <v>10287</v>
      </c>
      <c r="N77" s="336" t="s">
        <v>4474</v>
      </c>
      <c r="O77" s="336" t="s">
        <v>10567</v>
      </c>
      <c r="P77" s="336" t="s">
        <v>10568</v>
      </c>
      <c r="Q77" s="336" t="s">
        <v>4932</v>
      </c>
      <c r="R77" s="336" t="s">
        <v>1452</v>
      </c>
      <c r="S77" s="336" t="s">
        <v>9786</v>
      </c>
      <c r="T77" s="336" t="s">
        <v>528</v>
      </c>
      <c r="U77" s="336" t="s">
        <v>1990</v>
      </c>
      <c r="V77" s="336" t="s">
        <v>464</v>
      </c>
      <c r="W77" s="336" t="s">
        <v>5775</v>
      </c>
      <c r="X77" s="336" t="s">
        <v>10064</v>
      </c>
      <c r="Y77" s="336" t="s">
        <v>2448</v>
      </c>
      <c r="Z77" s="336" t="s">
        <v>5278</v>
      </c>
      <c r="AA77" s="336" t="s">
        <v>9814</v>
      </c>
      <c r="AB77" s="336" t="s">
        <v>10569</v>
      </c>
      <c r="AC77" s="336" t="s">
        <v>3113</v>
      </c>
      <c r="AD77" s="336" t="s">
        <v>10570</v>
      </c>
      <c r="AE77" s="336" t="s">
        <v>5190</v>
      </c>
      <c r="AF77" s="336" t="s">
        <v>10571</v>
      </c>
      <c r="AG77" s="336" t="s">
        <v>10572</v>
      </c>
      <c r="AH77" s="336" t="s">
        <v>2253</v>
      </c>
      <c r="AI77" s="336" t="s">
        <v>10573</v>
      </c>
      <c r="AJ77" s="336" t="s">
        <v>10574</v>
      </c>
      <c r="AK77" s="336" t="s">
        <v>4637</v>
      </c>
      <c r="AL77" s="336" t="s">
        <v>6167</v>
      </c>
      <c r="AM77" s="336" t="s">
        <v>1457</v>
      </c>
      <c r="AN77" s="336" t="s">
        <v>5560</v>
      </c>
      <c r="AO77" s="336" t="s">
        <v>5243</v>
      </c>
      <c r="AP77" s="336" t="s">
        <v>4684</v>
      </c>
      <c r="AQ77" s="336" t="s">
        <v>10575</v>
      </c>
      <c r="AR77" s="336" t="s">
        <v>10576</v>
      </c>
      <c r="AS77" s="336" t="s">
        <v>10577</v>
      </c>
      <c r="AT77" s="336" t="s">
        <v>10578</v>
      </c>
      <c r="AU77" s="336" t="s">
        <v>10579</v>
      </c>
      <c r="AV77" s="1450" t="str">
        <f t="shared" si="1"/>
        <v>3:32</v>
      </c>
      <c r="AW77" s="1697" t="s">
        <v>10580</v>
      </c>
    </row>
    <row r="78" ht="15.75" customHeight="1">
      <c r="A78" s="1655" t="s">
        <v>10581</v>
      </c>
      <c r="B78" s="1622" t="s">
        <v>9016</v>
      </c>
      <c r="C78" s="1665">
        <v>0.05201388888888889</v>
      </c>
      <c r="D78" s="980" t="s">
        <v>10582</v>
      </c>
      <c r="E78" s="1654" t="s">
        <v>10583</v>
      </c>
      <c r="F78" s="336" t="s">
        <v>10584</v>
      </c>
      <c r="G78" s="336" t="s">
        <v>10585</v>
      </c>
      <c r="H78" s="336" t="s">
        <v>129</v>
      </c>
      <c r="I78" s="336" t="s">
        <v>10586</v>
      </c>
      <c r="J78" s="336" t="s">
        <v>10587</v>
      </c>
      <c r="K78" s="336" t="s">
        <v>4215</v>
      </c>
      <c r="L78" s="336" t="s">
        <v>10588</v>
      </c>
      <c r="M78" s="336" t="s">
        <v>10589</v>
      </c>
      <c r="N78" s="336" t="s">
        <v>10590</v>
      </c>
      <c r="O78" s="336" t="s">
        <v>10591</v>
      </c>
      <c r="P78" s="336" t="s">
        <v>161</v>
      </c>
      <c r="Q78" s="336" t="s">
        <v>10592</v>
      </c>
      <c r="R78" s="336" t="s">
        <v>6893</v>
      </c>
      <c r="S78" s="336" t="s">
        <v>10593</v>
      </c>
      <c r="T78" s="336" t="s">
        <v>10594</v>
      </c>
      <c r="U78" s="336" t="s">
        <v>10595</v>
      </c>
      <c r="V78" s="336" t="s">
        <v>8351</v>
      </c>
      <c r="W78" s="336" t="s">
        <v>10596</v>
      </c>
      <c r="X78" s="336" t="s">
        <v>10064</v>
      </c>
      <c r="Y78" s="336" t="s">
        <v>209</v>
      </c>
      <c r="Z78" s="336" t="s">
        <v>2378</v>
      </c>
      <c r="AA78" s="336" t="s">
        <v>5929</v>
      </c>
      <c r="AB78" s="336" t="s">
        <v>9383</v>
      </c>
      <c r="AC78" s="336" t="s">
        <v>925</v>
      </c>
      <c r="AD78" s="336" t="s">
        <v>10597</v>
      </c>
      <c r="AE78" s="336" t="s">
        <v>1161</v>
      </c>
      <c r="AF78" s="336" t="s">
        <v>10598</v>
      </c>
      <c r="AG78" s="336" t="s">
        <v>2981</v>
      </c>
      <c r="AH78" s="336" t="s">
        <v>6208</v>
      </c>
      <c r="AI78" s="336" t="s">
        <v>1569</v>
      </c>
      <c r="AJ78" s="336" t="s">
        <v>10599</v>
      </c>
      <c r="AK78" s="336" t="s">
        <v>3626</v>
      </c>
      <c r="AL78" s="336" t="s">
        <v>3896</v>
      </c>
      <c r="AM78" s="336" t="s">
        <v>839</v>
      </c>
      <c r="AN78" s="336" t="s">
        <v>4531</v>
      </c>
      <c r="AO78" s="336" t="s">
        <v>2255</v>
      </c>
      <c r="AP78" s="336" t="s">
        <v>10600</v>
      </c>
      <c r="AQ78" s="336" t="s">
        <v>999</v>
      </c>
      <c r="AR78" s="336" t="s">
        <v>9059</v>
      </c>
      <c r="AS78" s="336" t="s">
        <v>8997</v>
      </c>
      <c r="AT78" s="336" t="s">
        <v>10601</v>
      </c>
      <c r="AU78" s="336" t="s">
        <v>10602</v>
      </c>
      <c r="AV78" s="1450" t="str">
        <f t="shared" si="1"/>
        <v>2:58</v>
      </c>
      <c r="AW78" s="1698" t="s">
        <v>10603</v>
      </c>
    </row>
    <row r="79" ht="15.75" customHeight="1">
      <c r="A79" s="1530" t="s">
        <v>7126</v>
      </c>
      <c r="B79" s="1622" t="s">
        <v>9016</v>
      </c>
      <c r="C79" s="1665">
        <v>0.05207175925925926</v>
      </c>
      <c r="D79" s="980" t="s">
        <v>10604</v>
      </c>
      <c r="E79" s="336" t="s">
        <v>10605</v>
      </c>
      <c r="F79" s="336" t="s">
        <v>10606</v>
      </c>
      <c r="G79" s="336" t="s">
        <v>10607</v>
      </c>
      <c r="H79" s="336" t="s">
        <v>9267</v>
      </c>
      <c r="I79" s="336" t="s">
        <v>4917</v>
      </c>
      <c r="J79" s="336" t="s">
        <v>9616</v>
      </c>
      <c r="K79" s="336" t="s">
        <v>10253</v>
      </c>
      <c r="L79" s="336" t="s">
        <v>10608</v>
      </c>
      <c r="M79" s="336" t="s">
        <v>2820</v>
      </c>
      <c r="N79" s="336" t="s">
        <v>10609</v>
      </c>
      <c r="O79" s="336" t="s">
        <v>10610</v>
      </c>
      <c r="P79" s="336" t="s">
        <v>765</v>
      </c>
      <c r="Q79" s="336" t="s">
        <v>10611</v>
      </c>
      <c r="R79" s="336" t="s">
        <v>4951</v>
      </c>
      <c r="S79" s="336" t="s">
        <v>6185</v>
      </c>
      <c r="T79" s="336" t="s">
        <v>5888</v>
      </c>
      <c r="U79" s="336" t="s">
        <v>10612</v>
      </c>
      <c r="V79" s="336" t="s">
        <v>2420</v>
      </c>
      <c r="W79" s="336" t="s">
        <v>9063</v>
      </c>
      <c r="X79" s="336" t="s">
        <v>10613</v>
      </c>
      <c r="Y79" s="336" t="s">
        <v>1408</v>
      </c>
      <c r="Z79" s="336" t="s">
        <v>6837</v>
      </c>
      <c r="AA79" s="336" t="s">
        <v>1483</v>
      </c>
      <c r="AB79" s="336" t="s">
        <v>10614</v>
      </c>
      <c r="AC79" s="336" t="s">
        <v>239</v>
      </c>
      <c r="AD79" s="336" t="s">
        <v>4264</v>
      </c>
      <c r="AE79" s="336" t="s">
        <v>6145</v>
      </c>
      <c r="AF79" s="336" t="s">
        <v>10615</v>
      </c>
      <c r="AG79" s="336" t="s">
        <v>10064</v>
      </c>
      <c r="AH79" s="336" t="s">
        <v>8148</v>
      </c>
      <c r="AI79" s="336" t="s">
        <v>10408</v>
      </c>
      <c r="AJ79" s="336" t="s">
        <v>10616</v>
      </c>
      <c r="AK79" s="336" t="s">
        <v>10617</v>
      </c>
      <c r="AL79" s="336" t="s">
        <v>4357</v>
      </c>
      <c r="AM79" s="336" t="s">
        <v>10171</v>
      </c>
      <c r="AN79" s="336" t="s">
        <v>3896</v>
      </c>
      <c r="AO79" s="336" t="s">
        <v>4215</v>
      </c>
      <c r="AP79" s="336" t="s">
        <v>9895</v>
      </c>
      <c r="AQ79" s="336" t="s">
        <v>10618</v>
      </c>
      <c r="AR79" s="336" t="s">
        <v>1482</v>
      </c>
      <c r="AS79" s="336" t="s">
        <v>6306</v>
      </c>
      <c r="AT79" s="336" t="s">
        <v>7231</v>
      </c>
      <c r="AU79" s="336" t="s">
        <v>10619</v>
      </c>
      <c r="AV79" s="1450" t="str">
        <f t="shared" si="1"/>
        <v>3:10</v>
      </c>
      <c r="AW79" s="1698" t="s">
        <v>10620</v>
      </c>
    </row>
    <row r="80">
      <c r="A80" s="954" t="s">
        <v>3901</v>
      </c>
      <c r="B80" s="1684" t="s">
        <v>9044</v>
      </c>
      <c r="C80" s="1626">
        <v>0.052141203703703703</v>
      </c>
      <c r="D80" s="980" t="s">
        <v>10621</v>
      </c>
      <c r="E80" s="1612" t="s">
        <v>3008</v>
      </c>
      <c r="F80" s="1612" t="s">
        <v>10622</v>
      </c>
      <c r="G80" s="1651" t="s">
        <v>10623</v>
      </c>
      <c r="H80" s="1651" t="s">
        <v>10624</v>
      </c>
      <c r="I80" s="1651" t="s">
        <v>2433</v>
      </c>
      <c r="J80" s="1651" t="s">
        <v>7981</v>
      </c>
      <c r="K80" s="1703" t="s">
        <v>6336</v>
      </c>
      <c r="L80" s="1704" t="s">
        <v>8145</v>
      </c>
      <c r="M80" s="1651" t="s">
        <v>10625</v>
      </c>
      <c r="N80" s="1651" t="s">
        <v>5888</v>
      </c>
      <c r="O80" s="1651" t="s">
        <v>5627</v>
      </c>
      <c r="P80" s="1651" t="s">
        <v>1848</v>
      </c>
      <c r="Q80" s="1651" t="s">
        <v>10626</v>
      </c>
      <c r="R80" s="1651" t="s">
        <v>10627</v>
      </c>
      <c r="S80" s="1705" t="s">
        <v>2267</v>
      </c>
      <c r="T80" s="1651" t="s">
        <v>9315</v>
      </c>
      <c r="U80" s="1651" t="s">
        <v>3514</v>
      </c>
      <c r="V80" s="1651" t="s">
        <v>10628</v>
      </c>
      <c r="W80" s="1651" t="s">
        <v>10629</v>
      </c>
      <c r="X80" s="1651" t="s">
        <v>4459</v>
      </c>
      <c r="Y80" s="1651" t="s">
        <v>3689</v>
      </c>
      <c r="Z80" s="1651" t="s">
        <v>4184</v>
      </c>
      <c r="AA80" s="1651" t="s">
        <v>174</v>
      </c>
      <c r="AB80" s="1651" t="s">
        <v>625</v>
      </c>
      <c r="AC80" s="1651" t="s">
        <v>6145</v>
      </c>
      <c r="AD80" s="1538" t="s">
        <v>9448</v>
      </c>
      <c r="AE80" s="1651" t="s">
        <v>478</v>
      </c>
      <c r="AF80" s="1651" t="s">
        <v>10630</v>
      </c>
      <c r="AG80" s="1651" t="s">
        <v>10631</v>
      </c>
      <c r="AH80" s="1651" t="s">
        <v>4579</v>
      </c>
      <c r="AI80" s="1651" t="s">
        <v>10632</v>
      </c>
      <c r="AJ80" s="1651" t="s">
        <v>10633</v>
      </c>
      <c r="AK80" s="1651" t="s">
        <v>10634</v>
      </c>
      <c r="AL80" s="1651" t="s">
        <v>5110</v>
      </c>
      <c r="AM80" s="1651" t="s">
        <v>10294</v>
      </c>
      <c r="AN80" s="1651" t="s">
        <v>4324</v>
      </c>
      <c r="AO80" s="1651" t="s">
        <v>9430</v>
      </c>
      <c r="AP80" s="1651" t="s">
        <v>10635</v>
      </c>
      <c r="AQ80" s="1703" t="s">
        <v>9071</v>
      </c>
      <c r="AR80" s="1651" t="s">
        <v>10636</v>
      </c>
      <c r="AS80" s="1706" t="s">
        <v>754</v>
      </c>
      <c r="AT80" s="1651" t="s">
        <v>10637</v>
      </c>
      <c r="AU80" s="1579" t="s">
        <v>10638</v>
      </c>
      <c r="AV80" s="1450" t="str">
        <f t="shared" si="1"/>
        <v>4:08</v>
      </c>
      <c r="AW80" s="1639" t="s">
        <v>10639</v>
      </c>
    </row>
    <row r="81">
      <c r="A81" s="1589" t="s">
        <v>3967</v>
      </c>
      <c r="B81" s="1577" t="s">
        <v>8989</v>
      </c>
      <c r="C81" s="1532">
        <v>0.0522337962962963</v>
      </c>
      <c r="D81" s="1671" t="s">
        <v>10640</v>
      </c>
      <c r="E81" s="1654" t="s">
        <v>10641</v>
      </c>
      <c r="F81" s="1654" t="s">
        <v>10642</v>
      </c>
      <c r="G81" s="1654" t="s">
        <v>10643</v>
      </c>
      <c r="H81" s="1654" t="s">
        <v>10644</v>
      </c>
      <c r="I81" s="1654" t="s">
        <v>1975</v>
      </c>
      <c r="J81" s="1654" t="s">
        <v>8725</v>
      </c>
      <c r="K81" s="1654" t="s">
        <v>4435</v>
      </c>
      <c r="L81" s="1654" t="s">
        <v>5841</v>
      </c>
      <c r="M81" s="1654" t="s">
        <v>10645</v>
      </c>
      <c r="N81" s="1654" t="s">
        <v>10041</v>
      </c>
      <c r="O81" s="1654" t="s">
        <v>10646</v>
      </c>
      <c r="P81" s="1654" t="s">
        <v>5190</v>
      </c>
      <c r="Q81" s="1654" t="s">
        <v>10647</v>
      </c>
      <c r="R81" s="1654" t="s">
        <v>6334</v>
      </c>
      <c r="S81" s="1654" t="s">
        <v>607</v>
      </c>
      <c r="T81" s="1654" t="s">
        <v>10451</v>
      </c>
      <c r="U81" s="1654" t="s">
        <v>9472</v>
      </c>
      <c r="V81" s="1654" t="s">
        <v>10648</v>
      </c>
      <c r="W81" s="1654" t="s">
        <v>10649</v>
      </c>
      <c r="X81" s="1654" t="s">
        <v>10650</v>
      </c>
      <c r="Y81" s="1654" t="s">
        <v>759</v>
      </c>
      <c r="Z81" s="1654" t="s">
        <v>10651</v>
      </c>
      <c r="AA81" s="980" t="s">
        <v>10652</v>
      </c>
      <c r="AB81" s="1654" t="s">
        <v>6833</v>
      </c>
      <c r="AC81" s="1654" t="s">
        <v>10431</v>
      </c>
      <c r="AD81" s="1654" t="s">
        <v>7067</v>
      </c>
      <c r="AE81" s="1654" t="s">
        <v>4955</v>
      </c>
      <c r="AF81" s="1328" t="s">
        <v>10653</v>
      </c>
      <c r="AG81" s="1654" t="s">
        <v>10654</v>
      </c>
      <c r="AH81" s="1654" t="s">
        <v>5068</v>
      </c>
      <c r="AI81" s="1654" t="s">
        <v>7691</v>
      </c>
      <c r="AJ81" s="1654" t="s">
        <v>10655</v>
      </c>
      <c r="AK81" s="1654" t="s">
        <v>10656</v>
      </c>
      <c r="AL81" s="1654" t="s">
        <v>10369</v>
      </c>
      <c r="AM81" s="1654" t="s">
        <v>10043</v>
      </c>
      <c r="AN81" s="1654" t="s">
        <v>1074</v>
      </c>
      <c r="AO81" s="1654" t="s">
        <v>6511</v>
      </c>
      <c r="AP81" s="1654" t="s">
        <v>5677</v>
      </c>
      <c r="AQ81" s="1654" t="s">
        <v>10657</v>
      </c>
      <c r="AR81" s="1654" t="s">
        <v>691</v>
      </c>
      <c r="AS81" s="1328" t="s">
        <v>2828</v>
      </c>
      <c r="AT81" s="1654" t="s">
        <v>10658</v>
      </c>
      <c r="AU81" s="1654" t="s">
        <v>10659</v>
      </c>
      <c r="AV81" s="1450" t="str">
        <f t="shared" si="1"/>
        <v>4:32</v>
      </c>
      <c r="AW81" s="1694" t="s">
        <v>10660</v>
      </c>
    </row>
    <row r="82">
      <c r="A82" s="1589" t="s">
        <v>5198</v>
      </c>
      <c r="B82" s="1587" t="s">
        <v>9016</v>
      </c>
      <c r="C82" s="1532">
        <v>0.05232638888888889</v>
      </c>
      <c r="D82" s="1671" t="s">
        <v>10661</v>
      </c>
      <c r="E82" s="1654" t="s">
        <v>1229</v>
      </c>
      <c r="F82" s="1654" t="s">
        <v>10662</v>
      </c>
      <c r="G82" s="1654" t="s">
        <v>10663</v>
      </c>
      <c r="H82" s="1654" t="s">
        <v>10664</v>
      </c>
      <c r="I82" s="1654" t="s">
        <v>1349</v>
      </c>
      <c r="J82" s="1654" t="s">
        <v>7396</v>
      </c>
      <c r="K82" s="1654" t="s">
        <v>10264</v>
      </c>
      <c r="L82" s="1654" t="s">
        <v>10665</v>
      </c>
      <c r="M82" s="1654" t="s">
        <v>7055</v>
      </c>
      <c r="N82" s="1654" t="s">
        <v>10666</v>
      </c>
      <c r="O82" s="1654" t="s">
        <v>10667</v>
      </c>
      <c r="P82" s="1654" t="s">
        <v>519</v>
      </c>
      <c r="Q82" s="1654" t="s">
        <v>10104</v>
      </c>
      <c r="R82" s="1654" t="s">
        <v>5231</v>
      </c>
      <c r="S82" s="1654" t="s">
        <v>9904</v>
      </c>
      <c r="T82" s="1654" t="s">
        <v>10668</v>
      </c>
      <c r="U82" s="1654" t="s">
        <v>10669</v>
      </c>
      <c r="V82" s="1654" t="s">
        <v>10670</v>
      </c>
      <c r="W82" s="1654" t="s">
        <v>6421</v>
      </c>
      <c r="X82" s="1654" t="s">
        <v>312</v>
      </c>
      <c r="Y82" s="1654" t="s">
        <v>7518</v>
      </c>
      <c r="Z82" s="1654" t="s">
        <v>780</v>
      </c>
      <c r="AA82" s="336" t="s">
        <v>9904</v>
      </c>
      <c r="AB82" s="1654" t="s">
        <v>10671</v>
      </c>
      <c r="AC82" s="1654" t="s">
        <v>6330</v>
      </c>
      <c r="AD82" s="1654" t="s">
        <v>10672</v>
      </c>
      <c r="AE82" s="1654" t="s">
        <v>225</v>
      </c>
      <c r="AF82" s="1654" t="s">
        <v>9580</v>
      </c>
      <c r="AG82" s="1654" t="s">
        <v>4078</v>
      </c>
      <c r="AH82" s="1654" t="s">
        <v>1955</v>
      </c>
      <c r="AI82" s="1654" t="s">
        <v>418</v>
      </c>
      <c r="AJ82" s="1654" t="s">
        <v>10673</v>
      </c>
      <c r="AK82" s="1654" t="s">
        <v>10674</v>
      </c>
      <c r="AL82" s="1654" t="s">
        <v>10409</v>
      </c>
      <c r="AM82" s="1654" t="s">
        <v>2981</v>
      </c>
      <c r="AN82" s="1654" t="s">
        <v>6057</v>
      </c>
      <c r="AO82" s="1654" t="s">
        <v>3723</v>
      </c>
      <c r="AP82" s="1654" t="s">
        <v>10675</v>
      </c>
      <c r="AQ82" s="1654" t="s">
        <v>7054</v>
      </c>
      <c r="AR82" s="1654" t="s">
        <v>6329</v>
      </c>
      <c r="AS82" s="1654" t="s">
        <v>10676</v>
      </c>
      <c r="AT82" s="1654" t="s">
        <v>10677</v>
      </c>
      <c r="AU82" s="1654" t="s">
        <v>10678</v>
      </c>
      <c r="AV82" s="1450" t="str">
        <f t="shared" si="1"/>
        <v>3:48</v>
      </c>
      <c r="AW82" s="1698"/>
    </row>
    <row r="83" ht="15.75" customHeight="1">
      <c r="A83" s="1530" t="s">
        <v>10679</v>
      </c>
      <c r="B83" s="1531" t="s">
        <v>8989</v>
      </c>
      <c r="C83" s="1665">
        <v>0.05240740740740741</v>
      </c>
      <c r="D83" s="980" t="s">
        <v>10680</v>
      </c>
      <c r="E83" s="336" t="s">
        <v>1746</v>
      </c>
      <c r="F83" s="336" t="s">
        <v>7386</v>
      </c>
      <c r="G83" s="336" t="s">
        <v>10390</v>
      </c>
      <c r="H83" s="336" t="s">
        <v>10681</v>
      </c>
      <c r="I83" s="336" t="s">
        <v>10682</v>
      </c>
      <c r="J83" s="336" t="s">
        <v>10683</v>
      </c>
      <c r="K83" s="336" t="s">
        <v>10684</v>
      </c>
      <c r="L83" s="336" t="s">
        <v>4464</v>
      </c>
      <c r="M83" s="336" t="s">
        <v>3299</v>
      </c>
      <c r="N83" s="336" t="s">
        <v>4859</v>
      </c>
      <c r="O83" s="336" t="s">
        <v>10685</v>
      </c>
      <c r="P83" s="336" t="s">
        <v>10686</v>
      </c>
      <c r="Q83" s="336" t="s">
        <v>4240</v>
      </c>
      <c r="R83" s="336" t="s">
        <v>10011</v>
      </c>
      <c r="S83" s="336" t="s">
        <v>10173</v>
      </c>
      <c r="T83" s="336" t="s">
        <v>5069</v>
      </c>
      <c r="U83" s="336" t="s">
        <v>10687</v>
      </c>
      <c r="V83" s="336" t="s">
        <v>10688</v>
      </c>
      <c r="W83" s="336" t="s">
        <v>10689</v>
      </c>
      <c r="X83" s="336" t="s">
        <v>10690</v>
      </c>
      <c r="Y83" s="336" t="s">
        <v>6610</v>
      </c>
      <c r="Z83" s="336" t="s">
        <v>10552</v>
      </c>
      <c r="AA83" s="336" t="s">
        <v>1868</v>
      </c>
      <c r="AB83" s="336" t="s">
        <v>10691</v>
      </c>
      <c r="AC83" s="336" t="s">
        <v>1538</v>
      </c>
      <c r="AD83" s="336" t="s">
        <v>10692</v>
      </c>
      <c r="AE83" s="336" t="s">
        <v>1538</v>
      </c>
      <c r="AF83" s="336" t="s">
        <v>10693</v>
      </c>
      <c r="AG83" s="336" t="s">
        <v>10329</v>
      </c>
      <c r="AH83" s="336" t="s">
        <v>2113</v>
      </c>
      <c r="AI83" s="336" t="s">
        <v>3369</v>
      </c>
      <c r="AJ83" s="336" t="s">
        <v>10694</v>
      </c>
      <c r="AK83" s="336" t="s">
        <v>8093</v>
      </c>
      <c r="AL83" s="336" t="s">
        <v>10695</v>
      </c>
      <c r="AM83" s="336" t="s">
        <v>1186</v>
      </c>
      <c r="AN83" s="336" t="s">
        <v>3009</v>
      </c>
      <c r="AO83" s="336" t="s">
        <v>10696</v>
      </c>
      <c r="AP83" s="336" t="s">
        <v>3658</v>
      </c>
      <c r="AQ83" s="336" t="s">
        <v>10697</v>
      </c>
      <c r="AR83" s="336" t="s">
        <v>10698</v>
      </c>
      <c r="AS83" s="336" t="s">
        <v>9097</v>
      </c>
      <c r="AT83" s="336" t="s">
        <v>9718</v>
      </c>
      <c r="AU83" s="336" t="s">
        <v>10699</v>
      </c>
      <c r="AV83" s="1450" t="str">
        <f t="shared" si="1"/>
        <v>3:40</v>
      </c>
      <c r="AW83" s="1697" t="s">
        <v>10700</v>
      </c>
    </row>
    <row r="84" ht="15.75" customHeight="1">
      <c r="A84" s="1655" t="s">
        <v>10701</v>
      </c>
      <c r="B84" s="1531" t="s">
        <v>8989</v>
      </c>
      <c r="C84" s="1665">
        <v>0.05263888888888889</v>
      </c>
      <c r="D84" s="980" t="s">
        <v>10702</v>
      </c>
      <c r="E84" s="336" t="s">
        <v>7577</v>
      </c>
      <c r="F84" s="336" t="s">
        <v>10703</v>
      </c>
      <c r="G84" s="336" t="s">
        <v>10704</v>
      </c>
      <c r="H84" s="336" t="s">
        <v>10705</v>
      </c>
      <c r="I84" s="336" t="s">
        <v>10706</v>
      </c>
      <c r="J84" s="336" t="s">
        <v>10707</v>
      </c>
      <c r="K84" s="336" t="s">
        <v>4148</v>
      </c>
      <c r="L84" s="336" t="s">
        <v>4220</v>
      </c>
      <c r="M84" s="336" t="s">
        <v>9738</v>
      </c>
      <c r="N84" s="336" t="s">
        <v>10708</v>
      </c>
      <c r="O84" s="336" t="s">
        <v>9031</v>
      </c>
      <c r="P84" s="336" t="s">
        <v>482</v>
      </c>
      <c r="Q84" s="336" t="s">
        <v>10709</v>
      </c>
      <c r="R84" s="336" t="s">
        <v>5624</v>
      </c>
      <c r="S84" s="336" t="s">
        <v>6563</v>
      </c>
      <c r="T84" s="336" t="s">
        <v>10710</v>
      </c>
      <c r="U84" s="336" t="s">
        <v>10711</v>
      </c>
      <c r="V84" s="336" t="s">
        <v>10712</v>
      </c>
      <c r="W84" s="336" t="s">
        <v>10713</v>
      </c>
      <c r="X84" s="336" t="s">
        <v>5883</v>
      </c>
      <c r="Y84" s="336" t="s">
        <v>1538</v>
      </c>
      <c r="Z84" s="336" t="s">
        <v>7504</v>
      </c>
      <c r="AA84" s="1654" t="s">
        <v>6507</v>
      </c>
      <c r="AB84" s="336" t="s">
        <v>9635</v>
      </c>
      <c r="AC84" s="336" t="s">
        <v>10446</v>
      </c>
      <c r="AD84" s="336" t="s">
        <v>3046</v>
      </c>
      <c r="AE84" s="336" t="s">
        <v>4782</v>
      </c>
      <c r="AF84" s="336" t="s">
        <v>10714</v>
      </c>
      <c r="AG84" s="336" t="s">
        <v>2890</v>
      </c>
      <c r="AH84" s="336" t="s">
        <v>7686</v>
      </c>
      <c r="AI84" s="336" t="s">
        <v>10715</v>
      </c>
      <c r="AJ84" s="336" t="s">
        <v>10716</v>
      </c>
      <c r="AK84" s="336" t="s">
        <v>10060</v>
      </c>
      <c r="AL84" s="336" t="s">
        <v>10717</v>
      </c>
      <c r="AM84" s="336" t="s">
        <v>10718</v>
      </c>
      <c r="AN84" s="336" t="s">
        <v>3895</v>
      </c>
      <c r="AO84" s="336" t="s">
        <v>9430</v>
      </c>
      <c r="AP84" s="336" t="s">
        <v>10719</v>
      </c>
      <c r="AQ84" s="336" t="s">
        <v>10720</v>
      </c>
      <c r="AR84" s="336" t="s">
        <v>1380</v>
      </c>
      <c r="AS84" s="336" t="s">
        <v>1084</v>
      </c>
      <c r="AT84" s="336" t="s">
        <v>10721</v>
      </c>
      <c r="AU84" s="336" t="s">
        <v>10722</v>
      </c>
      <c r="AV84" s="1450" t="str">
        <f t="shared" si="1"/>
        <v>4:28</v>
      </c>
      <c r="AW84" s="1697" t="s">
        <v>10723</v>
      </c>
    </row>
    <row r="85">
      <c r="A85" s="1589" t="s">
        <v>3622</v>
      </c>
      <c r="B85" s="1672" t="s">
        <v>9044</v>
      </c>
      <c r="C85" s="1532">
        <v>0.052662037037037035</v>
      </c>
      <c r="D85" s="980" t="s">
        <v>10724</v>
      </c>
      <c r="E85" s="980" t="s">
        <v>532</v>
      </c>
      <c r="F85" s="980" t="s">
        <v>10725</v>
      </c>
      <c r="G85" s="980" t="s">
        <v>10726</v>
      </c>
      <c r="H85" s="980" t="s">
        <v>9249</v>
      </c>
      <c r="I85" s="980" t="s">
        <v>10727</v>
      </c>
      <c r="J85" s="980" t="s">
        <v>1592</v>
      </c>
      <c r="K85" s="980" t="s">
        <v>10728</v>
      </c>
      <c r="L85" s="980" t="s">
        <v>2883</v>
      </c>
      <c r="M85" s="980" t="s">
        <v>270</v>
      </c>
      <c r="N85" s="980" t="s">
        <v>9551</v>
      </c>
      <c r="O85" s="980" t="s">
        <v>10729</v>
      </c>
      <c r="P85" s="980" t="s">
        <v>10730</v>
      </c>
      <c r="Q85" s="980" t="s">
        <v>3472</v>
      </c>
      <c r="R85" s="980" t="s">
        <v>10731</v>
      </c>
      <c r="S85" s="980" t="s">
        <v>6143</v>
      </c>
      <c r="T85" s="980" t="s">
        <v>10732</v>
      </c>
      <c r="U85" s="980" t="s">
        <v>10733</v>
      </c>
      <c r="V85" s="980" t="s">
        <v>10734</v>
      </c>
      <c r="W85" s="980" t="s">
        <v>10735</v>
      </c>
      <c r="X85" s="980" t="s">
        <v>2808</v>
      </c>
      <c r="Y85" s="980" t="s">
        <v>2841</v>
      </c>
      <c r="Z85" s="980" t="s">
        <v>6427</v>
      </c>
      <c r="AA85" s="1654" t="s">
        <v>10736</v>
      </c>
      <c r="AB85" s="980" t="s">
        <v>9075</v>
      </c>
      <c r="AC85" s="980" t="s">
        <v>7517</v>
      </c>
      <c r="AD85" s="1707" t="s">
        <v>9063</v>
      </c>
      <c r="AE85" s="980" t="s">
        <v>335</v>
      </c>
      <c r="AF85" s="980" t="s">
        <v>10737</v>
      </c>
      <c r="AG85" s="980" t="s">
        <v>7034</v>
      </c>
      <c r="AH85" s="980" t="s">
        <v>3827</v>
      </c>
      <c r="AI85" s="980" t="s">
        <v>10738</v>
      </c>
      <c r="AJ85" s="980" t="s">
        <v>10739</v>
      </c>
      <c r="AK85" s="980" t="s">
        <v>10740</v>
      </c>
      <c r="AL85" s="980" t="s">
        <v>4603</v>
      </c>
      <c r="AM85" s="980" t="s">
        <v>5774</v>
      </c>
      <c r="AN85" s="1707" t="s">
        <v>9068</v>
      </c>
      <c r="AO85" s="980" t="s">
        <v>10741</v>
      </c>
      <c r="AP85" s="980" t="s">
        <v>10742</v>
      </c>
      <c r="AQ85" s="980" t="s">
        <v>10743</v>
      </c>
      <c r="AR85" s="980" t="s">
        <v>6097</v>
      </c>
      <c r="AS85" s="980" t="s">
        <v>8033</v>
      </c>
      <c r="AT85" s="980" t="s">
        <v>10744</v>
      </c>
      <c r="AU85" s="1708" t="s">
        <v>10745</v>
      </c>
      <c r="AV85" s="1450" t="str">
        <f t="shared" si="1"/>
        <v>4:43</v>
      </c>
      <c r="AW85" s="1679" t="s">
        <v>10746</v>
      </c>
    </row>
    <row r="86" ht="15.75" customHeight="1">
      <c r="A86" s="1589" t="s">
        <v>10747</v>
      </c>
      <c r="B86" s="1587" t="s">
        <v>8989</v>
      </c>
      <c r="C86" s="1532">
        <v>0.05267361111111111</v>
      </c>
      <c r="D86" s="1671" t="s">
        <v>10138</v>
      </c>
      <c r="E86" s="1654" t="s">
        <v>175</v>
      </c>
      <c r="F86" s="1654" t="s">
        <v>6963</v>
      </c>
      <c r="G86" s="1654" t="s">
        <v>10748</v>
      </c>
      <c r="H86" s="1654" t="s">
        <v>10749</v>
      </c>
      <c r="I86" s="1654" t="s">
        <v>5670</v>
      </c>
      <c r="J86" s="980" t="s">
        <v>10750</v>
      </c>
      <c r="K86" s="1654" t="s">
        <v>10751</v>
      </c>
      <c r="L86" s="1654" t="s">
        <v>3827</v>
      </c>
      <c r="M86" s="1654" t="s">
        <v>7016</v>
      </c>
      <c r="N86" s="1654" t="s">
        <v>10752</v>
      </c>
      <c r="O86" s="1654" t="s">
        <v>10753</v>
      </c>
      <c r="P86" s="1654" t="s">
        <v>10107</v>
      </c>
      <c r="Q86" s="1654" t="s">
        <v>10754</v>
      </c>
      <c r="R86" s="1654" t="s">
        <v>5687</v>
      </c>
      <c r="S86" s="1654" t="s">
        <v>10755</v>
      </c>
      <c r="T86" s="1654" t="s">
        <v>10756</v>
      </c>
      <c r="U86" s="1654" t="s">
        <v>10757</v>
      </c>
      <c r="V86" s="1654" t="s">
        <v>3920</v>
      </c>
      <c r="W86" s="1654" t="s">
        <v>10758</v>
      </c>
      <c r="X86" s="1654" t="s">
        <v>2414</v>
      </c>
      <c r="Y86" s="1654" t="s">
        <v>9702</v>
      </c>
      <c r="Z86" s="1654" t="s">
        <v>9223</v>
      </c>
      <c r="AA86" s="1654" t="s">
        <v>10759</v>
      </c>
      <c r="AB86" s="1654" t="s">
        <v>10321</v>
      </c>
      <c r="AC86" s="1654" t="s">
        <v>9590</v>
      </c>
      <c r="AD86" s="1654" t="s">
        <v>10760</v>
      </c>
      <c r="AE86" s="1654" t="s">
        <v>2384</v>
      </c>
      <c r="AF86" s="1654" t="s">
        <v>10761</v>
      </c>
      <c r="AG86" s="1654" t="s">
        <v>10762</v>
      </c>
      <c r="AH86" s="1654" t="s">
        <v>4220</v>
      </c>
      <c r="AI86" s="1654" t="s">
        <v>10763</v>
      </c>
      <c r="AJ86" s="1654" t="s">
        <v>10764</v>
      </c>
      <c r="AK86" s="1654" t="s">
        <v>1775</v>
      </c>
      <c r="AL86" s="1654" t="s">
        <v>2607</v>
      </c>
      <c r="AM86" s="1654" t="s">
        <v>1775</v>
      </c>
      <c r="AN86" s="1654" t="s">
        <v>2607</v>
      </c>
      <c r="AO86" s="1654" t="s">
        <v>6262</v>
      </c>
      <c r="AP86" s="1654" t="s">
        <v>10765</v>
      </c>
      <c r="AQ86" s="1654" t="s">
        <v>2206</v>
      </c>
      <c r="AR86" s="1654" t="s">
        <v>10575</v>
      </c>
      <c r="AS86" s="1654" t="s">
        <v>10766</v>
      </c>
      <c r="AT86" s="1654" t="s">
        <v>10767</v>
      </c>
      <c r="AU86" s="1654" t="s">
        <v>10768</v>
      </c>
      <c r="AV86" s="1450" t="str">
        <f t="shared" si="1"/>
        <v>5:58</v>
      </c>
      <c r="AW86" s="1694" t="s">
        <v>10769</v>
      </c>
    </row>
    <row r="87" ht="15.75" customHeight="1">
      <c r="A87" s="1530" t="s">
        <v>6116</v>
      </c>
      <c r="B87" s="1622" t="s">
        <v>9016</v>
      </c>
      <c r="C87" s="1665">
        <v>0.05275462962962963</v>
      </c>
      <c r="D87" s="980" t="s">
        <v>10770</v>
      </c>
      <c r="E87" s="336" t="s">
        <v>6022</v>
      </c>
      <c r="F87" s="336" t="s">
        <v>10771</v>
      </c>
      <c r="G87" s="336" t="s">
        <v>9188</v>
      </c>
      <c r="H87" s="336" t="s">
        <v>6792</v>
      </c>
      <c r="I87" s="336" t="s">
        <v>2283</v>
      </c>
      <c r="J87" s="336" t="s">
        <v>4161</v>
      </c>
      <c r="K87" s="336" t="s">
        <v>10466</v>
      </c>
      <c r="L87" s="336" t="s">
        <v>5326</v>
      </c>
      <c r="M87" s="336" t="s">
        <v>4147</v>
      </c>
      <c r="N87" s="336" t="s">
        <v>10772</v>
      </c>
      <c r="O87" s="336" t="s">
        <v>10773</v>
      </c>
      <c r="P87" s="336" t="s">
        <v>6380</v>
      </c>
      <c r="Q87" s="336" t="s">
        <v>10774</v>
      </c>
      <c r="R87" s="336" t="s">
        <v>10775</v>
      </c>
      <c r="S87" s="336" t="s">
        <v>9005</v>
      </c>
      <c r="T87" s="336" t="s">
        <v>2612</v>
      </c>
      <c r="U87" s="336" t="s">
        <v>497</v>
      </c>
      <c r="V87" s="336" t="s">
        <v>10776</v>
      </c>
      <c r="W87" s="336" t="s">
        <v>10777</v>
      </c>
      <c r="X87" s="336" t="s">
        <v>9191</v>
      </c>
      <c r="Y87" s="336" t="s">
        <v>5851</v>
      </c>
      <c r="Z87" s="336" t="s">
        <v>9383</v>
      </c>
      <c r="AA87" s="336" t="s">
        <v>10778</v>
      </c>
      <c r="AB87" s="336" t="s">
        <v>490</v>
      </c>
      <c r="AC87" s="336" t="s">
        <v>9269</v>
      </c>
      <c r="AD87" s="336" t="s">
        <v>10779</v>
      </c>
      <c r="AE87" s="336" t="s">
        <v>10780</v>
      </c>
      <c r="AF87" s="336" t="s">
        <v>9864</v>
      </c>
      <c r="AG87" s="336" t="s">
        <v>7975</v>
      </c>
      <c r="AH87" s="336" t="s">
        <v>722</v>
      </c>
      <c r="AI87" s="336" t="s">
        <v>5356</v>
      </c>
      <c r="AJ87" s="336" t="s">
        <v>10781</v>
      </c>
      <c r="AK87" s="336" t="s">
        <v>9322</v>
      </c>
      <c r="AL87" s="336" t="s">
        <v>5241</v>
      </c>
      <c r="AM87" s="336" t="s">
        <v>2725</v>
      </c>
      <c r="AN87" s="336" t="s">
        <v>6576</v>
      </c>
      <c r="AO87" s="336" t="s">
        <v>6282</v>
      </c>
      <c r="AP87" s="336" t="s">
        <v>10782</v>
      </c>
      <c r="AQ87" s="336" t="s">
        <v>10783</v>
      </c>
      <c r="AR87" s="336" t="s">
        <v>10403</v>
      </c>
      <c r="AS87" s="336" t="s">
        <v>9392</v>
      </c>
      <c r="AT87" s="336" t="s">
        <v>10784</v>
      </c>
      <c r="AU87" s="336" t="s">
        <v>10785</v>
      </c>
      <c r="AV87" s="1450" t="str">
        <f t="shared" si="1"/>
        <v>3:59</v>
      </c>
      <c r="AW87" s="1698" t="s">
        <v>10786</v>
      </c>
    </row>
    <row r="88" ht="15.75" customHeight="1">
      <c r="A88" s="1655" t="s">
        <v>10787</v>
      </c>
      <c r="B88" s="1684" t="s">
        <v>9044</v>
      </c>
      <c r="C88" s="1665">
        <v>0.05291666666666667</v>
      </c>
      <c r="D88" s="980" t="s">
        <v>10788</v>
      </c>
      <c r="E88" s="336" t="s">
        <v>10789</v>
      </c>
      <c r="F88" s="336" t="s">
        <v>5932</v>
      </c>
      <c r="G88" s="336" t="s">
        <v>9998</v>
      </c>
      <c r="H88" s="336" t="s">
        <v>10340</v>
      </c>
      <c r="I88" s="336" t="s">
        <v>3120</v>
      </c>
      <c r="J88" s="336" t="s">
        <v>10790</v>
      </c>
      <c r="K88" s="336" t="s">
        <v>5453</v>
      </c>
      <c r="L88" s="336" t="s">
        <v>7353</v>
      </c>
      <c r="M88" s="336" t="s">
        <v>10791</v>
      </c>
      <c r="N88" s="336" t="s">
        <v>10792</v>
      </c>
      <c r="O88" s="336" t="s">
        <v>10793</v>
      </c>
      <c r="P88" s="336" t="s">
        <v>10209</v>
      </c>
      <c r="Q88" s="336" t="s">
        <v>10794</v>
      </c>
      <c r="R88" s="336" t="s">
        <v>5956</v>
      </c>
      <c r="S88" s="336" t="s">
        <v>2664</v>
      </c>
      <c r="T88" s="336" t="s">
        <v>9396</v>
      </c>
      <c r="U88" s="336" t="s">
        <v>5584</v>
      </c>
      <c r="V88" s="336" t="s">
        <v>1144</v>
      </c>
      <c r="W88" s="336" t="s">
        <v>1831</v>
      </c>
      <c r="X88" s="336" t="s">
        <v>3362</v>
      </c>
      <c r="Y88" s="336" t="s">
        <v>660</v>
      </c>
      <c r="Z88" s="336" t="s">
        <v>10795</v>
      </c>
      <c r="AA88" s="1654" t="s">
        <v>7264</v>
      </c>
      <c r="AB88" s="336" t="s">
        <v>3675</v>
      </c>
      <c r="AC88" s="336" t="s">
        <v>2448</v>
      </c>
      <c r="AD88" s="336" t="s">
        <v>10796</v>
      </c>
      <c r="AE88" s="336" t="s">
        <v>10797</v>
      </c>
      <c r="AF88" s="336" t="s">
        <v>10798</v>
      </c>
      <c r="AG88" s="336" t="s">
        <v>2755</v>
      </c>
      <c r="AH88" s="336" t="s">
        <v>10034</v>
      </c>
      <c r="AI88" s="336" t="s">
        <v>10799</v>
      </c>
      <c r="AJ88" s="336" t="s">
        <v>10800</v>
      </c>
      <c r="AK88" s="336" t="s">
        <v>10801</v>
      </c>
      <c r="AL88" s="336" t="s">
        <v>1749</v>
      </c>
      <c r="AM88" s="336" t="s">
        <v>2554</v>
      </c>
      <c r="AN88" s="336" t="s">
        <v>10802</v>
      </c>
      <c r="AO88" s="336" t="s">
        <v>10803</v>
      </c>
      <c r="AP88" s="336" t="s">
        <v>8831</v>
      </c>
      <c r="AQ88" s="336" t="s">
        <v>10804</v>
      </c>
      <c r="AR88" s="336" t="s">
        <v>10710</v>
      </c>
      <c r="AS88" s="336" t="s">
        <v>4365</v>
      </c>
      <c r="AT88" s="336" t="s">
        <v>10805</v>
      </c>
      <c r="AU88" s="336" t="s">
        <v>10806</v>
      </c>
      <c r="AV88" s="1450" t="str">
        <f t="shared" si="1"/>
        <v>2:38</v>
      </c>
      <c r="AW88" s="1698"/>
    </row>
    <row r="89" ht="15.75" customHeight="1">
      <c r="A89" s="1589" t="s">
        <v>6446</v>
      </c>
      <c r="B89" s="1577" t="s">
        <v>8989</v>
      </c>
      <c r="C89" s="1532">
        <v>0.05324074074074074</v>
      </c>
      <c r="D89" s="980" t="s">
        <v>10807</v>
      </c>
      <c r="E89" s="980" t="s">
        <v>10808</v>
      </c>
      <c r="F89" s="980" t="s">
        <v>10809</v>
      </c>
      <c r="G89" s="980" t="s">
        <v>9744</v>
      </c>
      <c r="H89" s="980" t="s">
        <v>10810</v>
      </c>
      <c r="I89" s="980" t="s">
        <v>6145</v>
      </c>
      <c r="J89" s="980" t="s">
        <v>1706</v>
      </c>
      <c r="K89" s="980" t="s">
        <v>4281</v>
      </c>
      <c r="L89" s="980" t="s">
        <v>10811</v>
      </c>
      <c r="M89" s="980" t="s">
        <v>10812</v>
      </c>
      <c r="N89" s="980" t="s">
        <v>10813</v>
      </c>
      <c r="O89" s="980" t="s">
        <v>10814</v>
      </c>
      <c r="P89" s="980" t="s">
        <v>10815</v>
      </c>
      <c r="Q89" s="980" t="s">
        <v>10816</v>
      </c>
      <c r="R89" s="980" t="s">
        <v>10817</v>
      </c>
      <c r="S89" s="980" t="s">
        <v>10690</v>
      </c>
      <c r="T89" s="980" t="s">
        <v>10818</v>
      </c>
      <c r="U89" s="980" t="s">
        <v>10819</v>
      </c>
      <c r="V89" s="980" t="s">
        <v>2902</v>
      </c>
      <c r="W89" s="980" t="s">
        <v>10820</v>
      </c>
      <c r="X89" s="980" t="s">
        <v>10821</v>
      </c>
      <c r="Y89" s="980" t="s">
        <v>5670</v>
      </c>
      <c r="Z89" s="980" t="s">
        <v>3572</v>
      </c>
      <c r="AA89" s="1654" t="s">
        <v>10822</v>
      </c>
      <c r="AB89" s="980" t="s">
        <v>10144</v>
      </c>
      <c r="AC89" s="980" t="s">
        <v>5623</v>
      </c>
      <c r="AD89" s="980" t="s">
        <v>10823</v>
      </c>
      <c r="AE89" s="980" t="s">
        <v>9934</v>
      </c>
      <c r="AF89" s="980" t="s">
        <v>10824</v>
      </c>
      <c r="AG89" s="980" t="s">
        <v>10631</v>
      </c>
      <c r="AH89" s="980" t="s">
        <v>5777</v>
      </c>
      <c r="AI89" s="980" t="s">
        <v>10825</v>
      </c>
      <c r="AJ89" s="980" t="s">
        <v>10826</v>
      </c>
      <c r="AK89" s="1654" t="s">
        <v>10827</v>
      </c>
      <c r="AL89" s="980" t="s">
        <v>10449</v>
      </c>
      <c r="AM89" s="980" t="s">
        <v>8420</v>
      </c>
      <c r="AN89" s="980" t="s">
        <v>10289</v>
      </c>
      <c r="AO89" s="980" t="s">
        <v>4537</v>
      </c>
      <c r="AP89" s="980" t="s">
        <v>10828</v>
      </c>
      <c r="AQ89" s="980" t="s">
        <v>10829</v>
      </c>
      <c r="AR89" s="1654" t="s">
        <v>3826</v>
      </c>
      <c r="AS89" s="980" t="s">
        <v>10830</v>
      </c>
      <c r="AT89" s="980" t="s">
        <v>10831</v>
      </c>
      <c r="AU89" s="1654" t="s">
        <v>10745</v>
      </c>
      <c r="AV89" s="1450" t="str">
        <f t="shared" si="1"/>
        <v>3:53</v>
      </c>
      <c r="AW89" s="1694" t="s">
        <v>10832</v>
      </c>
    </row>
    <row r="90">
      <c r="A90" s="1589" t="s">
        <v>4795</v>
      </c>
      <c r="B90" s="1587" t="s">
        <v>9044</v>
      </c>
      <c r="C90" s="1532">
        <v>0.05331018518518518</v>
      </c>
      <c r="D90" s="1654" t="s">
        <v>10833</v>
      </c>
      <c r="E90" s="1654" t="s">
        <v>7446</v>
      </c>
      <c r="F90" s="1654" t="s">
        <v>10606</v>
      </c>
      <c r="G90" s="1654" t="s">
        <v>10834</v>
      </c>
      <c r="H90" s="980" t="s">
        <v>10835</v>
      </c>
      <c r="I90" s="1654" t="s">
        <v>10836</v>
      </c>
      <c r="J90" s="1654" t="s">
        <v>10381</v>
      </c>
      <c r="K90" s="1654" t="s">
        <v>9184</v>
      </c>
      <c r="L90" s="1654" t="s">
        <v>4471</v>
      </c>
      <c r="M90" s="1654" t="s">
        <v>10837</v>
      </c>
      <c r="N90" s="1654" t="s">
        <v>10171</v>
      </c>
      <c r="O90" s="1654" t="s">
        <v>10838</v>
      </c>
      <c r="P90" s="1654" t="s">
        <v>6330</v>
      </c>
      <c r="Q90" s="1654" t="s">
        <v>10839</v>
      </c>
      <c r="R90" s="1654" t="s">
        <v>2149</v>
      </c>
      <c r="S90" s="1654" t="s">
        <v>7299</v>
      </c>
      <c r="T90" s="1654" t="s">
        <v>6774</v>
      </c>
      <c r="U90" s="1654" t="s">
        <v>10840</v>
      </c>
      <c r="V90" s="1654" t="s">
        <v>10362</v>
      </c>
      <c r="W90" s="1654" t="s">
        <v>10841</v>
      </c>
      <c r="X90" s="1654" t="s">
        <v>7976</v>
      </c>
      <c r="Y90" s="1654" t="s">
        <v>5493</v>
      </c>
      <c r="Z90" s="1654" t="s">
        <v>10173</v>
      </c>
      <c r="AA90" s="1654" t="s">
        <v>10842</v>
      </c>
      <c r="AB90" s="1654" t="s">
        <v>3531</v>
      </c>
      <c r="AC90" s="1654" t="s">
        <v>10843</v>
      </c>
      <c r="AD90" s="1654" t="s">
        <v>10844</v>
      </c>
      <c r="AE90" s="1654" t="s">
        <v>5851</v>
      </c>
      <c r="AF90" s="1654" t="s">
        <v>10845</v>
      </c>
      <c r="AG90" s="1654" t="s">
        <v>9514</v>
      </c>
      <c r="AH90" s="1654" t="s">
        <v>10846</v>
      </c>
      <c r="AI90" s="1654" t="s">
        <v>10847</v>
      </c>
      <c r="AJ90" s="1654" t="s">
        <v>10848</v>
      </c>
      <c r="AK90" s="1654" t="s">
        <v>2228</v>
      </c>
      <c r="AL90" s="1654" t="s">
        <v>2197</v>
      </c>
      <c r="AM90" s="1654" t="s">
        <v>10849</v>
      </c>
      <c r="AN90" s="1654" t="s">
        <v>4678</v>
      </c>
      <c r="AO90" s="1654" t="s">
        <v>10850</v>
      </c>
      <c r="AP90" s="1654" t="s">
        <v>2814</v>
      </c>
      <c r="AQ90" s="1654" t="s">
        <v>10851</v>
      </c>
      <c r="AR90" s="1654" t="s">
        <v>1761</v>
      </c>
      <c r="AS90" s="1654" t="s">
        <v>971</v>
      </c>
      <c r="AT90" s="1654" t="s">
        <v>10852</v>
      </c>
      <c r="AU90" s="1654" t="s">
        <v>10853</v>
      </c>
      <c r="AV90" s="1450" t="str">
        <f t="shared" si="1"/>
        <v>4:18</v>
      </c>
      <c r="AW90" s="1698"/>
    </row>
    <row r="91" ht="15.75" customHeight="1">
      <c r="A91" s="1655" t="s">
        <v>10854</v>
      </c>
      <c r="B91" s="1684" t="s">
        <v>9044</v>
      </c>
      <c r="C91" s="1532">
        <v>0.05348379629629629</v>
      </c>
      <c r="D91" s="980" t="s">
        <v>10855</v>
      </c>
      <c r="E91" s="336" t="s">
        <v>10641</v>
      </c>
      <c r="F91" s="336" t="s">
        <v>6575</v>
      </c>
      <c r="G91" s="336" t="s">
        <v>10856</v>
      </c>
      <c r="H91" s="336" t="s">
        <v>10857</v>
      </c>
      <c r="I91" s="336" t="s">
        <v>2350</v>
      </c>
      <c r="J91" s="336" t="s">
        <v>9565</v>
      </c>
      <c r="K91" s="336" t="s">
        <v>9056</v>
      </c>
      <c r="L91" s="336" t="s">
        <v>4857</v>
      </c>
      <c r="M91" s="336" t="s">
        <v>10858</v>
      </c>
      <c r="N91" s="336" t="s">
        <v>10859</v>
      </c>
      <c r="O91" s="336" t="s">
        <v>4326</v>
      </c>
      <c r="P91" s="336" t="s">
        <v>925</v>
      </c>
      <c r="Q91" s="1654" t="s">
        <v>10860</v>
      </c>
      <c r="R91" s="336" t="s">
        <v>10426</v>
      </c>
      <c r="S91" s="336" t="s">
        <v>9772</v>
      </c>
      <c r="T91" s="336" t="s">
        <v>10613</v>
      </c>
      <c r="U91" s="336" t="s">
        <v>10861</v>
      </c>
      <c r="V91" s="336" t="s">
        <v>3227</v>
      </c>
      <c r="W91" s="336" t="s">
        <v>10862</v>
      </c>
      <c r="X91" s="336" t="s">
        <v>3145</v>
      </c>
      <c r="Y91" s="336" t="s">
        <v>1426</v>
      </c>
      <c r="Z91" s="336" t="s">
        <v>9470</v>
      </c>
      <c r="AA91" s="1654" t="s">
        <v>10863</v>
      </c>
      <c r="AB91" s="336" t="s">
        <v>10182</v>
      </c>
      <c r="AC91" s="336" t="s">
        <v>1151</v>
      </c>
      <c r="AD91" s="336" t="s">
        <v>10864</v>
      </c>
      <c r="AE91" s="336" t="s">
        <v>585</v>
      </c>
      <c r="AF91" s="1654" t="s">
        <v>10865</v>
      </c>
      <c r="AG91" s="336" t="s">
        <v>5869</v>
      </c>
      <c r="AH91" s="336" t="s">
        <v>9646</v>
      </c>
      <c r="AI91" s="336" t="s">
        <v>2637</v>
      </c>
      <c r="AJ91" s="336" t="s">
        <v>10866</v>
      </c>
      <c r="AK91" s="336" t="s">
        <v>9485</v>
      </c>
      <c r="AL91" s="336" t="s">
        <v>10867</v>
      </c>
      <c r="AM91" s="336" t="s">
        <v>9236</v>
      </c>
      <c r="AN91" s="336" t="s">
        <v>10449</v>
      </c>
      <c r="AO91" s="336" t="s">
        <v>9163</v>
      </c>
      <c r="AP91" s="336" t="s">
        <v>10868</v>
      </c>
      <c r="AQ91" s="336" t="s">
        <v>4461</v>
      </c>
      <c r="AR91" s="336" t="s">
        <v>1380</v>
      </c>
      <c r="AS91" s="336" t="s">
        <v>9245</v>
      </c>
      <c r="AT91" s="336" t="s">
        <v>4736</v>
      </c>
      <c r="AU91" s="336" t="s">
        <v>10869</v>
      </c>
      <c r="AV91" s="1450" t="str">
        <f t="shared" si="1"/>
        <v>3:27</v>
      </c>
      <c r="AW91" s="1694" t="s">
        <v>10870</v>
      </c>
    </row>
    <row r="92">
      <c r="A92" s="1589" t="s">
        <v>5409</v>
      </c>
      <c r="B92" s="1577" t="s">
        <v>8989</v>
      </c>
      <c r="C92" s="1532">
        <v>0.05376157407407407</v>
      </c>
      <c r="D92" s="1654" t="s">
        <v>10871</v>
      </c>
      <c r="E92" s="1654" t="s">
        <v>5461</v>
      </c>
      <c r="F92" s="1654" t="s">
        <v>10872</v>
      </c>
      <c r="G92" s="1654" t="s">
        <v>10873</v>
      </c>
      <c r="H92" s="1709" t="s">
        <v>10874</v>
      </c>
      <c r="I92" s="980" t="s">
        <v>239</v>
      </c>
      <c r="J92" s="1654" t="s">
        <v>10060</v>
      </c>
      <c r="K92" s="1654" t="s">
        <v>10875</v>
      </c>
      <c r="L92" s="1654" t="s">
        <v>2519</v>
      </c>
      <c r="M92" s="1654" t="s">
        <v>1258</v>
      </c>
      <c r="N92" s="1654" t="s">
        <v>10876</v>
      </c>
      <c r="O92" s="1654" t="s">
        <v>10877</v>
      </c>
      <c r="P92" s="1654" t="s">
        <v>861</v>
      </c>
      <c r="Q92" s="1654" t="s">
        <v>4402</v>
      </c>
      <c r="R92" s="1654" t="s">
        <v>10878</v>
      </c>
      <c r="S92" s="1710" t="s">
        <v>10879</v>
      </c>
      <c r="T92" s="1710" t="s">
        <v>9611</v>
      </c>
      <c r="U92" s="1654" t="s">
        <v>10880</v>
      </c>
      <c r="V92" s="1654" t="s">
        <v>10881</v>
      </c>
      <c r="W92" s="1654" t="s">
        <v>7110</v>
      </c>
      <c r="X92" s="1654" t="s">
        <v>10882</v>
      </c>
      <c r="Y92" s="1654" t="s">
        <v>2124</v>
      </c>
      <c r="Z92" s="1654" t="s">
        <v>10182</v>
      </c>
      <c r="AA92" s="1654" t="s">
        <v>10883</v>
      </c>
      <c r="AB92" s="1654" t="s">
        <v>10884</v>
      </c>
      <c r="AC92" s="1654" t="s">
        <v>7217</v>
      </c>
      <c r="AD92" s="1654" t="s">
        <v>6088</v>
      </c>
      <c r="AE92" s="1654" t="s">
        <v>2448</v>
      </c>
      <c r="AF92" s="1654" t="s">
        <v>10885</v>
      </c>
      <c r="AG92" s="1654" t="s">
        <v>10886</v>
      </c>
      <c r="AH92" s="1654" t="s">
        <v>5022</v>
      </c>
      <c r="AI92" s="1654" t="s">
        <v>7046</v>
      </c>
      <c r="AJ92" s="1654" t="s">
        <v>10887</v>
      </c>
      <c r="AK92" s="1654" t="s">
        <v>4849</v>
      </c>
      <c r="AL92" s="1654" t="s">
        <v>10888</v>
      </c>
      <c r="AM92" s="1654" t="s">
        <v>4860</v>
      </c>
      <c r="AN92" s="1654" t="s">
        <v>10889</v>
      </c>
      <c r="AO92" s="1654" t="s">
        <v>6619</v>
      </c>
      <c r="AP92" s="1654" t="s">
        <v>10890</v>
      </c>
      <c r="AQ92" s="1654" t="s">
        <v>10891</v>
      </c>
      <c r="AR92" s="1654" t="s">
        <v>5186</v>
      </c>
      <c r="AS92" s="1654" t="s">
        <v>9216</v>
      </c>
      <c r="AT92" s="1654" t="s">
        <v>10892</v>
      </c>
      <c r="AU92" s="1654" t="s">
        <v>10893</v>
      </c>
      <c r="AV92" s="1450" t="str">
        <f t="shared" si="1"/>
        <v>4:58</v>
      </c>
      <c r="AW92" s="1711"/>
    </row>
    <row r="93" ht="15.75" customHeight="1">
      <c r="A93" s="1655" t="s">
        <v>6611</v>
      </c>
      <c r="B93" s="1684" t="s">
        <v>9044</v>
      </c>
      <c r="C93" s="1665">
        <v>0.05386574074074074</v>
      </c>
      <c r="D93" s="336" t="s">
        <v>10894</v>
      </c>
      <c r="E93" s="336" t="s">
        <v>6832</v>
      </c>
      <c r="F93" s="336" t="s">
        <v>10895</v>
      </c>
      <c r="G93" s="336" t="s">
        <v>4289</v>
      </c>
      <c r="H93" s="336" t="s">
        <v>10896</v>
      </c>
      <c r="I93" s="336" t="s">
        <v>10836</v>
      </c>
      <c r="J93" s="336" t="s">
        <v>10897</v>
      </c>
      <c r="K93" s="336" t="s">
        <v>10898</v>
      </c>
      <c r="L93" s="336" t="s">
        <v>1433</v>
      </c>
      <c r="M93" s="336" t="s">
        <v>4558</v>
      </c>
      <c r="N93" s="336" t="s">
        <v>7009</v>
      </c>
      <c r="O93" s="336" t="s">
        <v>10899</v>
      </c>
      <c r="P93" s="336" t="s">
        <v>6330</v>
      </c>
      <c r="Q93" s="336" t="s">
        <v>10900</v>
      </c>
      <c r="R93" s="336" t="s">
        <v>9362</v>
      </c>
      <c r="S93" s="336" t="s">
        <v>10901</v>
      </c>
      <c r="T93" s="336" t="s">
        <v>7362</v>
      </c>
      <c r="U93" s="336" t="s">
        <v>10902</v>
      </c>
      <c r="V93" s="336" t="s">
        <v>10903</v>
      </c>
      <c r="W93" s="336" t="s">
        <v>10904</v>
      </c>
      <c r="X93" s="336" t="s">
        <v>1330</v>
      </c>
      <c r="Y93" s="336" t="s">
        <v>1950</v>
      </c>
      <c r="Z93" s="336" t="s">
        <v>9027</v>
      </c>
      <c r="AA93" s="980" t="s">
        <v>10905</v>
      </c>
      <c r="AB93" s="336" t="s">
        <v>10906</v>
      </c>
      <c r="AC93" s="336" t="s">
        <v>8061</v>
      </c>
      <c r="AD93" s="336" t="s">
        <v>10907</v>
      </c>
      <c r="AE93" s="336" t="s">
        <v>10908</v>
      </c>
      <c r="AF93" s="336" t="s">
        <v>10494</v>
      </c>
      <c r="AG93" s="336" t="s">
        <v>10909</v>
      </c>
      <c r="AH93" s="336" t="s">
        <v>10910</v>
      </c>
      <c r="AI93" s="336" t="s">
        <v>3651</v>
      </c>
      <c r="AJ93" s="336" t="s">
        <v>10911</v>
      </c>
      <c r="AK93" s="336" t="s">
        <v>10912</v>
      </c>
      <c r="AL93" s="336" t="s">
        <v>10913</v>
      </c>
      <c r="AM93" s="336" t="s">
        <v>10153</v>
      </c>
      <c r="AN93" s="336" t="s">
        <v>9683</v>
      </c>
      <c r="AO93" s="1654" t="s">
        <v>9854</v>
      </c>
      <c r="AP93" s="336" t="s">
        <v>10914</v>
      </c>
      <c r="AQ93" s="336" t="s">
        <v>10915</v>
      </c>
      <c r="AR93" s="336" t="s">
        <v>10916</v>
      </c>
      <c r="AS93" s="336" t="s">
        <v>9477</v>
      </c>
      <c r="AT93" s="336" t="s">
        <v>10917</v>
      </c>
      <c r="AU93" s="336" t="s">
        <v>10853</v>
      </c>
      <c r="AV93" s="1450" t="str">
        <f t="shared" si="1"/>
        <v>3:30</v>
      </c>
      <c r="AW93" s="1698"/>
    </row>
    <row r="94">
      <c r="A94" s="1589" t="s">
        <v>5306</v>
      </c>
      <c r="B94" s="1577" t="s">
        <v>9044</v>
      </c>
      <c r="C94" s="1532">
        <v>0.05482638888888889</v>
      </c>
      <c r="D94" s="1671" t="s">
        <v>10918</v>
      </c>
      <c r="E94" s="1654" t="s">
        <v>9765</v>
      </c>
      <c r="F94" s="1654" t="s">
        <v>10919</v>
      </c>
      <c r="G94" s="1654" t="s">
        <v>10920</v>
      </c>
      <c r="H94" s="1654" t="s">
        <v>10921</v>
      </c>
      <c r="I94" s="1654" t="s">
        <v>10922</v>
      </c>
      <c r="J94" s="1654" t="s">
        <v>10923</v>
      </c>
      <c r="K94" s="1654" t="s">
        <v>10186</v>
      </c>
      <c r="L94" s="1654" t="s">
        <v>10924</v>
      </c>
      <c r="M94" s="1654" t="s">
        <v>1759</v>
      </c>
      <c r="N94" s="1654" t="s">
        <v>6516</v>
      </c>
      <c r="O94" s="1654" t="s">
        <v>10925</v>
      </c>
      <c r="P94" s="1654" t="s">
        <v>6610</v>
      </c>
      <c r="Q94" s="1654" t="s">
        <v>10926</v>
      </c>
      <c r="R94" s="1654" t="s">
        <v>9475</v>
      </c>
      <c r="S94" s="1654" t="s">
        <v>10927</v>
      </c>
      <c r="T94" s="1654" t="s">
        <v>10842</v>
      </c>
      <c r="U94" s="1654" t="s">
        <v>10928</v>
      </c>
      <c r="V94" s="1654" t="s">
        <v>840</v>
      </c>
      <c r="W94" s="1654" t="s">
        <v>6458</v>
      </c>
      <c r="X94" s="1654" t="s">
        <v>10929</v>
      </c>
      <c r="Y94" s="1654" t="s">
        <v>1679</v>
      </c>
      <c r="Z94" s="1654" t="s">
        <v>10202</v>
      </c>
      <c r="AA94" s="1654" t="s">
        <v>2390</v>
      </c>
      <c r="AB94" s="1654" t="s">
        <v>6986</v>
      </c>
      <c r="AC94" s="1654" t="s">
        <v>10930</v>
      </c>
      <c r="AD94" s="1654" t="s">
        <v>10931</v>
      </c>
      <c r="AE94" s="1654" t="s">
        <v>1538</v>
      </c>
      <c r="AF94" s="1654" t="s">
        <v>10932</v>
      </c>
      <c r="AG94" s="1654" t="s">
        <v>10933</v>
      </c>
      <c r="AH94" s="1654" t="s">
        <v>10934</v>
      </c>
      <c r="AI94" s="1654" t="s">
        <v>5829</v>
      </c>
      <c r="AJ94" s="1654" t="s">
        <v>10935</v>
      </c>
      <c r="AK94" s="1654" t="s">
        <v>246</v>
      </c>
      <c r="AL94" s="1654" t="s">
        <v>8145</v>
      </c>
      <c r="AM94" s="1654" t="s">
        <v>4293</v>
      </c>
      <c r="AN94" s="1654" t="s">
        <v>10936</v>
      </c>
      <c r="AO94" s="1654" t="s">
        <v>1706</v>
      </c>
      <c r="AP94" s="1654" t="s">
        <v>883</v>
      </c>
      <c r="AQ94" s="1654" t="s">
        <v>10937</v>
      </c>
      <c r="AR94" s="1654" t="s">
        <v>10938</v>
      </c>
      <c r="AS94" s="1654" t="s">
        <v>2223</v>
      </c>
      <c r="AT94" s="1654" t="s">
        <v>10939</v>
      </c>
      <c r="AU94" s="1654" t="s">
        <v>10940</v>
      </c>
      <c r="AV94" s="1450" t="str">
        <f t="shared" si="1"/>
        <v>3:40</v>
      </c>
      <c r="AW94" s="1694" t="s">
        <v>10941</v>
      </c>
    </row>
    <row r="95">
      <c r="A95" s="1589" t="s">
        <v>5275</v>
      </c>
      <c r="B95" s="1577" t="s">
        <v>8989</v>
      </c>
      <c r="C95" s="1532">
        <v>0.05482638888888889</v>
      </c>
      <c r="D95" s="1566" t="s">
        <v>10942</v>
      </c>
      <c r="E95" s="1566" t="s">
        <v>9623</v>
      </c>
      <c r="F95" s="1566" t="s">
        <v>10943</v>
      </c>
      <c r="G95" s="1566" t="s">
        <v>10944</v>
      </c>
      <c r="H95" s="1566" t="s">
        <v>10945</v>
      </c>
      <c r="I95" s="1566">
        <v>50.26</v>
      </c>
      <c r="J95" s="1566" t="s">
        <v>10923</v>
      </c>
      <c r="K95" s="1566" t="s">
        <v>10946</v>
      </c>
      <c r="L95" s="1566" t="s">
        <v>10947</v>
      </c>
      <c r="M95" s="1566" t="s">
        <v>2252</v>
      </c>
      <c r="N95" s="1566" t="s">
        <v>10948</v>
      </c>
      <c r="O95" s="1566" t="s">
        <v>10949</v>
      </c>
      <c r="P95" s="1566">
        <v>49.15</v>
      </c>
      <c r="Q95" s="1566" t="s">
        <v>10950</v>
      </c>
      <c r="R95" s="1566" t="s">
        <v>3401</v>
      </c>
      <c r="S95" s="1566" t="s">
        <v>10951</v>
      </c>
      <c r="T95" s="1566" t="s">
        <v>5069</v>
      </c>
      <c r="U95" s="1566" t="s">
        <v>3260</v>
      </c>
      <c r="V95" s="1566" t="s">
        <v>10952</v>
      </c>
      <c r="W95" s="1566" t="s">
        <v>10953</v>
      </c>
      <c r="X95" s="1566" t="s">
        <v>10954</v>
      </c>
      <c r="Y95" s="1566">
        <v>51.87</v>
      </c>
      <c r="Z95" s="1566" t="s">
        <v>6329</v>
      </c>
      <c r="AA95" s="1566" t="s">
        <v>6587</v>
      </c>
      <c r="AB95" s="1566" t="s">
        <v>6563</v>
      </c>
      <c r="AC95" s="1566">
        <v>49.75</v>
      </c>
      <c r="AD95" s="1566" t="s">
        <v>10955</v>
      </c>
      <c r="AE95" s="1566">
        <v>50.16</v>
      </c>
      <c r="AF95" s="1566" t="s">
        <v>10956</v>
      </c>
      <c r="AG95" s="1566" t="s">
        <v>10957</v>
      </c>
      <c r="AH95" s="1566" t="s">
        <v>6419</v>
      </c>
      <c r="AI95" s="1566" t="s">
        <v>6816</v>
      </c>
      <c r="AJ95" s="1566" t="s">
        <v>10958</v>
      </c>
      <c r="AK95" s="1566" t="s">
        <v>10876</v>
      </c>
      <c r="AL95" s="1566">
        <v>59.29</v>
      </c>
      <c r="AM95" s="1566" t="s">
        <v>4461</v>
      </c>
      <c r="AN95" s="1566" t="s">
        <v>623</v>
      </c>
      <c r="AO95" s="1566" t="s">
        <v>10959</v>
      </c>
      <c r="AP95" s="1566" t="s">
        <v>10960</v>
      </c>
      <c r="AQ95" s="1566" t="s">
        <v>10961</v>
      </c>
      <c r="AR95" s="1566" t="s">
        <v>6882</v>
      </c>
      <c r="AS95" s="1566">
        <v>47.7</v>
      </c>
      <c r="AT95" s="1566" t="s">
        <v>10962</v>
      </c>
      <c r="AU95" s="1570" t="s">
        <v>10963</v>
      </c>
      <c r="AV95" s="1450" t="str">
        <f t="shared" si="1"/>
        <v>5:51</v>
      </c>
      <c r="AW95" s="1679" t="s">
        <v>10964</v>
      </c>
    </row>
    <row r="96">
      <c r="A96" s="1589" t="s">
        <v>5585</v>
      </c>
      <c r="B96" s="1587" t="s">
        <v>8989</v>
      </c>
      <c r="C96" s="1532">
        <v>0.05559027777777778</v>
      </c>
      <c r="D96" s="1671" t="s">
        <v>10965</v>
      </c>
      <c r="E96" s="1654" t="s">
        <v>10966</v>
      </c>
      <c r="F96" s="1654" t="s">
        <v>10967</v>
      </c>
      <c r="G96" s="1654" t="s">
        <v>10968</v>
      </c>
      <c r="H96" s="1654" t="s">
        <v>5942</v>
      </c>
      <c r="I96" s="1654" t="s">
        <v>1846</v>
      </c>
      <c r="J96" s="1654" t="s">
        <v>10969</v>
      </c>
      <c r="K96" s="1654" t="s">
        <v>6333</v>
      </c>
      <c r="L96" s="1654" t="s">
        <v>8819</v>
      </c>
      <c r="M96" s="1654" t="s">
        <v>6837</v>
      </c>
      <c r="N96" s="1654" t="s">
        <v>10970</v>
      </c>
      <c r="O96" s="1654" t="s">
        <v>10971</v>
      </c>
      <c r="P96" s="1654" t="s">
        <v>190</v>
      </c>
      <c r="Q96" s="1654" t="s">
        <v>1668</v>
      </c>
      <c r="R96" s="1654" t="s">
        <v>10972</v>
      </c>
      <c r="S96" s="1654" t="s">
        <v>5219</v>
      </c>
      <c r="T96" s="1654" t="s">
        <v>10973</v>
      </c>
      <c r="U96" s="1654" t="s">
        <v>10974</v>
      </c>
      <c r="V96" s="1654" t="s">
        <v>6608</v>
      </c>
      <c r="W96" s="1654" t="s">
        <v>9094</v>
      </c>
      <c r="X96" s="1654" t="s">
        <v>5024</v>
      </c>
      <c r="Y96" s="1654" t="s">
        <v>101</v>
      </c>
      <c r="Z96" s="1654" t="s">
        <v>10975</v>
      </c>
      <c r="AA96" s="1654" t="s">
        <v>10738</v>
      </c>
      <c r="AB96" s="1654" t="s">
        <v>3549</v>
      </c>
      <c r="AC96" s="1654" t="s">
        <v>4749</v>
      </c>
      <c r="AD96" s="1654" t="s">
        <v>6156</v>
      </c>
      <c r="AE96" s="1654" t="s">
        <v>858</v>
      </c>
      <c r="AF96" s="1654" t="s">
        <v>10976</v>
      </c>
      <c r="AG96" s="1654" t="s">
        <v>10977</v>
      </c>
      <c r="AH96" s="1654" t="s">
        <v>4091</v>
      </c>
      <c r="AI96" s="1654" t="s">
        <v>10978</v>
      </c>
      <c r="AJ96" s="1654" t="s">
        <v>10979</v>
      </c>
      <c r="AK96" s="1654" t="s">
        <v>4552</v>
      </c>
      <c r="AL96" s="1654" t="s">
        <v>128</v>
      </c>
      <c r="AM96" s="1654" t="s">
        <v>10980</v>
      </c>
      <c r="AN96" s="1654" t="s">
        <v>10981</v>
      </c>
      <c r="AO96" s="1654" t="s">
        <v>1033</v>
      </c>
      <c r="AP96" s="1654" t="s">
        <v>10982</v>
      </c>
      <c r="AQ96" s="1654" t="s">
        <v>10983</v>
      </c>
      <c r="AR96" s="1654" t="s">
        <v>10984</v>
      </c>
      <c r="AS96" s="1654" t="s">
        <v>828</v>
      </c>
      <c r="AT96" s="1654" t="s">
        <v>10985</v>
      </c>
      <c r="AU96" s="1654" t="s">
        <v>10986</v>
      </c>
      <c r="AV96" s="1450" t="str">
        <f t="shared" si="1"/>
        <v>5:05</v>
      </c>
      <c r="AW96" s="1694" t="s">
        <v>10987</v>
      </c>
    </row>
    <row r="97">
      <c r="A97" s="1589" t="s">
        <v>4947</v>
      </c>
      <c r="B97" s="1587" t="s">
        <v>9016</v>
      </c>
      <c r="C97" s="1619">
        <v>0.05565972222222222</v>
      </c>
      <c r="D97" s="1654" t="s">
        <v>10988</v>
      </c>
      <c r="E97" s="1654" t="s">
        <v>3209</v>
      </c>
      <c r="F97" s="1654" t="s">
        <v>8466</v>
      </c>
      <c r="G97" s="1654" t="s">
        <v>10989</v>
      </c>
      <c r="H97" s="980" t="s">
        <v>9533</v>
      </c>
      <c r="I97" s="1654" t="s">
        <v>3546</v>
      </c>
      <c r="J97" s="1654" t="s">
        <v>9757</v>
      </c>
      <c r="K97" s="1654" t="s">
        <v>804</v>
      </c>
      <c r="L97" s="1654" t="s">
        <v>10990</v>
      </c>
      <c r="M97" s="1654" t="s">
        <v>10991</v>
      </c>
      <c r="N97" s="1654" t="s">
        <v>6438</v>
      </c>
      <c r="O97" s="1654" t="s">
        <v>10992</v>
      </c>
      <c r="P97" s="1654" t="s">
        <v>10431</v>
      </c>
      <c r="Q97" s="1654" t="s">
        <v>10993</v>
      </c>
      <c r="R97" s="1654" t="s">
        <v>10204</v>
      </c>
      <c r="S97" s="1654" t="s">
        <v>418</v>
      </c>
      <c r="T97" s="1654" t="s">
        <v>10994</v>
      </c>
      <c r="U97" s="1654" t="s">
        <v>10995</v>
      </c>
      <c r="V97" s="1654" t="s">
        <v>10996</v>
      </c>
      <c r="W97" s="1654" t="s">
        <v>10997</v>
      </c>
      <c r="X97" s="1654" t="s">
        <v>10998</v>
      </c>
      <c r="Y97" s="1654" t="s">
        <v>2448</v>
      </c>
      <c r="Z97" s="1654" t="s">
        <v>5375</v>
      </c>
      <c r="AA97" s="1654" t="s">
        <v>10367</v>
      </c>
      <c r="AB97" s="1654" t="s">
        <v>10684</v>
      </c>
      <c r="AC97" s="1654" t="s">
        <v>10209</v>
      </c>
      <c r="AD97" s="1654" t="s">
        <v>10999</v>
      </c>
      <c r="AE97" s="1654" t="s">
        <v>5562</v>
      </c>
      <c r="AF97" s="1654" t="s">
        <v>11000</v>
      </c>
      <c r="AG97" s="1654" t="s">
        <v>11001</v>
      </c>
      <c r="AH97" s="1654" t="s">
        <v>11002</v>
      </c>
      <c r="AI97" s="1654" t="s">
        <v>11003</v>
      </c>
      <c r="AJ97" s="1654" t="s">
        <v>11004</v>
      </c>
      <c r="AK97" s="1654" t="s">
        <v>6774</v>
      </c>
      <c r="AL97" s="1654" t="s">
        <v>3758</v>
      </c>
      <c r="AM97" s="1654" t="s">
        <v>4860</v>
      </c>
      <c r="AN97" s="1654" t="s">
        <v>11005</v>
      </c>
      <c r="AO97" s="1654" t="s">
        <v>2057</v>
      </c>
      <c r="AP97" s="1654" t="s">
        <v>11006</v>
      </c>
      <c r="AQ97" s="1654" t="s">
        <v>11007</v>
      </c>
      <c r="AR97" s="1654" t="s">
        <v>11008</v>
      </c>
      <c r="AS97" s="1654" t="s">
        <v>2171</v>
      </c>
      <c r="AT97" s="1654" t="s">
        <v>11009</v>
      </c>
      <c r="AU97" s="1654" t="s">
        <v>11010</v>
      </c>
      <c r="AV97" s="1450" t="str">
        <f t="shared" si="1"/>
        <v>8:24</v>
      </c>
      <c r="AW97" s="1694" t="s">
        <v>10072</v>
      </c>
    </row>
    <row r="98">
      <c r="A98" s="954" t="s">
        <v>5794</v>
      </c>
      <c r="B98" s="1712" t="s">
        <v>11011</v>
      </c>
      <c r="C98" s="1713">
        <v>0.05614583333333333</v>
      </c>
      <c r="D98" s="980" t="s">
        <v>11012</v>
      </c>
      <c r="E98" s="1065" t="s">
        <v>10236</v>
      </c>
      <c r="F98" s="1065" t="s">
        <v>11013</v>
      </c>
      <c r="G98" s="1065" t="s">
        <v>11014</v>
      </c>
      <c r="H98" s="1714" t="s">
        <v>1363</v>
      </c>
      <c r="I98" s="1065" t="s">
        <v>9712</v>
      </c>
      <c r="J98" s="1065" t="s">
        <v>11015</v>
      </c>
      <c r="K98" s="1065" t="s">
        <v>11016</v>
      </c>
      <c r="L98" s="1065" t="s">
        <v>4716</v>
      </c>
      <c r="M98" s="1065" t="s">
        <v>7200</v>
      </c>
      <c r="N98" s="1065" t="s">
        <v>10262</v>
      </c>
      <c r="O98" s="1065" t="s">
        <v>11017</v>
      </c>
      <c r="P98" s="1065" t="s">
        <v>9143</v>
      </c>
      <c r="Q98" s="1065" t="s">
        <v>11018</v>
      </c>
      <c r="R98" s="1065" t="s">
        <v>4012</v>
      </c>
      <c r="S98" s="1065" t="s">
        <v>5380</v>
      </c>
      <c r="T98" s="1065" t="s">
        <v>1651</v>
      </c>
      <c r="U98" s="1065" t="s">
        <v>9280</v>
      </c>
      <c r="V98" s="1065" t="s">
        <v>2752</v>
      </c>
      <c r="W98" s="1065" t="s">
        <v>11019</v>
      </c>
      <c r="X98" s="1065" t="s">
        <v>11020</v>
      </c>
      <c r="Y98" s="1065" t="s">
        <v>11021</v>
      </c>
      <c r="Z98" s="1065" t="s">
        <v>11022</v>
      </c>
      <c r="AA98" s="1089" t="s">
        <v>2130</v>
      </c>
      <c r="AB98" s="1065" t="s">
        <v>10741</v>
      </c>
      <c r="AC98" s="1065" t="s">
        <v>784</v>
      </c>
      <c r="AD98" s="1065" t="s">
        <v>9225</v>
      </c>
      <c r="AE98" s="1065" t="s">
        <v>536</v>
      </c>
      <c r="AF98" s="1065" t="s">
        <v>11023</v>
      </c>
      <c r="AG98" s="1065" t="s">
        <v>11024</v>
      </c>
      <c r="AH98" s="1065" t="s">
        <v>9768</v>
      </c>
      <c r="AI98" s="1065" t="s">
        <v>11025</v>
      </c>
      <c r="AJ98" s="1065" t="s">
        <v>11026</v>
      </c>
      <c r="AK98" s="1065" t="s">
        <v>11027</v>
      </c>
      <c r="AL98" s="1065" t="s">
        <v>10529</v>
      </c>
      <c r="AM98" s="1065" t="s">
        <v>9805</v>
      </c>
      <c r="AN98" s="1065" t="s">
        <v>11028</v>
      </c>
      <c r="AO98" s="1065" t="s">
        <v>11029</v>
      </c>
      <c r="AP98" s="1065" t="s">
        <v>11030</v>
      </c>
      <c r="AQ98" s="1065" t="s">
        <v>2817</v>
      </c>
      <c r="AR98" s="1065" t="s">
        <v>10472</v>
      </c>
      <c r="AS98" s="1065" t="s">
        <v>11031</v>
      </c>
      <c r="AT98" s="1065" t="s">
        <v>11032</v>
      </c>
      <c r="AU98" s="1065" t="s">
        <v>11033</v>
      </c>
      <c r="AV98" s="1032" t="str">
        <f t="shared" si="1"/>
        <v>8:47</v>
      </c>
      <c r="AW98" s="1588" t="s">
        <v>11034</v>
      </c>
    </row>
    <row r="99">
      <c r="A99" s="1655" t="s">
        <v>11035</v>
      </c>
      <c r="B99" s="1622" t="s">
        <v>9016</v>
      </c>
      <c r="C99" s="1665">
        <v>0.057881944444444444</v>
      </c>
      <c r="D99" s="1654" t="s">
        <v>11036</v>
      </c>
      <c r="E99" s="336" t="s">
        <v>11037</v>
      </c>
      <c r="F99" s="1654" t="s">
        <v>11038</v>
      </c>
      <c r="G99" s="1654" t="s">
        <v>11039</v>
      </c>
      <c r="H99" s="336" t="s">
        <v>5480</v>
      </c>
      <c r="I99" s="336" t="s">
        <v>1022</v>
      </c>
      <c r="J99" s="336" t="s">
        <v>11040</v>
      </c>
      <c r="K99" s="336" t="s">
        <v>3712</v>
      </c>
      <c r="L99" s="336" t="s">
        <v>11041</v>
      </c>
      <c r="M99" s="336" t="s">
        <v>7803</v>
      </c>
      <c r="N99" s="336" t="s">
        <v>11042</v>
      </c>
      <c r="O99" s="336" t="s">
        <v>11043</v>
      </c>
      <c r="P99" s="336" t="s">
        <v>3813</v>
      </c>
      <c r="Q99" s="336" t="s">
        <v>11044</v>
      </c>
      <c r="R99" s="336" t="s">
        <v>11045</v>
      </c>
      <c r="S99" s="336" t="s">
        <v>11046</v>
      </c>
      <c r="T99" s="336" t="s">
        <v>1677</v>
      </c>
      <c r="U99" s="336" t="s">
        <v>11047</v>
      </c>
      <c r="V99" s="336" t="s">
        <v>11048</v>
      </c>
      <c r="W99" s="336" t="s">
        <v>11049</v>
      </c>
      <c r="X99" s="336" t="s">
        <v>11050</v>
      </c>
      <c r="Y99" s="336" t="s">
        <v>2978</v>
      </c>
      <c r="Z99" s="336" t="s">
        <v>11051</v>
      </c>
      <c r="AA99" s="1654" t="s">
        <v>11052</v>
      </c>
      <c r="AB99" s="336" t="s">
        <v>9565</v>
      </c>
      <c r="AC99" s="336" t="s">
        <v>3469</v>
      </c>
      <c r="AD99" s="336" t="s">
        <v>5335</v>
      </c>
      <c r="AE99" s="336" t="s">
        <v>2614</v>
      </c>
      <c r="AF99" s="336" t="s">
        <v>11053</v>
      </c>
      <c r="AG99" s="336" t="s">
        <v>5872</v>
      </c>
      <c r="AH99" s="336" t="s">
        <v>11054</v>
      </c>
      <c r="AI99" s="336" t="s">
        <v>4894</v>
      </c>
      <c r="AJ99" s="336" t="s">
        <v>11055</v>
      </c>
      <c r="AK99" s="336" t="s">
        <v>11056</v>
      </c>
      <c r="AL99" s="336" t="s">
        <v>4027</v>
      </c>
      <c r="AM99" s="336" t="s">
        <v>4902</v>
      </c>
      <c r="AN99" s="336" t="s">
        <v>11057</v>
      </c>
      <c r="AO99" s="336" t="s">
        <v>10432</v>
      </c>
      <c r="AP99" s="336" t="s">
        <v>11058</v>
      </c>
      <c r="AQ99" s="336" t="s">
        <v>6791</v>
      </c>
      <c r="AR99" s="336" t="s">
        <v>11059</v>
      </c>
      <c r="AS99" s="336" t="s">
        <v>618</v>
      </c>
      <c r="AT99" s="336" t="s">
        <v>11060</v>
      </c>
      <c r="AU99" s="336" t="s">
        <v>11061</v>
      </c>
      <c r="AV99" s="1450" t="str">
        <f t="shared" si="1"/>
        <v>2:11</v>
      </c>
      <c r="AW99" s="1698" t="s">
        <v>11062</v>
      </c>
    </row>
    <row r="100">
      <c r="A100" s="1625" t="s">
        <v>6533</v>
      </c>
      <c r="B100" s="1715" t="s">
        <v>11011</v>
      </c>
      <c r="C100" s="1716">
        <v>0.0609375</v>
      </c>
      <c r="D100" s="1717" t="s">
        <v>11063</v>
      </c>
      <c r="E100" s="1718" t="s">
        <v>3583</v>
      </c>
      <c r="F100" s="1718" t="s">
        <v>11064</v>
      </c>
      <c r="G100" s="1718" t="s">
        <v>11065</v>
      </c>
      <c r="H100" s="1717" t="s">
        <v>11066</v>
      </c>
      <c r="I100" s="1719" t="s">
        <v>9269</v>
      </c>
      <c r="J100" s="1720" t="s">
        <v>11067</v>
      </c>
      <c r="K100" s="1720" t="s">
        <v>1673</v>
      </c>
      <c r="L100" s="1720" t="s">
        <v>6910</v>
      </c>
      <c r="M100" s="1720" t="s">
        <v>11068</v>
      </c>
      <c r="N100" s="1720" t="s">
        <v>6899</v>
      </c>
      <c r="O100" s="1720" t="s">
        <v>11069</v>
      </c>
      <c r="P100" s="1720" t="s">
        <v>1647</v>
      </c>
      <c r="Q100" s="1721" t="s">
        <v>11070</v>
      </c>
      <c r="R100" s="1721" t="s">
        <v>11071</v>
      </c>
      <c r="S100" s="1721" t="s">
        <v>11072</v>
      </c>
      <c r="T100" s="1721" t="s">
        <v>11073</v>
      </c>
      <c r="U100" s="1721" t="s">
        <v>11074</v>
      </c>
      <c r="V100" s="1721" t="s">
        <v>11075</v>
      </c>
      <c r="W100" s="1722" t="s">
        <v>11076</v>
      </c>
      <c r="X100" s="1722" t="s">
        <v>11052</v>
      </c>
      <c r="Y100" s="1722" t="s">
        <v>10780</v>
      </c>
      <c r="Z100" s="1722" t="s">
        <v>6996</v>
      </c>
      <c r="AA100" s="1723" t="s">
        <v>10984</v>
      </c>
      <c r="AB100" s="1722" t="s">
        <v>11077</v>
      </c>
      <c r="AC100" s="1722" t="s">
        <v>9342</v>
      </c>
      <c r="AD100" s="1718" t="s">
        <v>11078</v>
      </c>
      <c r="AE100" s="1718" t="s">
        <v>1371</v>
      </c>
      <c r="AF100" s="1724" t="s">
        <v>11079</v>
      </c>
      <c r="AG100" s="1724" t="s">
        <v>11080</v>
      </c>
      <c r="AH100" s="1724" t="s">
        <v>11081</v>
      </c>
      <c r="AI100" s="1724" t="s">
        <v>6812</v>
      </c>
      <c r="AJ100" s="1724" t="s">
        <v>11082</v>
      </c>
      <c r="AK100" s="1724" t="s">
        <v>10512</v>
      </c>
      <c r="AL100" s="1724" t="s">
        <v>1820</v>
      </c>
      <c r="AM100" s="1725" t="s">
        <v>8831</v>
      </c>
      <c r="AN100" s="1725" t="s">
        <v>11083</v>
      </c>
      <c r="AO100" s="1725" t="s">
        <v>4482</v>
      </c>
      <c r="AP100" s="1725" t="s">
        <v>11084</v>
      </c>
      <c r="AQ100" s="1725" t="s">
        <v>6435</v>
      </c>
      <c r="AR100" s="1725" t="s">
        <v>11085</v>
      </c>
      <c r="AS100" s="1725" t="s">
        <v>9768</v>
      </c>
      <c r="AT100" s="1720" t="s">
        <v>11086</v>
      </c>
      <c r="AU100" s="1726" t="s">
        <v>11087</v>
      </c>
      <c r="AV100" s="1450" t="str">
        <f t="shared" si="1"/>
        <v>7:58</v>
      </c>
      <c r="AW100" s="1580" t="s">
        <v>11088</v>
      </c>
    </row>
    <row r="101" ht="15.75" customHeight="1">
      <c r="A101" s="1589" t="s">
        <v>6404</v>
      </c>
      <c r="B101" s="1622" t="s">
        <v>9016</v>
      </c>
      <c r="C101" s="1532">
        <v>0.06635416666666667</v>
      </c>
      <c r="D101" s="980" t="s">
        <v>11089</v>
      </c>
      <c r="E101" s="980" t="s">
        <v>8876</v>
      </c>
      <c r="F101" s="980" t="s">
        <v>11090</v>
      </c>
      <c r="G101" s="980" t="s">
        <v>11091</v>
      </c>
      <c r="H101" s="980" t="s">
        <v>11092</v>
      </c>
      <c r="I101" s="980" t="s">
        <v>3478</v>
      </c>
      <c r="J101" s="980" t="s">
        <v>11093</v>
      </c>
      <c r="K101" s="980" t="s">
        <v>3997</v>
      </c>
      <c r="L101" s="980" t="s">
        <v>6838</v>
      </c>
      <c r="M101" s="980" t="s">
        <v>934</v>
      </c>
      <c r="N101" s="980" t="s">
        <v>11094</v>
      </c>
      <c r="O101" s="980" t="s">
        <v>11095</v>
      </c>
      <c r="P101" s="980" t="s">
        <v>11096</v>
      </c>
      <c r="Q101" s="980" t="s">
        <v>11097</v>
      </c>
      <c r="R101" s="980" t="s">
        <v>4568</v>
      </c>
      <c r="S101" s="980" t="s">
        <v>11098</v>
      </c>
      <c r="T101" s="980" t="s">
        <v>6458</v>
      </c>
      <c r="U101" s="980" t="s">
        <v>11099</v>
      </c>
      <c r="V101" s="980" t="s">
        <v>7446</v>
      </c>
      <c r="W101" s="980" t="s">
        <v>11100</v>
      </c>
      <c r="X101" s="980" t="s">
        <v>11101</v>
      </c>
      <c r="Y101" s="980" t="s">
        <v>756</v>
      </c>
      <c r="Z101" s="980" t="s">
        <v>11102</v>
      </c>
      <c r="AA101" s="336"/>
      <c r="AB101" s="980" t="s">
        <v>11103</v>
      </c>
      <c r="AC101" s="980" t="s">
        <v>177</v>
      </c>
      <c r="AD101" s="980" t="s">
        <v>11104</v>
      </c>
      <c r="AE101" s="980" t="s">
        <v>11105</v>
      </c>
      <c r="AF101" s="980" t="s">
        <v>11106</v>
      </c>
      <c r="AG101" s="980" t="s">
        <v>11107</v>
      </c>
      <c r="AH101" s="980" t="s">
        <v>11108</v>
      </c>
      <c r="AI101" s="980" t="s">
        <v>11109</v>
      </c>
      <c r="AJ101" s="980" t="s">
        <v>11110</v>
      </c>
      <c r="AK101" s="980" t="s">
        <v>11111</v>
      </c>
      <c r="AL101" s="980" t="s">
        <v>11112</v>
      </c>
      <c r="AM101" s="980" t="s">
        <v>11113</v>
      </c>
      <c r="AN101" s="980" t="s">
        <v>9628</v>
      </c>
      <c r="AO101" s="980" t="s">
        <v>2330</v>
      </c>
      <c r="AP101" s="980" t="s">
        <v>11114</v>
      </c>
      <c r="AQ101" s="980" t="s">
        <v>132</v>
      </c>
      <c r="AR101" s="980" t="s">
        <v>11115</v>
      </c>
      <c r="AS101" s="980" t="s">
        <v>4079</v>
      </c>
      <c r="AT101" s="980" t="s">
        <v>11116</v>
      </c>
      <c r="AU101" s="1383" t="s">
        <v>11117</v>
      </c>
      <c r="AV101" s="1450" t="str">
        <f t="shared" si="1"/>
        <v>9:53</v>
      </c>
      <c r="AW101" s="1679" t="s">
        <v>11118</v>
      </c>
    </row>
    <row r="102">
      <c r="A102" s="1589" t="s">
        <v>7010</v>
      </c>
      <c r="B102" s="1587" t="s">
        <v>9016</v>
      </c>
      <c r="C102" s="1665"/>
      <c r="D102" s="1566"/>
      <c r="E102" s="1570"/>
      <c r="F102" s="1566"/>
      <c r="G102" s="1566"/>
      <c r="H102" s="1566"/>
      <c r="I102" s="1566"/>
      <c r="J102" s="1566"/>
      <c r="K102" s="1566"/>
      <c r="L102" s="1566"/>
      <c r="M102" s="1566"/>
      <c r="N102" s="1566"/>
      <c r="O102" s="1566"/>
      <c r="P102" s="1566"/>
      <c r="Q102" s="1566"/>
      <c r="R102" s="1566"/>
      <c r="S102" s="1566"/>
      <c r="T102" s="1566"/>
      <c r="U102" s="1566"/>
      <c r="V102" s="1566"/>
      <c r="W102" s="1538" t="s">
        <v>9526</v>
      </c>
      <c r="X102" s="1566"/>
      <c r="Y102" s="1566"/>
      <c r="Z102" s="1566"/>
      <c r="AA102" s="1566"/>
      <c r="AB102" s="1573" t="s">
        <v>2986</v>
      </c>
      <c r="AC102" s="1566"/>
      <c r="AD102" s="1566"/>
      <c r="AE102" s="1570"/>
      <c r="AF102" s="1566"/>
      <c r="AG102" s="1566"/>
      <c r="AH102" s="1566"/>
      <c r="AI102" s="1566"/>
      <c r="AJ102" s="1566"/>
      <c r="AK102" s="1566"/>
      <c r="AL102" s="1566"/>
      <c r="AM102" s="1573" t="s">
        <v>2401</v>
      </c>
      <c r="AN102" s="1566"/>
      <c r="AO102" s="1566"/>
      <c r="AP102" s="1566"/>
      <c r="AQ102" s="1566"/>
      <c r="AR102" s="1566"/>
      <c r="AS102" s="1566"/>
      <c r="AT102" s="1566"/>
      <c r="AU102" s="1450"/>
      <c r="AV102" s="1450"/>
      <c r="AW102" s="1621"/>
    </row>
    <row r="103">
      <c r="A103" s="1589" t="s">
        <v>4649</v>
      </c>
      <c r="B103" s="1577" t="s">
        <v>9016</v>
      </c>
      <c r="C103" s="1532"/>
      <c r="D103" s="1612"/>
      <c r="E103" s="1612"/>
      <c r="F103" s="1612"/>
      <c r="G103" s="1612"/>
      <c r="H103" s="980"/>
      <c r="I103" s="840"/>
      <c r="J103" s="1596"/>
      <c r="K103" s="1596"/>
      <c r="L103" s="1596"/>
      <c r="M103" s="1596"/>
      <c r="N103" s="1596"/>
      <c r="O103" s="1596"/>
      <c r="P103" s="1596"/>
      <c r="Q103" s="1599"/>
      <c r="R103" s="1599"/>
      <c r="S103" s="1599"/>
      <c r="T103" s="1599"/>
      <c r="U103" s="1599"/>
      <c r="V103" s="1599"/>
      <c r="W103" s="1614"/>
      <c r="X103" s="1614"/>
      <c r="Y103" s="1614"/>
      <c r="Z103" s="1614"/>
      <c r="AA103" s="1558"/>
      <c r="AB103" s="1614"/>
      <c r="AC103" s="1614"/>
      <c r="AD103" s="1612"/>
      <c r="AE103" s="1612"/>
      <c r="AF103" s="1605" t="s">
        <v>9033</v>
      </c>
      <c r="AG103" s="1615"/>
      <c r="AH103" s="1615"/>
      <c r="AI103" s="1615"/>
      <c r="AJ103" s="1615"/>
      <c r="AK103" s="1615"/>
      <c r="AL103" s="1615"/>
      <c r="AM103" s="1617"/>
      <c r="AN103" s="1617"/>
      <c r="AO103" s="1617"/>
      <c r="AP103" s="1617"/>
      <c r="AQ103" s="1617"/>
      <c r="AR103" s="1617"/>
      <c r="AS103" s="1617"/>
      <c r="AT103" s="1596"/>
      <c r="AU103" s="1579"/>
      <c r="AV103" s="1579"/>
      <c r="AW103" s="1580"/>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1"/>
    </row>
    <row r="105">
      <c r="A105" s="1731"/>
      <c r="B105" s="1732"/>
      <c r="C105" s="1733"/>
      <c r="D105" s="1699"/>
      <c r="E105" s="1026"/>
      <c r="F105" s="1026"/>
      <c r="G105" s="1026"/>
      <c r="H105" s="1730"/>
      <c r="I105" s="1134"/>
      <c r="J105" s="1268"/>
      <c r="K105" s="1268"/>
      <c r="L105" s="1268"/>
      <c r="M105" s="1268"/>
      <c r="N105" s="1268"/>
      <c r="O105" s="1268"/>
      <c r="P105" s="1268"/>
      <c r="Q105" s="1162"/>
      <c r="R105" s="1162"/>
      <c r="S105" s="1162"/>
      <c r="T105" s="1162"/>
      <c r="U105" s="1162"/>
      <c r="V105" s="1162"/>
      <c r="W105" s="1091"/>
      <c r="X105" s="1091"/>
      <c r="Y105" s="1091"/>
      <c r="Z105" s="1091"/>
      <c r="AA105" s="1032"/>
      <c r="AB105" s="1091"/>
      <c r="AC105" s="1091"/>
      <c r="AD105" s="1026"/>
      <c r="AE105" s="1026"/>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1"/>
    </row>
    <row r="107">
      <c r="A107" s="1731"/>
      <c r="B107" s="1732"/>
      <c r="C107" s="1733"/>
      <c r="D107" s="1699"/>
      <c r="E107" s="1026"/>
      <c r="F107" s="1026"/>
      <c r="G107" s="1026"/>
      <c r="H107" s="1730"/>
      <c r="I107" s="1134"/>
      <c r="J107" s="1268"/>
      <c r="K107" s="1268"/>
      <c r="L107" s="1268"/>
      <c r="M107" s="1268"/>
      <c r="N107" s="1268"/>
      <c r="O107" s="1268"/>
      <c r="P107" s="1268"/>
      <c r="Q107" s="1162"/>
      <c r="R107" s="1162"/>
      <c r="S107" s="1162"/>
      <c r="T107" s="1162"/>
      <c r="U107" s="1162"/>
      <c r="V107" s="1162"/>
      <c r="W107" s="1091"/>
      <c r="X107" s="1091"/>
      <c r="Y107" s="1091"/>
      <c r="Z107" s="1091"/>
      <c r="AA107" s="1032"/>
      <c r="AB107" s="1091"/>
      <c r="AC107" s="1091"/>
      <c r="AD107" s="1026"/>
      <c r="AE107" s="1026"/>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1"/>
    </row>
    <row r="109">
      <c r="A109" s="1731"/>
      <c r="B109" s="1732"/>
      <c r="C109" s="1733"/>
      <c r="D109" s="1699"/>
      <c r="E109" s="1026"/>
      <c r="F109" s="1026"/>
      <c r="G109" s="1026"/>
      <c r="H109" s="1730"/>
      <c r="I109" s="1134"/>
      <c r="J109" s="1268"/>
      <c r="K109" s="1268"/>
      <c r="L109" s="1268"/>
      <c r="M109" s="1268"/>
      <c r="N109" s="1268"/>
      <c r="O109" s="1268"/>
      <c r="P109" s="1268"/>
      <c r="Q109" s="1162"/>
      <c r="R109" s="1162"/>
      <c r="S109" s="1162"/>
      <c r="T109" s="1162"/>
      <c r="U109" s="1162"/>
      <c r="V109" s="1162"/>
      <c r="W109" s="1091"/>
      <c r="X109" s="1091"/>
      <c r="Y109" s="1091"/>
      <c r="Z109" s="1091"/>
      <c r="AA109" s="1032"/>
      <c r="AB109" s="1091"/>
      <c r="AC109" s="1091"/>
      <c r="AD109" s="1026"/>
      <c r="AE109" s="1026"/>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1"/>
    </row>
    <row r="111">
      <c r="A111" s="1731"/>
      <c r="B111" s="1732"/>
      <c r="C111" s="1733"/>
      <c r="D111" s="1699"/>
      <c r="E111" s="1026"/>
      <c r="F111" s="1026"/>
      <c r="G111" s="1026"/>
      <c r="H111" s="1730"/>
      <c r="I111" s="1134"/>
      <c r="J111" s="1268"/>
      <c r="K111" s="1268"/>
      <c r="L111" s="1268"/>
      <c r="M111" s="1268"/>
      <c r="N111" s="1268"/>
      <c r="O111" s="1268"/>
      <c r="P111" s="1268"/>
      <c r="Q111" s="1162"/>
      <c r="R111" s="1162"/>
      <c r="S111" s="1162"/>
      <c r="T111" s="1162"/>
      <c r="U111" s="1162"/>
      <c r="V111" s="1162"/>
      <c r="W111" s="1091"/>
      <c r="X111" s="1091"/>
      <c r="Y111" s="1091"/>
      <c r="Z111" s="1091"/>
      <c r="AA111" s="1032"/>
      <c r="AB111" s="1091"/>
      <c r="AC111" s="1091"/>
      <c r="AD111" s="1026"/>
      <c r="AE111" s="1026"/>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1"/>
    </row>
    <row r="113">
      <c r="A113" s="1731"/>
      <c r="B113" s="1732"/>
      <c r="C113" s="1733"/>
      <c r="D113" s="1699"/>
      <c r="E113" s="1026"/>
      <c r="F113" s="1026"/>
      <c r="G113" s="1026"/>
      <c r="H113" s="1730"/>
      <c r="I113" s="1134"/>
      <c r="J113" s="1268"/>
      <c r="K113" s="1268"/>
      <c r="L113" s="1268"/>
      <c r="M113" s="1268"/>
      <c r="N113" s="1268"/>
      <c r="O113" s="1268"/>
      <c r="P113" s="1268"/>
      <c r="Q113" s="1162"/>
      <c r="R113" s="1162"/>
      <c r="S113" s="1162"/>
      <c r="T113" s="1162"/>
      <c r="U113" s="1162"/>
      <c r="V113" s="1162"/>
      <c r="W113" s="1091"/>
      <c r="X113" s="1091"/>
      <c r="Y113" s="1091"/>
      <c r="Z113" s="1091"/>
      <c r="AA113" s="1032"/>
      <c r="AB113" s="1091"/>
      <c r="AC113" s="1091"/>
      <c r="AD113" s="1026"/>
      <c r="AE113" s="1026"/>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1"/>
    </row>
    <row r="115">
      <c r="A115" s="1731"/>
      <c r="B115" s="1732"/>
      <c r="C115" s="1733"/>
      <c r="D115" s="1699"/>
      <c r="E115" s="1026"/>
      <c r="F115" s="1026"/>
      <c r="G115" s="1026"/>
      <c r="H115" s="1134"/>
      <c r="I115" s="1134"/>
      <c r="J115" s="1268"/>
      <c r="K115" s="1268"/>
      <c r="L115" s="1268"/>
      <c r="M115" s="1268"/>
      <c r="N115" s="1268"/>
      <c r="O115" s="1268"/>
      <c r="P115" s="1268"/>
      <c r="Q115" s="1162"/>
      <c r="R115" s="1162"/>
      <c r="S115" s="1162"/>
      <c r="T115" s="1162"/>
      <c r="U115" s="1162"/>
      <c r="V115" s="1162"/>
      <c r="W115" s="1091"/>
      <c r="X115" s="1091"/>
      <c r="Y115" s="1091"/>
      <c r="Z115" s="1091"/>
      <c r="AA115" s="1032"/>
      <c r="AB115" s="1091"/>
      <c r="AC115" s="1091"/>
      <c r="AD115" s="1026"/>
      <c r="AE115" s="1026"/>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1"/>
    </row>
    <row r="117">
      <c r="A117" s="1731"/>
      <c r="B117" s="1732"/>
      <c r="C117" s="1733"/>
      <c r="D117" s="1699"/>
      <c r="E117" s="1026"/>
      <c r="F117" s="1026"/>
      <c r="G117" s="1026"/>
      <c r="H117" s="1134"/>
      <c r="I117" s="1134"/>
      <c r="J117" s="1268"/>
      <c r="K117" s="1268"/>
      <c r="L117" s="1268"/>
      <c r="M117" s="1268"/>
      <c r="N117" s="1268"/>
      <c r="O117" s="1268"/>
      <c r="P117" s="1268"/>
      <c r="Q117" s="1162"/>
      <c r="R117" s="1162"/>
      <c r="S117" s="1162"/>
      <c r="T117" s="1162"/>
      <c r="U117" s="1162"/>
      <c r="V117" s="1162"/>
      <c r="W117" s="1091"/>
      <c r="X117" s="1091"/>
      <c r="Y117" s="1091"/>
      <c r="Z117" s="1091"/>
      <c r="AA117" s="1032"/>
      <c r="AB117" s="1091"/>
      <c r="AC117" s="1091"/>
      <c r="AD117" s="1026"/>
      <c r="AE117" s="1026"/>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1"/>
    </row>
    <row r="119">
      <c r="A119" s="1731"/>
      <c r="B119" s="1732"/>
      <c r="C119" s="1733"/>
      <c r="D119" s="1699"/>
      <c r="E119" s="1026"/>
      <c r="F119" s="1026"/>
      <c r="G119" s="1026"/>
      <c r="H119" s="1134"/>
      <c r="I119" s="1134"/>
      <c r="J119" s="1268"/>
      <c r="K119" s="1268"/>
      <c r="L119" s="1268"/>
      <c r="M119" s="1268"/>
      <c r="N119" s="1268"/>
      <c r="O119" s="1268"/>
      <c r="P119" s="1268"/>
      <c r="Q119" s="1162"/>
      <c r="R119" s="1162"/>
      <c r="S119" s="1162"/>
      <c r="T119" s="1162"/>
      <c r="U119" s="1162"/>
      <c r="V119" s="1162"/>
      <c r="W119" s="1091"/>
      <c r="X119" s="1091"/>
      <c r="Y119" s="1091"/>
      <c r="Z119" s="1091"/>
      <c r="AA119" s="1032"/>
      <c r="AB119" s="1091"/>
      <c r="AC119" s="1091"/>
      <c r="AD119" s="1026"/>
      <c r="AE119" s="1026"/>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1"/>
    </row>
    <row r="121">
      <c r="A121" s="1731"/>
      <c r="B121" s="1732"/>
      <c r="C121" s="1733"/>
      <c r="D121" s="1699"/>
      <c r="E121" s="1026"/>
      <c r="F121" s="1026"/>
      <c r="G121" s="1026"/>
      <c r="H121" s="1134"/>
      <c r="I121" s="1134"/>
      <c r="J121" s="1268"/>
      <c r="K121" s="1268"/>
      <c r="L121" s="1268"/>
      <c r="M121" s="1268"/>
      <c r="N121" s="1268"/>
      <c r="O121" s="1268"/>
      <c r="P121" s="1268"/>
      <c r="Q121" s="1162"/>
      <c r="R121" s="1162"/>
      <c r="S121" s="1162"/>
      <c r="T121" s="1162"/>
      <c r="U121" s="1162"/>
      <c r="V121" s="1162"/>
      <c r="W121" s="1091"/>
      <c r="X121" s="1091"/>
      <c r="Y121" s="1091"/>
      <c r="Z121" s="1091"/>
      <c r="AA121" s="1032"/>
      <c r="AB121" s="1091"/>
      <c r="AC121" s="1091"/>
      <c r="AD121" s="1026"/>
      <c r="AE121" s="1026"/>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1"/>
    </row>
    <row r="123">
      <c r="A123" s="1731"/>
      <c r="B123" s="1732"/>
      <c r="C123" s="1733"/>
      <c r="D123" s="1699"/>
      <c r="E123" s="1026"/>
      <c r="F123" s="1026"/>
      <c r="G123" s="1026"/>
      <c r="H123" s="1134"/>
      <c r="I123" s="1134"/>
      <c r="J123" s="1268"/>
      <c r="K123" s="1268"/>
      <c r="L123" s="1268"/>
      <c r="M123" s="1268"/>
      <c r="N123" s="1268"/>
      <c r="O123" s="1268"/>
      <c r="P123" s="1268"/>
      <c r="Q123" s="1162"/>
      <c r="R123" s="1162"/>
      <c r="S123" s="1162"/>
      <c r="T123" s="1162"/>
      <c r="U123" s="1162"/>
      <c r="V123" s="1162"/>
      <c r="W123" s="1091"/>
      <c r="X123" s="1091"/>
      <c r="Y123" s="1091"/>
      <c r="Z123" s="1091"/>
      <c r="AA123" s="1032"/>
      <c r="AB123" s="1091"/>
      <c r="AC123" s="1091"/>
      <c r="AD123" s="1026"/>
      <c r="AE123" s="1026"/>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1"/>
    </row>
    <row r="125">
      <c r="A125" s="1731"/>
      <c r="B125" s="1732"/>
      <c r="C125" s="1733"/>
      <c r="D125" s="1699"/>
      <c r="E125" s="1026"/>
      <c r="F125" s="1026"/>
      <c r="G125" s="1026"/>
      <c r="H125" s="1134"/>
      <c r="I125" s="1134"/>
      <c r="J125" s="1268"/>
      <c r="K125" s="1268"/>
      <c r="L125" s="1268"/>
      <c r="M125" s="1268"/>
      <c r="N125" s="1268"/>
      <c r="O125" s="1268"/>
      <c r="P125" s="1268"/>
      <c r="Q125" s="1162"/>
      <c r="R125" s="1162"/>
      <c r="S125" s="1162"/>
      <c r="T125" s="1162"/>
      <c r="U125" s="1162"/>
      <c r="V125" s="1162"/>
      <c r="W125" s="1091"/>
      <c r="X125" s="1091"/>
      <c r="Y125" s="1091"/>
      <c r="Z125" s="1091"/>
      <c r="AA125" s="1032"/>
      <c r="AB125" s="1091"/>
      <c r="AC125" s="1091"/>
      <c r="AD125" s="1026"/>
      <c r="AE125" s="1026"/>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1"/>
    </row>
    <row r="127">
      <c r="A127" s="1731"/>
      <c r="B127" s="1732"/>
      <c r="C127" s="1733"/>
      <c r="D127" s="1699"/>
      <c r="E127" s="1026"/>
      <c r="F127" s="1026"/>
      <c r="G127" s="1026"/>
      <c r="H127" s="1134"/>
      <c r="I127" s="1134"/>
      <c r="J127" s="1268"/>
      <c r="K127" s="1268"/>
      <c r="L127" s="1268"/>
      <c r="M127" s="1268"/>
      <c r="N127" s="1268"/>
      <c r="O127" s="1268"/>
      <c r="P127" s="1268"/>
      <c r="Q127" s="1162"/>
      <c r="R127" s="1162"/>
      <c r="S127" s="1162"/>
      <c r="T127" s="1162"/>
      <c r="U127" s="1162"/>
      <c r="V127" s="1162"/>
      <c r="W127" s="1091"/>
      <c r="X127" s="1091"/>
      <c r="Y127" s="1091"/>
      <c r="Z127" s="1091"/>
      <c r="AA127" s="1032"/>
      <c r="AB127" s="1091"/>
      <c r="AC127" s="1091"/>
      <c r="AD127" s="1026"/>
      <c r="AE127" s="1026"/>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1"/>
    </row>
    <row r="129">
      <c r="A129" s="1731"/>
      <c r="B129" s="1732"/>
      <c r="C129" s="1733"/>
      <c r="D129" s="1699"/>
      <c r="E129" s="1026"/>
      <c r="F129" s="1026"/>
      <c r="G129" s="1026"/>
      <c r="H129" s="1134"/>
      <c r="I129" s="1134"/>
      <c r="J129" s="1268"/>
      <c r="K129" s="1268"/>
      <c r="L129" s="1268"/>
      <c r="M129" s="1268"/>
      <c r="N129" s="1268"/>
      <c r="O129" s="1268"/>
      <c r="P129" s="1268"/>
      <c r="Q129" s="1162"/>
      <c r="R129" s="1162"/>
      <c r="S129" s="1162"/>
      <c r="T129" s="1162"/>
      <c r="U129" s="1162"/>
      <c r="V129" s="1162"/>
      <c r="W129" s="1091"/>
      <c r="X129" s="1091"/>
      <c r="Y129" s="1091"/>
      <c r="Z129" s="1091"/>
      <c r="AA129" s="1032"/>
      <c r="AB129" s="1091"/>
      <c r="AC129" s="1091"/>
      <c r="AD129" s="1026"/>
      <c r="AE129" s="1026"/>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1"/>
    </row>
    <row r="131">
      <c r="A131" s="1731"/>
      <c r="B131" s="1732"/>
      <c r="C131" s="1733"/>
      <c r="D131" s="1699"/>
      <c r="E131" s="1026"/>
      <c r="F131" s="1026"/>
      <c r="G131" s="1026"/>
      <c r="H131" s="1134"/>
      <c r="I131" s="1134"/>
      <c r="J131" s="1268"/>
      <c r="K131" s="1268"/>
      <c r="L131" s="1268"/>
      <c r="M131" s="1268"/>
      <c r="N131" s="1268"/>
      <c r="O131" s="1268"/>
      <c r="P131" s="1268"/>
      <c r="Q131" s="1162"/>
      <c r="R131" s="1162"/>
      <c r="S131" s="1162"/>
      <c r="T131" s="1162"/>
      <c r="U131" s="1162"/>
      <c r="V131" s="1162"/>
      <c r="W131" s="1091"/>
      <c r="X131" s="1091"/>
      <c r="Y131" s="1091"/>
      <c r="Z131" s="1091"/>
      <c r="AA131" s="1032"/>
      <c r="AB131" s="1091"/>
      <c r="AC131" s="1091"/>
      <c r="AD131" s="1026"/>
      <c r="AE131" s="1026"/>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1"/>
    </row>
    <row r="133">
      <c r="A133" s="1731"/>
      <c r="B133" s="1732"/>
      <c r="C133" s="1733"/>
      <c r="D133" s="1699"/>
      <c r="E133" s="1026"/>
      <c r="F133" s="1026"/>
      <c r="G133" s="1026"/>
      <c r="H133" s="1134"/>
      <c r="I133" s="1134"/>
      <c r="J133" s="1268"/>
      <c r="K133" s="1268"/>
      <c r="L133" s="1268"/>
      <c r="M133" s="1268"/>
      <c r="N133" s="1268"/>
      <c r="O133" s="1268"/>
      <c r="P133" s="1268"/>
      <c r="Q133" s="1162"/>
      <c r="R133" s="1162"/>
      <c r="S133" s="1162"/>
      <c r="T133" s="1162"/>
      <c r="U133" s="1162"/>
      <c r="V133" s="1162"/>
      <c r="W133" s="1091"/>
      <c r="X133" s="1091"/>
      <c r="Y133" s="1091"/>
      <c r="Z133" s="1091"/>
      <c r="AA133" s="1032"/>
      <c r="AB133" s="1091"/>
      <c r="AC133" s="1091"/>
      <c r="AD133" s="1026"/>
      <c r="AE133" s="1026"/>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1"/>
    </row>
    <row r="135">
      <c r="A135" s="1731"/>
      <c r="B135" s="1732"/>
      <c r="C135" s="1733"/>
      <c r="D135" s="1699"/>
      <c r="E135" s="1026"/>
      <c r="F135" s="1026"/>
      <c r="G135" s="1026"/>
      <c r="H135" s="1134"/>
      <c r="I135" s="1134"/>
      <c r="J135" s="1268"/>
      <c r="K135" s="1268"/>
      <c r="L135" s="1268"/>
      <c r="M135" s="1268"/>
      <c r="N135" s="1268"/>
      <c r="O135" s="1268"/>
      <c r="P135" s="1268"/>
      <c r="Q135" s="1162"/>
      <c r="R135" s="1162"/>
      <c r="S135" s="1162"/>
      <c r="T135" s="1162"/>
      <c r="U135" s="1162"/>
      <c r="V135" s="1162"/>
      <c r="W135" s="1091"/>
      <c r="X135" s="1091"/>
      <c r="Y135" s="1091"/>
      <c r="Z135" s="1091"/>
      <c r="AA135" s="1032"/>
      <c r="AB135" s="1091"/>
      <c r="AC135" s="1091"/>
      <c r="AD135" s="1026"/>
      <c r="AE135" s="1026"/>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1"/>
    </row>
    <row r="137">
      <c r="A137" s="1731"/>
      <c r="B137" s="1732"/>
      <c r="C137" s="1733"/>
      <c r="D137" s="1026"/>
      <c r="E137" s="1026"/>
      <c r="F137" s="1026"/>
      <c r="G137" s="1026"/>
      <c r="H137" s="1134"/>
      <c r="I137" s="1134"/>
      <c r="J137" s="1268"/>
      <c r="K137" s="1268"/>
      <c r="L137" s="1268"/>
      <c r="M137" s="1268"/>
      <c r="N137" s="1268"/>
      <c r="O137" s="1268"/>
      <c r="P137" s="1268"/>
      <c r="Q137" s="1162"/>
      <c r="R137" s="1162"/>
      <c r="S137" s="1162"/>
      <c r="T137" s="1162"/>
      <c r="U137" s="1162"/>
      <c r="V137" s="1162"/>
      <c r="W137" s="1091"/>
      <c r="X137" s="1091"/>
      <c r="Y137" s="1091"/>
      <c r="Z137" s="1091"/>
      <c r="AA137" s="1032"/>
      <c r="AB137" s="1091"/>
      <c r="AC137" s="1091"/>
      <c r="AD137" s="1026"/>
      <c r="AE137" s="1026"/>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1"/>
    </row>
    <row r="139">
      <c r="A139" s="1731"/>
      <c r="B139" s="1732"/>
      <c r="C139" s="1733"/>
      <c r="D139" s="1026"/>
      <c r="E139" s="1026"/>
      <c r="F139" s="1026"/>
      <c r="G139" s="1026"/>
      <c r="H139" s="1134"/>
      <c r="I139" s="1134"/>
      <c r="J139" s="1268"/>
      <c r="K139" s="1268"/>
      <c r="L139" s="1268"/>
      <c r="M139" s="1268"/>
      <c r="N139" s="1268"/>
      <c r="O139" s="1268"/>
      <c r="P139" s="1268"/>
      <c r="Q139" s="1162"/>
      <c r="R139" s="1162"/>
      <c r="S139" s="1162"/>
      <c r="T139" s="1162"/>
      <c r="U139" s="1162"/>
      <c r="V139" s="1162"/>
      <c r="W139" s="1091"/>
      <c r="X139" s="1091"/>
      <c r="Y139" s="1091"/>
      <c r="Z139" s="1091"/>
      <c r="AA139" s="1032"/>
      <c r="AB139" s="1091"/>
      <c r="AC139" s="1091"/>
      <c r="AD139" s="1026"/>
      <c r="AE139" s="1026"/>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1"/>
    </row>
    <row r="141">
      <c r="A141" s="1731"/>
      <c r="B141" s="1732"/>
      <c r="C141" s="1733"/>
      <c r="D141" s="1026"/>
      <c r="E141" s="1026"/>
      <c r="F141" s="1026"/>
      <c r="G141" s="1026"/>
      <c r="H141" s="1134"/>
      <c r="I141" s="1134"/>
      <c r="J141" s="1268"/>
      <c r="K141" s="1268"/>
      <c r="L141" s="1268"/>
      <c r="M141" s="1268"/>
      <c r="N141" s="1268"/>
      <c r="O141" s="1268"/>
      <c r="P141" s="1268"/>
      <c r="Q141" s="1162"/>
      <c r="R141" s="1162"/>
      <c r="S141" s="1162"/>
      <c r="T141" s="1162"/>
      <c r="U141" s="1162"/>
      <c r="V141" s="1162"/>
      <c r="W141" s="1091"/>
      <c r="X141" s="1091"/>
      <c r="Y141" s="1091"/>
      <c r="Z141" s="1091"/>
      <c r="AA141" s="1032"/>
      <c r="AB141" s="1091"/>
      <c r="AC141" s="1091"/>
      <c r="AD141" s="1026"/>
      <c r="AE141" s="1026"/>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1"/>
    </row>
    <row r="143">
      <c r="A143" s="1731"/>
      <c r="B143" s="1732"/>
      <c r="C143" s="1733"/>
      <c r="D143" s="1026"/>
      <c r="E143" s="1026"/>
      <c r="F143" s="1026"/>
      <c r="G143" s="1026"/>
      <c r="H143" s="1134"/>
      <c r="I143" s="1134"/>
      <c r="J143" s="1268"/>
      <c r="K143" s="1268"/>
      <c r="L143" s="1268"/>
      <c r="M143" s="1268"/>
      <c r="N143" s="1268"/>
      <c r="O143" s="1268"/>
      <c r="P143" s="1268"/>
      <c r="Q143" s="1162"/>
      <c r="R143" s="1162"/>
      <c r="S143" s="1162"/>
      <c r="T143" s="1162"/>
      <c r="U143" s="1162"/>
      <c r="V143" s="1162"/>
      <c r="W143" s="1091"/>
      <c r="X143" s="1091"/>
      <c r="Y143" s="1091"/>
      <c r="Z143" s="1091"/>
      <c r="AA143" s="1032"/>
      <c r="AB143" s="1091"/>
      <c r="AC143" s="1091"/>
      <c r="AD143" s="1026"/>
      <c r="AE143" s="1026"/>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1"/>
    </row>
    <row r="145">
      <c r="A145" s="1731"/>
      <c r="B145" s="1732"/>
      <c r="C145" s="1733"/>
      <c r="D145" s="1026"/>
      <c r="E145" s="1026"/>
      <c r="F145" s="1026"/>
      <c r="G145" s="1026"/>
      <c r="H145" s="1134"/>
      <c r="I145" s="1134"/>
      <c r="J145" s="1268"/>
      <c r="K145" s="1268"/>
      <c r="L145" s="1268"/>
      <c r="M145" s="1268"/>
      <c r="N145" s="1268"/>
      <c r="O145" s="1268"/>
      <c r="P145" s="1268"/>
      <c r="Q145" s="1162"/>
      <c r="R145" s="1162"/>
      <c r="S145" s="1162"/>
      <c r="T145" s="1162"/>
      <c r="U145" s="1162"/>
      <c r="V145" s="1162"/>
      <c r="W145" s="1091"/>
      <c r="X145" s="1091"/>
      <c r="Y145" s="1091"/>
      <c r="Z145" s="1091"/>
      <c r="AA145" s="1032"/>
      <c r="AB145" s="1091"/>
      <c r="AC145" s="1091"/>
      <c r="AD145" s="1026"/>
      <c r="AE145" s="1026"/>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1"/>
    </row>
    <row r="147">
      <c r="A147" s="1731"/>
      <c r="B147" s="1732"/>
      <c r="C147" s="1733"/>
      <c r="D147" s="1026"/>
      <c r="E147" s="1026"/>
      <c r="F147" s="1026"/>
      <c r="G147" s="1026"/>
      <c r="H147" s="1134"/>
      <c r="I147" s="1134"/>
      <c r="J147" s="1268"/>
      <c r="K147" s="1268"/>
      <c r="L147" s="1268"/>
      <c r="M147" s="1268"/>
      <c r="N147" s="1268"/>
      <c r="O147" s="1268"/>
      <c r="P147" s="1268"/>
      <c r="Q147" s="1162"/>
      <c r="R147" s="1162"/>
      <c r="S147" s="1162"/>
      <c r="T147" s="1162"/>
      <c r="U147" s="1162"/>
      <c r="V147" s="1162"/>
      <c r="W147" s="1091"/>
      <c r="X147" s="1091"/>
      <c r="Y147" s="1091"/>
      <c r="Z147" s="1091"/>
      <c r="AA147" s="1032"/>
      <c r="AB147" s="1091"/>
      <c r="AC147" s="1091"/>
      <c r="AD147" s="1026"/>
      <c r="AE147" s="1026"/>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1"/>
    </row>
    <row r="149">
      <c r="A149" s="1731"/>
      <c r="B149" s="1732"/>
      <c r="C149" s="1733"/>
      <c r="D149" s="1026"/>
      <c r="E149" s="1026"/>
      <c r="F149" s="1026"/>
      <c r="G149" s="1026"/>
      <c r="H149" s="1134"/>
      <c r="I149" s="1134"/>
      <c r="J149" s="1268"/>
      <c r="K149" s="1268"/>
      <c r="L149" s="1268"/>
      <c r="M149" s="1268"/>
      <c r="N149" s="1268"/>
      <c r="O149" s="1268"/>
      <c r="P149" s="1268"/>
      <c r="Q149" s="1162"/>
      <c r="R149" s="1162"/>
      <c r="S149" s="1162"/>
      <c r="T149" s="1162"/>
      <c r="U149" s="1162"/>
      <c r="V149" s="1162"/>
      <c r="W149" s="1091"/>
      <c r="X149" s="1091"/>
      <c r="Y149" s="1091"/>
      <c r="Z149" s="1091"/>
      <c r="AA149" s="1032"/>
      <c r="AB149" s="1091"/>
      <c r="AC149" s="1091"/>
      <c r="AD149" s="1026"/>
      <c r="AE149" s="1026"/>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1"/>
    </row>
    <row r="151">
      <c r="A151" s="1731"/>
      <c r="B151" s="1732"/>
      <c r="C151" s="1733"/>
      <c r="D151" s="1026"/>
      <c r="E151" s="1026"/>
      <c r="F151" s="1026"/>
      <c r="G151" s="1026"/>
      <c r="H151" s="1134"/>
      <c r="I151" s="1134"/>
      <c r="J151" s="1268"/>
      <c r="K151" s="1268"/>
      <c r="L151" s="1268"/>
      <c r="M151" s="1268"/>
      <c r="N151" s="1268"/>
      <c r="O151" s="1268"/>
      <c r="P151" s="1268"/>
      <c r="Q151" s="1162"/>
      <c r="R151" s="1162"/>
      <c r="S151" s="1162"/>
      <c r="T151" s="1162"/>
      <c r="U151" s="1162"/>
      <c r="V151" s="1162"/>
      <c r="W151" s="1091"/>
      <c r="X151" s="1091"/>
      <c r="Y151" s="1091"/>
      <c r="Z151" s="1091"/>
      <c r="AA151" s="1032"/>
      <c r="AB151" s="1091"/>
      <c r="AC151" s="1091"/>
      <c r="AD151" s="1026"/>
      <c r="AE151" s="1026"/>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1"/>
    </row>
    <row r="153">
      <c r="A153" s="1731"/>
      <c r="B153" s="1732"/>
      <c r="C153" s="1733"/>
      <c r="D153" s="1026"/>
      <c r="E153" s="1026"/>
      <c r="F153" s="1026"/>
      <c r="G153" s="1026"/>
      <c r="H153" s="1134"/>
      <c r="I153" s="1134"/>
      <c r="J153" s="1268"/>
      <c r="K153" s="1268"/>
      <c r="L153" s="1268"/>
      <c r="M153" s="1268"/>
      <c r="N153" s="1268"/>
      <c r="O153" s="1268"/>
      <c r="P153" s="1268"/>
      <c r="Q153" s="1162"/>
      <c r="R153" s="1162"/>
      <c r="S153" s="1162"/>
      <c r="T153" s="1162"/>
      <c r="U153" s="1162"/>
      <c r="V153" s="1162"/>
      <c r="W153" s="1091"/>
      <c r="X153" s="1091"/>
      <c r="Y153" s="1091"/>
      <c r="Z153" s="1091"/>
      <c r="AA153" s="1032"/>
      <c r="AB153" s="1091"/>
      <c r="AC153" s="1091"/>
      <c r="AD153" s="1026"/>
      <c r="AE153" s="1026"/>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1"/>
    </row>
    <row r="155">
      <c r="A155" s="1731"/>
      <c r="B155" s="1732"/>
      <c r="C155" s="1733"/>
      <c r="D155" s="1026"/>
      <c r="E155" s="1026"/>
      <c r="F155" s="1026"/>
      <c r="G155" s="1026"/>
      <c r="H155" s="1134"/>
      <c r="I155" s="1134"/>
      <c r="J155" s="1268"/>
      <c r="K155" s="1268"/>
      <c r="L155" s="1268"/>
      <c r="M155" s="1268"/>
      <c r="N155" s="1268"/>
      <c r="O155" s="1268"/>
      <c r="P155" s="1268"/>
      <c r="Q155" s="1162"/>
      <c r="R155" s="1162"/>
      <c r="S155" s="1162"/>
      <c r="T155" s="1162"/>
      <c r="U155" s="1162"/>
      <c r="V155" s="1162"/>
      <c r="W155" s="1091"/>
      <c r="X155" s="1091"/>
      <c r="Y155" s="1091"/>
      <c r="Z155" s="1091"/>
      <c r="AA155" s="1032"/>
      <c r="AB155" s="1091"/>
      <c r="AC155" s="1091"/>
      <c r="AD155" s="1026"/>
      <c r="AE155" s="1026"/>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1"/>
    </row>
    <row r="157">
      <c r="A157" s="1731"/>
      <c r="B157" s="1732"/>
      <c r="C157" s="1733"/>
      <c r="D157" s="1026"/>
      <c r="E157" s="1026"/>
      <c r="F157" s="1026"/>
      <c r="G157" s="1026"/>
      <c r="H157" s="1134"/>
      <c r="I157" s="1134"/>
      <c r="J157" s="1268"/>
      <c r="K157" s="1268"/>
      <c r="L157" s="1268"/>
      <c r="M157" s="1268"/>
      <c r="N157" s="1268"/>
      <c r="O157" s="1268"/>
      <c r="P157" s="1268"/>
      <c r="Q157" s="1162"/>
      <c r="R157" s="1162"/>
      <c r="S157" s="1162"/>
      <c r="T157" s="1162"/>
      <c r="U157" s="1162"/>
      <c r="V157" s="1162"/>
      <c r="W157" s="1091"/>
      <c r="X157" s="1091"/>
      <c r="Y157" s="1091"/>
      <c r="Z157" s="1091"/>
      <c r="AA157" s="1032"/>
      <c r="AB157" s="1091"/>
      <c r="AC157" s="1091"/>
      <c r="AD157" s="1026"/>
      <c r="AE157" s="1026"/>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1"/>
    </row>
    <row r="159">
      <c r="A159" s="1731"/>
      <c r="B159" s="1732"/>
      <c r="C159" s="1733"/>
      <c r="D159" s="1026"/>
      <c r="E159" s="1026"/>
      <c r="F159" s="1026"/>
      <c r="G159" s="1026"/>
      <c r="H159" s="1134"/>
      <c r="I159" s="1134"/>
      <c r="J159" s="1268"/>
      <c r="K159" s="1268"/>
      <c r="L159" s="1268"/>
      <c r="M159" s="1268"/>
      <c r="N159" s="1268"/>
      <c r="O159" s="1268"/>
      <c r="P159" s="1268"/>
      <c r="Q159" s="1162"/>
      <c r="R159" s="1162"/>
      <c r="S159" s="1162"/>
      <c r="T159" s="1162"/>
      <c r="U159" s="1162"/>
      <c r="V159" s="1162"/>
      <c r="W159" s="1091"/>
      <c r="X159" s="1091"/>
      <c r="Y159" s="1091"/>
      <c r="Z159" s="1091"/>
      <c r="AA159" s="1032"/>
      <c r="AB159" s="1091"/>
      <c r="AC159" s="1091"/>
      <c r="AD159" s="1026"/>
      <c r="AE159" s="1026"/>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1"/>
    </row>
    <row r="161">
      <c r="A161" s="1731"/>
      <c r="B161" s="1732"/>
      <c r="C161" s="1733"/>
      <c r="D161" s="1026"/>
      <c r="E161" s="1026"/>
      <c r="F161" s="1026"/>
      <c r="G161" s="1026"/>
      <c r="H161" s="1134"/>
      <c r="I161" s="1134"/>
      <c r="J161" s="1268"/>
      <c r="K161" s="1268"/>
      <c r="L161" s="1268"/>
      <c r="M161" s="1268"/>
      <c r="N161" s="1268"/>
      <c r="O161" s="1268"/>
      <c r="P161" s="1268"/>
      <c r="Q161" s="1162"/>
      <c r="R161" s="1162"/>
      <c r="S161" s="1162"/>
      <c r="T161" s="1162"/>
      <c r="U161" s="1162"/>
      <c r="V161" s="1162"/>
      <c r="W161" s="1091"/>
      <c r="X161" s="1091"/>
      <c r="Y161" s="1091"/>
      <c r="Z161" s="1091"/>
      <c r="AA161" s="1032"/>
      <c r="AB161" s="1091"/>
      <c r="AC161" s="1091"/>
      <c r="AD161" s="1026"/>
      <c r="AE161" s="1026"/>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1"/>
    </row>
    <row r="163">
      <c r="A163" s="1731"/>
      <c r="B163" s="1732"/>
      <c r="C163" s="1733"/>
      <c r="D163" s="1026"/>
      <c r="E163" s="1026"/>
      <c r="F163" s="1026"/>
      <c r="G163" s="1026"/>
      <c r="H163" s="1134"/>
      <c r="I163" s="1134"/>
      <c r="J163" s="1268"/>
      <c r="K163" s="1268"/>
      <c r="L163" s="1268"/>
      <c r="M163" s="1268"/>
      <c r="N163" s="1268"/>
      <c r="O163" s="1268"/>
      <c r="P163" s="1268"/>
      <c r="Q163" s="1162"/>
      <c r="R163" s="1162"/>
      <c r="S163" s="1162"/>
      <c r="T163" s="1162"/>
      <c r="U163" s="1162"/>
      <c r="V163" s="1162"/>
      <c r="W163" s="1091"/>
      <c r="X163" s="1091"/>
      <c r="Y163" s="1091"/>
      <c r="Z163" s="1091"/>
      <c r="AA163" s="1032"/>
      <c r="AB163" s="1091"/>
      <c r="AC163" s="1091"/>
      <c r="AD163" s="1026"/>
      <c r="AE163" s="1026"/>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1"/>
    </row>
    <row r="165">
      <c r="A165" s="1731"/>
      <c r="B165" s="1732"/>
      <c r="C165" s="1733"/>
      <c r="D165" s="1026"/>
      <c r="E165" s="1026"/>
      <c r="F165" s="1026"/>
      <c r="G165" s="1026"/>
      <c r="H165" s="1134"/>
      <c r="I165" s="1134"/>
      <c r="J165" s="1268"/>
      <c r="K165" s="1268"/>
      <c r="L165" s="1268"/>
      <c r="M165" s="1268"/>
      <c r="N165" s="1268"/>
      <c r="O165" s="1268"/>
      <c r="P165" s="1268"/>
      <c r="Q165" s="1162"/>
      <c r="R165" s="1162"/>
      <c r="S165" s="1162"/>
      <c r="T165" s="1162"/>
      <c r="U165" s="1162"/>
      <c r="V165" s="1162"/>
      <c r="W165" s="1091"/>
      <c r="X165" s="1091"/>
      <c r="Y165" s="1091"/>
      <c r="Z165" s="1091"/>
      <c r="AA165" s="1032"/>
      <c r="AB165" s="1091"/>
      <c r="AC165" s="1091"/>
      <c r="AD165" s="1026"/>
      <c r="AE165" s="1026"/>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1"/>
    </row>
    <row r="167">
      <c r="A167" s="1731"/>
      <c r="B167" s="1732"/>
      <c r="C167" s="1733"/>
      <c r="D167" s="1026"/>
      <c r="E167" s="1026"/>
      <c r="F167" s="1026"/>
      <c r="G167" s="1026"/>
      <c r="H167" s="1134"/>
      <c r="I167" s="1134"/>
      <c r="J167" s="1268"/>
      <c r="K167" s="1268"/>
      <c r="L167" s="1268"/>
      <c r="M167" s="1268"/>
      <c r="N167" s="1268"/>
      <c r="O167" s="1268"/>
      <c r="P167" s="1268"/>
      <c r="Q167" s="1162"/>
      <c r="R167" s="1162"/>
      <c r="S167" s="1162"/>
      <c r="T167" s="1162"/>
      <c r="U167" s="1162"/>
      <c r="V167" s="1162"/>
      <c r="W167" s="1091"/>
      <c r="X167" s="1091"/>
      <c r="Y167" s="1091"/>
      <c r="Z167" s="1091"/>
      <c r="AA167" s="1032"/>
      <c r="AB167" s="1091"/>
      <c r="AC167" s="1091"/>
      <c r="AD167" s="1026"/>
      <c r="AE167" s="1026"/>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1"/>
    </row>
    <row r="169">
      <c r="A169" s="1731"/>
      <c r="B169" s="1732"/>
      <c r="C169" s="1733"/>
      <c r="D169" s="1026"/>
      <c r="E169" s="1026"/>
      <c r="F169" s="1026"/>
      <c r="G169" s="1026"/>
      <c r="H169" s="1134"/>
      <c r="I169" s="1134"/>
      <c r="J169" s="1268"/>
      <c r="K169" s="1268"/>
      <c r="L169" s="1268"/>
      <c r="M169" s="1268"/>
      <c r="N169" s="1268"/>
      <c r="O169" s="1268"/>
      <c r="P169" s="1268"/>
      <c r="Q169" s="1162"/>
      <c r="R169" s="1162"/>
      <c r="S169" s="1162"/>
      <c r="T169" s="1162"/>
      <c r="U169" s="1162"/>
      <c r="V169" s="1162"/>
      <c r="W169" s="1091"/>
      <c r="X169" s="1091"/>
      <c r="Y169" s="1091"/>
      <c r="Z169" s="1091"/>
      <c r="AA169" s="1032"/>
      <c r="AB169" s="1091"/>
      <c r="AC169" s="1091"/>
      <c r="AD169" s="1026"/>
      <c r="AE169" s="1026"/>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1"/>
    </row>
    <row r="171">
      <c r="A171" s="1731"/>
      <c r="B171" s="1732"/>
      <c r="C171" s="1733"/>
      <c r="D171" s="1026"/>
      <c r="E171" s="1026"/>
      <c r="F171" s="1026"/>
      <c r="G171" s="1026"/>
      <c r="H171" s="1134"/>
      <c r="I171" s="1134"/>
      <c r="J171" s="1268"/>
      <c r="K171" s="1268"/>
      <c r="L171" s="1268"/>
      <c r="M171" s="1268"/>
      <c r="N171" s="1268"/>
      <c r="O171" s="1268"/>
      <c r="P171" s="1268"/>
      <c r="Q171" s="1162"/>
      <c r="R171" s="1162"/>
      <c r="S171" s="1162"/>
      <c r="T171" s="1162"/>
      <c r="U171" s="1162"/>
      <c r="V171" s="1162"/>
      <c r="W171" s="1091"/>
      <c r="X171" s="1091"/>
      <c r="Y171" s="1091"/>
      <c r="Z171" s="1091"/>
      <c r="AA171" s="1032"/>
      <c r="AB171" s="1091"/>
      <c r="AC171" s="1091"/>
      <c r="AD171" s="1026"/>
      <c r="AE171" s="1026"/>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1"/>
    </row>
    <row r="173">
      <c r="A173" s="1731"/>
      <c r="B173" s="1732"/>
      <c r="C173" s="1733"/>
      <c r="D173" s="1026"/>
      <c r="E173" s="1026"/>
      <c r="F173" s="1026"/>
      <c r="G173" s="1026"/>
      <c r="H173" s="1134"/>
      <c r="I173" s="1134"/>
      <c r="J173" s="1268"/>
      <c r="K173" s="1268"/>
      <c r="L173" s="1268"/>
      <c r="M173" s="1268"/>
      <c r="N173" s="1268"/>
      <c r="O173" s="1268"/>
      <c r="P173" s="1268"/>
      <c r="Q173" s="1162"/>
      <c r="R173" s="1162"/>
      <c r="S173" s="1162"/>
      <c r="T173" s="1162"/>
      <c r="U173" s="1162"/>
      <c r="V173" s="1162"/>
      <c r="W173" s="1091"/>
      <c r="X173" s="1091"/>
      <c r="Y173" s="1091"/>
      <c r="Z173" s="1091"/>
      <c r="AA173" s="1032"/>
      <c r="AB173" s="1091"/>
      <c r="AC173" s="1091"/>
      <c r="AD173" s="1026"/>
      <c r="AE173" s="1026"/>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1"/>
    </row>
    <row r="175">
      <c r="A175" s="1731"/>
      <c r="B175" s="1732"/>
      <c r="C175" s="1733"/>
      <c r="D175" s="1026"/>
      <c r="E175" s="1026"/>
      <c r="F175" s="1026"/>
      <c r="G175" s="1026"/>
      <c r="H175" s="1134"/>
      <c r="I175" s="1134"/>
      <c r="J175" s="1268"/>
      <c r="K175" s="1268"/>
      <c r="L175" s="1268"/>
      <c r="M175" s="1268"/>
      <c r="N175" s="1268"/>
      <c r="O175" s="1268"/>
      <c r="P175" s="1268"/>
      <c r="Q175" s="1162"/>
      <c r="R175" s="1162"/>
      <c r="S175" s="1162"/>
      <c r="T175" s="1162"/>
      <c r="U175" s="1162"/>
      <c r="V175" s="1162"/>
      <c r="W175" s="1091"/>
      <c r="X175" s="1091"/>
      <c r="Y175" s="1091"/>
      <c r="Z175" s="1091"/>
      <c r="AA175" s="1032"/>
      <c r="AB175" s="1091"/>
      <c r="AC175" s="1091"/>
      <c r="AD175" s="1026"/>
      <c r="AE175" s="1026"/>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1"/>
    </row>
    <row r="177">
      <c r="A177" s="1731"/>
      <c r="B177" s="1732"/>
      <c r="C177" s="1733"/>
      <c r="D177" s="1026"/>
      <c r="E177" s="1026"/>
      <c r="F177" s="1026"/>
      <c r="G177" s="1026"/>
      <c r="H177" s="1134"/>
      <c r="I177" s="1134"/>
      <c r="J177" s="1268"/>
      <c r="K177" s="1268"/>
      <c r="L177" s="1268"/>
      <c r="M177" s="1268"/>
      <c r="N177" s="1268"/>
      <c r="O177" s="1268"/>
      <c r="P177" s="1268"/>
      <c r="Q177" s="1162"/>
      <c r="R177" s="1162"/>
      <c r="S177" s="1162"/>
      <c r="T177" s="1162"/>
      <c r="U177" s="1162"/>
      <c r="V177" s="1162"/>
      <c r="W177" s="1091"/>
      <c r="X177" s="1091"/>
      <c r="Y177" s="1091"/>
      <c r="Z177" s="1091"/>
      <c r="AA177" s="1032"/>
      <c r="AB177" s="1091"/>
      <c r="AC177" s="1091"/>
      <c r="AD177" s="1026"/>
      <c r="AE177" s="1026"/>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1"/>
    </row>
    <row r="179">
      <c r="A179" s="1731"/>
      <c r="B179" s="1732"/>
      <c r="C179" s="1733"/>
      <c r="D179" s="1026"/>
      <c r="E179" s="1026"/>
      <c r="F179" s="1026"/>
      <c r="G179" s="1026"/>
      <c r="H179" s="1134"/>
      <c r="I179" s="1134"/>
      <c r="J179" s="1268"/>
      <c r="K179" s="1268"/>
      <c r="L179" s="1268"/>
      <c r="M179" s="1268"/>
      <c r="N179" s="1268"/>
      <c r="O179" s="1268"/>
      <c r="P179" s="1268"/>
      <c r="Q179" s="1162"/>
      <c r="R179" s="1162"/>
      <c r="S179" s="1162"/>
      <c r="T179" s="1162"/>
      <c r="U179" s="1162"/>
      <c r="V179" s="1162"/>
      <c r="W179" s="1091"/>
      <c r="X179" s="1091"/>
      <c r="Y179" s="1091"/>
      <c r="Z179" s="1091"/>
      <c r="AA179" s="1032"/>
      <c r="AB179" s="1091"/>
      <c r="AC179" s="1091"/>
      <c r="AD179" s="1026"/>
      <c r="AE179" s="1026"/>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1"/>
    </row>
    <row r="181">
      <c r="A181" s="1731"/>
      <c r="B181" s="1732"/>
      <c r="C181" s="1733"/>
      <c r="D181" s="1026"/>
      <c r="E181" s="1026"/>
      <c r="F181" s="1026"/>
      <c r="G181" s="1026"/>
      <c r="H181" s="1134"/>
      <c r="I181" s="1134"/>
      <c r="J181" s="1268"/>
      <c r="K181" s="1268"/>
      <c r="L181" s="1268"/>
      <c r="M181" s="1268"/>
      <c r="N181" s="1268"/>
      <c r="O181" s="1268"/>
      <c r="P181" s="1268"/>
      <c r="Q181" s="1162"/>
      <c r="R181" s="1162"/>
      <c r="S181" s="1162"/>
      <c r="T181" s="1162"/>
      <c r="U181" s="1162"/>
      <c r="V181" s="1162"/>
      <c r="W181" s="1091"/>
      <c r="X181" s="1091"/>
      <c r="Y181" s="1091"/>
      <c r="Z181" s="1091"/>
      <c r="AA181" s="1032"/>
      <c r="AB181" s="1091"/>
      <c r="AC181" s="1091"/>
      <c r="AD181" s="1026"/>
      <c r="AE181" s="1026"/>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1"/>
    </row>
    <row r="183">
      <c r="A183" s="1731"/>
      <c r="B183" s="1732"/>
      <c r="C183" s="1733"/>
      <c r="D183" s="1026"/>
      <c r="E183" s="1026"/>
      <c r="F183" s="1026"/>
      <c r="G183" s="1026"/>
      <c r="H183" s="1134"/>
      <c r="I183" s="1134"/>
      <c r="J183" s="1268"/>
      <c r="K183" s="1268"/>
      <c r="L183" s="1268"/>
      <c r="M183" s="1268"/>
      <c r="N183" s="1268"/>
      <c r="O183" s="1268"/>
      <c r="P183" s="1268"/>
      <c r="Q183" s="1162"/>
      <c r="R183" s="1162"/>
      <c r="S183" s="1162"/>
      <c r="T183" s="1162"/>
      <c r="U183" s="1162"/>
      <c r="V183" s="1162"/>
      <c r="W183" s="1091"/>
      <c r="X183" s="1091"/>
      <c r="Y183" s="1091"/>
      <c r="Z183" s="1091"/>
      <c r="AA183" s="1032"/>
      <c r="AB183" s="1091"/>
      <c r="AC183" s="1091"/>
      <c r="AD183" s="1026"/>
      <c r="AE183" s="1026"/>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1"/>
    </row>
    <row r="185">
      <c r="A185" s="1731"/>
      <c r="B185" s="1732"/>
      <c r="C185" s="1733"/>
      <c r="D185" s="1026"/>
      <c r="E185" s="1026"/>
      <c r="F185" s="1026"/>
      <c r="G185" s="1026"/>
      <c r="H185" s="1134"/>
      <c r="I185" s="1134"/>
      <c r="J185" s="1268"/>
      <c r="K185" s="1268"/>
      <c r="L185" s="1268"/>
      <c r="M185" s="1268"/>
      <c r="N185" s="1268"/>
      <c r="O185" s="1268"/>
      <c r="P185" s="1268"/>
      <c r="Q185" s="1162"/>
      <c r="R185" s="1162"/>
      <c r="S185" s="1162"/>
      <c r="T185" s="1162"/>
      <c r="U185" s="1162"/>
      <c r="V185" s="1162"/>
      <c r="W185" s="1091"/>
      <c r="X185" s="1091"/>
      <c r="Y185" s="1091"/>
      <c r="Z185" s="1091"/>
      <c r="AA185" s="1032"/>
      <c r="AB185" s="1091"/>
      <c r="AC185" s="1091"/>
      <c r="AD185" s="1026"/>
      <c r="AE185" s="1026"/>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1"/>
    </row>
    <row r="187">
      <c r="A187" s="1731"/>
      <c r="B187" s="1732"/>
      <c r="C187" s="1733"/>
      <c r="D187" s="1026"/>
      <c r="E187" s="1026"/>
      <c r="F187" s="1026"/>
      <c r="G187" s="1026"/>
      <c r="H187" s="1134"/>
      <c r="I187" s="1134"/>
      <c r="J187" s="1268"/>
      <c r="K187" s="1268"/>
      <c r="L187" s="1268"/>
      <c r="M187" s="1268"/>
      <c r="N187" s="1268"/>
      <c r="O187" s="1268"/>
      <c r="P187" s="1268"/>
      <c r="Q187" s="1162"/>
      <c r="R187" s="1162"/>
      <c r="S187" s="1162"/>
      <c r="T187" s="1162"/>
      <c r="U187" s="1162"/>
      <c r="V187" s="1162"/>
      <c r="W187" s="1091"/>
      <c r="X187" s="1091"/>
      <c r="Y187" s="1091"/>
      <c r="Z187" s="1091"/>
      <c r="AA187" s="1032"/>
      <c r="AB187" s="1091"/>
      <c r="AC187" s="1091"/>
      <c r="AD187" s="1026"/>
      <c r="AE187" s="1026"/>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1"/>
    </row>
    <row r="189">
      <c r="A189" s="1731"/>
      <c r="B189" s="1732"/>
      <c r="C189" s="1733"/>
      <c r="D189" s="1026"/>
      <c r="E189" s="1026"/>
      <c r="F189" s="1026"/>
      <c r="G189" s="1026"/>
      <c r="H189" s="1134"/>
      <c r="I189" s="1134"/>
      <c r="J189" s="1268"/>
      <c r="K189" s="1268"/>
      <c r="L189" s="1268"/>
      <c r="M189" s="1268"/>
      <c r="N189" s="1268"/>
      <c r="O189" s="1268"/>
      <c r="P189" s="1268"/>
      <c r="Q189" s="1162"/>
      <c r="R189" s="1162"/>
      <c r="S189" s="1162"/>
      <c r="T189" s="1162"/>
      <c r="U189" s="1162"/>
      <c r="V189" s="1162"/>
      <c r="W189" s="1091"/>
      <c r="X189" s="1091"/>
      <c r="Y189" s="1091"/>
      <c r="Z189" s="1091"/>
      <c r="AA189" s="1032"/>
      <c r="AB189" s="1091"/>
      <c r="AC189" s="1091"/>
      <c r="AD189" s="1026"/>
      <c r="AE189" s="1026"/>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1"/>
    </row>
    <row r="191">
      <c r="A191" s="1731"/>
      <c r="B191" s="1732"/>
      <c r="C191" s="1733"/>
      <c r="D191" s="1026"/>
      <c r="E191" s="1026"/>
      <c r="F191" s="1026"/>
      <c r="G191" s="1026"/>
      <c r="H191" s="1134"/>
      <c r="I191" s="1134"/>
      <c r="J191" s="1268"/>
      <c r="K191" s="1268"/>
      <c r="L191" s="1268"/>
      <c r="M191" s="1268"/>
      <c r="N191" s="1268"/>
      <c r="O191" s="1268"/>
      <c r="P191" s="1268"/>
      <c r="Q191" s="1162"/>
      <c r="R191" s="1162"/>
      <c r="S191" s="1162"/>
      <c r="T191" s="1162"/>
      <c r="U191" s="1162"/>
      <c r="V191" s="1162"/>
      <c r="W191" s="1091"/>
      <c r="X191" s="1091"/>
      <c r="Y191" s="1091"/>
      <c r="Z191" s="1091"/>
      <c r="AA191" s="1032"/>
      <c r="AB191" s="1091"/>
      <c r="AC191" s="1091"/>
      <c r="AD191" s="1026"/>
      <c r="AE191" s="1026"/>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1"/>
    </row>
    <row r="193">
      <c r="A193" s="1731"/>
      <c r="B193" s="1732"/>
      <c r="C193" s="1733"/>
      <c r="D193" s="1026"/>
      <c r="E193" s="1026"/>
      <c r="F193" s="1026"/>
      <c r="G193" s="1026"/>
      <c r="H193" s="1134"/>
      <c r="I193" s="1134"/>
      <c r="J193" s="1268"/>
      <c r="K193" s="1268"/>
      <c r="L193" s="1268"/>
      <c r="M193" s="1268"/>
      <c r="N193" s="1268"/>
      <c r="O193" s="1268"/>
      <c r="P193" s="1268"/>
      <c r="Q193" s="1162"/>
      <c r="R193" s="1162"/>
      <c r="S193" s="1162"/>
      <c r="T193" s="1162"/>
      <c r="U193" s="1162"/>
      <c r="V193" s="1162"/>
      <c r="W193" s="1091"/>
      <c r="X193" s="1091"/>
      <c r="Y193" s="1091"/>
      <c r="Z193" s="1091"/>
      <c r="AA193" s="1032"/>
      <c r="AB193" s="1091"/>
      <c r="AC193" s="1091"/>
      <c r="AD193" s="1026"/>
      <c r="AE193" s="1026"/>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1"/>
    </row>
    <row r="195">
      <c r="A195" s="1731"/>
      <c r="B195" s="1732"/>
      <c r="C195" s="1733"/>
      <c r="D195" s="1026"/>
      <c r="E195" s="1026"/>
      <c r="F195" s="1026"/>
      <c r="G195" s="1026"/>
      <c r="H195" s="1134"/>
      <c r="I195" s="1134"/>
      <c r="J195" s="1268"/>
      <c r="K195" s="1268"/>
      <c r="L195" s="1268"/>
      <c r="M195" s="1268"/>
      <c r="N195" s="1268"/>
      <c r="O195" s="1268"/>
      <c r="P195" s="1268"/>
      <c r="Q195" s="1162"/>
      <c r="R195" s="1162"/>
      <c r="S195" s="1162"/>
      <c r="T195" s="1162"/>
      <c r="U195" s="1162"/>
      <c r="V195" s="1162"/>
      <c r="W195" s="1091"/>
      <c r="X195" s="1091"/>
      <c r="Y195" s="1091"/>
      <c r="Z195" s="1091"/>
      <c r="AA195" s="1032"/>
      <c r="AB195" s="1091"/>
      <c r="AC195" s="1091"/>
      <c r="AD195" s="1026"/>
      <c r="AE195" s="1026"/>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1"/>
    </row>
    <row r="197">
      <c r="A197" s="1731"/>
      <c r="B197" s="1732"/>
      <c r="C197" s="1733"/>
      <c r="D197" s="1026"/>
      <c r="E197" s="1026"/>
      <c r="F197" s="1026"/>
      <c r="G197" s="1026"/>
      <c r="H197" s="1134"/>
      <c r="I197" s="1134"/>
      <c r="J197" s="1268"/>
      <c r="K197" s="1268"/>
      <c r="L197" s="1268"/>
      <c r="M197" s="1268"/>
      <c r="N197" s="1268"/>
      <c r="O197" s="1268"/>
      <c r="P197" s="1268"/>
      <c r="Q197" s="1162"/>
      <c r="R197" s="1162"/>
      <c r="S197" s="1162"/>
      <c r="T197" s="1162"/>
      <c r="U197" s="1162"/>
      <c r="V197" s="1162"/>
      <c r="W197" s="1091"/>
      <c r="X197" s="1091"/>
      <c r="Y197" s="1091"/>
      <c r="Z197" s="1091"/>
      <c r="AA197" s="1032"/>
      <c r="AB197" s="1091"/>
      <c r="AC197" s="1091"/>
      <c r="AD197" s="1026"/>
      <c r="AE197" s="1026"/>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8951</v>
      </c>
      <c r="C1" s="1463" t="s">
        <v>8952</v>
      </c>
      <c r="D1" s="1735" t="s">
        <v>11119</v>
      </c>
      <c r="E1" s="1736" t="s">
        <v>7719</v>
      </c>
      <c r="F1" s="1737" t="s">
        <v>8029</v>
      </c>
      <c r="G1" s="1738" t="s">
        <v>38</v>
      </c>
      <c r="H1" s="1739" t="s">
        <v>36</v>
      </c>
      <c r="I1" s="1735" t="s">
        <v>11120</v>
      </c>
      <c r="J1" s="1740" t="s">
        <v>39</v>
      </c>
      <c r="K1" s="1741" t="s">
        <v>7963</v>
      </c>
      <c r="L1" s="1471" t="s">
        <v>8984</v>
      </c>
      <c r="M1" s="1472" t="s">
        <v>8985</v>
      </c>
      <c r="N1" s="1742" t="s">
        <v>8986</v>
      </c>
      <c r="O1" s="1743" t="s">
        <v>8987</v>
      </c>
    </row>
    <row r="2" ht="15.75" customHeight="1">
      <c r="A2" s="1744" t="s">
        <v>8988</v>
      </c>
      <c r="B2" s="1745" t="s">
        <v>8989</v>
      </c>
      <c r="C2" s="1746">
        <v>0.0496875</v>
      </c>
      <c r="D2" s="1747" t="s">
        <v>11121</v>
      </c>
      <c r="E2" s="1748" t="s">
        <v>11122</v>
      </c>
      <c r="F2" s="1749" t="s">
        <v>11123</v>
      </c>
      <c r="G2" s="1750" t="s">
        <v>11124</v>
      </c>
      <c r="H2" s="1751" t="s">
        <v>11125</v>
      </c>
      <c r="I2" s="1752" t="s">
        <v>11126</v>
      </c>
      <c r="J2" s="1753" t="s">
        <v>11127</v>
      </c>
      <c r="K2" s="1754" t="s">
        <v>11128</v>
      </c>
      <c r="L2" s="1755" t="s">
        <v>9013</v>
      </c>
      <c r="M2" s="1746">
        <v>0.05042824074074074</v>
      </c>
      <c r="N2" s="1756" t="str">
        <f t="shared" ref="N2:N41" si="1">TEXT(M2-C2, "m:ss")</f>
        <v>1:04</v>
      </c>
      <c r="O2" s="1757"/>
    </row>
    <row r="3" ht="15.75" customHeight="1">
      <c r="A3" s="1758" t="s">
        <v>9015</v>
      </c>
      <c r="B3" s="1759" t="s">
        <v>9016</v>
      </c>
      <c r="C3" s="1760">
        <v>0.051458333333333335</v>
      </c>
      <c r="D3" s="1501" t="s">
        <v>11129</v>
      </c>
      <c r="E3" s="1502" t="s">
        <v>11130</v>
      </c>
      <c r="F3" s="1503" t="s">
        <v>11131</v>
      </c>
      <c r="G3" s="1504" t="s">
        <v>11132</v>
      </c>
      <c r="H3" s="1506" t="s">
        <v>11133</v>
      </c>
      <c r="I3" s="1501" t="s">
        <v>11134</v>
      </c>
      <c r="J3" s="1508" t="s">
        <v>11135</v>
      </c>
      <c r="K3" s="1511" t="s">
        <v>11136</v>
      </c>
      <c r="L3" s="1503" t="s">
        <v>9041</v>
      </c>
      <c r="M3" s="1760">
        <v>0.05236111111111111</v>
      </c>
      <c r="N3" s="1761" t="str">
        <f t="shared" si="1"/>
        <v>1:18</v>
      </c>
      <c r="O3" s="1762"/>
    </row>
    <row r="4" ht="15.75" customHeight="1">
      <c r="A4" s="1763" t="s">
        <v>9043</v>
      </c>
      <c r="B4" s="1764" t="s">
        <v>9044</v>
      </c>
      <c r="C4" s="1765">
        <f>C26</f>
        <v>0.05158564815</v>
      </c>
      <c r="D4" s="1766" t="s">
        <v>11137</v>
      </c>
      <c r="E4" s="1767" t="s">
        <v>11138</v>
      </c>
      <c r="F4" s="1768" t="s">
        <v>11139</v>
      </c>
      <c r="G4" s="1769" t="s">
        <v>11140</v>
      </c>
      <c r="H4" s="1770" t="s">
        <v>11141</v>
      </c>
      <c r="I4" s="1766" t="s">
        <v>11142</v>
      </c>
      <c r="J4" s="1771" t="s">
        <v>11143</v>
      </c>
      <c r="K4" s="1772" t="s">
        <v>11144</v>
      </c>
      <c r="L4" s="1773" t="s">
        <v>9072</v>
      </c>
      <c r="M4" s="1774">
        <f>M26</f>
        <v>0.0521412037</v>
      </c>
      <c r="N4" s="1774" t="str">
        <f t="shared" si="1"/>
        <v>0:48</v>
      </c>
      <c r="O4" s="1757"/>
    </row>
    <row r="5" ht="15.75" customHeight="1">
      <c r="A5" s="954" t="s">
        <v>1056</v>
      </c>
      <c r="B5" s="1680" t="s">
        <v>8989</v>
      </c>
      <c r="C5" s="1775">
        <v>0.04981481481481481</v>
      </c>
      <c r="D5" s="1776" t="s">
        <v>11121</v>
      </c>
      <c r="E5" s="1567" t="s">
        <v>11145</v>
      </c>
      <c r="F5" s="1776" t="s">
        <v>11123</v>
      </c>
      <c r="G5" s="1776" t="s">
        <v>11124</v>
      </c>
      <c r="H5" s="1777" t="s">
        <v>11125</v>
      </c>
      <c r="I5" s="1776" t="s">
        <v>11126</v>
      </c>
      <c r="J5" s="1778" t="s">
        <v>11146</v>
      </c>
      <c r="K5" s="1777" t="s">
        <v>11128</v>
      </c>
      <c r="L5" s="1534" t="s">
        <v>11147</v>
      </c>
      <c r="M5" s="1779">
        <v>0.05042824074074074</v>
      </c>
      <c r="N5" s="1780" t="str">
        <f t="shared" si="1"/>
        <v>0:53</v>
      </c>
      <c r="O5" s="1618" t="s">
        <v>11148</v>
      </c>
    </row>
    <row r="6">
      <c r="A6" s="1781" t="s">
        <v>2543</v>
      </c>
      <c r="B6" s="1782" t="s">
        <v>8989</v>
      </c>
      <c r="C6" s="1783">
        <v>0.049953125</v>
      </c>
      <c r="D6" s="1784" t="s">
        <v>11149</v>
      </c>
      <c r="E6" s="1785" t="s">
        <v>11150</v>
      </c>
      <c r="F6" s="1778" t="s">
        <v>11151</v>
      </c>
      <c r="G6" s="1778" t="s">
        <v>11152</v>
      </c>
      <c r="H6" s="1776" t="s">
        <v>11153</v>
      </c>
      <c r="I6" s="1778" t="s">
        <v>8535</v>
      </c>
      <c r="J6" s="1778" t="s">
        <v>11154</v>
      </c>
      <c r="K6" s="1786" t="s">
        <v>11155</v>
      </c>
      <c r="L6" s="1778" t="s">
        <v>9107</v>
      </c>
      <c r="M6" s="1787">
        <v>0.05068287037037037</v>
      </c>
      <c r="N6" s="1787" t="str">
        <f t="shared" si="1"/>
        <v>1:03</v>
      </c>
      <c r="O6" s="1618"/>
    </row>
    <row r="7" ht="15.75" customHeight="1">
      <c r="A7" s="1727" t="s">
        <v>1809</v>
      </c>
      <c r="B7" s="1531" t="s">
        <v>8989</v>
      </c>
      <c r="C7" s="1788">
        <v>0.0499537037037037</v>
      </c>
      <c r="D7" s="1564" t="s">
        <v>11156</v>
      </c>
      <c r="E7" s="1564" t="s">
        <v>11157</v>
      </c>
      <c r="F7" s="1564" t="s">
        <v>11158</v>
      </c>
      <c r="G7" s="1564" t="s">
        <v>11159</v>
      </c>
      <c r="H7" s="1564" t="s">
        <v>11160</v>
      </c>
      <c r="I7" s="1564" t="s">
        <v>11161</v>
      </c>
      <c r="J7" s="1564" t="s">
        <v>11162</v>
      </c>
      <c r="K7" s="1789" t="s">
        <v>11163</v>
      </c>
      <c r="L7" s="1535" t="s">
        <v>9013</v>
      </c>
      <c r="M7" s="1787">
        <v>0.05056712962962963</v>
      </c>
      <c r="N7" s="1790" t="str">
        <f t="shared" si="1"/>
        <v>0:53</v>
      </c>
      <c r="O7" s="1618" t="s">
        <v>11164</v>
      </c>
    </row>
    <row r="8" ht="15.75" customHeight="1">
      <c r="A8" s="1791" t="s">
        <v>435</v>
      </c>
      <c r="B8" s="1531" t="s">
        <v>8989</v>
      </c>
      <c r="C8" s="1783">
        <v>0.04998842592592593</v>
      </c>
      <c r="D8" s="1564" t="s">
        <v>11165</v>
      </c>
      <c r="E8" s="1792" t="s">
        <v>11122</v>
      </c>
      <c r="F8" s="1564" t="s">
        <v>11166</v>
      </c>
      <c r="G8" s="1564" t="s">
        <v>11167</v>
      </c>
      <c r="H8" s="1564" t="s">
        <v>11168</v>
      </c>
      <c r="I8" s="1564" t="s">
        <v>11169</v>
      </c>
      <c r="J8" s="1793" t="s">
        <v>11127</v>
      </c>
      <c r="K8" s="1564" t="s">
        <v>11170</v>
      </c>
      <c r="L8" s="1564" t="s">
        <v>9128</v>
      </c>
      <c r="M8" s="1787">
        <v>0.0508912037037037</v>
      </c>
      <c r="N8" s="1790" t="str">
        <f t="shared" si="1"/>
        <v>1:18</v>
      </c>
      <c r="O8" s="1618" t="s">
        <v>11164</v>
      </c>
    </row>
    <row r="9" ht="15.75" customHeight="1">
      <c r="A9" s="1791" t="s">
        <v>6602</v>
      </c>
      <c r="B9" s="1591" t="s">
        <v>8989</v>
      </c>
      <c r="C9" s="1788">
        <v>0.05025462962962963</v>
      </c>
      <c r="D9" s="1053" t="s">
        <v>11171</v>
      </c>
      <c r="E9" s="1565" t="s">
        <v>11172</v>
      </c>
      <c r="F9" s="1564" t="s">
        <v>11173</v>
      </c>
      <c r="G9" s="1564" t="s">
        <v>11174</v>
      </c>
      <c r="H9" s="1564" t="s">
        <v>11175</v>
      </c>
      <c r="I9" s="1564" t="s">
        <v>10900</v>
      </c>
      <c r="J9" s="1564" t="s">
        <v>11176</v>
      </c>
      <c r="K9" s="1564" t="s">
        <v>11177</v>
      </c>
      <c r="L9" s="1564" t="s">
        <v>9238</v>
      </c>
      <c r="M9" s="1787">
        <v>0.0506712962962963</v>
      </c>
      <c r="N9" s="1790" t="str">
        <f t="shared" si="1"/>
        <v>0:36</v>
      </c>
      <c r="O9" s="1618"/>
    </row>
    <row r="10" ht="15.75" customHeight="1">
      <c r="A10" s="1727" t="s">
        <v>6717</v>
      </c>
      <c r="B10" s="1531" t="s">
        <v>8989</v>
      </c>
      <c r="C10" s="1788">
        <v>0.050416666666666665</v>
      </c>
      <c r="D10" s="1564" t="s">
        <v>11178</v>
      </c>
      <c r="E10" s="1565" t="s">
        <v>11179</v>
      </c>
      <c r="F10" s="1567" t="s">
        <v>11180</v>
      </c>
      <c r="G10" s="1567" t="s">
        <v>11181</v>
      </c>
      <c r="H10" s="1564" t="s">
        <v>11182</v>
      </c>
      <c r="I10" s="1564" t="s">
        <v>11183</v>
      </c>
      <c r="J10" s="1564" t="s">
        <v>11184</v>
      </c>
      <c r="K10" s="1564" t="s">
        <v>11185</v>
      </c>
      <c r="L10" s="1567" t="s">
        <v>11186</v>
      </c>
      <c r="M10" s="1787">
        <v>0.0512037037037037</v>
      </c>
      <c r="N10" s="1790" t="str">
        <f t="shared" si="1"/>
        <v>1:08</v>
      </c>
      <c r="O10" s="1618" t="s">
        <v>11164</v>
      </c>
    </row>
    <row r="11">
      <c r="A11" s="1794" t="s">
        <v>825</v>
      </c>
      <c r="B11" s="1795" t="s">
        <v>8989</v>
      </c>
      <c r="C11" s="1788">
        <v>0.05047453703703704</v>
      </c>
      <c r="D11" s="1065" t="s">
        <v>11187</v>
      </c>
      <c r="E11" s="1565" t="s">
        <v>11188</v>
      </c>
      <c r="F11" s="1778" t="s">
        <v>11189</v>
      </c>
      <c r="G11" s="1778" t="s">
        <v>11190</v>
      </c>
      <c r="H11" s="1778" t="s">
        <v>11191</v>
      </c>
      <c r="I11" s="1564" t="s">
        <v>11192</v>
      </c>
      <c r="J11" s="1564" t="s">
        <v>11193</v>
      </c>
      <c r="K11" s="1778" t="s">
        <v>11194</v>
      </c>
      <c r="L11" s="1564" t="s">
        <v>3673</v>
      </c>
      <c r="M11" s="1787">
        <v>0.051076388888888886</v>
      </c>
      <c r="N11" s="1790" t="str">
        <f t="shared" si="1"/>
        <v>0:52</v>
      </c>
      <c r="O11" s="1618" t="s">
        <v>11195</v>
      </c>
    </row>
    <row r="12">
      <c r="A12" s="1625" t="s">
        <v>1879</v>
      </c>
      <c r="B12" s="1795" t="s">
        <v>8989</v>
      </c>
      <c r="C12" s="1783">
        <v>0.05059429398148148</v>
      </c>
      <c r="D12" s="1053" t="s">
        <v>11196</v>
      </c>
      <c r="E12" s="1565" t="s">
        <v>11197</v>
      </c>
      <c r="F12" s="1564" t="s">
        <v>11198</v>
      </c>
      <c r="G12" s="1564" t="s">
        <v>11199</v>
      </c>
      <c r="H12" s="1564" t="s">
        <v>11200</v>
      </c>
      <c r="I12" s="1564" t="s">
        <v>11201</v>
      </c>
      <c r="J12" s="1564" t="s">
        <v>11202</v>
      </c>
      <c r="K12" s="1564" t="s">
        <v>11203</v>
      </c>
      <c r="L12" s="1564" t="s">
        <v>11204</v>
      </c>
      <c r="M12" s="1787">
        <v>0.051319444444444445</v>
      </c>
      <c r="N12" s="1790" t="str">
        <f t="shared" si="1"/>
        <v>1:03</v>
      </c>
      <c r="O12" s="1618"/>
    </row>
    <row r="13" ht="15.75" customHeight="1">
      <c r="A13" s="954" t="s">
        <v>1550</v>
      </c>
      <c r="B13" s="1796" t="s">
        <v>8989</v>
      </c>
      <c r="C13" s="1788">
        <v>0.05061342592592592</v>
      </c>
      <c r="D13" s="1797" t="s">
        <v>11205</v>
      </c>
      <c r="E13" s="1565" t="s">
        <v>11206</v>
      </c>
      <c r="F13" s="1798" t="s">
        <v>11207</v>
      </c>
      <c r="G13" s="1564" t="s">
        <v>11208</v>
      </c>
      <c r="H13" s="1798" t="s">
        <v>11209</v>
      </c>
      <c r="I13" s="1798" t="s">
        <v>11210</v>
      </c>
      <c r="J13" s="1564" t="s">
        <v>11211</v>
      </c>
      <c r="K13" s="1564" t="s">
        <v>11212</v>
      </c>
      <c r="L13" s="1564" t="s">
        <v>3556</v>
      </c>
      <c r="M13" s="1787">
        <v>0.05122685185185185</v>
      </c>
      <c r="N13" s="1790" t="str">
        <f t="shared" si="1"/>
        <v>0:53</v>
      </c>
      <c r="O13" s="1618" t="s">
        <v>11213</v>
      </c>
    </row>
    <row r="14" ht="15.75" customHeight="1">
      <c r="A14" s="1731" t="s">
        <v>2087</v>
      </c>
      <c r="B14" s="1531" t="s">
        <v>8989</v>
      </c>
      <c r="C14" s="1783">
        <v>0.05061342592592592</v>
      </c>
      <c r="D14" s="1065" t="s">
        <v>11214</v>
      </c>
      <c r="E14" s="1799" t="s">
        <v>11215</v>
      </c>
      <c r="F14" s="1564" t="s">
        <v>11216</v>
      </c>
      <c r="G14" s="1564" t="s">
        <v>11217</v>
      </c>
      <c r="H14" s="1564" t="s">
        <v>11218</v>
      </c>
      <c r="I14" s="1564" t="s">
        <v>11219</v>
      </c>
      <c r="J14" s="1564" t="s">
        <v>11220</v>
      </c>
      <c r="K14" s="1564" t="s">
        <v>11221</v>
      </c>
      <c r="L14" s="1564" t="s">
        <v>6582</v>
      </c>
      <c r="M14" s="1787">
        <v>0.05153935185185185</v>
      </c>
      <c r="N14" s="1790" t="str">
        <f t="shared" si="1"/>
        <v>1:20</v>
      </c>
      <c r="O14" s="1618" t="s">
        <v>11164</v>
      </c>
    </row>
    <row r="15" ht="15.75" customHeight="1">
      <c r="A15" s="1791" t="s">
        <v>330</v>
      </c>
      <c r="B15" s="1531" t="s">
        <v>8989</v>
      </c>
      <c r="C15" s="1783">
        <v>0.05068287037037037</v>
      </c>
      <c r="D15" s="1564" t="s">
        <v>11222</v>
      </c>
      <c r="E15" s="1799" t="s">
        <v>11223</v>
      </c>
      <c r="F15" s="1564" t="s">
        <v>11224</v>
      </c>
      <c r="G15" s="1564" t="s">
        <v>11225</v>
      </c>
      <c r="H15" s="1564" t="s">
        <v>11226</v>
      </c>
      <c r="I15" s="1564" t="s">
        <v>6526</v>
      </c>
      <c r="J15" s="1564" t="s">
        <v>11227</v>
      </c>
      <c r="K15" s="1564" t="s">
        <v>11228</v>
      </c>
      <c r="L15" s="1564" t="s">
        <v>9217</v>
      </c>
      <c r="M15" s="1787">
        <v>0.05164351851851852</v>
      </c>
      <c r="N15" s="1790" t="str">
        <f t="shared" si="1"/>
        <v>1:23</v>
      </c>
      <c r="O15" s="1618" t="s">
        <v>11164</v>
      </c>
    </row>
    <row r="16" ht="15.75" customHeight="1">
      <c r="A16" s="1625" t="s">
        <v>2647</v>
      </c>
      <c r="B16" s="1680" t="s">
        <v>9016</v>
      </c>
      <c r="C16" s="1800">
        <v>0.050729166666666665</v>
      </c>
      <c r="D16" s="1053" t="s">
        <v>11229</v>
      </c>
      <c r="E16" s="1777" t="s">
        <v>11230</v>
      </c>
      <c r="F16" s="1801" t="s">
        <v>11231</v>
      </c>
      <c r="G16" s="1801" t="s">
        <v>11232</v>
      </c>
      <c r="H16" s="1801" t="s">
        <v>11233</v>
      </c>
      <c r="I16" s="1801" t="s">
        <v>11234</v>
      </c>
      <c r="J16" s="1801" t="s">
        <v>11235</v>
      </c>
      <c r="K16" s="1801" t="s">
        <v>11236</v>
      </c>
      <c r="L16" s="1267" t="s">
        <v>9376</v>
      </c>
      <c r="M16" s="1787">
        <v>0.05143506944444444</v>
      </c>
      <c r="N16" s="1802" t="str">
        <f t="shared" si="1"/>
        <v>1:01</v>
      </c>
      <c r="O16" s="1618"/>
    </row>
    <row r="17" ht="15.75" customHeight="1">
      <c r="A17" s="1625" t="s">
        <v>2151</v>
      </c>
      <c r="B17" s="1680" t="s">
        <v>9016</v>
      </c>
      <c r="C17" s="1788">
        <v>0.05092592592592592</v>
      </c>
      <c r="D17" s="1053" t="s">
        <v>11237</v>
      </c>
      <c r="E17" s="1803" t="s">
        <v>11130</v>
      </c>
      <c r="F17" s="1804" t="s">
        <v>11131</v>
      </c>
      <c r="G17" s="1804" t="s">
        <v>11132</v>
      </c>
      <c r="H17" s="1804" t="s">
        <v>11238</v>
      </c>
      <c r="I17" s="1804" t="s">
        <v>11134</v>
      </c>
      <c r="J17" s="1804" t="s">
        <v>11239</v>
      </c>
      <c r="K17" s="1804" t="s">
        <v>11136</v>
      </c>
      <c r="L17" s="1805" t="s">
        <v>9041</v>
      </c>
      <c r="M17" s="1787">
        <v>0.052662037037037035</v>
      </c>
      <c r="N17" s="1790" t="str">
        <f t="shared" si="1"/>
        <v>2:30</v>
      </c>
      <c r="O17" s="1618" t="s">
        <v>11164</v>
      </c>
    </row>
    <row r="18" ht="15.75" customHeight="1">
      <c r="A18" s="1806" t="s">
        <v>2771</v>
      </c>
      <c r="B18" s="1531" t="s">
        <v>8989</v>
      </c>
      <c r="C18" s="1807">
        <v>0.05103009259259259</v>
      </c>
      <c r="D18" s="1564" t="s">
        <v>11240</v>
      </c>
      <c r="E18" s="1799" t="s">
        <v>10714</v>
      </c>
      <c r="F18" s="1564" t="s">
        <v>11241</v>
      </c>
      <c r="G18" s="1564" t="s">
        <v>11242</v>
      </c>
      <c r="H18" s="1778" t="s">
        <v>11243</v>
      </c>
      <c r="I18" s="1564" t="s">
        <v>8632</v>
      </c>
      <c r="J18" s="1564" t="s">
        <v>11244</v>
      </c>
      <c r="K18" s="1564" t="s">
        <v>11245</v>
      </c>
      <c r="L18" s="1564" t="s">
        <v>11246</v>
      </c>
      <c r="M18" s="1787">
        <v>0.051909722222222225</v>
      </c>
      <c r="N18" s="1790" t="str">
        <f t="shared" si="1"/>
        <v>1:16</v>
      </c>
      <c r="O18" s="1618" t="s">
        <v>11164</v>
      </c>
    </row>
    <row r="19" ht="15.75" customHeight="1">
      <c r="A19" s="1625" t="s">
        <v>2264</v>
      </c>
      <c r="B19" s="1591" t="s">
        <v>8989</v>
      </c>
      <c r="C19" s="1783">
        <v>0.051145833333333335</v>
      </c>
      <c r="D19" s="1065" t="s">
        <v>11247</v>
      </c>
      <c r="E19" s="1565" t="s">
        <v>11248</v>
      </c>
      <c r="F19" s="1564" t="s">
        <v>11249</v>
      </c>
      <c r="G19" s="1564" t="s">
        <v>11250</v>
      </c>
      <c r="H19" s="1564" t="s">
        <v>11251</v>
      </c>
      <c r="I19" s="1564" t="s">
        <v>11252</v>
      </c>
      <c r="J19" s="1564" t="s">
        <v>11253</v>
      </c>
      <c r="K19" s="1564" t="s">
        <v>11254</v>
      </c>
      <c r="L19" s="1564" t="s">
        <v>3121</v>
      </c>
      <c r="M19" s="1787">
        <v>0.05228009259259259</v>
      </c>
      <c r="N19" s="1790" t="str">
        <f t="shared" si="1"/>
        <v>1:38</v>
      </c>
      <c r="O19" s="1618" t="s">
        <v>11255</v>
      </c>
    </row>
    <row r="20" ht="15.75" customHeight="1">
      <c r="A20" s="1791" t="s">
        <v>1413</v>
      </c>
      <c r="B20" s="1531" t="s">
        <v>8989</v>
      </c>
      <c r="C20" s="1783">
        <v>0.05122685185185185</v>
      </c>
      <c r="D20" s="1564" t="s">
        <v>11256</v>
      </c>
      <c r="E20" s="1799" t="s">
        <v>9048</v>
      </c>
      <c r="F20" s="1564" t="s">
        <v>11257</v>
      </c>
      <c r="G20" s="1564" t="s">
        <v>11258</v>
      </c>
      <c r="H20" s="1564" t="s">
        <v>11259</v>
      </c>
      <c r="I20" s="1564" t="s">
        <v>11260</v>
      </c>
      <c r="J20" s="1564" t="s">
        <v>11261</v>
      </c>
      <c r="K20" s="1564" t="s">
        <v>11262</v>
      </c>
      <c r="L20" s="1564" t="s">
        <v>11263</v>
      </c>
      <c r="M20" s="1787">
        <v>0.052037037037037034</v>
      </c>
      <c r="N20" s="1790" t="str">
        <f t="shared" si="1"/>
        <v>1:10</v>
      </c>
      <c r="O20" s="1618" t="s">
        <v>11164</v>
      </c>
    </row>
    <row r="21" ht="15.75" customHeight="1">
      <c r="A21" s="1625" t="s">
        <v>1632</v>
      </c>
      <c r="B21" s="1591" t="s">
        <v>8989</v>
      </c>
      <c r="C21" s="1783">
        <v>0.05122685185185185</v>
      </c>
      <c r="D21" s="1053" t="s">
        <v>11264</v>
      </c>
      <c r="E21" s="1565" t="s">
        <v>11265</v>
      </c>
      <c r="F21" s="1564" t="s">
        <v>11266</v>
      </c>
      <c r="G21" s="1564" t="s">
        <v>11267</v>
      </c>
      <c r="H21" s="1564" t="s">
        <v>11268</v>
      </c>
      <c r="I21" s="1564" t="s">
        <v>11269</v>
      </c>
      <c r="J21" s="1564" t="s">
        <v>11270</v>
      </c>
      <c r="K21" s="1564" t="s">
        <v>11271</v>
      </c>
      <c r="L21" s="1564" t="s">
        <v>6110</v>
      </c>
      <c r="M21" s="1787">
        <v>0.05224537037037037</v>
      </c>
      <c r="N21" s="1790" t="str">
        <f t="shared" si="1"/>
        <v>1:28</v>
      </c>
      <c r="O21" s="1618" t="s">
        <v>11272</v>
      </c>
    </row>
    <row r="22" ht="15.75" customHeight="1">
      <c r="A22" s="1625" t="s">
        <v>7010</v>
      </c>
      <c r="B22" s="1591" t="s">
        <v>8989</v>
      </c>
      <c r="C22" s="1783">
        <v>0.05133101851851852</v>
      </c>
      <c r="D22" s="1564" t="s">
        <v>11273</v>
      </c>
      <c r="E22" s="1565" t="s">
        <v>11274</v>
      </c>
      <c r="F22" s="1564" t="s">
        <v>11275</v>
      </c>
      <c r="G22" s="1567" t="s">
        <v>11276</v>
      </c>
      <c r="H22" s="1567" t="s">
        <v>11277</v>
      </c>
      <c r="I22" s="1564" t="s">
        <v>11278</v>
      </c>
      <c r="J22" s="1564" t="s">
        <v>11279</v>
      </c>
      <c r="K22" s="1564" t="s">
        <v>11280</v>
      </c>
      <c r="L22" s="1564" t="s">
        <v>11281</v>
      </c>
      <c r="M22" s="1787">
        <v>0.05197916666666667</v>
      </c>
      <c r="N22" s="1790" t="str">
        <f t="shared" si="1"/>
        <v>0:56</v>
      </c>
      <c r="O22" s="1618" t="s">
        <v>11282</v>
      </c>
    </row>
    <row r="23" ht="15.75" customHeight="1">
      <c r="A23" s="1727" t="s">
        <v>9466</v>
      </c>
      <c r="B23" s="1531" t="s">
        <v>8989</v>
      </c>
      <c r="C23" s="1788">
        <v>0.05144675925925926</v>
      </c>
      <c r="D23" s="1564" t="s">
        <v>11283</v>
      </c>
      <c r="E23" s="1799" t="s">
        <v>11284</v>
      </c>
      <c r="F23" s="1564" t="s">
        <v>11285</v>
      </c>
      <c r="G23" s="1564" t="s">
        <v>11286</v>
      </c>
      <c r="H23" s="1564" t="s">
        <v>11287</v>
      </c>
      <c r="I23" s="1564" t="s">
        <v>11288</v>
      </c>
      <c r="J23" s="1564" t="s">
        <v>11289</v>
      </c>
      <c r="K23" s="1564" t="s">
        <v>11290</v>
      </c>
      <c r="L23" s="1245" t="s">
        <v>9341</v>
      </c>
      <c r="M23" s="1787">
        <v>0.05258101851851852</v>
      </c>
      <c r="N23" s="1790" t="str">
        <f t="shared" si="1"/>
        <v>1:38</v>
      </c>
      <c r="O23" s="1618" t="s">
        <v>11164</v>
      </c>
    </row>
    <row r="24" ht="15.75" customHeight="1">
      <c r="A24" s="1625" t="s">
        <v>9603</v>
      </c>
      <c r="B24" s="1591" t="s">
        <v>9016</v>
      </c>
      <c r="C24" s="1783">
        <v>0.05146990740740741</v>
      </c>
      <c r="D24" s="1803" t="s">
        <v>11129</v>
      </c>
      <c r="E24" s="1565" t="s">
        <v>10544</v>
      </c>
      <c r="F24" s="1565" t="s">
        <v>11291</v>
      </c>
      <c r="G24" s="1565" t="s">
        <v>11292</v>
      </c>
      <c r="H24" s="1565" t="s">
        <v>11293</v>
      </c>
      <c r="I24" s="1564" t="s">
        <v>11294</v>
      </c>
      <c r="J24" s="1065" t="s">
        <v>11295</v>
      </c>
      <c r="K24" s="1564" t="s">
        <v>11296</v>
      </c>
      <c r="L24" s="1065" t="s">
        <v>9619</v>
      </c>
      <c r="M24" s="1808">
        <v>0.05236111111111111</v>
      </c>
      <c r="N24" s="1790" t="str">
        <f t="shared" si="1"/>
        <v>1:17</v>
      </c>
      <c r="O24" s="1618" t="s">
        <v>11164</v>
      </c>
    </row>
    <row r="25" ht="15.75" customHeight="1">
      <c r="A25" s="1791" t="s">
        <v>897</v>
      </c>
      <c r="B25" s="1531" t="s">
        <v>8989</v>
      </c>
      <c r="C25" s="1788">
        <v>0.051550925925925924</v>
      </c>
      <c r="D25" s="1564" t="s">
        <v>11297</v>
      </c>
      <c r="E25" s="1799" t="s">
        <v>10528</v>
      </c>
      <c r="F25" s="1564" t="s">
        <v>11298</v>
      </c>
      <c r="G25" s="1564" t="s">
        <v>11299</v>
      </c>
      <c r="H25" s="1564" t="s">
        <v>11300</v>
      </c>
      <c r="I25" s="1564" t="s">
        <v>11301</v>
      </c>
      <c r="J25" s="1564" t="s">
        <v>11302</v>
      </c>
      <c r="K25" s="1564" t="s">
        <v>11303</v>
      </c>
      <c r="L25" s="1245" t="s">
        <v>11304</v>
      </c>
      <c r="M25" s="1787">
        <v>0.05229166666666667</v>
      </c>
      <c r="N25" s="1790" t="str">
        <f t="shared" si="1"/>
        <v>1:04</v>
      </c>
      <c r="O25" s="1618" t="s">
        <v>11164</v>
      </c>
    </row>
    <row r="26">
      <c r="A26" s="1781" t="s">
        <v>1809</v>
      </c>
      <c r="B26" s="1680" t="s">
        <v>9044</v>
      </c>
      <c r="C26" s="1809">
        <v>0.05158564814814815</v>
      </c>
      <c r="D26" s="1810" t="s">
        <v>11137</v>
      </c>
      <c r="E26" s="1811" t="s">
        <v>11138</v>
      </c>
      <c r="F26" s="1810" t="s">
        <v>11139</v>
      </c>
      <c r="G26" s="1810" t="s">
        <v>11140</v>
      </c>
      <c r="H26" s="1810" t="s">
        <v>11141</v>
      </c>
      <c r="I26" s="1810" t="s">
        <v>11142</v>
      </c>
      <c r="J26" s="1810" t="s">
        <v>11143</v>
      </c>
      <c r="K26" s="1810" t="s">
        <v>11144</v>
      </c>
      <c r="L26" s="1810" t="s">
        <v>9072</v>
      </c>
      <c r="M26" s="1812">
        <v>0.052141203703703703</v>
      </c>
      <c r="N26" s="1790" t="str">
        <f t="shared" si="1"/>
        <v>0:48</v>
      </c>
      <c r="O26" s="1618" t="s">
        <v>11305</v>
      </c>
    </row>
    <row r="27" ht="15.75" customHeight="1">
      <c r="A27" s="954" t="s">
        <v>2824</v>
      </c>
      <c r="B27" s="1591" t="s">
        <v>8989</v>
      </c>
      <c r="C27" s="1788">
        <v>0.051706365740740744</v>
      </c>
      <c r="D27" s="1065" t="s">
        <v>11306</v>
      </c>
      <c r="E27" s="1565" t="s">
        <v>11307</v>
      </c>
      <c r="F27" s="1564" t="s">
        <v>11308</v>
      </c>
      <c r="G27" s="1564" t="s">
        <v>11309</v>
      </c>
      <c r="H27" s="1564" t="s">
        <v>11310</v>
      </c>
      <c r="I27" s="1564" t="s">
        <v>11311</v>
      </c>
      <c r="J27" s="1564" t="s">
        <v>11312</v>
      </c>
      <c r="K27" s="1564" t="s">
        <v>11313</v>
      </c>
      <c r="L27" s="1564" t="s">
        <v>9908</v>
      </c>
      <c r="M27" s="1787">
        <v>0.0525</v>
      </c>
      <c r="N27" s="1787" t="str">
        <f t="shared" si="1"/>
        <v>1:09</v>
      </c>
      <c r="O27" s="1618"/>
    </row>
    <row r="28" ht="15.75" customHeight="1">
      <c r="A28" s="1813" t="s">
        <v>2105</v>
      </c>
      <c r="B28" s="1672" t="s">
        <v>8989</v>
      </c>
      <c r="C28" s="1788">
        <v>0.05171296296296296</v>
      </c>
      <c r="D28" s="1031" t="s">
        <v>11314</v>
      </c>
      <c r="E28" s="1031" t="s">
        <v>11315</v>
      </c>
      <c r="F28" s="1031" t="s">
        <v>11316</v>
      </c>
      <c r="G28" s="1031" t="s">
        <v>11317</v>
      </c>
      <c r="H28" s="1065" t="s">
        <v>11318</v>
      </c>
      <c r="I28" s="1031" t="s">
        <v>11319</v>
      </c>
      <c r="J28" s="1065" t="s">
        <v>11320</v>
      </c>
      <c r="K28" s="1031" t="s">
        <v>11321</v>
      </c>
      <c r="L28" s="1065" t="s">
        <v>9442</v>
      </c>
      <c r="M28" s="1787">
        <v>0.054375</v>
      </c>
      <c r="N28" s="1790" t="str">
        <f t="shared" si="1"/>
        <v>3:50</v>
      </c>
      <c r="O28" s="1618" t="s">
        <v>11322</v>
      </c>
    </row>
    <row r="29" ht="15.75" customHeight="1">
      <c r="A29" s="1625" t="s">
        <v>3096</v>
      </c>
      <c r="B29" s="1591" t="s">
        <v>8989</v>
      </c>
      <c r="C29" s="1783">
        <v>0.05180160879629629</v>
      </c>
      <c r="D29" s="1065" t="s">
        <v>11323</v>
      </c>
      <c r="E29" s="1565" t="s">
        <v>11324</v>
      </c>
      <c r="F29" s="1564" t="s">
        <v>11325</v>
      </c>
      <c r="G29" s="1564" t="s">
        <v>11326</v>
      </c>
      <c r="H29" s="1564" t="s">
        <v>11327</v>
      </c>
      <c r="I29" s="1564" t="s">
        <v>11328</v>
      </c>
      <c r="J29" s="1564" t="s">
        <v>11329</v>
      </c>
      <c r="K29" s="1564" t="s">
        <v>11330</v>
      </c>
      <c r="L29" s="1564" t="s">
        <v>11331</v>
      </c>
      <c r="M29" s="1787">
        <v>0.05303240740740741</v>
      </c>
      <c r="N29" s="1790" t="str">
        <f t="shared" si="1"/>
        <v>1:46</v>
      </c>
      <c r="O29" s="1618"/>
    </row>
    <row r="30" ht="15.75" customHeight="1">
      <c r="A30" s="954" t="s">
        <v>1345</v>
      </c>
      <c r="B30" s="1680" t="s">
        <v>9044</v>
      </c>
      <c r="C30" s="1788">
        <v>0.052088194444444444</v>
      </c>
      <c r="D30" s="1065" t="s">
        <v>11332</v>
      </c>
      <c r="E30" s="1565" t="s">
        <v>11333</v>
      </c>
      <c r="F30" s="1564" t="s">
        <v>11334</v>
      </c>
      <c r="G30" s="1564" t="s">
        <v>11335</v>
      </c>
      <c r="H30" s="1564" t="s">
        <v>11336</v>
      </c>
      <c r="I30" s="1564" t="s">
        <v>11337</v>
      </c>
      <c r="J30" s="1564" t="s">
        <v>11338</v>
      </c>
      <c r="K30" s="1564" t="s">
        <v>11339</v>
      </c>
      <c r="L30" s="1564" t="s">
        <v>10214</v>
      </c>
      <c r="M30" s="1787">
        <v>0.053043981481481484</v>
      </c>
      <c r="N30" s="1790" t="str">
        <f t="shared" si="1"/>
        <v>1:23</v>
      </c>
      <c r="O30" s="1618" t="s">
        <v>11164</v>
      </c>
    </row>
    <row r="31" ht="15.75" customHeight="1">
      <c r="A31" s="954" t="s">
        <v>2579</v>
      </c>
      <c r="B31" s="1591" t="s">
        <v>9016</v>
      </c>
      <c r="C31" s="1788">
        <v>0.05215277777777778</v>
      </c>
      <c r="D31" s="1564" t="s">
        <v>11340</v>
      </c>
      <c r="E31" s="1564" t="s">
        <v>6034</v>
      </c>
      <c r="F31" s="1564" t="s">
        <v>11341</v>
      </c>
      <c r="G31" s="1564" t="s">
        <v>11342</v>
      </c>
      <c r="H31" s="1564" t="s">
        <v>11343</v>
      </c>
      <c r="I31" s="1564" t="s">
        <v>11206</v>
      </c>
      <c r="J31" s="1564" t="s">
        <v>11344</v>
      </c>
      <c r="K31" s="1564" t="s">
        <v>11345</v>
      </c>
      <c r="L31" s="1564" t="s">
        <v>9955</v>
      </c>
      <c r="M31" s="1787">
        <v>0.05399305555555556</v>
      </c>
      <c r="N31" s="1790" t="str">
        <f t="shared" si="1"/>
        <v>2:39</v>
      </c>
      <c r="O31" s="1618" t="s">
        <v>11346</v>
      </c>
    </row>
    <row r="32" ht="15.75" customHeight="1">
      <c r="A32" s="1625" t="s">
        <v>2992</v>
      </c>
      <c r="B32" s="1591" t="s">
        <v>8989</v>
      </c>
      <c r="C32" s="1783">
        <v>0.05216435185185185</v>
      </c>
      <c r="D32" s="1564" t="s">
        <v>11347</v>
      </c>
      <c r="E32" s="1565" t="s">
        <v>11348</v>
      </c>
      <c r="F32" s="1564" t="s">
        <v>11349</v>
      </c>
      <c r="G32" s="1564" t="s">
        <v>11350</v>
      </c>
      <c r="H32" s="1564" t="s">
        <v>11351</v>
      </c>
      <c r="I32" s="1564" t="s">
        <v>11352</v>
      </c>
      <c r="J32" s="1564" t="s">
        <v>11353</v>
      </c>
      <c r="K32" s="1564" t="s">
        <v>11354</v>
      </c>
      <c r="L32" s="1564" t="s">
        <v>11355</v>
      </c>
      <c r="M32" s="1787">
        <v>0.05337962962962963</v>
      </c>
      <c r="N32" s="1790" t="str">
        <f t="shared" si="1"/>
        <v>1:45</v>
      </c>
      <c r="O32" s="1618" t="s">
        <v>11356</v>
      </c>
    </row>
    <row r="33" ht="15.75" customHeight="1">
      <c r="A33" s="954" t="s">
        <v>739</v>
      </c>
      <c r="B33" s="1591" t="s">
        <v>9016</v>
      </c>
      <c r="C33" s="1788">
        <v>0.05224537037037037</v>
      </c>
      <c r="D33" s="1564" t="s">
        <v>11357</v>
      </c>
      <c r="E33" s="1814" t="s">
        <v>11358</v>
      </c>
      <c r="F33" s="1564" t="s">
        <v>11359</v>
      </c>
      <c r="G33" s="1564" t="s">
        <v>11360</v>
      </c>
      <c r="H33" s="1564" t="s">
        <v>11361</v>
      </c>
      <c r="I33" s="1564" t="s">
        <v>11362</v>
      </c>
      <c r="J33" s="1564" t="s">
        <v>11363</v>
      </c>
      <c r="K33" s="1567" t="s">
        <v>11364</v>
      </c>
      <c r="L33" s="1564" t="s">
        <v>11365</v>
      </c>
      <c r="M33" s="1787">
        <v>0.053043981481481484</v>
      </c>
      <c r="N33" s="1790" t="str">
        <f t="shared" si="1"/>
        <v>1:09</v>
      </c>
      <c r="O33" s="1618" t="s">
        <v>11366</v>
      </c>
    </row>
    <row r="34" ht="15.75" customHeight="1">
      <c r="A34" s="1625" t="s">
        <v>3096</v>
      </c>
      <c r="B34" s="1680" t="s">
        <v>9016</v>
      </c>
      <c r="C34" s="1783">
        <v>0.052316898148148154</v>
      </c>
      <c r="D34" s="1065" t="s">
        <v>11367</v>
      </c>
      <c r="E34" s="1565" t="s">
        <v>11368</v>
      </c>
      <c r="F34" s="1564" t="s">
        <v>11369</v>
      </c>
      <c r="G34" s="1564" t="s">
        <v>11370</v>
      </c>
      <c r="H34" s="1564" t="s">
        <v>11371</v>
      </c>
      <c r="I34" s="1564" t="s">
        <v>11372</v>
      </c>
      <c r="J34" s="1564" t="s">
        <v>11373</v>
      </c>
      <c r="K34" s="1564" t="s">
        <v>11374</v>
      </c>
      <c r="L34" s="1564" t="s">
        <v>9693</v>
      </c>
      <c r="M34" s="1787">
        <v>0.05376157407407407</v>
      </c>
      <c r="N34" s="1790" t="str">
        <f t="shared" si="1"/>
        <v>2:05</v>
      </c>
      <c r="O34" s="1618" t="s">
        <v>11164</v>
      </c>
    </row>
    <row r="35" ht="15.75" customHeight="1">
      <c r="A35" s="954" t="s">
        <v>4048</v>
      </c>
      <c r="B35" s="1591" t="s">
        <v>8989</v>
      </c>
      <c r="C35" s="1788">
        <v>0.05238425925925926</v>
      </c>
      <c r="D35" s="1053" t="s">
        <v>11375</v>
      </c>
      <c r="E35" s="1565" t="s">
        <v>11348</v>
      </c>
      <c r="F35" s="1564" t="s">
        <v>11376</v>
      </c>
      <c r="G35" s="1789" t="s">
        <v>11377</v>
      </c>
      <c r="H35" s="1564" t="s">
        <v>11378</v>
      </c>
      <c r="I35" s="1564" t="s">
        <v>11379</v>
      </c>
      <c r="J35" s="1564" t="s">
        <v>11380</v>
      </c>
      <c r="K35" s="1564" t="s">
        <v>11381</v>
      </c>
      <c r="L35" s="1564" t="s">
        <v>10232</v>
      </c>
      <c r="M35" s="1787">
        <v>0.05340277777777778</v>
      </c>
      <c r="N35" s="1790" t="str">
        <f t="shared" si="1"/>
        <v>1:28</v>
      </c>
      <c r="O35" s="1618" t="s">
        <v>11382</v>
      </c>
    </row>
    <row r="36" ht="15.75" customHeight="1">
      <c r="A36" s="954" t="s">
        <v>2713</v>
      </c>
      <c r="B36" s="1591" t="s">
        <v>8989</v>
      </c>
      <c r="C36" s="1788">
        <v>0.0525</v>
      </c>
      <c r="D36" s="1065" t="s">
        <v>11383</v>
      </c>
      <c r="E36" s="1565" t="s">
        <v>11384</v>
      </c>
      <c r="F36" s="1564" t="s">
        <v>11385</v>
      </c>
      <c r="G36" s="1564" t="s">
        <v>11386</v>
      </c>
      <c r="H36" s="1564" t="s">
        <v>11387</v>
      </c>
      <c r="I36" s="1564" t="s">
        <v>11388</v>
      </c>
      <c r="J36" s="1564" t="s">
        <v>11389</v>
      </c>
      <c r="K36" s="1564" t="s">
        <v>11390</v>
      </c>
      <c r="L36" s="1564" t="s">
        <v>699</v>
      </c>
      <c r="M36" s="1787">
        <v>0.053773148148148146</v>
      </c>
      <c r="N36" s="1790" t="str">
        <f t="shared" si="1"/>
        <v>1:50</v>
      </c>
      <c r="O36" s="1618" t="s">
        <v>11391</v>
      </c>
    </row>
    <row r="37" ht="15.75" customHeight="1">
      <c r="A37" s="1625" t="s">
        <v>10259</v>
      </c>
      <c r="B37" s="1591" t="s">
        <v>8989</v>
      </c>
      <c r="C37" s="1783">
        <v>0.05268518518518518</v>
      </c>
      <c r="D37" s="1065" t="s">
        <v>11392</v>
      </c>
      <c r="E37" s="1565" t="s">
        <v>11393</v>
      </c>
      <c r="F37" s="1564" t="s">
        <v>11394</v>
      </c>
      <c r="G37" s="1564" t="s">
        <v>11395</v>
      </c>
      <c r="H37" s="1564" t="s">
        <v>11396</v>
      </c>
      <c r="I37" s="1564" t="s">
        <v>7427</v>
      </c>
      <c r="J37" s="1564" t="s">
        <v>11397</v>
      </c>
      <c r="K37" s="1564" t="s">
        <v>11398</v>
      </c>
      <c r="L37" s="1564" t="s">
        <v>10277</v>
      </c>
      <c r="M37" s="1787">
        <v>0.05331018518518518</v>
      </c>
      <c r="N37" s="1790" t="str">
        <f t="shared" si="1"/>
        <v>0:54</v>
      </c>
      <c r="O37" s="1618" t="s">
        <v>11399</v>
      </c>
    </row>
    <row r="38" ht="15.75" customHeight="1">
      <c r="A38" s="1625" t="s">
        <v>3746</v>
      </c>
      <c r="B38" s="1795" t="s">
        <v>8989</v>
      </c>
      <c r="C38" s="1783">
        <v>0.05270034722222223</v>
      </c>
      <c r="D38" s="1053" t="s">
        <v>11400</v>
      </c>
      <c r="E38" s="1565" t="s">
        <v>11401</v>
      </c>
      <c r="F38" s="1564" t="s">
        <v>11402</v>
      </c>
      <c r="G38" s="1564" t="s">
        <v>11403</v>
      </c>
      <c r="H38" s="1564" t="s">
        <v>11404</v>
      </c>
      <c r="I38" s="1564" t="s">
        <v>11405</v>
      </c>
      <c r="J38" s="1564" t="s">
        <v>11406</v>
      </c>
      <c r="K38" s="1564" t="s">
        <v>11407</v>
      </c>
      <c r="L38" s="1564" t="s">
        <v>11408</v>
      </c>
      <c r="M38" s="1787">
        <v>0.05425925925925926</v>
      </c>
      <c r="N38" s="1790" t="str">
        <f t="shared" si="1"/>
        <v>2:15</v>
      </c>
      <c r="O38" s="1618" t="s">
        <v>11164</v>
      </c>
    </row>
    <row r="39">
      <c r="A39" s="1815" t="s">
        <v>3439</v>
      </c>
      <c r="B39" s="1795" t="s">
        <v>8989</v>
      </c>
      <c r="C39" s="1783">
        <v>0.053009259259259256</v>
      </c>
      <c r="D39" s="1053" t="s">
        <v>11409</v>
      </c>
      <c r="E39" s="1565" t="s">
        <v>11410</v>
      </c>
      <c r="F39" s="1564" t="s">
        <v>11411</v>
      </c>
      <c r="G39" s="1564" t="s">
        <v>11412</v>
      </c>
      <c r="H39" s="1564" t="s">
        <v>11413</v>
      </c>
      <c r="I39" s="1564" t="s">
        <v>11414</v>
      </c>
      <c r="J39" s="1564" t="s">
        <v>11415</v>
      </c>
      <c r="K39" s="1564" t="s">
        <v>11416</v>
      </c>
      <c r="L39" s="1564" t="s">
        <v>11417</v>
      </c>
      <c r="M39" s="1787">
        <v>0.05372685185185185</v>
      </c>
      <c r="N39" s="1790" t="str">
        <f t="shared" si="1"/>
        <v>1:02</v>
      </c>
      <c r="O39" s="1618" t="s">
        <v>11164</v>
      </c>
    </row>
    <row r="40" ht="15.75" customHeight="1">
      <c r="A40" s="954" t="s">
        <v>979</v>
      </c>
      <c r="B40" s="1759" t="s">
        <v>9016</v>
      </c>
      <c r="C40" s="1788">
        <v>0.05378472222222222</v>
      </c>
      <c r="D40" s="1065" t="s">
        <v>11418</v>
      </c>
      <c r="E40" s="1565" t="s">
        <v>11419</v>
      </c>
      <c r="F40" s="1564" t="s">
        <v>11420</v>
      </c>
      <c r="G40" s="1564" t="s">
        <v>11421</v>
      </c>
      <c r="H40" s="1564" t="s">
        <v>11422</v>
      </c>
      <c r="I40" s="1564" t="s">
        <v>9580</v>
      </c>
      <c r="J40" s="1564" t="s">
        <v>11423</v>
      </c>
      <c r="K40" s="1564" t="s">
        <v>11424</v>
      </c>
      <c r="L40" s="1564" t="s">
        <v>10004</v>
      </c>
      <c r="M40" s="1787">
        <v>0.054560185185185184</v>
      </c>
      <c r="N40" s="1790" t="str">
        <f t="shared" si="1"/>
        <v>1:07</v>
      </c>
      <c r="O40" s="1618"/>
    </row>
    <row r="41" ht="15.75" customHeight="1">
      <c r="A41" s="954" t="s">
        <v>4947</v>
      </c>
      <c r="B41" s="1680" t="s">
        <v>9016</v>
      </c>
      <c r="C41" s="1788">
        <v>0.05748842592592593</v>
      </c>
      <c r="D41" s="1565" t="s">
        <v>11425</v>
      </c>
      <c r="E41" s="1565" t="s">
        <v>11426</v>
      </c>
      <c r="F41" s="1564" t="s">
        <v>11427</v>
      </c>
      <c r="G41" s="1564" t="s">
        <v>11428</v>
      </c>
      <c r="H41" s="1564" t="s">
        <v>11429</v>
      </c>
      <c r="I41" s="1564" t="s">
        <v>11430</v>
      </c>
      <c r="J41" s="1564" t="s">
        <v>11431</v>
      </c>
      <c r="K41" s="1564" t="s">
        <v>11432</v>
      </c>
      <c r="L41" s="1564" t="s">
        <v>11009</v>
      </c>
      <c r="M41" s="1787">
        <v>0.06149305555555556</v>
      </c>
      <c r="N41" s="1790" t="str">
        <f t="shared" si="1"/>
        <v>5:46</v>
      </c>
      <c r="O41" s="1618" t="s">
        <v>11164</v>
      </c>
    </row>
    <row r="42" ht="15.75" customHeight="1">
      <c r="A42" s="954" t="s">
        <v>6533</v>
      </c>
      <c r="B42" s="1715" t="s">
        <v>11011</v>
      </c>
      <c r="C42" s="1816">
        <v>0.0609375</v>
      </c>
      <c r="D42" s="1723" t="s">
        <v>11433</v>
      </c>
      <c r="E42" s="1817" t="s">
        <v>8894</v>
      </c>
      <c r="F42" s="1817" t="s">
        <v>11434</v>
      </c>
      <c r="G42" s="1817" t="s">
        <v>11435</v>
      </c>
      <c r="H42" s="1817" t="s">
        <v>11436</v>
      </c>
      <c r="I42" s="1817" t="s">
        <v>8444</v>
      </c>
      <c r="J42" s="1817" t="s">
        <v>11437</v>
      </c>
      <c r="K42" s="1817" t="s">
        <v>11438</v>
      </c>
      <c r="L42" s="1817" t="s">
        <v>11439</v>
      </c>
      <c r="M42" s="1818">
        <v>0.06646990740740741</v>
      </c>
      <c r="N42" s="1817" t="s">
        <v>11440</v>
      </c>
      <c r="O42" s="1618" t="s">
        <v>11441</v>
      </c>
    </row>
    <row r="43" ht="15.75" customHeight="1">
      <c r="A43" s="1625"/>
      <c r="B43" s="1591"/>
      <c r="C43" s="1819"/>
      <c r="D43" s="1053"/>
      <c r="E43" s="1799"/>
      <c r="F43" s="1564"/>
      <c r="G43" s="1564"/>
      <c r="H43" s="1564"/>
      <c r="I43" s="1564"/>
      <c r="J43" s="1564"/>
      <c r="K43" s="1564"/>
      <c r="L43" s="1564"/>
      <c r="M43" s="1564"/>
      <c r="N43" s="1787"/>
      <c r="O43" s="1618"/>
    </row>
    <row r="44">
      <c r="A44" s="1781"/>
      <c r="B44" s="1782"/>
      <c r="C44" s="1819"/>
      <c r="D44" s="1032"/>
      <c r="E44" s="1799"/>
      <c r="F44" s="1564"/>
      <c r="G44" s="1564"/>
      <c r="H44" s="1564"/>
      <c r="I44" s="1564"/>
      <c r="J44" s="1564"/>
      <c r="K44" s="1564"/>
      <c r="L44" s="1564"/>
      <c r="M44" s="1564"/>
      <c r="N44" s="1787"/>
      <c r="O44" s="1618"/>
    </row>
    <row r="45" ht="15.75" customHeight="1">
      <c r="A45" s="1625"/>
      <c r="B45" s="1591"/>
      <c r="C45" s="1819"/>
      <c r="D45" s="1026"/>
      <c r="E45" s="1799"/>
      <c r="F45" s="1564"/>
      <c r="G45" s="1564"/>
      <c r="H45" s="1564"/>
      <c r="I45" s="1564"/>
      <c r="J45" s="1564"/>
      <c r="K45" s="1564"/>
      <c r="L45" s="1564"/>
      <c r="M45" s="1564"/>
      <c r="N45" s="1787"/>
      <c r="O45" s="1618"/>
    </row>
    <row r="46" ht="15.75" customHeight="1">
      <c r="A46" s="1731"/>
      <c r="B46" s="1684"/>
      <c r="C46" s="1820"/>
      <c r="D46" s="1032"/>
      <c r="E46" s="1799"/>
      <c r="F46" s="1564"/>
      <c r="G46" s="1564"/>
      <c r="H46" s="1564"/>
      <c r="I46" s="1564"/>
      <c r="J46" s="1564"/>
      <c r="K46" s="1564"/>
      <c r="L46" s="1564"/>
      <c r="M46" s="1564"/>
      <c r="N46" s="1787"/>
      <c r="O46" s="1618"/>
    </row>
    <row r="47">
      <c r="A47" s="1815"/>
      <c r="B47" s="1795"/>
      <c r="C47" s="1821"/>
      <c r="D47" s="1026"/>
      <c r="E47" s="1799"/>
      <c r="F47" s="1564"/>
      <c r="G47" s="1564"/>
      <c r="H47" s="1564"/>
      <c r="I47" s="1564"/>
      <c r="J47" s="1564"/>
      <c r="K47" s="1564"/>
      <c r="L47" s="1564"/>
      <c r="M47" s="1564"/>
      <c r="N47" s="1787"/>
      <c r="O47" s="1618"/>
    </row>
    <row r="48" ht="15.75" customHeight="1">
      <c r="A48" s="1727"/>
      <c r="B48" s="1531"/>
      <c r="C48" s="1822"/>
      <c r="D48" s="1032"/>
      <c r="E48" s="1799"/>
      <c r="F48" s="1564"/>
      <c r="G48" s="1564"/>
      <c r="H48" s="1564"/>
      <c r="I48" s="1564"/>
      <c r="J48" s="1564"/>
      <c r="K48" s="1564"/>
      <c r="L48" s="1564"/>
      <c r="M48" s="1564"/>
      <c r="N48" s="1787"/>
      <c r="O48" s="1618"/>
    </row>
    <row r="49" ht="15.75" customHeight="1">
      <c r="A49" s="1731"/>
      <c r="B49" s="1531"/>
      <c r="C49" s="1820"/>
      <c r="D49" s="1026"/>
      <c r="E49" s="1799"/>
      <c r="F49" s="1564"/>
      <c r="G49" s="1564"/>
      <c r="H49" s="1564"/>
      <c r="I49" s="1564"/>
      <c r="J49" s="1564"/>
      <c r="K49" s="1564"/>
      <c r="L49" s="1564"/>
      <c r="M49" s="1564"/>
      <c r="N49" s="1787"/>
      <c r="O49" s="1618"/>
    </row>
    <row r="50" ht="15.75" customHeight="1">
      <c r="A50" s="1781"/>
      <c r="B50" s="1782"/>
      <c r="C50" s="1819"/>
      <c r="D50" s="1032"/>
      <c r="E50" s="1799"/>
      <c r="F50" s="1564"/>
      <c r="G50" s="1564"/>
      <c r="H50" s="1564"/>
      <c r="I50" s="1564"/>
      <c r="J50" s="1564"/>
      <c r="K50" s="1564"/>
      <c r="L50" s="1564"/>
      <c r="M50" s="1564"/>
      <c r="N50" s="1787"/>
      <c r="O50" s="1618"/>
    </row>
    <row r="51" ht="15.75" customHeight="1">
      <c r="A51" s="1727"/>
      <c r="B51" s="1622"/>
      <c r="C51" s="1822"/>
      <c r="D51" s="1026"/>
      <c r="E51" s="1799"/>
      <c r="F51" s="1564"/>
      <c r="G51" s="1564"/>
      <c r="H51" s="1564"/>
      <c r="I51" s="1564"/>
      <c r="J51" s="1564"/>
      <c r="K51" s="1564"/>
      <c r="L51" s="1564"/>
      <c r="M51" s="1564"/>
      <c r="N51" s="1787"/>
      <c r="O51" s="1618"/>
    </row>
    <row r="52" ht="15.75" customHeight="1">
      <c r="A52" s="1731"/>
      <c r="B52" s="1684"/>
      <c r="C52" s="1820"/>
      <c r="D52" s="1032"/>
      <c r="E52" s="1799"/>
      <c r="F52" s="1564"/>
      <c r="G52" s="1564"/>
      <c r="H52" s="1564"/>
      <c r="I52" s="1564"/>
      <c r="J52" s="1564"/>
      <c r="K52" s="1564"/>
      <c r="L52" s="1564"/>
      <c r="M52" s="1564"/>
      <c r="N52" s="1787"/>
      <c r="O52" s="1618"/>
    </row>
    <row r="53" ht="15.75" customHeight="1">
      <c r="A53" s="1781"/>
      <c r="B53" s="1591"/>
      <c r="C53" s="1819"/>
      <c r="D53" s="1026"/>
      <c r="E53" s="1799"/>
      <c r="F53" s="1564"/>
      <c r="G53" s="1564"/>
      <c r="H53" s="1564"/>
      <c r="I53" s="1564"/>
      <c r="J53" s="1564"/>
      <c r="K53" s="1564"/>
      <c r="L53" s="1564"/>
      <c r="M53" s="1564"/>
      <c r="N53" s="1787"/>
      <c r="O53" s="1618"/>
    </row>
    <row r="54" ht="15.75" customHeight="1">
      <c r="A54" s="1625"/>
      <c r="B54" s="1680"/>
      <c r="C54" s="1819"/>
      <c r="D54" s="1032"/>
      <c r="E54" s="1799"/>
      <c r="F54" s="1564"/>
      <c r="G54" s="1564"/>
      <c r="H54" s="1564"/>
      <c r="I54" s="1564"/>
      <c r="J54" s="1564"/>
      <c r="K54" s="1564"/>
      <c r="L54" s="1564"/>
      <c r="M54" s="1564"/>
      <c r="N54" s="1787"/>
      <c r="O54" s="1618"/>
    </row>
    <row r="55" ht="15.75" customHeight="1">
      <c r="A55" s="1781"/>
      <c r="B55" s="1782"/>
      <c r="C55" s="1819"/>
      <c r="D55" s="1026"/>
      <c r="E55" s="1799"/>
      <c r="F55" s="1564"/>
      <c r="G55" s="1564"/>
      <c r="H55" s="1564"/>
      <c r="I55" s="1564"/>
      <c r="J55" s="1564"/>
      <c r="K55" s="1564"/>
      <c r="L55" s="1564"/>
      <c r="M55" s="1564"/>
      <c r="N55" s="1787"/>
      <c r="O55" s="1618"/>
    </row>
    <row r="56" ht="15.75" customHeight="1">
      <c r="A56" s="1731"/>
      <c r="B56" s="1684"/>
      <c r="C56" s="1820"/>
      <c r="D56" s="1032"/>
      <c r="E56" s="1799"/>
      <c r="F56" s="1564"/>
      <c r="G56" s="1564"/>
      <c r="H56" s="1564"/>
      <c r="I56" s="1564"/>
      <c r="J56" s="1564"/>
      <c r="K56" s="1564"/>
      <c r="L56" s="1564"/>
      <c r="M56" s="1564"/>
      <c r="N56" s="1787"/>
      <c r="O56" s="1618"/>
    </row>
    <row r="57" ht="16.5" customHeight="1">
      <c r="A57" s="1727"/>
      <c r="B57" s="1684"/>
      <c r="C57" s="1822"/>
      <c r="D57" s="1026"/>
      <c r="E57" s="1799"/>
      <c r="F57" s="1564"/>
      <c r="G57" s="1564"/>
      <c r="H57" s="1564"/>
      <c r="I57" s="1564"/>
      <c r="J57" s="1564"/>
      <c r="K57" s="1564"/>
      <c r="L57" s="1564"/>
      <c r="M57" s="1564"/>
      <c r="N57" s="1787"/>
      <c r="O57" s="1618"/>
    </row>
    <row r="58">
      <c r="A58" s="1781"/>
      <c r="B58" s="1782"/>
      <c r="C58" s="1823"/>
      <c r="D58" s="1032"/>
      <c r="E58" s="1799"/>
      <c r="F58" s="1564"/>
      <c r="G58" s="1564"/>
      <c r="H58" s="1564"/>
      <c r="I58" s="1564"/>
      <c r="J58" s="1564"/>
      <c r="K58" s="1564"/>
      <c r="L58" s="1564"/>
      <c r="M58" s="1564"/>
      <c r="N58" s="1787"/>
      <c r="O58" s="1618"/>
    </row>
    <row r="59">
      <c r="A59" s="1815"/>
      <c r="B59" s="1672"/>
      <c r="C59" s="1823"/>
      <c r="D59" s="1032"/>
      <c r="E59" s="1799"/>
      <c r="F59" s="1564"/>
      <c r="G59" s="1564"/>
      <c r="H59" s="1564"/>
      <c r="I59" s="1564"/>
      <c r="J59" s="1564"/>
      <c r="K59" s="1564"/>
      <c r="L59" s="1564"/>
      <c r="M59" s="1564"/>
      <c r="N59" s="1787"/>
      <c r="O59" s="1618"/>
    </row>
    <row r="60">
      <c r="A60" s="1781"/>
      <c r="B60" s="1782"/>
      <c r="C60" s="1819"/>
      <c r="D60" s="1564"/>
      <c r="E60" s="1799"/>
      <c r="F60" s="1564"/>
      <c r="G60" s="1564"/>
      <c r="H60" s="1564"/>
      <c r="I60" s="1564"/>
      <c r="J60" s="1564"/>
      <c r="K60" s="1564"/>
      <c r="L60" s="1564"/>
      <c r="M60" s="1564"/>
      <c r="N60" s="1787"/>
      <c r="O60" s="1618"/>
    </row>
    <row r="61">
      <c r="A61" s="1731"/>
      <c r="B61" s="1622"/>
      <c r="C61" s="1820"/>
      <c r="D61" s="1564"/>
      <c r="E61" s="1799"/>
      <c r="F61" s="1564"/>
      <c r="G61" s="1564"/>
      <c r="H61" s="1564"/>
      <c r="I61" s="1564"/>
      <c r="J61" s="1564"/>
      <c r="K61" s="1564"/>
      <c r="L61" s="1564"/>
      <c r="M61" s="1564"/>
      <c r="N61" s="1787"/>
      <c r="O61" s="1618"/>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8951</v>
      </c>
      <c r="C1" s="1844" t="s">
        <v>11119</v>
      </c>
      <c r="D1" s="1845" t="s">
        <v>7719</v>
      </c>
      <c r="E1" s="1846" t="s">
        <v>8029</v>
      </c>
      <c r="F1" s="1847" t="s">
        <v>38</v>
      </c>
      <c r="G1" s="1848" t="s">
        <v>36</v>
      </c>
      <c r="H1" s="1844" t="s">
        <v>11120</v>
      </c>
      <c r="I1" s="1849" t="s">
        <v>39</v>
      </c>
      <c r="J1" s="1741" t="s">
        <v>7963</v>
      </c>
      <c r="K1" s="1472" t="s">
        <v>8985</v>
      </c>
      <c r="L1" s="1743" t="s">
        <v>8987</v>
      </c>
    </row>
    <row r="2" ht="15.75" customHeight="1">
      <c r="A2" s="1744" t="s">
        <v>8988</v>
      </c>
      <c r="B2" s="1745" t="s">
        <v>8989</v>
      </c>
      <c r="C2" s="1747" t="s">
        <v>11442</v>
      </c>
      <c r="D2" s="1850" t="s">
        <v>11443</v>
      </c>
      <c r="E2" s="1851" t="s">
        <v>11444</v>
      </c>
      <c r="F2" s="1852" t="s">
        <v>11445</v>
      </c>
      <c r="G2" s="1751" t="s">
        <v>11446</v>
      </c>
      <c r="H2" s="1747" t="s">
        <v>11447</v>
      </c>
      <c r="I2" s="1853" t="s">
        <v>11448</v>
      </c>
      <c r="J2" s="1754" t="s">
        <v>11449</v>
      </c>
      <c r="K2" s="1854" t="s">
        <v>9082</v>
      </c>
      <c r="L2" s="1855"/>
    </row>
    <row r="3" ht="15.75" customHeight="1">
      <c r="A3" s="1758" t="s">
        <v>9015</v>
      </c>
      <c r="B3" s="1759" t="s">
        <v>9016</v>
      </c>
      <c r="C3" s="1501" t="s">
        <v>11340</v>
      </c>
      <c r="D3" s="1509" t="s">
        <v>11450</v>
      </c>
      <c r="E3" s="1503" t="s">
        <v>11451</v>
      </c>
      <c r="F3" s="1504" t="s">
        <v>11452</v>
      </c>
      <c r="G3" s="1506" t="s">
        <v>11453</v>
      </c>
      <c r="H3" s="1501" t="s">
        <v>11454</v>
      </c>
      <c r="I3" s="1508" t="s">
        <v>11455</v>
      </c>
      <c r="J3" s="1511" t="s">
        <v>11456</v>
      </c>
      <c r="K3" s="1760">
        <v>0.053043981481481484</v>
      </c>
      <c r="L3" s="1856"/>
    </row>
    <row r="4" ht="15.75" customHeight="1">
      <c r="A4" s="1763" t="s">
        <v>9043</v>
      </c>
      <c r="B4" s="1764" t="s">
        <v>9044</v>
      </c>
      <c r="C4" s="1766" t="s">
        <v>11332</v>
      </c>
      <c r="D4" s="1857" t="s">
        <v>11457</v>
      </c>
      <c r="E4" s="1768" t="s">
        <v>11458</v>
      </c>
      <c r="F4" s="1769" t="s">
        <v>11459</v>
      </c>
      <c r="G4" s="1770" t="s">
        <v>11460</v>
      </c>
      <c r="H4" s="1766" t="s">
        <v>11461</v>
      </c>
      <c r="I4" s="1771" t="s">
        <v>11462</v>
      </c>
      <c r="J4" s="1772" t="s">
        <v>11463</v>
      </c>
      <c r="K4" s="1765">
        <v>0.053043981481481484</v>
      </c>
      <c r="L4" s="1855"/>
    </row>
    <row r="5" ht="15.75" customHeight="1">
      <c r="A5" s="954" t="s">
        <v>1056</v>
      </c>
      <c r="B5" s="1591" t="s">
        <v>8989</v>
      </c>
      <c r="C5" s="1776" t="s">
        <v>11442</v>
      </c>
      <c r="D5" s="1776" t="s">
        <v>11443</v>
      </c>
      <c r="E5" s="1776" t="s">
        <v>11444</v>
      </c>
      <c r="F5" s="1776" t="s">
        <v>11445</v>
      </c>
      <c r="G5" s="1858" t="s">
        <v>11446</v>
      </c>
      <c r="H5" s="1858" t="s">
        <v>11447</v>
      </c>
      <c r="I5" s="1858" t="s">
        <v>11448</v>
      </c>
      <c r="J5" s="1858" t="s">
        <v>11449</v>
      </c>
      <c r="K5" s="1859" t="s">
        <v>9082</v>
      </c>
      <c r="L5" s="1618" t="s">
        <v>11464</v>
      </c>
    </row>
    <row r="6" ht="15.75" customHeight="1">
      <c r="A6" s="1727" t="s">
        <v>1809</v>
      </c>
      <c r="B6" s="1860" t="s">
        <v>8989</v>
      </c>
      <c r="C6" s="1861" t="s">
        <v>11156</v>
      </c>
      <c r="D6" s="1862" t="s">
        <v>11465</v>
      </c>
      <c r="E6" s="1863" t="s">
        <v>11466</v>
      </c>
      <c r="F6" s="1864" t="s">
        <v>11467</v>
      </c>
      <c r="G6" s="1865" t="s">
        <v>11468</v>
      </c>
      <c r="H6" s="1866" t="s">
        <v>11469</v>
      </c>
      <c r="I6" s="1867" t="s">
        <v>11470</v>
      </c>
      <c r="J6" s="1868" t="s">
        <v>11471</v>
      </c>
      <c r="K6" s="1564" t="s">
        <v>9172</v>
      </c>
      <c r="L6" s="1869" t="s">
        <v>11472</v>
      </c>
    </row>
    <row r="7" ht="15.75" customHeight="1">
      <c r="A7" s="1870" t="s">
        <v>6602</v>
      </c>
      <c r="B7" s="1591" t="s">
        <v>8989</v>
      </c>
      <c r="C7" s="1704" t="s">
        <v>11171</v>
      </c>
      <c r="D7" s="1564" t="s">
        <v>11473</v>
      </c>
      <c r="E7" s="1564" t="s">
        <v>11474</v>
      </c>
      <c r="F7" s="1564" t="s">
        <v>11475</v>
      </c>
      <c r="G7" s="1871" t="s">
        <v>11476</v>
      </c>
      <c r="H7" s="1871" t="s">
        <v>11477</v>
      </c>
      <c r="I7" s="1871" t="s">
        <v>11478</v>
      </c>
      <c r="J7" s="1871" t="s">
        <v>11479</v>
      </c>
      <c r="K7" s="1564" t="s">
        <v>9239</v>
      </c>
      <c r="L7" s="1618"/>
    </row>
    <row r="8" ht="15.75" customHeight="1">
      <c r="A8" s="954" t="s">
        <v>2543</v>
      </c>
      <c r="B8" s="1591" t="s">
        <v>8989</v>
      </c>
      <c r="C8" s="1784" t="s">
        <v>11149</v>
      </c>
      <c r="D8" s="1778" t="s">
        <v>11480</v>
      </c>
      <c r="E8" s="1778" t="s">
        <v>11481</v>
      </c>
      <c r="F8" s="1778" t="s">
        <v>11482</v>
      </c>
      <c r="G8" s="1872" t="s">
        <v>11483</v>
      </c>
      <c r="H8" s="1873" t="s">
        <v>11484</v>
      </c>
      <c r="I8" s="1874" t="s">
        <v>11485</v>
      </c>
      <c r="J8" s="1875" t="s">
        <v>11486</v>
      </c>
      <c r="K8" s="1778" t="s">
        <v>9108</v>
      </c>
      <c r="L8" s="1618"/>
    </row>
    <row r="9" ht="15.75" customHeight="1">
      <c r="A9" s="1791" t="s">
        <v>435</v>
      </c>
      <c r="B9" s="1531" t="s">
        <v>8989</v>
      </c>
      <c r="C9" s="1704" t="s">
        <v>11165</v>
      </c>
      <c r="D9" s="1564" t="s">
        <v>11487</v>
      </c>
      <c r="E9" s="1564" t="s">
        <v>11488</v>
      </c>
      <c r="F9" s="1564" t="s">
        <v>11489</v>
      </c>
      <c r="G9" s="1871" t="s">
        <v>11490</v>
      </c>
      <c r="H9" s="1871" t="s">
        <v>11491</v>
      </c>
      <c r="I9" s="1871" t="s">
        <v>11492</v>
      </c>
      <c r="J9" s="1871" t="s">
        <v>11493</v>
      </c>
      <c r="K9" s="1564" t="s">
        <v>9129</v>
      </c>
      <c r="L9" s="1618"/>
    </row>
    <row r="10" ht="15.75" customHeight="1">
      <c r="A10" s="1727" t="s">
        <v>6717</v>
      </c>
      <c r="B10" s="1531" t="s">
        <v>8989</v>
      </c>
      <c r="C10" s="1564" t="s">
        <v>11494</v>
      </c>
      <c r="D10" s="1564" t="s">
        <v>11495</v>
      </c>
      <c r="E10" s="1564" t="s">
        <v>11496</v>
      </c>
      <c r="F10" s="1567" t="s">
        <v>11497</v>
      </c>
      <c r="G10" s="1876" t="s">
        <v>11498</v>
      </c>
      <c r="H10" s="1877" t="s">
        <v>11499</v>
      </c>
      <c r="I10" s="1878" t="s">
        <v>11500</v>
      </c>
      <c r="J10" s="815" t="s">
        <v>11501</v>
      </c>
      <c r="K10" s="1564" t="s">
        <v>9152</v>
      </c>
      <c r="L10" s="1618"/>
    </row>
    <row r="11" ht="15.75" customHeight="1">
      <c r="A11" s="954" t="s">
        <v>1550</v>
      </c>
      <c r="B11" s="1591" t="s">
        <v>8989</v>
      </c>
      <c r="C11" s="1879" t="s">
        <v>11205</v>
      </c>
      <c r="D11" s="1798" t="s">
        <v>11502</v>
      </c>
      <c r="E11" s="1798" t="s">
        <v>11503</v>
      </c>
      <c r="F11" s="1564" t="s">
        <v>11504</v>
      </c>
      <c r="G11" s="1880" t="s">
        <v>11505</v>
      </c>
      <c r="H11" s="1880" t="s">
        <v>11506</v>
      </c>
      <c r="I11" s="1880" t="s">
        <v>11507</v>
      </c>
      <c r="J11" s="1880" t="s">
        <v>11508</v>
      </c>
      <c r="K11" s="1789" t="s">
        <v>9422</v>
      </c>
      <c r="L11" s="1618" t="s">
        <v>11509</v>
      </c>
    </row>
    <row r="12" ht="15.75" customHeight="1">
      <c r="A12" s="1625" t="s">
        <v>825</v>
      </c>
      <c r="B12" s="1680" t="s">
        <v>8989</v>
      </c>
      <c r="C12" s="1881" t="s">
        <v>11187</v>
      </c>
      <c r="D12" s="1564" t="s">
        <v>11510</v>
      </c>
      <c r="E12" s="1564" t="s">
        <v>11511</v>
      </c>
      <c r="F12" s="1564" t="s">
        <v>11512</v>
      </c>
      <c r="G12" s="825" t="s">
        <v>11513</v>
      </c>
      <c r="H12" s="1861" t="s">
        <v>11514</v>
      </c>
      <c r="I12" s="1867" t="s">
        <v>11515</v>
      </c>
      <c r="J12" s="1868" t="s">
        <v>11516</v>
      </c>
      <c r="K12" s="1564" t="s">
        <v>11517</v>
      </c>
      <c r="L12" s="1618" t="s">
        <v>11518</v>
      </c>
    </row>
    <row r="13" ht="15.75" customHeight="1">
      <c r="A13" s="1731" t="s">
        <v>2087</v>
      </c>
      <c r="B13" s="1531" t="s">
        <v>8989</v>
      </c>
      <c r="C13" s="1879" t="s">
        <v>11214</v>
      </c>
      <c r="D13" s="1564" t="s">
        <v>11519</v>
      </c>
      <c r="E13" s="1564" t="s">
        <v>11520</v>
      </c>
      <c r="F13" s="1564" t="s">
        <v>11521</v>
      </c>
      <c r="G13" s="1871" t="s">
        <v>11522</v>
      </c>
      <c r="H13" s="1871" t="s">
        <v>11523</v>
      </c>
      <c r="I13" s="1871" t="s">
        <v>11524</v>
      </c>
      <c r="J13" s="1871" t="s">
        <v>11525</v>
      </c>
      <c r="K13" s="1564" t="s">
        <v>9401</v>
      </c>
      <c r="L13" s="1618"/>
    </row>
    <row r="14" ht="15.75" customHeight="1">
      <c r="A14" s="1791" t="s">
        <v>330</v>
      </c>
      <c r="B14" s="1531" t="s">
        <v>8989</v>
      </c>
      <c r="C14" s="1564" t="s">
        <v>11526</v>
      </c>
      <c r="D14" s="1564" t="s">
        <v>11527</v>
      </c>
      <c r="E14" s="1564" t="s">
        <v>11528</v>
      </c>
      <c r="F14" s="1564" t="s">
        <v>11529</v>
      </c>
      <c r="G14" s="825" t="s">
        <v>11530</v>
      </c>
      <c r="H14" s="1861" t="s">
        <v>11531</v>
      </c>
      <c r="I14" s="1867" t="s">
        <v>11532</v>
      </c>
      <c r="J14" s="1868" t="s">
        <v>11533</v>
      </c>
      <c r="K14" s="1564" t="s">
        <v>9218</v>
      </c>
      <c r="L14" s="1618"/>
    </row>
    <row r="15" ht="16.5" customHeight="1">
      <c r="A15" s="1806" t="s">
        <v>2771</v>
      </c>
      <c r="B15" s="1531" t="s">
        <v>8989</v>
      </c>
      <c r="C15" s="1564" t="s">
        <v>11240</v>
      </c>
      <c r="D15" s="1564" t="s">
        <v>11534</v>
      </c>
      <c r="E15" s="1564" t="s">
        <v>11535</v>
      </c>
      <c r="F15" s="1564" t="s">
        <v>11536</v>
      </c>
      <c r="G15" s="1871" t="s">
        <v>11537</v>
      </c>
      <c r="H15" s="1871" t="s">
        <v>11538</v>
      </c>
      <c r="I15" s="1871" t="s">
        <v>11539</v>
      </c>
      <c r="J15" s="1871" t="s">
        <v>11540</v>
      </c>
      <c r="K15" s="1564" t="s">
        <v>11541</v>
      </c>
      <c r="L15" s="1618" t="s">
        <v>11542</v>
      </c>
    </row>
    <row r="16" ht="15.0" customHeight="1">
      <c r="A16" s="1813" t="s">
        <v>1722</v>
      </c>
      <c r="B16" s="1672" t="s">
        <v>8989</v>
      </c>
      <c r="C16" s="1881" t="s">
        <v>11543</v>
      </c>
      <c r="D16" s="1564" t="s">
        <v>11544</v>
      </c>
      <c r="E16" s="1564" t="s">
        <v>11545</v>
      </c>
      <c r="F16" s="1564" t="s">
        <v>11546</v>
      </c>
      <c r="G16" s="825" t="s">
        <v>11547</v>
      </c>
      <c r="H16" s="1861" t="s">
        <v>11548</v>
      </c>
      <c r="I16" s="1867" t="s">
        <v>11549</v>
      </c>
      <c r="J16" s="1868" t="s">
        <v>11550</v>
      </c>
      <c r="K16" s="1564" t="s">
        <v>9673</v>
      </c>
      <c r="L16" s="1618"/>
    </row>
    <row r="17" ht="15.75" customHeight="1">
      <c r="A17" s="954" t="s">
        <v>7010</v>
      </c>
      <c r="B17" s="1531" t="s">
        <v>8989</v>
      </c>
      <c r="C17" s="1564" t="s">
        <v>11273</v>
      </c>
      <c r="D17" s="1564" t="s">
        <v>11551</v>
      </c>
      <c r="E17" s="1564" t="s">
        <v>11552</v>
      </c>
      <c r="F17" s="1564" t="s">
        <v>11553</v>
      </c>
      <c r="G17" s="1871" t="s">
        <v>11554</v>
      </c>
      <c r="H17" s="1871" t="s">
        <v>11555</v>
      </c>
      <c r="I17" s="1871" t="s">
        <v>11556</v>
      </c>
      <c r="J17" s="1871" t="s">
        <v>11557</v>
      </c>
      <c r="K17" s="1564" t="s">
        <v>9574</v>
      </c>
      <c r="L17" s="1618" t="s">
        <v>11558</v>
      </c>
    </row>
    <row r="18" ht="15.75" customHeight="1">
      <c r="A18" s="1791" t="s">
        <v>1413</v>
      </c>
      <c r="B18" s="1531" t="s">
        <v>8989</v>
      </c>
      <c r="C18" s="1564" t="s">
        <v>11559</v>
      </c>
      <c r="D18" s="1564" t="s">
        <v>11560</v>
      </c>
      <c r="E18" s="1564" t="s">
        <v>11561</v>
      </c>
      <c r="F18" s="1564" t="s">
        <v>11562</v>
      </c>
      <c r="G18" s="825" t="s">
        <v>11563</v>
      </c>
      <c r="H18" s="1861" t="s">
        <v>11564</v>
      </c>
      <c r="I18" s="1867" t="s">
        <v>11565</v>
      </c>
      <c r="J18" s="1868" t="s">
        <v>11566</v>
      </c>
      <c r="K18" s="1564" t="s">
        <v>9553</v>
      </c>
      <c r="L18" s="1618"/>
    </row>
    <row r="19" ht="15.75" customHeight="1">
      <c r="A19" s="954" t="s">
        <v>2264</v>
      </c>
      <c r="B19" s="1680" t="s">
        <v>8989</v>
      </c>
      <c r="C19" s="1881" t="s">
        <v>11247</v>
      </c>
      <c r="D19" s="1564" t="s">
        <v>11567</v>
      </c>
      <c r="E19" s="1564" t="s">
        <v>11568</v>
      </c>
      <c r="F19" s="1564" t="s">
        <v>11569</v>
      </c>
      <c r="G19" s="1871" t="s">
        <v>11570</v>
      </c>
      <c r="H19" s="1871" t="s">
        <v>11571</v>
      </c>
      <c r="I19" s="1871" t="s">
        <v>11572</v>
      </c>
      <c r="J19" s="1871" t="s">
        <v>11573</v>
      </c>
      <c r="K19" s="1564" t="s">
        <v>9464</v>
      </c>
      <c r="L19" s="1618" t="s">
        <v>11574</v>
      </c>
    </row>
    <row r="20" ht="15.75" customHeight="1">
      <c r="A20" s="1791" t="s">
        <v>897</v>
      </c>
      <c r="B20" s="1531" t="s">
        <v>8989</v>
      </c>
      <c r="C20" s="1564" t="s">
        <v>11575</v>
      </c>
      <c r="D20" s="1564" t="s">
        <v>11576</v>
      </c>
      <c r="E20" s="1564" t="s">
        <v>11577</v>
      </c>
      <c r="F20" s="1564" t="s">
        <v>11578</v>
      </c>
      <c r="G20" s="825" t="s">
        <v>11579</v>
      </c>
      <c r="H20" s="1861" t="s">
        <v>11580</v>
      </c>
      <c r="I20" s="1867" t="s">
        <v>11581</v>
      </c>
      <c r="J20" s="1868" t="s">
        <v>11582</v>
      </c>
      <c r="K20" s="1564" t="s">
        <v>9819</v>
      </c>
      <c r="L20" s="1618"/>
    </row>
    <row r="21" ht="15.75" customHeight="1">
      <c r="A21" s="954" t="s">
        <v>1632</v>
      </c>
      <c r="B21" s="1591" t="s">
        <v>8989</v>
      </c>
      <c r="C21" s="1564" t="s">
        <v>11583</v>
      </c>
      <c r="D21" s="1564" t="s">
        <v>11584</v>
      </c>
      <c r="E21" s="1789" t="s">
        <v>11585</v>
      </c>
      <c r="F21" s="1564" t="s">
        <v>11586</v>
      </c>
      <c r="G21" s="1871" t="s">
        <v>11587</v>
      </c>
      <c r="H21" s="1871" t="s">
        <v>11588</v>
      </c>
      <c r="I21" s="1871" t="s">
        <v>11589</v>
      </c>
      <c r="J21" s="1871" t="s">
        <v>11590</v>
      </c>
      <c r="K21" s="1564" t="s">
        <v>9601</v>
      </c>
      <c r="L21" s="1618"/>
    </row>
    <row r="22" ht="15.75" customHeight="1">
      <c r="A22" s="1727" t="s">
        <v>9466</v>
      </c>
      <c r="B22" s="1531" t="s">
        <v>8989</v>
      </c>
      <c r="C22" s="1564" t="s">
        <v>11283</v>
      </c>
      <c r="D22" s="1564" t="s">
        <v>11591</v>
      </c>
      <c r="E22" s="1564" t="s">
        <v>11592</v>
      </c>
      <c r="F22" s="1564" t="s">
        <v>11593</v>
      </c>
      <c r="G22" s="825" t="s">
        <v>11594</v>
      </c>
      <c r="H22" s="1861" t="s">
        <v>11595</v>
      </c>
      <c r="I22" s="1867" t="s">
        <v>11596</v>
      </c>
      <c r="J22" s="1868" t="s">
        <v>11597</v>
      </c>
      <c r="K22" s="1564" t="s">
        <v>9481</v>
      </c>
      <c r="L22" s="1618"/>
    </row>
    <row r="23">
      <c r="A23" s="1781" t="s">
        <v>2151</v>
      </c>
      <c r="B23" s="1680" t="s">
        <v>9016</v>
      </c>
      <c r="C23" s="1564" t="s">
        <v>11237</v>
      </c>
      <c r="D23" s="1564" t="s">
        <v>11598</v>
      </c>
      <c r="E23" s="1564" t="s">
        <v>11599</v>
      </c>
      <c r="F23" s="1564" t="s">
        <v>11600</v>
      </c>
      <c r="G23" s="1871" t="s">
        <v>11601</v>
      </c>
      <c r="H23" s="1871" t="s">
        <v>11602</v>
      </c>
      <c r="I23" s="1871" t="s">
        <v>11603</v>
      </c>
      <c r="J23" s="1871" t="s">
        <v>11604</v>
      </c>
      <c r="K23" s="1564" t="s">
        <v>11605</v>
      </c>
      <c r="L23" s="1618" t="s">
        <v>11606</v>
      </c>
    </row>
    <row r="24" ht="15.75" customHeight="1">
      <c r="A24" s="954" t="s">
        <v>739</v>
      </c>
      <c r="B24" s="1591" t="s">
        <v>9016</v>
      </c>
      <c r="C24" s="1564" t="s">
        <v>11607</v>
      </c>
      <c r="D24" s="1803" t="s">
        <v>11450</v>
      </c>
      <c r="E24" s="1803" t="s">
        <v>11451</v>
      </c>
      <c r="F24" s="1803" t="s">
        <v>11452</v>
      </c>
      <c r="G24" s="1882" t="s">
        <v>11453</v>
      </c>
      <c r="H24" s="1883" t="s">
        <v>11454</v>
      </c>
      <c r="I24" s="1884" t="s">
        <v>11455</v>
      </c>
      <c r="J24" s="1885" t="s">
        <v>11456</v>
      </c>
      <c r="K24" s="1803" t="s">
        <v>9443</v>
      </c>
      <c r="L24" s="1618" t="s">
        <v>11608</v>
      </c>
    </row>
    <row r="25" ht="15.75" customHeight="1">
      <c r="A25" s="1625" t="s">
        <v>1345</v>
      </c>
      <c r="B25" s="1591" t="s">
        <v>9044</v>
      </c>
      <c r="C25" s="1674" t="s">
        <v>11332</v>
      </c>
      <c r="D25" s="1674" t="s">
        <v>11457</v>
      </c>
      <c r="E25" s="1674" t="s">
        <v>11458</v>
      </c>
      <c r="F25" s="1674" t="s">
        <v>11459</v>
      </c>
      <c r="G25" s="1886" t="s">
        <v>11460</v>
      </c>
      <c r="H25" s="1886" t="s">
        <v>11461</v>
      </c>
      <c r="I25" s="1886" t="s">
        <v>11462</v>
      </c>
      <c r="J25" s="1886" t="s">
        <v>11463</v>
      </c>
      <c r="K25" s="1674" t="s">
        <v>9443</v>
      </c>
      <c r="L25" s="1618"/>
    </row>
    <row r="26" ht="16.5" customHeight="1">
      <c r="A26" s="1625" t="s">
        <v>11609</v>
      </c>
      <c r="B26" s="1591" t="s">
        <v>8989</v>
      </c>
      <c r="C26" s="1031" t="s">
        <v>11314</v>
      </c>
      <c r="D26" s="1564" t="s">
        <v>11610</v>
      </c>
      <c r="E26" s="1564" t="s">
        <v>11611</v>
      </c>
      <c r="F26" s="1564" t="s">
        <v>11612</v>
      </c>
      <c r="G26" s="825" t="s">
        <v>11594</v>
      </c>
      <c r="H26" s="1861" t="s">
        <v>11613</v>
      </c>
      <c r="I26" s="1867" t="s">
        <v>11614</v>
      </c>
      <c r="J26" s="1868" t="s">
        <v>11615</v>
      </c>
      <c r="K26" s="1564" t="s">
        <v>9979</v>
      </c>
      <c r="L26" s="1618"/>
    </row>
    <row r="27" ht="15.75" customHeight="1">
      <c r="A27" s="1625" t="s">
        <v>2992</v>
      </c>
      <c r="B27" s="1591" t="s">
        <v>8989</v>
      </c>
      <c r="C27" s="1564" t="s">
        <v>11616</v>
      </c>
      <c r="D27" s="1564" t="s">
        <v>11617</v>
      </c>
      <c r="E27" s="1564" t="s">
        <v>11618</v>
      </c>
      <c r="F27" s="1564" t="s">
        <v>11619</v>
      </c>
      <c r="G27" s="1871" t="s">
        <v>11620</v>
      </c>
      <c r="H27" s="1871" t="s">
        <v>11621</v>
      </c>
      <c r="I27" s="1871" t="s">
        <v>11622</v>
      </c>
      <c r="J27" s="1871" t="s">
        <v>11623</v>
      </c>
      <c r="K27" s="1564" t="s">
        <v>11624</v>
      </c>
      <c r="L27" s="1618" t="s">
        <v>11625</v>
      </c>
    </row>
    <row r="28">
      <c r="A28" s="1815" t="s">
        <v>3096</v>
      </c>
      <c r="B28" s="1795" t="s">
        <v>9016</v>
      </c>
      <c r="C28" s="1881" t="s">
        <v>11626</v>
      </c>
      <c r="D28" s="1564"/>
      <c r="E28" s="1564" t="s">
        <v>11627</v>
      </c>
      <c r="F28" s="1564" t="s">
        <v>11628</v>
      </c>
      <c r="G28" s="825"/>
      <c r="H28" s="1861"/>
      <c r="I28" s="1867"/>
      <c r="J28" s="1868"/>
      <c r="K28" s="1564" t="s">
        <v>10115</v>
      </c>
      <c r="L28" s="1618"/>
    </row>
    <row r="29" ht="15.75" customHeight="1">
      <c r="A29" s="1625" t="s">
        <v>2713</v>
      </c>
      <c r="B29" s="1591" t="s">
        <v>8989</v>
      </c>
      <c r="C29" s="1881" t="s">
        <v>11629</v>
      </c>
      <c r="D29" s="1564" t="s">
        <v>11630</v>
      </c>
      <c r="E29" s="1564" t="s">
        <v>11631</v>
      </c>
      <c r="F29" s="1564" t="s">
        <v>11632</v>
      </c>
      <c r="G29" s="1871" t="s">
        <v>11633</v>
      </c>
      <c r="H29" s="1871" t="s">
        <v>11634</v>
      </c>
      <c r="I29" s="1871" t="s">
        <v>11635</v>
      </c>
      <c r="J29" s="1871" t="s">
        <v>11636</v>
      </c>
      <c r="K29" s="1564" t="s">
        <v>10046</v>
      </c>
      <c r="L29" s="1618" t="s">
        <v>11637</v>
      </c>
    </row>
    <row r="30" ht="15.75" customHeight="1">
      <c r="A30" s="954" t="s">
        <v>2579</v>
      </c>
      <c r="B30" s="1672" t="s">
        <v>9016</v>
      </c>
      <c r="C30" s="1803" t="s">
        <v>11340</v>
      </c>
      <c r="D30" s="1564" t="s">
        <v>11638</v>
      </c>
      <c r="E30" s="1564" t="s">
        <v>11639</v>
      </c>
      <c r="F30" s="1564" t="s">
        <v>11640</v>
      </c>
      <c r="G30" s="825" t="s">
        <v>11641</v>
      </c>
      <c r="H30" s="1861" t="s">
        <v>11642</v>
      </c>
      <c r="I30" s="1867" t="s">
        <v>11643</v>
      </c>
      <c r="J30" s="1868" t="s">
        <v>11644</v>
      </c>
      <c r="K30" s="1564" t="s">
        <v>9956</v>
      </c>
      <c r="L30" s="1618"/>
    </row>
    <row r="31" ht="15.75" customHeight="1">
      <c r="A31" s="1625" t="s">
        <v>5275</v>
      </c>
      <c r="B31" s="1591" t="s">
        <v>8989</v>
      </c>
      <c r="C31" s="1881" t="s">
        <v>11645</v>
      </c>
      <c r="D31" s="1564" t="s">
        <v>11646</v>
      </c>
      <c r="E31" s="1564" t="s">
        <v>11647</v>
      </c>
      <c r="F31" s="1564" t="s">
        <v>11648</v>
      </c>
      <c r="G31" s="1871" t="s">
        <v>11649</v>
      </c>
      <c r="H31" s="1871" t="s">
        <v>11650</v>
      </c>
      <c r="I31" s="1871" t="s">
        <v>11651</v>
      </c>
      <c r="J31" s="1871" t="s">
        <v>11652</v>
      </c>
      <c r="K31" s="1564" t="s">
        <v>11653</v>
      </c>
      <c r="L31" s="1618" t="s">
        <v>11654</v>
      </c>
    </row>
    <row r="32" ht="15.75" customHeight="1">
      <c r="A32" s="1625" t="s">
        <v>4947</v>
      </c>
      <c r="B32" s="1591" t="s">
        <v>9016</v>
      </c>
      <c r="C32" s="1881" t="s">
        <v>11425</v>
      </c>
      <c r="D32" s="1564" t="s">
        <v>11655</v>
      </c>
      <c r="E32" s="1564" t="s">
        <v>11656</v>
      </c>
      <c r="F32" s="1564" t="s">
        <v>11657</v>
      </c>
      <c r="G32" s="825" t="s">
        <v>11658</v>
      </c>
      <c r="H32" s="1861" t="s">
        <v>11659</v>
      </c>
      <c r="I32" s="1867" t="s">
        <v>11660</v>
      </c>
      <c r="J32" s="1868" t="s">
        <v>11661</v>
      </c>
      <c r="K32" s="1564" t="s">
        <v>11010</v>
      </c>
      <c r="L32" s="1618" t="s">
        <v>11662</v>
      </c>
    </row>
    <row r="33" ht="15.75" customHeight="1">
      <c r="A33" s="954" t="s">
        <v>5794</v>
      </c>
      <c r="B33" s="1715" t="s">
        <v>11011</v>
      </c>
      <c r="C33" s="1887" t="s">
        <v>11663</v>
      </c>
      <c r="D33" s="1817" t="s">
        <v>11664</v>
      </c>
      <c r="E33" s="1817" t="s">
        <v>11665</v>
      </c>
      <c r="F33" s="1817" t="s">
        <v>11666</v>
      </c>
      <c r="G33" s="1888" t="s">
        <v>11667</v>
      </c>
      <c r="H33" s="1888" t="s">
        <v>11668</v>
      </c>
      <c r="I33" s="1888" t="s">
        <v>11669</v>
      </c>
      <c r="J33" s="1888" t="s">
        <v>11670</v>
      </c>
      <c r="K33" s="1817" t="s">
        <v>11671</v>
      </c>
      <c r="L33" s="1618" t="s">
        <v>11672</v>
      </c>
    </row>
    <row r="34" ht="15.75" customHeight="1">
      <c r="A34" s="1625" t="s">
        <v>6533</v>
      </c>
      <c r="B34" s="1715" t="s">
        <v>11011</v>
      </c>
      <c r="C34" s="1889" t="s">
        <v>11673</v>
      </c>
      <c r="D34" s="1804" t="s">
        <v>11674</v>
      </c>
      <c r="E34" s="1804" t="s">
        <v>11675</v>
      </c>
      <c r="F34" s="1804" t="s">
        <v>11676</v>
      </c>
      <c r="G34" s="1890" t="s">
        <v>11677</v>
      </c>
      <c r="K34" s="1804" t="s">
        <v>11087</v>
      </c>
      <c r="L34" s="1618" t="s">
        <v>11678</v>
      </c>
    </row>
    <row r="35" ht="15.75" customHeight="1">
      <c r="A35" s="1727"/>
      <c r="B35" s="1531"/>
      <c r="C35" s="1891"/>
      <c r="D35" s="1564"/>
      <c r="E35" s="1564"/>
      <c r="F35" s="1564"/>
      <c r="G35" s="1871"/>
      <c r="H35" s="1871"/>
      <c r="I35" s="1871"/>
      <c r="J35" s="1871"/>
      <c r="K35" s="1564"/>
      <c r="L35" s="1618"/>
    </row>
    <row r="36">
      <c r="A36" s="1781"/>
      <c r="B36" s="1782"/>
      <c r="C36" s="1891"/>
      <c r="D36" s="1564"/>
      <c r="E36" s="1564"/>
      <c r="F36" s="1564"/>
      <c r="G36" s="825"/>
      <c r="H36" s="1861"/>
      <c r="I36" s="1867"/>
      <c r="J36" s="1868"/>
      <c r="K36" s="1564"/>
      <c r="L36" s="1618"/>
    </row>
    <row r="37" ht="15.75" customHeight="1">
      <c r="A37" s="1625"/>
      <c r="B37" s="1684"/>
      <c r="C37" s="1891"/>
      <c r="D37" s="1564"/>
      <c r="E37" s="1564"/>
      <c r="F37" s="1564"/>
      <c r="G37" s="1871"/>
      <c r="H37" s="1871"/>
      <c r="I37" s="1871"/>
      <c r="J37" s="1871"/>
      <c r="K37" s="1564"/>
      <c r="L37" s="1618"/>
    </row>
    <row r="38" ht="15.75" customHeight="1">
      <c r="A38" s="954"/>
      <c r="B38" s="1622"/>
      <c r="C38" s="1891"/>
      <c r="D38" s="1564"/>
      <c r="E38" s="1564"/>
      <c r="F38" s="1564"/>
      <c r="G38" s="825"/>
      <c r="H38" s="1861"/>
      <c r="I38" s="1867"/>
      <c r="J38" s="1868"/>
      <c r="K38" s="1564"/>
      <c r="L38" s="1618"/>
    </row>
    <row r="39">
      <c r="A39" s="1815"/>
      <c r="B39" s="1795"/>
      <c r="C39" s="1891"/>
      <c r="D39" s="1564"/>
      <c r="E39" s="1564"/>
      <c r="F39" s="1564"/>
      <c r="G39" s="1871"/>
      <c r="H39" s="1871"/>
      <c r="I39" s="1871"/>
      <c r="J39" s="1871"/>
      <c r="K39" s="1564"/>
      <c r="L39" s="1618"/>
    </row>
    <row r="40" ht="15.75" customHeight="1">
      <c r="A40" s="1731"/>
      <c r="B40" s="1622"/>
      <c r="C40" s="1891"/>
      <c r="D40" s="1564"/>
      <c r="E40" s="1564"/>
      <c r="F40" s="1564"/>
      <c r="G40" s="825"/>
      <c r="H40" s="1861"/>
      <c r="I40" s="1867"/>
      <c r="J40" s="1868"/>
      <c r="K40" s="1564"/>
      <c r="L40" s="1618"/>
    </row>
    <row r="41">
      <c r="A41" s="1625"/>
      <c r="B41" s="1892"/>
      <c r="C41" s="1891"/>
      <c r="D41" s="1564"/>
      <c r="E41" s="1564"/>
      <c r="F41" s="1564"/>
      <c r="G41" s="1871"/>
      <c r="H41" s="1871"/>
      <c r="I41" s="1871"/>
      <c r="J41" s="1871"/>
      <c r="K41" s="1564"/>
      <c r="L41" s="1618"/>
    </row>
    <row r="42" ht="15.75" customHeight="1">
      <c r="A42" s="1727"/>
      <c r="B42" s="1622"/>
      <c r="C42" s="1891"/>
      <c r="D42" s="1564"/>
      <c r="E42" s="1564"/>
      <c r="F42" s="1564"/>
      <c r="G42" s="825"/>
      <c r="H42" s="1861"/>
      <c r="I42" s="1867"/>
      <c r="J42" s="1868"/>
      <c r="K42" s="1564"/>
      <c r="L42" s="1618"/>
    </row>
    <row r="43" ht="15.75" customHeight="1">
      <c r="A43" s="1731"/>
      <c r="B43" s="1531"/>
      <c r="C43" s="1891"/>
      <c r="D43" s="1564"/>
      <c r="E43" s="1564"/>
      <c r="F43" s="1564"/>
      <c r="G43" s="1871"/>
      <c r="H43" s="1871"/>
      <c r="I43" s="1871"/>
      <c r="J43" s="1871"/>
      <c r="K43" s="1564"/>
      <c r="L43" s="1618"/>
    </row>
    <row r="44">
      <c r="A44" s="1781"/>
      <c r="B44" s="1782"/>
      <c r="C44" s="1891"/>
      <c r="D44" s="1564"/>
      <c r="E44" s="1564"/>
      <c r="F44" s="1564"/>
      <c r="G44" s="825"/>
      <c r="H44" s="1861"/>
      <c r="I44" s="1867"/>
      <c r="J44" s="1868"/>
      <c r="K44" s="1564"/>
      <c r="L44" s="1618"/>
    </row>
    <row r="45" ht="15.75" customHeight="1">
      <c r="A45" s="1731"/>
      <c r="B45" s="1531"/>
      <c r="C45" s="1891"/>
      <c r="D45" s="1564"/>
      <c r="E45" s="1564"/>
      <c r="F45" s="1564"/>
      <c r="G45" s="1871"/>
      <c r="H45" s="1871"/>
      <c r="I45" s="1871"/>
      <c r="J45" s="1871"/>
      <c r="K45" s="1564"/>
      <c r="L45" s="1618"/>
    </row>
    <row r="46" ht="15.75" customHeight="1">
      <c r="A46" s="1727"/>
      <c r="B46" s="1531"/>
      <c r="C46" s="1891"/>
      <c r="D46" s="1564"/>
      <c r="E46" s="1564"/>
      <c r="F46" s="1564"/>
      <c r="G46" s="825"/>
      <c r="H46" s="1861"/>
      <c r="I46" s="1867"/>
      <c r="J46" s="1868"/>
      <c r="K46" s="1564"/>
      <c r="L46" s="1618"/>
    </row>
    <row r="47" ht="15.75" customHeight="1">
      <c r="A47" s="1731"/>
      <c r="B47" s="1622"/>
      <c r="C47" s="1891"/>
      <c r="D47" s="1564"/>
      <c r="E47" s="1564"/>
      <c r="F47" s="1564"/>
      <c r="G47" s="1871"/>
      <c r="H47" s="1871"/>
      <c r="I47" s="1871"/>
      <c r="J47" s="1871"/>
      <c r="K47" s="1564"/>
      <c r="L47" s="1618"/>
    </row>
    <row r="48" ht="15.0" customHeight="1">
      <c r="A48" s="1727"/>
      <c r="B48" s="1622"/>
      <c r="C48" s="1891"/>
      <c r="D48" s="1564"/>
      <c r="E48" s="1564"/>
      <c r="F48" s="1564"/>
      <c r="G48" s="825"/>
      <c r="H48" s="1861"/>
      <c r="I48" s="1867"/>
      <c r="J48" s="1868"/>
      <c r="K48" s="1564"/>
      <c r="L48" s="1618"/>
    </row>
    <row r="49" ht="15.75" customHeight="1">
      <c r="A49" s="1625"/>
      <c r="B49" s="1591"/>
      <c r="C49" s="1891"/>
      <c r="D49" s="1564"/>
      <c r="E49" s="1564"/>
      <c r="F49" s="1564"/>
      <c r="G49" s="1871"/>
      <c r="H49" s="1871"/>
      <c r="I49" s="1871"/>
      <c r="J49" s="1871"/>
      <c r="K49" s="1564"/>
      <c r="L49" s="1618"/>
    </row>
    <row r="50" ht="15.75" customHeight="1">
      <c r="A50" s="1731"/>
      <c r="B50" s="1684"/>
      <c r="C50" s="1891"/>
      <c r="D50" s="1564"/>
      <c r="E50" s="1564"/>
      <c r="F50" s="1564"/>
      <c r="G50" s="825"/>
      <c r="H50" s="1861"/>
      <c r="I50" s="1867"/>
      <c r="J50" s="1868"/>
      <c r="K50" s="1564"/>
      <c r="L50" s="1618"/>
    </row>
    <row r="51">
      <c r="A51" s="1815"/>
      <c r="B51" s="1795"/>
      <c r="C51" s="1891"/>
      <c r="D51" s="1564"/>
      <c r="E51" s="1564"/>
      <c r="F51" s="1564"/>
      <c r="G51" s="1871"/>
      <c r="H51" s="1871"/>
      <c r="I51" s="1871"/>
      <c r="J51" s="1871"/>
      <c r="K51" s="1564"/>
      <c r="L51" s="1618"/>
    </row>
    <row r="52" ht="15.75" customHeight="1">
      <c r="A52" s="1727"/>
      <c r="B52" s="1531"/>
      <c r="C52" s="1891"/>
      <c r="D52" s="1564"/>
      <c r="E52" s="1564"/>
      <c r="F52" s="1564"/>
      <c r="G52" s="825"/>
      <c r="H52" s="1861"/>
      <c r="I52" s="1867"/>
      <c r="J52" s="1868"/>
      <c r="K52" s="1564"/>
      <c r="L52" s="1618"/>
    </row>
    <row r="53" ht="15.75" customHeight="1">
      <c r="A53" s="1731"/>
      <c r="B53" s="1531"/>
      <c r="C53" s="1891"/>
      <c r="D53" s="1564"/>
      <c r="E53" s="1564"/>
      <c r="F53" s="1564"/>
      <c r="G53" s="1871"/>
      <c r="H53" s="1871"/>
      <c r="I53" s="1871"/>
      <c r="J53" s="1871"/>
      <c r="K53" s="1564"/>
      <c r="L53" s="1618"/>
    </row>
    <row r="54" ht="15.75" customHeight="1">
      <c r="A54" s="1781"/>
      <c r="B54" s="1782"/>
      <c r="C54" s="1891"/>
      <c r="D54" s="1564"/>
      <c r="E54" s="1564"/>
      <c r="F54" s="1564"/>
      <c r="G54" s="825"/>
      <c r="H54" s="1861"/>
      <c r="I54" s="1867"/>
      <c r="J54" s="1868"/>
      <c r="K54" s="1564"/>
      <c r="L54" s="1618"/>
    </row>
    <row r="55" ht="15.75" customHeight="1">
      <c r="A55" s="1727"/>
      <c r="B55" s="1622"/>
      <c r="C55" s="1891"/>
      <c r="D55" s="1564"/>
      <c r="E55" s="1564"/>
      <c r="F55" s="1564"/>
      <c r="G55" s="1871"/>
      <c r="H55" s="1871"/>
      <c r="I55" s="1871"/>
      <c r="J55" s="1871"/>
      <c r="K55" s="1564"/>
      <c r="L55" s="1618"/>
    </row>
    <row r="56" ht="15.75" customHeight="1">
      <c r="A56" s="1731"/>
      <c r="B56" s="1684"/>
      <c r="C56" s="1891"/>
      <c r="D56" s="1564"/>
      <c r="E56" s="1564"/>
      <c r="F56" s="1564"/>
      <c r="G56" s="825"/>
      <c r="H56" s="1861"/>
      <c r="I56" s="1867"/>
      <c r="J56" s="1868"/>
      <c r="K56" s="1564"/>
      <c r="L56" s="1618"/>
    </row>
    <row r="57" ht="15.75" customHeight="1">
      <c r="A57" s="1781"/>
      <c r="B57" s="1591"/>
      <c r="C57" s="1891"/>
      <c r="D57" s="1564"/>
      <c r="E57" s="1564"/>
      <c r="F57" s="1564"/>
      <c r="G57" s="1871"/>
      <c r="H57" s="1871"/>
      <c r="I57" s="1871"/>
      <c r="J57" s="1871"/>
      <c r="K57" s="1564"/>
      <c r="L57" s="1618"/>
    </row>
    <row r="58" ht="15.75" customHeight="1">
      <c r="A58" s="1625"/>
      <c r="B58" s="1680"/>
      <c r="C58" s="1891"/>
      <c r="D58" s="1564"/>
      <c r="E58" s="1564"/>
      <c r="F58" s="1564"/>
      <c r="G58" s="825"/>
      <c r="H58" s="1861"/>
      <c r="I58" s="1867"/>
      <c r="J58" s="1868"/>
      <c r="K58" s="1564"/>
      <c r="L58" s="1618"/>
    </row>
    <row r="59" ht="15.75" customHeight="1">
      <c r="A59" s="1781"/>
      <c r="B59" s="1782"/>
      <c r="C59" s="1891"/>
      <c r="D59" s="1564"/>
      <c r="E59" s="1564"/>
      <c r="F59" s="1564"/>
      <c r="G59" s="1871"/>
      <c r="H59" s="1871"/>
      <c r="I59" s="1871"/>
      <c r="J59" s="1871"/>
      <c r="K59" s="1564"/>
      <c r="L59" s="1618"/>
    </row>
    <row r="60" ht="15.75" customHeight="1">
      <c r="A60" s="1731"/>
      <c r="B60" s="1684"/>
      <c r="C60" s="1891"/>
      <c r="D60" s="1564"/>
      <c r="E60" s="1564"/>
      <c r="F60" s="1564"/>
      <c r="G60" s="825"/>
      <c r="H60" s="1861"/>
      <c r="I60" s="1867"/>
      <c r="J60" s="1868"/>
      <c r="K60" s="1564"/>
      <c r="L60" s="1618"/>
    </row>
    <row r="61" ht="16.5" customHeight="1">
      <c r="A61" s="1727"/>
      <c r="B61" s="1684"/>
      <c r="C61" s="1891"/>
      <c r="D61" s="1564"/>
      <c r="E61" s="1564"/>
      <c r="F61" s="1564"/>
      <c r="G61" s="1871"/>
      <c r="H61" s="1871"/>
      <c r="I61" s="1871"/>
      <c r="J61" s="1871"/>
      <c r="K61" s="1564"/>
      <c r="L61" s="1618"/>
    </row>
    <row r="62">
      <c r="A62" s="1781"/>
      <c r="B62" s="1782"/>
      <c r="C62" s="1564"/>
      <c r="D62" s="1564"/>
      <c r="E62" s="1564"/>
      <c r="F62" s="1564"/>
      <c r="G62" s="825"/>
      <c r="H62" s="1861"/>
      <c r="I62" s="1867"/>
      <c r="J62" s="1868"/>
      <c r="K62" s="1564"/>
      <c r="L62" s="1618"/>
    </row>
    <row r="63" ht="17.25" customHeight="1">
      <c r="A63" s="954"/>
      <c r="B63" s="1680"/>
      <c r="C63" s="1564"/>
      <c r="D63" s="1564"/>
      <c r="E63" s="1564"/>
      <c r="F63" s="1564"/>
      <c r="G63" s="1871"/>
      <c r="H63" s="1871"/>
      <c r="I63" s="1871"/>
      <c r="J63" s="1871"/>
      <c r="K63" s="1564"/>
      <c r="L63" s="1618"/>
    </row>
    <row r="64">
      <c r="A64" s="1815"/>
      <c r="B64" s="1672"/>
      <c r="C64" s="1564"/>
      <c r="D64" s="1564"/>
      <c r="E64" s="1564"/>
      <c r="F64" s="1564"/>
      <c r="G64" s="825"/>
      <c r="H64" s="1861"/>
      <c r="I64" s="1867"/>
      <c r="J64" s="1868"/>
      <c r="K64" s="1564"/>
      <c r="L64" s="1618"/>
    </row>
    <row r="65">
      <c r="A65" s="1781"/>
      <c r="B65" s="1782"/>
      <c r="C65" s="1564"/>
      <c r="D65" s="1564"/>
      <c r="E65" s="1564"/>
      <c r="F65" s="1564"/>
      <c r="G65" s="1871"/>
      <c r="H65" s="1871"/>
      <c r="I65" s="1871"/>
      <c r="J65" s="1871"/>
      <c r="K65" s="1564"/>
      <c r="L65" s="1618"/>
    </row>
    <row r="66">
      <c r="A66" s="1731"/>
      <c r="B66" s="1622"/>
      <c r="C66" s="1564"/>
      <c r="D66" s="1564"/>
      <c r="E66" s="1564"/>
      <c r="F66" s="1564"/>
      <c r="G66" s="825"/>
      <c r="H66" s="1861"/>
      <c r="I66" s="1867"/>
      <c r="J66" s="1868"/>
      <c r="K66" s="1564"/>
      <c r="L66" s="1618"/>
    </row>
    <row r="67">
      <c r="A67" s="1625"/>
      <c r="B67" s="1672"/>
      <c r="C67" s="1564"/>
      <c r="D67" s="1564"/>
      <c r="E67" s="1564"/>
      <c r="F67" s="1564"/>
      <c r="G67" s="1871"/>
      <c r="H67" s="1871"/>
      <c r="I67" s="1871"/>
      <c r="J67" s="1871"/>
      <c r="K67" s="1564"/>
      <c r="L67" s="1618"/>
    </row>
    <row r="68" ht="17.25" customHeight="1">
      <c r="A68" s="1815"/>
      <c r="B68" s="1622"/>
      <c r="C68" s="1564"/>
      <c r="D68" s="1564"/>
      <c r="E68" s="1564"/>
      <c r="F68" s="1564"/>
      <c r="G68" s="825"/>
      <c r="H68" s="1861"/>
      <c r="I68" s="1867"/>
      <c r="J68" s="1868"/>
      <c r="K68" s="1564"/>
      <c r="L68" s="1618"/>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11679</v>
      </c>
      <c r="C1" s="1901" t="s">
        <v>43</v>
      </c>
      <c r="D1" s="1902" t="s">
        <v>11680</v>
      </c>
      <c r="E1" s="1901" t="s">
        <v>11681</v>
      </c>
      <c r="F1" s="1903" t="s">
        <v>11682</v>
      </c>
    </row>
    <row r="2">
      <c r="A2" s="1904"/>
      <c r="B2" s="1905"/>
      <c r="C2" s="1905"/>
      <c r="D2" s="1905"/>
      <c r="E2" s="1905"/>
      <c r="F2" s="1905"/>
    </row>
    <row r="3">
      <c r="A3" s="1904"/>
      <c r="B3" s="1905"/>
      <c r="C3" s="1905"/>
      <c r="D3" s="1905"/>
      <c r="E3" s="1905"/>
      <c r="F3" s="1905"/>
    </row>
    <row r="4">
      <c r="A4" s="1906" t="s">
        <v>11683</v>
      </c>
      <c r="B4" s="1907" t="s">
        <v>11684</v>
      </c>
      <c r="C4" s="1908"/>
      <c r="D4" s="1908"/>
      <c r="E4" s="1908"/>
      <c r="F4" s="1909"/>
    </row>
    <row r="5">
      <c r="A5" s="1905"/>
      <c r="B5" s="1910"/>
      <c r="C5" s="1911"/>
      <c r="D5" s="1911"/>
      <c r="E5" s="1911"/>
      <c r="F5" s="1912"/>
    </row>
    <row r="6">
      <c r="A6" s="1913" t="s">
        <v>11684</v>
      </c>
      <c r="B6" s="1914" t="s">
        <v>11685</v>
      </c>
      <c r="C6" s="1915" t="s">
        <v>4342</v>
      </c>
      <c r="D6" s="1916" t="s">
        <v>11686</v>
      </c>
      <c r="E6" s="1915" t="s">
        <v>11687</v>
      </c>
      <c r="F6" s="1917">
        <v>44233.0</v>
      </c>
    </row>
    <row r="7">
      <c r="A7" s="1913" t="s">
        <v>11688</v>
      </c>
      <c r="B7" s="1918" t="s">
        <v>11689</v>
      </c>
      <c r="C7" s="1915" t="s">
        <v>897</v>
      </c>
      <c r="D7" s="1916" t="s">
        <v>11690</v>
      </c>
      <c r="E7" s="1915" t="s">
        <v>11687</v>
      </c>
      <c r="F7" s="1917">
        <v>43878.0</v>
      </c>
    </row>
    <row r="8">
      <c r="A8" s="1913" t="s">
        <v>11691</v>
      </c>
      <c r="B8" s="1919" t="s">
        <v>11692</v>
      </c>
      <c r="C8" s="1915" t="s">
        <v>330</v>
      </c>
      <c r="D8" s="1916" t="s">
        <v>11693</v>
      </c>
      <c r="E8" s="1915" t="s">
        <v>11687</v>
      </c>
      <c r="F8" s="1917">
        <v>43879.0</v>
      </c>
    </row>
    <row r="9">
      <c r="A9" s="1913" t="s">
        <v>11694</v>
      </c>
      <c r="B9" s="1920" t="s">
        <v>11695</v>
      </c>
      <c r="C9" s="1915" t="s">
        <v>4048</v>
      </c>
      <c r="D9" s="1916" t="s">
        <v>11696</v>
      </c>
      <c r="E9" s="1915" t="s">
        <v>11697</v>
      </c>
      <c r="F9" s="1917">
        <v>44084.0</v>
      </c>
    </row>
    <row r="10">
      <c r="A10" s="1913" t="s">
        <v>11698</v>
      </c>
      <c r="B10" s="1920" t="s">
        <v>11699</v>
      </c>
      <c r="C10" s="1921"/>
      <c r="D10" s="1922"/>
      <c r="E10" s="1921"/>
      <c r="F10" s="1921"/>
    </row>
    <row r="11">
      <c r="A11" s="1913" t="s">
        <v>11700</v>
      </c>
      <c r="B11" s="1907" t="s">
        <v>11688</v>
      </c>
      <c r="C11" s="1908"/>
      <c r="D11" s="1908"/>
      <c r="E11" s="1908"/>
      <c r="F11" s="1909"/>
    </row>
    <row r="12">
      <c r="A12" s="1913" t="s">
        <v>11701</v>
      </c>
      <c r="B12" s="1910"/>
      <c r="C12" s="1911"/>
      <c r="D12" s="1911"/>
      <c r="E12" s="1911"/>
      <c r="F12" s="1912"/>
    </row>
    <row r="13">
      <c r="A13" s="1913" t="s">
        <v>11702</v>
      </c>
      <c r="B13" s="1914" t="s">
        <v>11685</v>
      </c>
      <c r="C13" s="1915" t="s">
        <v>4342</v>
      </c>
      <c r="D13" s="1916" t="s">
        <v>11703</v>
      </c>
      <c r="E13" s="1915" t="s">
        <v>11687</v>
      </c>
      <c r="F13" s="1917">
        <v>44250.0</v>
      </c>
    </row>
    <row r="14" ht="15.75" customHeight="1">
      <c r="A14" s="1913" t="s">
        <v>11704</v>
      </c>
      <c r="B14" s="1918" t="s">
        <v>11689</v>
      </c>
      <c r="C14" s="1915" t="s">
        <v>4258</v>
      </c>
      <c r="D14" s="1916" t="s">
        <v>11705</v>
      </c>
      <c r="E14" s="1915" t="s">
        <v>11687</v>
      </c>
      <c r="F14" s="1917">
        <v>43364.0</v>
      </c>
    </row>
    <row r="15">
      <c r="A15" s="1913" t="s">
        <v>11706</v>
      </c>
      <c r="B15" s="1919" t="s">
        <v>11692</v>
      </c>
      <c r="C15" s="1915" t="s">
        <v>11707</v>
      </c>
      <c r="D15" s="1916" t="s">
        <v>11708</v>
      </c>
      <c r="E15" s="1915" t="s">
        <v>11697</v>
      </c>
      <c r="F15" s="1917">
        <v>43757.0</v>
      </c>
    </row>
    <row r="16">
      <c r="A16" s="1913" t="s">
        <v>11709</v>
      </c>
      <c r="B16" s="1920" t="s">
        <v>11695</v>
      </c>
      <c r="C16" s="1915" t="s">
        <v>11710</v>
      </c>
      <c r="D16" s="1916" t="s">
        <v>11711</v>
      </c>
      <c r="E16" s="1915" t="s">
        <v>11697</v>
      </c>
      <c r="F16" s="1917">
        <v>43438.0</v>
      </c>
    </row>
    <row r="17">
      <c r="A17" s="1913" t="s">
        <v>11712</v>
      </c>
      <c r="B17" s="1920" t="s">
        <v>11699</v>
      </c>
      <c r="C17" s="1921"/>
      <c r="D17" s="1922"/>
      <c r="E17" s="1921"/>
      <c r="F17" s="1921"/>
    </row>
    <row r="18">
      <c r="A18" s="1913" t="s">
        <v>11713</v>
      </c>
      <c r="B18" s="1923" t="s">
        <v>11691</v>
      </c>
      <c r="C18" s="1908"/>
      <c r="D18" s="1908"/>
      <c r="E18" s="1908"/>
      <c r="F18" s="1909"/>
    </row>
    <row r="19">
      <c r="A19" s="1913" t="s">
        <v>11714</v>
      </c>
      <c r="B19" s="1911"/>
      <c r="C19" s="1911"/>
      <c r="D19" s="1911"/>
      <c r="E19" s="1911"/>
      <c r="F19" s="1912"/>
    </row>
    <row r="20">
      <c r="A20" s="1924"/>
      <c r="B20" s="1914" t="s">
        <v>11685</v>
      </c>
      <c r="C20" s="1915" t="s">
        <v>11715</v>
      </c>
      <c r="D20" s="1916" t="s">
        <v>11716</v>
      </c>
      <c r="E20" s="1915" t="s">
        <v>11687</v>
      </c>
      <c r="F20" s="1917">
        <v>44021.0</v>
      </c>
    </row>
    <row r="21">
      <c r="A21" s="1924"/>
      <c r="B21" s="1918" t="s">
        <v>11689</v>
      </c>
      <c r="C21" s="1915" t="s">
        <v>5306</v>
      </c>
      <c r="D21" s="1916" t="s">
        <v>11717</v>
      </c>
      <c r="E21" s="1915" t="s">
        <v>11697</v>
      </c>
      <c r="F21" s="1917">
        <v>44022.0</v>
      </c>
    </row>
    <row r="22">
      <c r="A22" s="1925"/>
      <c r="B22" s="1919" t="s">
        <v>11692</v>
      </c>
      <c r="C22" s="1915" t="s">
        <v>11718</v>
      </c>
      <c r="D22" s="1916" t="s">
        <v>11719</v>
      </c>
      <c r="E22" s="1915" t="s">
        <v>11720</v>
      </c>
      <c r="F22" s="1917">
        <v>43884.0</v>
      </c>
    </row>
    <row r="23">
      <c r="A23" s="1925"/>
      <c r="B23" s="1920" t="s">
        <v>11695</v>
      </c>
      <c r="C23" s="1915" t="s">
        <v>5275</v>
      </c>
      <c r="D23" s="1916" t="s">
        <v>11721</v>
      </c>
      <c r="E23" s="1915" t="s">
        <v>11687</v>
      </c>
      <c r="F23" s="1917">
        <v>43892.0</v>
      </c>
    </row>
    <row r="24">
      <c r="A24" s="1925"/>
      <c r="B24" s="1920" t="s">
        <v>11699</v>
      </c>
      <c r="C24" s="1921"/>
      <c r="D24" s="1922"/>
      <c r="E24" s="1921"/>
      <c r="F24" s="1921"/>
    </row>
    <row r="25">
      <c r="A25" s="1925"/>
      <c r="B25" s="1907" t="s">
        <v>11694</v>
      </c>
      <c r="C25" s="1908"/>
      <c r="D25" s="1908"/>
      <c r="E25" s="1908"/>
      <c r="F25" s="1909"/>
    </row>
    <row r="26">
      <c r="A26" s="1925"/>
      <c r="B26" s="1910"/>
      <c r="C26" s="1911"/>
      <c r="D26" s="1911"/>
      <c r="E26" s="1911"/>
      <c r="F26" s="1912"/>
    </row>
    <row r="27">
      <c r="A27" s="1925"/>
      <c r="B27" s="1926" t="s">
        <v>11722</v>
      </c>
      <c r="C27" s="1908"/>
      <c r="D27" s="1908"/>
      <c r="E27" s="1908"/>
      <c r="F27" s="1909"/>
    </row>
    <row r="28">
      <c r="A28" s="1925"/>
      <c r="B28" s="1910"/>
      <c r="C28" s="1911"/>
      <c r="D28" s="1911"/>
      <c r="E28" s="1911"/>
      <c r="F28" s="1912"/>
    </row>
    <row r="29">
      <c r="A29" s="1925"/>
      <c r="B29" s="1914" t="s">
        <v>11685</v>
      </c>
      <c r="C29" s="1927" t="s">
        <v>435</v>
      </c>
      <c r="D29" s="1916" t="s">
        <v>11723</v>
      </c>
      <c r="E29" s="1915" t="s">
        <v>11687</v>
      </c>
      <c r="F29" s="1917">
        <v>43659.0</v>
      </c>
    </row>
    <row r="30">
      <c r="A30" s="1925"/>
      <c r="B30" s="1918" t="s">
        <v>11689</v>
      </c>
      <c r="C30" s="1915" t="s">
        <v>1722</v>
      </c>
      <c r="D30" s="1916" t="s">
        <v>11724</v>
      </c>
      <c r="E30" s="1915" t="s">
        <v>11687</v>
      </c>
      <c r="F30" s="1917">
        <v>43228.0</v>
      </c>
    </row>
    <row r="31">
      <c r="A31" s="1925"/>
      <c r="B31" s="1919" t="s">
        <v>11692</v>
      </c>
      <c r="C31" s="1921"/>
      <c r="D31" s="1928"/>
      <c r="E31" s="1921"/>
      <c r="F31" s="1921"/>
    </row>
    <row r="32">
      <c r="A32" s="1925"/>
      <c r="B32" s="1920" t="s">
        <v>11695</v>
      </c>
      <c r="C32" s="1921"/>
      <c r="D32" s="1928"/>
      <c r="E32" s="1921"/>
      <c r="F32" s="1921"/>
    </row>
    <row r="33">
      <c r="A33" s="1925"/>
      <c r="B33" s="1920" t="s">
        <v>11699</v>
      </c>
      <c r="C33" s="1921"/>
      <c r="D33" s="1928"/>
      <c r="E33" s="1921"/>
      <c r="F33" s="1921"/>
    </row>
    <row r="34">
      <c r="A34" s="1925"/>
      <c r="B34" s="1926" t="s">
        <v>11725</v>
      </c>
      <c r="C34" s="1908"/>
      <c r="D34" s="1908"/>
      <c r="E34" s="1908"/>
      <c r="F34" s="1909"/>
    </row>
    <row r="35">
      <c r="A35" s="1925"/>
      <c r="B35" s="1910"/>
      <c r="C35" s="1911"/>
      <c r="D35" s="1911"/>
      <c r="E35" s="1911"/>
      <c r="F35" s="1912"/>
    </row>
    <row r="36">
      <c r="A36" s="1925"/>
      <c r="B36" s="1914" t="s">
        <v>11685</v>
      </c>
      <c r="C36" s="1915" t="s">
        <v>1722</v>
      </c>
      <c r="D36" s="1916" t="s">
        <v>11726</v>
      </c>
      <c r="E36" s="1915" t="s">
        <v>11687</v>
      </c>
      <c r="F36" s="1917">
        <v>43352.0</v>
      </c>
    </row>
    <row r="37">
      <c r="A37" s="1925"/>
      <c r="B37" s="1918" t="s">
        <v>11689</v>
      </c>
      <c r="C37" s="1915" t="s">
        <v>11727</v>
      </c>
      <c r="D37" s="1916" t="s">
        <v>11728</v>
      </c>
      <c r="E37" s="1915" t="s">
        <v>11687</v>
      </c>
      <c r="F37" s="1917">
        <v>43799.0</v>
      </c>
    </row>
    <row r="38">
      <c r="A38" s="1925"/>
      <c r="B38" s="1919" t="s">
        <v>11692</v>
      </c>
      <c r="C38" s="1921"/>
      <c r="D38" s="1922"/>
      <c r="E38" s="1921"/>
      <c r="F38" s="1921"/>
    </row>
    <row r="39">
      <c r="A39" s="1925"/>
      <c r="B39" s="1920" t="s">
        <v>11695</v>
      </c>
      <c r="C39" s="1921"/>
      <c r="D39" s="1922"/>
      <c r="E39" s="1921"/>
      <c r="F39" s="1921"/>
    </row>
    <row r="40">
      <c r="A40" s="1925"/>
      <c r="B40" s="1920" t="s">
        <v>11699</v>
      </c>
      <c r="C40" s="1921"/>
      <c r="D40" s="1922"/>
      <c r="E40" s="1921"/>
      <c r="F40" s="1921"/>
    </row>
    <row r="41">
      <c r="A41" s="1925"/>
      <c r="B41" s="1907" t="s">
        <v>11698</v>
      </c>
      <c r="C41" s="1908"/>
      <c r="D41" s="1908"/>
      <c r="E41" s="1908"/>
      <c r="F41" s="1909"/>
    </row>
    <row r="42">
      <c r="A42" s="1925"/>
      <c r="B42" s="1910"/>
      <c r="C42" s="1911"/>
      <c r="D42" s="1911"/>
      <c r="E42" s="1911"/>
      <c r="F42" s="1912"/>
    </row>
    <row r="43">
      <c r="A43" s="1925"/>
      <c r="B43" s="1914" t="s">
        <v>11685</v>
      </c>
      <c r="C43" s="1915" t="s">
        <v>6687</v>
      </c>
      <c r="D43" s="1929" t="s">
        <v>11729</v>
      </c>
      <c r="E43" s="1915" t="s">
        <v>11687</v>
      </c>
      <c r="F43" s="1930">
        <v>44511.0</v>
      </c>
    </row>
    <row r="44">
      <c r="A44" s="1925"/>
      <c r="B44" s="1918" t="s">
        <v>11689</v>
      </c>
      <c r="C44" s="1915" t="s">
        <v>11727</v>
      </c>
      <c r="D44" s="1929" t="s">
        <v>11730</v>
      </c>
      <c r="E44" s="1915" t="s">
        <v>11687</v>
      </c>
      <c r="F44" s="1930">
        <v>43740.0</v>
      </c>
    </row>
    <row r="45">
      <c r="A45" s="1925"/>
      <c r="B45" s="1919" t="s">
        <v>11692</v>
      </c>
      <c r="C45" s="1915" t="s">
        <v>10701</v>
      </c>
      <c r="D45" s="1929" t="s">
        <v>11731</v>
      </c>
      <c r="E45" s="1915" t="s">
        <v>11687</v>
      </c>
      <c r="F45" s="1930">
        <v>42098.0</v>
      </c>
    </row>
    <row r="46">
      <c r="A46" s="1925"/>
      <c r="B46" s="1920" t="s">
        <v>11695</v>
      </c>
      <c r="C46" s="1915"/>
      <c r="D46" s="1929"/>
      <c r="E46" s="1915"/>
      <c r="F46" s="1930"/>
    </row>
    <row r="47">
      <c r="A47" s="1925"/>
      <c r="B47" s="1920" t="s">
        <v>11699</v>
      </c>
      <c r="C47" s="1921"/>
      <c r="D47" s="1931"/>
      <c r="E47" s="1921"/>
      <c r="F47" s="1925"/>
    </row>
    <row r="48">
      <c r="A48" s="1925"/>
      <c r="B48" s="1907" t="s">
        <v>11700</v>
      </c>
      <c r="C48" s="1908"/>
      <c r="D48" s="1908"/>
      <c r="E48" s="1908"/>
      <c r="F48" s="1909"/>
    </row>
    <row r="49">
      <c r="A49" s="1925"/>
      <c r="B49" s="1910"/>
      <c r="C49" s="1911"/>
      <c r="D49" s="1911"/>
      <c r="E49" s="1911"/>
      <c r="F49" s="1912"/>
    </row>
    <row r="50">
      <c r="A50" s="1925"/>
      <c r="B50" s="1914" t="s">
        <v>11685</v>
      </c>
      <c r="C50" s="1915" t="s">
        <v>11732</v>
      </c>
      <c r="D50" s="1929" t="s">
        <v>11733</v>
      </c>
      <c r="E50" s="1915" t="s">
        <v>11734</v>
      </c>
      <c r="F50" s="1930">
        <v>43395.0</v>
      </c>
    </row>
    <row r="51">
      <c r="A51" s="1925"/>
      <c r="B51" s="1918" t="s">
        <v>11689</v>
      </c>
      <c r="C51" s="1915" t="s">
        <v>2264</v>
      </c>
      <c r="D51" s="1929" t="s">
        <v>11735</v>
      </c>
      <c r="E51" s="1915" t="s">
        <v>11697</v>
      </c>
      <c r="F51" s="1930">
        <v>43376.0</v>
      </c>
    </row>
    <row r="52">
      <c r="A52" s="1925"/>
      <c r="B52" s="1919" t="s">
        <v>11692</v>
      </c>
      <c r="C52" s="1921"/>
      <c r="D52" s="1931"/>
      <c r="E52" s="1921"/>
      <c r="F52" s="1925"/>
    </row>
    <row r="53">
      <c r="A53" s="1925"/>
      <c r="B53" s="1920" t="s">
        <v>11695</v>
      </c>
      <c r="C53" s="1921"/>
      <c r="D53" s="1931"/>
      <c r="E53" s="1921"/>
      <c r="F53" s="1925"/>
    </row>
    <row r="54">
      <c r="A54" s="1925"/>
      <c r="B54" s="1920" t="s">
        <v>11699</v>
      </c>
      <c r="C54" s="1921"/>
      <c r="D54" s="1931"/>
      <c r="E54" s="1921"/>
      <c r="F54" s="1925"/>
    </row>
    <row r="55">
      <c r="A55" s="1925"/>
      <c r="B55" s="1907" t="s">
        <v>11701</v>
      </c>
      <c r="C55" s="1908"/>
      <c r="D55" s="1908"/>
      <c r="E55" s="1908"/>
      <c r="F55" s="1909"/>
    </row>
    <row r="56">
      <c r="A56" s="1925"/>
      <c r="B56" s="1910"/>
      <c r="C56" s="1911"/>
      <c r="D56" s="1911"/>
      <c r="E56" s="1911"/>
      <c r="F56" s="1912"/>
    </row>
    <row r="57">
      <c r="A57" s="1925"/>
      <c r="B57" s="1932" t="s">
        <v>11736</v>
      </c>
      <c r="C57" s="1908"/>
      <c r="D57" s="1908"/>
      <c r="E57" s="1908"/>
      <c r="F57" s="1909"/>
    </row>
    <row r="58">
      <c r="A58" s="1925"/>
      <c r="B58" s="1910"/>
      <c r="C58" s="1911"/>
      <c r="D58" s="1911"/>
      <c r="E58" s="1911"/>
      <c r="F58" s="1912"/>
    </row>
    <row r="59">
      <c r="A59" s="1925"/>
      <c r="B59" s="1914" t="s">
        <v>11685</v>
      </c>
      <c r="C59" s="1933" t="s">
        <v>435</v>
      </c>
      <c r="D59" s="1929" t="s">
        <v>11737</v>
      </c>
      <c r="E59" s="1915" t="s">
        <v>11687</v>
      </c>
      <c r="F59" s="1930">
        <v>43758.0</v>
      </c>
    </row>
    <row r="60">
      <c r="A60" s="1925"/>
      <c r="B60" s="1918" t="s">
        <v>11689</v>
      </c>
      <c r="C60" s="1921"/>
      <c r="D60" s="1931"/>
      <c r="E60" s="1921"/>
      <c r="F60" s="1925"/>
    </row>
    <row r="61">
      <c r="A61" s="1925"/>
      <c r="B61" s="1919" t="s">
        <v>11692</v>
      </c>
      <c r="C61" s="1921"/>
      <c r="D61" s="1931"/>
      <c r="E61" s="1921"/>
      <c r="F61" s="1925"/>
    </row>
    <row r="62">
      <c r="A62" s="1925"/>
      <c r="B62" s="1920" t="s">
        <v>11695</v>
      </c>
      <c r="C62" s="1921"/>
      <c r="D62" s="1931"/>
      <c r="E62" s="1921"/>
      <c r="F62" s="1925"/>
    </row>
    <row r="63">
      <c r="A63" s="1925"/>
      <c r="B63" s="1920" t="s">
        <v>11699</v>
      </c>
      <c r="C63" s="1921"/>
      <c r="D63" s="1931"/>
      <c r="E63" s="1921"/>
      <c r="F63" s="1925"/>
    </row>
    <row r="64">
      <c r="A64" s="1925"/>
      <c r="B64" s="1932" t="s">
        <v>11725</v>
      </c>
      <c r="C64" s="1908"/>
      <c r="D64" s="1908"/>
      <c r="E64" s="1908"/>
      <c r="F64" s="1909"/>
    </row>
    <row r="65">
      <c r="A65" s="1925"/>
      <c r="B65" s="1910"/>
      <c r="C65" s="1911"/>
      <c r="D65" s="1911"/>
      <c r="E65" s="1911"/>
      <c r="F65" s="1912"/>
    </row>
    <row r="66">
      <c r="A66" s="1925"/>
      <c r="B66" s="1914" t="s">
        <v>11685</v>
      </c>
      <c r="C66" s="1915" t="s">
        <v>11738</v>
      </c>
      <c r="D66" s="1934" t="s">
        <v>11739</v>
      </c>
      <c r="E66" s="1915" t="s">
        <v>11687</v>
      </c>
      <c r="F66" s="1930">
        <v>44805.0</v>
      </c>
    </row>
    <row r="67">
      <c r="A67" s="1925"/>
      <c r="B67" s="1918" t="s">
        <v>11689</v>
      </c>
      <c r="C67" s="1915" t="s">
        <v>11740</v>
      </c>
      <c r="D67" s="1929" t="s">
        <v>11741</v>
      </c>
      <c r="E67" s="1915" t="s">
        <v>11687</v>
      </c>
      <c r="F67" s="1930">
        <v>43307.0</v>
      </c>
    </row>
    <row r="68">
      <c r="A68" s="1925"/>
      <c r="B68" s="1919" t="s">
        <v>11692</v>
      </c>
      <c r="C68" s="1921"/>
      <c r="D68" s="1931"/>
      <c r="E68" s="1921"/>
      <c r="F68" s="1925"/>
    </row>
    <row r="69">
      <c r="A69" s="1925"/>
      <c r="B69" s="1920" t="s">
        <v>11695</v>
      </c>
      <c r="C69" s="1921"/>
      <c r="D69" s="1931"/>
      <c r="E69" s="1921"/>
      <c r="F69" s="1925"/>
    </row>
    <row r="70">
      <c r="A70" s="1925"/>
      <c r="B70" s="1920" t="s">
        <v>11699</v>
      </c>
      <c r="C70" s="1921"/>
      <c r="D70" s="1931"/>
      <c r="E70" s="1921"/>
      <c r="F70" s="1925"/>
    </row>
    <row r="71">
      <c r="A71" s="1925"/>
      <c r="B71" s="1907" t="s">
        <v>11702</v>
      </c>
      <c r="C71" s="1908"/>
      <c r="D71" s="1908"/>
      <c r="E71" s="1908"/>
      <c r="F71" s="1909"/>
    </row>
    <row r="72">
      <c r="A72" s="1925"/>
      <c r="B72" s="1910"/>
      <c r="C72" s="1911"/>
      <c r="D72" s="1911"/>
      <c r="E72" s="1911"/>
      <c r="F72" s="1912"/>
    </row>
    <row r="73">
      <c r="A73" s="1925"/>
      <c r="B73" s="1932" t="s">
        <v>11742</v>
      </c>
      <c r="C73" s="1908"/>
      <c r="D73" s="1908"/>
      <c r="E73" s="1908"/>
      <c r="F73" s="1909"/>
    </row>
    <row r="74">
      <c r="A74" s="1925"/>
      <c r="B74" s="1910"/>
      <c r="C74" s="1911"/>
      <c r="D74" s="1911"/>
      <c r="E74" s="1911"/>
      <c r="F74" s="1912"/>
    </row>
    <row r="75">
      <c r="A75" s="1925"/>
      <c r="B75" s="1914" t="s">
        <v>11685</v>
      </c>
      <c r="C75" s="1915" t="s">
        <v>4342</v>
      </c>
      <c r="D75" s="1929" t="s">
        <v>11743</v>
      </c>
      <c r="E75" s="1915" t="s">
        <v>11687</v>
      </c>
      <c r="F75" s="1930">
        <v>44246.0</v>
      </c>
    </row>
    <row r="76">
      <c r="A76" s="1925"/>
      <c r="B76" s="1918" t="s">
        <v>11689</v>
      </c>
      <c r="C76" s="1915" t="s">
        <v>11732</v>
      </c>
      <c r="D76" s="1929" t="s">
        <v>11744</v>
      </c>
      <c r="E76" s="1915" t="s">
        <v>11734</v>
      </c>
      <c r="F76" s="1930">
        <v>43637.0</v>
      </c>
    </row>
    <row r="77">
      <c r="A77" s="1925"/>
      <c r="B77" s="1919" t="s">
        <v>11692</v>
      </c>
      <c r="C77" s="1921"/>
      <c r="D77" s="1931"/>
      <c r="E77" s="1921"/>
      <c r="F77" s="1925"/>
    </row>
    <row r="78">
      <c r="A78" s="1925"/>
      <c r="B78" s="1920" t="s">
        <v>11695</v>
      </c>
      <c r="C78" s="1921"/>
      <c r="D78" s="1931"/>
      <c r="E78" s="1921"/>
      <c r="F78" s="1925"/>
    </row>
    <row r="79">
      <c r="A79" s="1925"/>
      <c r="B79" s="1920" t="s">
        <v>11699</v>
      </c>
      <c r="C79" s="1921"/>
      <c r="D79" s="1931"/>
      <c r="E79" s="1921"/>
      <c r="F79" s="1925"/>
    </row>
    <row r="80">
      <c r="A80" s="1925"/>
      <c r="B80" s="1932" t="s">
        <v>11745</v>
      </c>
      <c r="C80" s="1908"/>
      <c r="D80" s="1908"/>
      <c r="E80" s="1908"/>
      <c r="F80" s="1909"/>
    </row>
    <row r="81">
      <c r="A81" s="1925"/>
      <c r="B81" s="1910"/>
      <c r="C81" s="1911"/>
      <c r="D81" s="1911"/>
      <c r="E81" s="1911"/>
      <c r="F81" s="1912"/>
    </row>
    <row r="82">
      <c r="A82" s="1925"/>
      <c r="B82" s="1914" t="s">
        <v>11685</v>
      </c>
      <c r="C82" s="1915" t="s">
        <v>6400</v>
      </c>
      <c r="D82" s="1929" t="s">
        <v>11746</v>
      </c>
      <c r="E82" s="1915" t="s">
        <v>11687</v>
      </c>
      <c r="F82" s="1930">
        <v>43592.0</v>
      </c>
    </row>
    <row r="83">
      <c r="A83" s="1925"/>
      <c r="B83" s="1918" t="s">
        <v>11689</v>
      </c>
      <c r="C83" s="1915" t="s">
        <v>11747</v>
      </c>
      <c r="D83" s="1929" t="s">
        <v>11748</v>
      </c>
      <c r="E83" s="1915" t="s">
        <v>11687</v>
      </c>
      <c r="F83" s="1930">
        <v>43396.0</v>
      </c>
    </row>
    <row r="84">
      <c r="A84" s="1925"/>
      <c r="B84" s="1919" t="s">
        <v>11692</v>
      </c>
      <c r="C84" s="1921"/>
      <c r="D84" s="1931"/>
      <c r="E84" s="1921"/>
      <c r="F84" s="1925"/>
    </row>
    <row r="85">
      <c r="A85" s="1925"/>
      <c r="B85" s="1920" t="s">
        <v>11695</v>
      </c>
      <c r="C85" s="1921"/>
      <c r="D85" s="1931"/>
      <c r="E85" s="1921"/>
      <c r="F85" s="1925"/>
    </row>
    <row r="86">
      <c r="A86" s="1925"/>
      <c r="B86" s="1920" t="s">
        <v>11699</v>
      </c>
      <c r="C86" s="1921"/>
      <c r="D86" s="1931"/>
      <c r="E86" s="1921"/>
      <c r="F86" s="1925"/>
    </row>
    <row r="87">
      <c r="A87" s="1925"/>
      <c r="B87" s="1907" t="s">
        <v>11704</v>
      </c>
      <c r="C87" s="1908"/>
      <c r="D87" s="1908"/>
      <c r="E87" s="1908"/>
      <c r="F87" s="1909"/>
    </row>
    <row r="88">
      <c r="A88" s="1925"/>
      <c r="B88" s="1910"/>
      <c r="C88" s="1911"/>
      <c r="D88" s="1911"/>
      <c r="E88" s="1911"/>
      <c r="F88" s="1912"/>
    </row>
    <row r="89">
      <c r="A89" s="1925"/>
      <c r="B89" s="1914" t="s">
        <v>11685</v>
      </c>
      <c r="C89" s="1933" t="s">
        <v>435</v>
      </c>
      <c r="D89" s="1929" t="s">
        <v>11749</v>
      </c>
      <c r="E89" s="1915" t="s">
        <v>11687</v>
      </c>
      <c r="F89" s="1930">
        <v>43457.0</v>
      </c>
    </row>
    <row r="90">
      <c r="A90" s="1925"/>
      <c r="B90" s="1918" t="s">
        <v>11689</v>
      </c>
      <c r="C90" s="1915" t="s">
        <v>2460</v>
      </c>
      <c r="D90" s="1929" t="s">
        <v>11750</v>
      </c>
      <c r="E90" s="1915" t="s">
        <v>11687</v>
      </c>
      <c r="F90" s="1930">
        <v>43925.0</v>
      </c>
    </row>
    <row r="91">
      <c r="A91" s="1925"/>
      <c r="B91" s="1919" t="s">
        <v>11692</v>
      </c>
      <c r="C91" s="1915" t="s">
        <v>4795</v>
      </c>
      <c r="D91" s="1929" t="s">
        <v>11751</v>
      </c>
      <c r="E91" s="1915" t="s">
        <v>11720</v>
      </c>
      <c r="F91" s="1930">
        <v>43433.0</v>
      </c>
    </row>
    <row r="92">
      <c r="A92" s="1925"/>
      <c r="B92" s="1920" t="s">
        <v>11695</v>
      </c>
      <c r="C92" s="1921"/>
      <c r="D92" s="1931"/>
      <c r="E92" s="1921"/>
      <c r="F92" s="1925"/>
    </row>
    <row r="93">
      <c r="A93" s="1925"/>
      <c r="B93" s="1920" t="s">
        <v>11699</v>
      </c>
      <c r="C93" s="1921"/>
      <c r="D93" s="1931"/>
      <c r="E93" s="1921"/>
      <c r="F93" s="1925"/>
    </row>
    <row r="94">
      <c r="A94" s="1925"/>
      <c r="B94" s="1907" t="s">
        <v>11706</v>
      </c>
      <c r="C94" s="1908"/>
      <c r="D94" s="1908"/>
      <c r="E94" s="1908"/>
      <c r="F94" s="1909"/>
    </row>
    <row r="95">
      <c r="A95" s="1925"/>
      <c r="B95" s="1910"/>
      <c r="C95" s="1911"/>
      <c r="D95" s="1911"/>
      <c r="E95" s="1911"/>
      <c r="F95" s="1912"/>
    </row>
    <row r="96">
      <c r="A96" s="1925"/>
      <c r="B96" s="1932" t="s">
        <v>11752</v>
      </c>
      <c r="C96" s="1908"/>
      <c r="D96" s="1908"/>
      <c r="E96" s="1908"/>
      <c r="F96" s="1909"/>
    </row>
    <row r="97">
      <c r="A97" s="1925"/>
      <c r="B97" s="1910"/>
      <c r="C97" s="1911"/>
      <c r="D97" s="1911"/>
      <c r="E97" s="1911"/>
      <c r="F97" s="1912"/>
    </row>
    <row r="98">
      <c r="A98" s="1925"/>
      <c r="B98" s="1914" t="s">
        <v>11685</v>
      </c>
      <c r="C98" s="1915" t="s">
        <v>11727</v>
      </c>
      <c r="D98" s="1929" t="s">
        <v>11753</v>
      </c>
      <c r="E98" s="1915" t="s">
        <v>11687</v>
      </c>
      <c r="F98" s="1930">
        <v>43862.0</v>
      </c>
    </row>
    <row r="99">
      <c r="A99" s="1925"/>
      <c r="B99" s="1918" t="s">
        <v>11689</v>
      </c>
      <c r="C99" s="1921"/>
      <c r="D99" s="1931"/>
      <c r="E99" s="1921"/>
      <c r="F99" s="1925"/>
    </row>
    <row r="100">
      <c r="A100" s="1925"/>
      <c r="B100" s="1919" t="s">
        <v>11692</v>
      </c>
      <c r="C100" s="1921"/>
      <c r="D100" s="1931"/>
      <c r="E100" s="1921"/>
      <c r="F100" s="1925"/>
    </row>
    <row r="101">
      <c r="A101" s="1925"/>
      <c r="B101" s="1920" t="s">
        <v>11695</v>
      </c>
      <c r="C101" s="1921"/>
      <c r="D101" s="1931"/>
      <c r="E101" s="1921"/>
      <c r="F101" s="1925"/>
    </row>
    <row r="102">
      <c r="A102" s="1925"/>
      <c r="B102" s="1920" t="s">
        <v>11699</v>
      </c>
      <c r="C102" s="1921"/>
      <c r="D102" s="1931"/>
      <c r="E102" s="1921"/>
      <c r="F102" s="1925"/>
    </row>
    <row r="103">
      <c r="A103" s="1925"/>
      <c r="B103" s="1932" t="s">
        <v>11754</v>
      </c>
      <c r="C103" s="1908"/>
      <c r="D103" s="1908"/>
      <c r="E103" s="1908"/>
      <c r="F103" s="1909"/>
    </row>
    <row r="104">
      <c r="A104" s="1925"/>
      <c r="B104" s="1910"/>
      <c r="C104" s="1911"/>
      <c r="D104" s="1911"/>
      <c r="E104" s="1911"/>
      <c r="F104" s="1912"/>
    </row>
    <row r="105">
      <c r="A105" s="1925"/>
      <c r="B105" s="1914" t="s">
        <v>11685</v>
      </c>
      <c r="C105" s="1915" t="s">
        <v>11727</v>
      </c>
      <c r="D105" s="1929" t="s">
        <v>11755</v>
      </c>
      <c r="E105" s="1915" t="s">
        <v>11687</v>
      </c>
      <c r="F105" s="1930">
        <v>43862.0</v>
      </c>
    </row>
    <row r="106">
      <c r="A106" s="1925"/>
      <c r="B106" s="1918" t="s">
        <v>11689</v>
      </c>
      <c r="C106" s="1935" t="s">
        <v>6322</v>
      </c>
      <c r="D106" s="1929" t="s">
        <v>11756</v>
      </c>
      <c r="E106" s="1915" t="s">
        <v>11734</v>
      </c>
      <c r="F106" s="1930">
        <v>43630.0</v>
      </c>
    </row>
    <row r="107">
      <c r="A107" s="1925"/>
      <c r="B107" s="1919" t="s">
        <v>11692</v>
      </c>
      <c r="C107" s="1921"/>
      <c r="D107" s="1931"/>
      <c r="E107" s="1921"/>
      <c r="F107" s="1925"/>
    </row>
    <row r="108">
      <c r="A108" s="1925"/>
      <c r="B108" s="1920" t="s">
        <v>11695</v>
      </c>
      <c r="C108" s="1921"/>
      <c r="D108" s="1931"/>
      <c r="E108" s="1921"/>
      <c r="F108" s="1925"/>
    </row>
    <row r="109">
      <c r="A109" s="1925"/>
      <c r="B109" s="1920" t="s">
        <v>11699</v>
      </c>
      <c r="C109" s="1921"/>
      <c r="D109" s="1931"/>
      <c r="E109" s="1921"/>
      <c r="F109" s="1925"/>
    </row>
    <row r="110">
      <c r="A110" s="1925"/>
      <c r="B110" s="1907" t="s">
        <v>11709</v>
      </c>
      <c r="C110" s="1908"/>
      <c r="D110" s="1908"/>
      <c r="E110" s="1908"/>
      <c r="F110" s="1909"/>
    </row>
    <row r="111">
      <c r="A111" s="1925"/>
      <c r="B111" s="1910"/>
      <c r="C111" s="1911"/>
      <c r="D111" s="1911"/>
      <c r="E111" s="1911"/>
      <c r="F111" s="1912"/>
    </row>
    <row r="112">
      <c r="A112" s="1925"/>
      <c r="B112" s="1914" t="s">
        <v>11685</v>
      </c>
      <c r="C112" s="1915" t="s">
        <v>5306</v>
      </c>
      <c r="D112" s="1929" t="s">
        <v>11757</v>
      </c>
      <c r="E112" s="1915" t="s">
        <v>11697</v>
      </c>
      <c r="F112" s="1930">
        <v>44132.0</v>
      </c>
    </row>
    <row r="113">
      <c r="A113" s="1925"/>
      <c r="B113" s="1918" t="s">
        <v>11689</v>
      </c>
      <c r="C113" s="1921"/>
      <c r="D113" s="1931"/>
      <c r="E113" s="1921"/>
      <c r="F113" s="1925"/>
    </row>
    <row r="114">
      <c r="A114" s="1925"/>
      <c r="B114" s="1919" t="s">
        <v>11692</v>
      </c>
      <c r="C114" s="1921"/>
      <c r="D114" s="1931"/>
      <c r="E114" s="1921"/>
      <c r="F114" s="1925"/>
    </row>
    <row r="115">
      <c r="A115" s="1925"/>
      <c r="B115" s="1920" t="s">
        <v>11695</v>
      </c>
      <c r="C115" s="1921"/>
      <c r="D115" s="1931"/>
      <c r="E115" s="1921"/>
      <c r="F115" s="1925"/>
    </row>
    <row r="116">
      <c r="A116" s="1925"/>
      <c r="B116" s="1920" t="s">
        <v>11699</v>
      </c>
      <c r="C116" s="1921"/>
      <c r="D116" s="1931"/>
      <c r="E116" s="1921"/>
      <c r="F116" s="1925"/>
    </row>
    <row r="117">
      <c r="A117" s="1925"/>
      <c r="B117" s="1907" t="s">
        <v>11712</v>
      </c>
      <c r="C117" s="1908"/>
      <c r="D117" s="1908"/>
      <c r="E117" s="1908"/>
      <c r="F117" s="1909"/>
    </row>
    <row r="118">
      <c r="A118" s="1925"/>
      <c r="B118" s="1910"/>
      <c r="C118" s="1911"/>
      <c r="D118" s="1911"/>
      <c r="E118" s="1911"/>
      <c r="F118" s="1912"/>
    </row>
    <row r="119">
      <c r="A119" s="1925"/>
      <c r="B119" s="1914" t="s">
        <v>11685</v>
      </c>
      <c r="C119" s="1915" t="s">
        <v>6384</v>
      </c>
      <c r="D119" s="1929" t="s">
        <v>11758</v>
      </c>
      <c r="E119" s="1915" t="s">
        <v>11687</v>
      </c>
      <c r="F119" s="1930">
        <v>43741.0</v>
      </c>
    </row>
    <row r="120">
      <c r="A120" s="1925"/>
      <c r="B120" s="1918" t="s">
        <v>11689</v>
      </c>
      <c r="C120" s="1915" t="s">
        <v>11759</v>
      </c>
      <c r="D120" s="1929" t="s">
        <v>11760</v>
      </c>
      <c r="E120" s="1915" t="s">
        <v>11720</v>
      </c>
      <c r="F120" s="1930">
        <v>43748.0</v>
      </c>
    </row>
    <row r="121">
      <c r="A121" s="1925"/>
      <c r="B121" s="1919" t="s">
        <v>11692</v>
      </c>
      <c r="C121" s="1915" t="s">
        <v>2189</v>
      </c>
      <c r="D121" s="1929" t="s">
        <v>11761</v>
      </c>
      <c r="E121" s="1915" t="s">
        <v>11734</v>
      </c>
      <c r="F121" s="1930">
        <v>43729.0</v>
      </c>
    </row>
    <row r="122">
      <c r="A122" s="1925"/>
      <c r="B122" s="1920" t="s">
        <v>11695</v>
      </c>
      <c r="C122" s="1933" t="s">
        <v>435</v>
      </c>
      <c r="D122" s="1929" t="s">
        <v>11762</v>
      </c>
      <c r="E122" s="1915" t="s">
        <v>11687</v>
      </c>
      <c r="F122" s="1930">
        <v>44470.0</v>
      </c>
    </row>
    <row r="123">
      <c r="A123" s="1925"/>
      <c r="B123" s="1920" t="s">
        <v>11699</v>
      </c>
      <c r="C123" s="1915" t="s">
        <v>5306</v>
      </c>
      <c r="D123" s="1929" t="s">
        <v>11763</v>
      </c>
      <c r="E123" s="1915" t="s">
        <v>11697</v>
      </c>
      <c r="F123" s="1930">
        <v>44020.0</v>
      </c>
    </row>
    <row r="124">
      <c r="A124" s="1936" t="s">
        <v>11764</v>
      </c>
      <c r="B124" s="1907" t="s">
        <v>11713</v>
      </c>
      <c r="C124" s="1908"/>
      <c r="D124" s="1908"/>
      <c r="E124" s="1908"/>
      <c r="F124" s="1909"/>
    </row>
    <row r="125">
      <c r="A125" s="1936" t="s">
        <v>11765</v>
      </c>
      <c r="B125" s="1910"/>
      <c r="C125" s="1911"/>
      <c r="D125" s="1911"/>
      <c r="E125" s="1911"/>
      <c r="F125" s="1912"/>
    </row>
    <row r="126">
      <c r="A126" s="1937"/>
      <c r="B126" s="1914" t="s">
        <v>11685</v>
      </c>
      <c r="C126" s="1915" t="s">
        <v>979</v>
      </c>
      <c r="D126" s="1938">
        <v>0.06525462962962963</v>
      </c>
      <c r="E126" s="1915" t="s">
        <v>11697</v>
      </c>
      <c r="F126" s="1917">
        <v>44652.0</v>
      </c>
    </row>
    <row r="127">
      <c r="A127" s="1937"/>
      <c r="B127" s="1918" t="s">
        <v>11689</v>
      </c>
      <c r="C127" s="1915" t="s">
        <v>4128</v>
      </c>
      <c r="D127" s="1938">
        <v>0.06892361111111112</v>
      </c>
      <c r="E127" s="1915" t="s">
        <v>11697</v>
      </c>
      <c r="F127" s="1917">
        <v>44652.0</v>
      </c>
    </row>
    <row r="128">
      <c r="A128" s="1937"/>
      <c r="B128" s="1919" t="s">
        <v>11692</v>
      </c>
      <c r="C128" s="1924" t="s">
        <v>5409</v>
      </c>
      <c r="D128" s="1939">
        <v>0.07195601851851852</v>
      </c>
      <c r="E128" s="1924" t="s">
        <v>11697</v>
      </c>
      <c r="F128" s="1930">
        <v>44652.0</v>
      </c>
    </row>
    <row r="129">
      <c r="A129" s="1937"/>
      <c r="B129" s="1920" t="s">
        <v>11695</v>
      </c>
      <c r="C129" s="1921" t="s">
        <v>11766</v>
      </c>
      <c r="D129" s="1940">
        <v>0.07211805555555556</v>
      </c>
      <c r="E129" s="1941" t="s">
        <v>11767</v>
      </c>
      <c r="F129" s="1930">
        <v>44652.0</v>
      </c>
    </row>
    <row r="130">
      <c r="A130" s="1937"/>
      <c r="B130" s="1920" t="s">
        <v>11699</v>
      </c>
      <c r="C130" s="1921"/>
      <c r="D130" s="1921"/>
      <c r="E130" s="1921"/>
      <c r="F130" s="1921"/>
    </row>
    <row r="131">
      <c r="A131" s="1942"/>
      <c r="B131" s="1907" t="s">
        <v>11714</v>
      </c>
      <c r="C131" s="1908"/>
      <c r="D131" s="1908"/>
      <c r="E131" s="1908"/>
      <c r="F131" s="1909"/>
    </row>
    <row r="132">
      <c r="A132" s="1937"/>
      <c r="B132" s="1910"/>
      <c r="C132" s="1911"/>
      <c r="D132" s="1911"/>
      <c r="E132" s="1911"/>
      <c r="F132" s="1912"/>
    </row>
    <row r="133">
      <c r="A133" s="1937"/>
      <c r="B133" s="1914" t="s">
        <v>11685</v>
      </c>
      <c r="C133" s="1915" t="s">
        <v>2460</v>
      </c>
      <c r="D133" s="1943" t="s">
        <v>11768</v>
      </c>
      <c r="E133" s="1915" t="s">
        <v>11687</v>
      </c>
      <c r="F133" s="1917">
        <v>45152.0</v>
      </c>
    </row>
    <row r="134">
      <c r="A134" s="1937"/>
      <c r="B134" s="1918" t="s">
        <v>11689</v>
      </c>
      <c r="C134" s="1915" t="s">
        <v>4258</v>
      </c>
      <c r="D134" s="1943" t="s">
        <v>11769</v>
      </c>
      <c r="E134" s="1915" t="s">
        <v>11687</v>
      </c>
      <c r="F134" s="1917">
        <v>44866.0</v>
      </c>
    </row>
    <row r="135">
      <c r="A135" s="1937"/>
      <c r="B135" s="1919" t="s">
        <v>11692</v>
      </c>
      <c r="C135" s="1921"/>
      <c r="D135" s="1940"/>
      <c r="E135" s="1941"/>
      <c r="F135" s="1930"/>
    </row>
    <row r="136">
      <c r="A136" s="1937"/>
      <c r="B136" s="1920" t="s">
        <v>11695</v>
      </c>
      <c r="C136" s="1921"/>
      <c r="D136" s="1940"/>
      <c r="E136" s="1941"/>
      <c r="F136" s="1930"/>
    </row>
    <row r="137">
      <c r="A137" s="1937"/>
      <c r="B137" s="1920" t="s">
        <v>11699</v>
      </c>
      <c r="C137" s="1921"/>
      <c r="D137" s="1921"/>
      <c r="E137" s="1921"/>
      <c r="F137" s="1921"/>
    </row>
    <row r="138">
      <c r="A138" s="1937"/>
      <c r="B138" s="1907" t="s">
        <v>11770</v>
      </c>
      <c r="C138" s="1908"/>
      <c r="D138" s="1908"/>
      <c r="E138" s="1908"/>
      <c r="F138" s="1909"/>
    </row>
    <row r="139">
      <c r="A139" s="1937"/>
      <c r="B139" s="1910"/>
      <c r="C139" s="1911"/>
      <c r="D139" s="1911"/>
      <c r="E139" s="1911"/>
      <c r="F139" s="1912"/>
    </row>
    <row r="140">
      <c r="A140" s="1937"/>
      <c r="B140" s="1914" t="s">
        <v>11685</v>
      </c>
      <c r="C140" s="1915" t="s">
        <v>2460</v>
      </c>
      <c r="D140" s="1944">
        <v>0.1396990740740741</v>
      </c>
      <c r="E140" s="1915" t="s">
        <v>11687</v>
      </c>
      <c r="F140" s="1917">
        <v>45998.0</v>
      </c>
    </row>
    <row r="141">
      <c r="A141" s="1937"/>
      <c r="B141" s="1918" t="s">
        <v>11689</v>
      </c>
      <c r="C141" s="1915"/>
      <c r="D141" s="1945"/>
      <c r="E141" s="1915"/>
      <c r="F141" s="1917"/>
    </row>
    <row r="142">
      <c r="A142" s="1937"/>
      <c r="B142" s="1919" t="s">
        <v>11692</v>
      </c>
      <c r="C142" s="1921"/>
      <c r="D142" s="1940"/>
      <c r="E142" s="1941"/>
      <c r="F142" s="1930"/>
    </row>
    <row r="143">
      <c r="A143" s="1937"/>
      <c r="B143" s="1920" t="s">
        <v>11695</v>
      </c>
      <c r="C143" s="1921"/>
      <c r="D143" s="1940"/>
      <c r="E143" s="1941"/>
      <c r="F143" s="1930"/>
    </row>
    <row r="144">
      <c r="A144" s="1937"/>
      <c r="B144" s="1920" t="s">
        <v>11699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