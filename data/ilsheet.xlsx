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<sst xmlns="http://schemas.openxmlformats.org/spreadsheetml/2006/main" count="28184" uniqueCount="11780">
  <si>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</si>
  <si>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</si>
  <si>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</si>
  <si>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</si>
  <si>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</si>
  <si>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</si>
  <si>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</si>
  <si>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</si>
  <si>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</si>
  <si>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</si>
  <si>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</si>
  <si>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</si>
  <si>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</si>
  <si>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</si>
  <si>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</si>
  <si>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</si>
  <si>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</si>
  <si>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</si>
  <si>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</si>
  <si>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</si>
  <si>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</si>
  <si>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</si>
  <si>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</si>
  <si>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</si>
  <si>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</si>
  <si>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</si>
  <si>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</si>
  <si>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</si>
  <si>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</si>
  <si>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</si>
  <si>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</si>
  <si>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</si>
  <si>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</si>
  <si>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</si>
  <si>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</si>
  <si>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</si>
  <si>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</si>
  <si>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</si>
  <si>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</si>
  <si>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</si>
  <si>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</si>
  <si>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</si>
  <si>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</si>
  <si>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</si>
  <si>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</si>
  <si>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</si>
  <si>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</si>
  <si>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</si>
  <si>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</si>
  <si>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</si>
  <si>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</si>
  <si>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</si>
  <si>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</si>
  <si>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</si>
  <si>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</si>
  <si>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</si>
  <si>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</si>
  <si>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</si>
  <si>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</si>
  <si>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</si>
  <si>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</si>
  <si>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</si>
  <si>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</si>
  <si>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</si>
  <si>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</si>
  <si>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</si>
  <si>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</si>
  <si>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</si>
  <si>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</si>
  <si>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</si>
  <si>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</si>
  <si>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</si>
  <si>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</si>
  <si>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</si>
  <si>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</si>
  <si>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</si>
  <si>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</si>
  <si>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</si>
  <si>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</si>
  <si>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</si>
  <si>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</si>
  <si>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</si>
  <si>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</si>
  <si>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</si>
  <si>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</si>
  <si>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</si>
  <si>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</si>
  <si>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</si>
  <si>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</si>
  <si>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</si>
  <si>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</si>
  <si>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</si>
  <si>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</si>
  <si>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</si>
  <si>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</si>
  <si>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</si>
  <si>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</si>
  <si>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</si>
  <si>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</si>
  <si>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</si>
  <si>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</si>
  <si>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</si>
  <si>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</si>
  <si>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</si>
  <si>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</si>
  <si>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</si>
  <si>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</si>
  <si>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</si>
  <si>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</si>
  <si>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</si>
  <si>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</si>
  <si>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</si>
  <si>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</si>
  <si>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</si>
  <si>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</si>
  <si>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</si>
  <si>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</si>
  <si>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</si>
  <si>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</si>
  <si>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</si>
  <si>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</si>
  <si>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</si>
  <si>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</si>
  <si>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</si>
  <si>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</si>
  <si>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</si>
  <si>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</si>
  <si>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</si>
  <si>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</si>
  <si>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</si>
  <si>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</si>
  <si>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</si>
  <si>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</si>
  <si>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</si>
  <si>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</si>
  <si>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</si>
  <si>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</si>
  <si>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</si>
  <si>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</si>
  <si>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</si>
  <si>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</si>
  <si>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</si>
  <si>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</si>
  <si>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</si>
  <si>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</si>
  <si>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</si>
  <si>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</si>
  <si>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</si>
  <si>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</si>
  <si>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</si>
  <si>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</si>
  <si>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</si>
  <si>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</si>
  <si>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</si>
  <si>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</si>
  <si>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</si>
  <si>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</si>
  <si>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</si>
  <si>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</si>
  <si>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</si>
  <si>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</si>
  <si>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</si>
  <si>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</si>
  <si>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</si>
  <si>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</si>
  <si>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</si>
  <si>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</si>
  <si>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</si>
  <si>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</si>
  <si>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</si>
  <si>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</si>
  <si>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</si>
  <si>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</si>
  <si>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</si>
  <si>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</si>
  <si>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</si>
  <si>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</si>
  <si>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</si>
  <si>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</si>
  <si>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</si>
  <si>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</si>
  <si>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</si>
  <si>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</si>
  <si>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</si>
  <si>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</si>
  <si>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</si>
  <si>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</si>
  <si>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</si>
  <si>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</si>
  <si>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</si>
  <si>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</si>
  <si>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</si>
  <si>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</si>
  <si>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</si>
  <si>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</si>
  <si>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</si>
  <si>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</si>
  <si>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</si>
  <si>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</si>
  <si>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</si>
  <si>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</si>
  <si>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</si>
  <si>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</si>
  <si>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</si>
  <si>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</si>
  <si>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</si>
  <si>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</si>
  <si>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</si>
  <si>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</si>
  <si>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</si>
  <si>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</si>
  <si>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</si>
  <si>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</si>
  <si>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</si>
  <si>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</si>
  <si>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</si>
  <si>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</si>
  <si>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</si>
  <si>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</si>
  <si>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</si>
  <si>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</si>
  <si>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</si>
  <si>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</si>
  <si>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</si>
  <si>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</si>
  <si>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</si>
  <si>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</si>
  <si>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</si>
  <si>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</si>
  <si>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</si>
  <si>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</si>
  <si>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</si>
  <si>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</si>
  <si>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</si>
  <si>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</si>
  <si>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</si>
  <si>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</si>
  <si>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</si>
  <si>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</si>
  <si>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</si>
  <si>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</si>
  <si>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</si>
  <si>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</si>
  <si>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</si>
  <si>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</si>
  <si>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</si>
  <si>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</si>
  <si>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</si>
  <si>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</si>
  <si>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</si>
  <si>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</si>
  <si>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</si>
  <si>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</si>
  <si>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</si>
  <si>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</si>
  <si>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</si>
  <si>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</si>
  <si>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</si>
  <si>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</si>
  <si>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</si>
  <si>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</si>
  <si>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</si>
  <si>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</si>
  <si>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</si>
  <si>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</si>
  <si>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</si>
  <si>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</si>
  <si>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</si>
  <si>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</si>
  <si>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</si>
  <si>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</si>
  <si>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</si>
  <si>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</si>
  <si>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</si>
  <si>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</si>
  <si>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</si>
  <si>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</si>
  <si>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</si>
  <si>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</si>
  <si>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</si>
  <si>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</si>
  <si>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</si>
  <si>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</si>
  <si>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</si>
  <si>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</si>
  <si>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</si>
  <si>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</si>
  <si>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</si>
  <si>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</si>
  <si>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</si>
  <si>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</si>
  <si>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</si>
  <si>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</si>
  <si>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</si>
  <si>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</si>
  <si>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</si>
  <si>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</si>
  <si>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</si>
  <si>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</si>
  <si>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</si>
  <si>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</si>
  <si>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</si>
  <si>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</si>
  <si>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</si>
  <si>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</si>
  <si>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</si>
  <si>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</si>
  <si>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</si>
  <si>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</si>
  <si>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</si>
  <si>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</si>
  <si>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</si>
  <si>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</si>
  <si>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</si>
  <si>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</si>
  <si>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</si>
  <si>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</si>
  <si>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</si>
  <si>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</si>
  <si>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</si>
  <si>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</si>
  <si>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</si>
  <si>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</si>
  <si>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</si>
  <si>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</si>
  <si>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</si>
  <si>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</si>
  <si>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</si>
  <si>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</si>
  <si>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</si>
  <si>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</si>
  <si>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</si>
  <si>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</si>
  <si>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</si>
  <si>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</si>
  <si>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</si>
  <si>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</si>
  <si>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</si>
  <si>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</si>
  <si>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</si>
  <si>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</si>
  <si>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</si>
  <si>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</si>
  <si>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</si>
  <si>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</si>
  <si>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</si>
  <si>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</si>
  <si>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</si>
  <si>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</si>
  <si>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</si>
  <si>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</si>
  <si>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</si>
  <si>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</si>
  <si>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</si>
  <si>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</si>
  <si>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</si>
  <si>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</si>
  <si>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</si>
  <si>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</si>
  <si>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</si>
  <si>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</si>
  <si>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</si>
  <si>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</si>
  <si>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</si>
  <si>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</si>
  <si>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</si>
  <si>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</si>
  <si>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</si>
  <si>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</si>
  <si>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</si>
  <si>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</si>
  <si>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</si>
  <si>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</si>
  <si>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</si>
  <si>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</si>
  <si>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</si>
  <si>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</si>
  <si>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</si>
  <si>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</si>
  <si>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</si>
  <si>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</si>
  <si>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</si>
  <si>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</si>
  <si>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</si>
  <si>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</si>
  <si>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</si>
  <si>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</si>
  <si>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</si>
  <si>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</si>
  <si>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</si>
  <si>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</si>
  <si>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</si>
  <si>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</si>
  <si>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</si>
  <si>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</si>
  <si>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</si>
  <si>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</si>
  <si>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</si>
  <si>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</si>
  <si>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</si>
  <si>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</si>
  <si>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</si>
  <si>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</si>
  <si>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</si>
  <si>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</si>
  <si>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</si>
  <si>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</si>
  <si>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</si>
  <si>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</si>
  <si>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</si>
  <si>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</si>
  <si>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</si>
  <si>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</si>
  <si>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</si>
  <si>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</si>
  <si>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</si>
  <si>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</si>
  <si>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</si>
  <si>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</si>
  <si>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</si>
  <si>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</si>
  <si>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</si>
  <si>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</si>
  <si>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</si>
  <si>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</si>
  <si>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</si>
  <si>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</si>
  <si>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</si>
  <si>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</si>
  <si>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</si>
  <si>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</si>
  <si>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</si>
  <si>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</si>
  <si>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</si>
  <si>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</si>
  <si>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</si>
  <si>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</si>
  <si>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</si>
  <si>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</si>
  <si>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</si>
  <si>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</si>
  <si>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</si>
  <si>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</si>
  <si>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</si>
  <si>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</si>
  <si>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</si>
  <si>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</si>
  <si>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</si>
  <si>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</si>
  <si>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</si>
  <si>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</si>
  <si>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</si>
  <si>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</si>
  <si>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</si>
  <si>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</si>
  <si>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</si>
  <si>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</si>
  <si>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</si>
  <si>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</si>
  <si>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</si>
  <si>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</si>
  <si>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</si>
  <si>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</si>
  <si>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</si>
  <si>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</si>
  <si>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</si>
  <si>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</si>
  <si>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</si>
  <si>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</si>
  <si>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</si>
  <si>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</si>
  <si>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</si>
  <si>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</si>
  <si>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</si>
  <si>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</si>
  <si>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</si>
  <si>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</si>
  <si>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</si>
  <si>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</si>
  <si>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</si>
  <si>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</si>
  <si>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</si>
  <si>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</si>
  <si>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</si>
  <si>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</si>
  <si>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</si>
  <si>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</si>
  <si>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</si>
  <si>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</si>
  <si>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</si>
  <si>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</si>
  <si>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</si>
  <si>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</si>
  <si>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</si>
  <si>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</si>
  <si>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</si>
  <si>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</si>
  <si>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</si>
  <si>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</si>
  <si>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</si>
  <si>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</si>
  <si>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</si>
  <si>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</si>
  <si>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</si>
  <si>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</si>
  <si>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</si>
  <si>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</si>
  <si>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</si>
  <si>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</si>
  <si>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</si>
  <si>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</si>
  <si>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</si>
  <si>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</si>
  <si>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</si>
  <si>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</si>
  <si>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</si>
  <si>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</si>
  <si>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</si>
  <si>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</si>
  <si>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</si>
  <si>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</si>
  <si>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</si>
  <si>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</si>
  <si>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</si>
  <si>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</si>
  <si>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</si>
  <si>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</si>
  <si>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</si>
  <si>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</si>
  <si>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</si>
  <si>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</si>
  <si>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</si>
  <si>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</si>
  <si>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</si>
  <si>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</si>
  <si>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</si>
  <si>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</si>
  <si>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</si>
  <si>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</si>
  <si>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</si>
  <si>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</si>
  <si>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</si>
  <si>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</si>
  <si>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</si>
  <si>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</si>
  <si>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</si>
  <si>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</si>
  <si>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</si>
  <si>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</si>
  <si>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</si>
  <si>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</si>
  <si>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</si>
  <si>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</si>
  <si>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</si>
  <si>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</si>
  <si>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</si>
  <si>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</si>
  <si>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</si>
  <si>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</si>
  <si>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</si>
  <si>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</si>
  <si>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</si>
  <si>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</si>
  <si>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</si>
  <si>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</si>
  <si>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</si>
  <si>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</si>
  <si>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</si>
  <si>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</si>
  <si>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</si>
  <si>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</si>
  <si>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</si>
  <si>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</si>
  <si>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</si>
  <si>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</si>
  <si>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</si>
  <si>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</si>
  <si>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</si>
  <si>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</si>
  <si>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</si>
  <si>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</si>
  <si>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</si>
  <si>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</si>
  <si>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</si>
  <si>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</si>
  <si>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</si>
  <si>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</si>
  <si>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</si>
  <si>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</si>
  <si>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</si>
  <si>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</si>
  <si>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</si>
  <si>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</si>
  <si>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</si>
  <si>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</si>
  <si>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</si>
  <si>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</si>
  <si>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</si>
  <si>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</si>
  <si>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</si>
  <si>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</si>
  <si>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</si>
  <si>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</si>
  <si>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</si>
  <si>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</si>
  <si>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</si>
  <si>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</si>
  <si>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</si>
  <si>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</si>
  <si>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</si>
  <si>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</si>
  <si>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</si>
  <si>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</si>
  <si>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</si>
  <si>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</si>
  <si>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</si>
  <si>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</si>
  <si>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</si>
  <si>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</si>
  <si>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</si>
  <si>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</si>
  <si>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</si>
  <si>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</si>
  <si>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</si>
  <si>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</si>
  <si>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</si>
  <si>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</si>
  <si>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</si>
  <si>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</si>
  <si>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</si>
  <si>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</si>
  <si>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</si>
  <si>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</si>
  <si>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</si>
  <si>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</si>
  <si>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</si>
  <si>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</si>
  <si>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</si>
  <si>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</si>
  <si>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</si>
  <si>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</si>
  <si>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</si>
  <si>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</si>
  <si>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</si>
  <si>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</si>
  <si>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</si>
  <si>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</si>
  <si>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</si>
  <si>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</si>
  <si>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</si>
  <si>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</si>
  <si>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</si>
  <si>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</si>
  <si>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</si>
  <si>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</si>
  <si>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</si>
  <si>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</si>
  <si>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</si>
  <si>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</si>
  <si>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</si>
  <si>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</si>
  <si>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</si>
  <si>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</si>
  <si>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</si>
  <si>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</si>
  <si>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</si>
  <si>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</si>
  <si>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</si>
  <si>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</si>
  <si>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</si>
  <si>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</si>
  <si>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</si>
  <si>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</si>
  <si>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</si>
  <si>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</si>
  <si>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</si>
  <si>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</si>
  <si>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</si>
  <si>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</si>
  <si>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</si>
  <si>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</si>
  <si>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</si>
  <si>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</si>
  <si>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</si>
  <si>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</si>
  <si>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</si>
  <si>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</si>
  <si>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</si>
  <si>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</si>
  <si>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</si>
  <si>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</si>
  <si>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</si>
  <si>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</si>
  <si>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</si>
  <si>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</si>
  <si>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</si>
  <si>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</si>
  <si>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</si>
  <si>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</si>
  <si>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</si>
  <si>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</si>
  <si>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</si>
  <si>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</si>
  <si>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</si>
  <si>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</si>
  <si>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</si>
  <si>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</si>
  <si>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</si>
  <si>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</si>
  <si>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</si>
  <si>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</si>
  <si>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</si>
  <si>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</si>
  <si>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</si>
  <si>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</si>
  <si>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</si>
  <si>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</si>
  <si>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</si>
  <si>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</si>
  <si>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</si>
  <si>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</si>
  <si>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</si>
  <si>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</si>
  <si>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</si>
  <si>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</si>
  <si>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</si>
  <si>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</si>
  <si>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</si>
  <si>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</si>
  <si>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</si>
  <si>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</si>
  <si>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</si>
  <si>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</si>
  <si>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</si>
  <si>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</si>
  <si>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</si>
  <si>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</si>
  <si>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</si>
  <si>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</si>
  <si>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</si>
  <si>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</si>
  <si>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</si>
  <si>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</si>
  <si>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</si>
  <si>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</si>
  <si>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</si>
  <si>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</si>
  <si>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</si>
  <si>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</si>
  <si>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</si>
  <si>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</si>
  <si>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</si>
  <si>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</si>
  <si>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</si>
  <si>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</si>
  <si>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</si>
  <si>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</si>
  <si>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</si>
  <si>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</si>
  <si>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</si>
  <si>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</si>
  <si>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</si>
  <si>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</si>
  <si>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</si>
  <si>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</si>
  <si>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</si>
  <si>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</si>
  <si>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</si>
  <si>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</si>
  <si>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</si>
  <si>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</si>
  <si>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</si>
  <si>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</si>
  <si>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</si>
  <si>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</si>
  <si>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</si>
  <si>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</si>
  <si>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</si>
  <si>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</si>
  <si>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</si>
  <si>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</si>
  <si>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</si>
  <si>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</si>
  <si>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</si>
  <si>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</si>
  <si>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</si>
  <si>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</si>
  <si>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</si>
  <si>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</si>
  <si>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</si>
  <si>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</si>
  <si>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</si>
  <si>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</si>
  <si>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</si>
  <si>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</si>
  <si>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</si>
  <si>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</si>
  <si>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</si>
  <si>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</si>
  <si>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</si>
  <si>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</si>
  <si>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</si>
  <si>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</si>
  <si>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</si>
  <si>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</si>
  <si>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</si>
  <si>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</si>
  <si>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</si>
  <si>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</si>
  <si>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</si>
  <si>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</si>
  <si>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</si>
  <si>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</si>
  <si>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</si>
  <si>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</si>
  <si>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</si>
  <si>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</si>
  <si>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</si>
  <si>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</si>
  <si>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</si>
  <si>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</si>
  <si>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</si>
  <si>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</si>
  <si>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</si>
  <si>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</si>
  <si>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</si>
  <si>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</si>
  <si>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</si>
  <si>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</si>
  <si>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</si>
  <si>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</si>
  <si>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</si>
  <si>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</si>
  <si>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</si>
  <si>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</si>
  <si>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</si>
  <si>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</si>
  <si>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</si>
  <si>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</si>
  <si>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</si>
  <si>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</si>
  <si>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</si>
  <si>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</si>
  <si>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</si>
  <si>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</si>
  <si>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</si>
  <si>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</si>
  <si>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</si>
  <si>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</si>
  <si>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</si>
  <si>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</si>
  <si>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</si>
  <si>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</si>
  <si>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</si>
  <si>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</si>
  <si>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</si>
  <si>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</si>
  <si>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</si>
  <si>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</si>
  <si>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</si>
  <si>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</si>
  <si>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</si>
  <si>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</si>
  <si>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</si>
  <si>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</si>
  <si>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</si>
  <si>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</si>
  <si>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</si>
  <si>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</si>
  <si>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</si>
  <si>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</si>
  <si>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</si>
  <si>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</si>
  <si>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</si>
  <si>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</si>
  <si>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</si>
  <si>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</si>
  <si>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</si>
  <si>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</si>
  <si>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</si>
  <si>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</si>
  <si>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</si>
  <si>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</si>
  <si>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</si>
  <si>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</si>
  <si>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</si>
  <si>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</si>
  <si>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</si>
  <si>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</si>
  <si>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</si>
  <si>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</si>
  <si>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</si>
  <si>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</si>
  <si>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</si>
  <si>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</si>
  <si>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</si>
  <si>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</si>
  <si>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</si>
  <si>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</si>
  <si>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</si>
  <si>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</si>
  <si>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</si>
  <si>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</si>
  <si>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</si>
  <si>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</si>
  <si>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</si>
  <si>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</si>
  <si>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</si>
  <si>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</si>
  <si>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</si>
  <si>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</si>
  <si>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</si>
  <si>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</si>
  <si>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</si>
  <si>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</si>
  <si>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</si>
  <si>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</si>
  <si>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</si>
  <si>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</si>
  <si>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</si>
  <si>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</si>
  <si>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</si>
  <si>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</si>
  <si>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</si>
  <si>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</si>
  <si>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</si>
  <si>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</si>
  <si>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</si>
  <si>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</si>
  <si>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</si>
  <si>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</si>
  <si>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</si>
  <si>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</si>
  <si>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</si>
  <si>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</si>
  <si>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</si>
  <si>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</si>
  <si>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</si>
  <si>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</si>
  <si>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</si>
  <si>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</si>
  <si>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</si>
  <si>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</si>
  <si>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</si>
  <si>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</si>
  <si>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</si>
  <si>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</si>
  <si>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</si>
  <si>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</si>
  <si>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</si>
  <si>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</si>
  <si>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</si>
  <si>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</si>
  <si>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</si>
  <si>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</si>
  <si>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</si>
  <si>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</si>
  <si>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</si>
  <si>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</si>
  <si>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</si>
  <si>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</si>
  <si>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</si>
  <si>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</si>
  <si>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</si>
  <si>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</si>
  <si>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</si>
  <si>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</si>
  <si>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</si>
  <si>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</si>
  <si>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</si>
  <si>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</si>
  <si>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</si>
  <si>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</si>
  <si>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</si>
  <si>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</si>
  <si>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</si>
  <si>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</si>
  <si>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</si>
  <si>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</si>
  <si>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</si>
  <si>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</si>
  <si>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</si>
  <si>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</si>
  <si>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</si>
  <si>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</si>
  <si>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</si>
  <si>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</si>
  <si>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</si>
  <si>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</si>
  <si>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</si>
  <si>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</si>
  <si>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</si>
  <si>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</si>
  <si>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</si>
  <si>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</si>
  <si>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</si>
  <si>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</si>
  <si>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</si>
  <si>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</si>
  <si>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</si>
  <si>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</si>
  <si>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</si>
  <si>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</si>
  <si>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</si>
  <si>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</si>
  <si>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</si>
  <si>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</si>
  <si>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</si>
  <si>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</si>
  <si>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</si>
  <si>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</si>
  <si>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</si>
  <si>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</si>
  <si>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</si>
  <si>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</si>
  <si>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</si>
  <si>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</si>
  <si>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</si>
  <si>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</si>
  <si>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</si>
  <si>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</si>
  <si>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</si>
  <si>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</si>
  <si>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</si>
  <si>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</si>
  <si>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</si>
  <si>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</si>
  <si>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</si>
  <si>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</si>
  <si>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</si>
  <si>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</si>
  <si>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</si>
  <si>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</si>
  <si>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</si>
  <si>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</si>
  <si>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</si>
  <si>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</si>
  <si>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</si>
  <si>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</si>
  <si>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</si>
  <si>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</si>
  <si>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</si>
  <si>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</si>
  <si>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</si>
  <si>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</si>
  <si>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</si>
  <si>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</si>
  <si>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</si>
  <si>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</si>
  <si>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</si>
  <si>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</si>
  <si>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</si>
  <si>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</si>
  <si>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</si>
  <si>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</si>
  <si>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</si>
  <si>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</si>
  <si>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</si>
  <si>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</si>
  <si>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</si>
  <si>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</si>
  <si>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</si>
  <si>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</si>
  <si>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</si>
  <si>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</si>
  <si>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</si>
  <si>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</si>
  <si>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</si>
  <si>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</si>
  <si>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</si>
  <si>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</si>
  <si>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</si>
  <si>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</si>
  <si>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</si>
  <si>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</si>
  <si>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</si>
  <si>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</si>
  <si>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</si>
  <si>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</si>
  <si>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</si>
  <si>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</si>
  <si>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</si>
  <si>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</si>
  <si>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</si>
  <si>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</si>
  <si>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</si>
  <si>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</si>
  <si>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</si>
  <si>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</si>
  <si>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</si>
  <si>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</si>
  <si>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</si>
  <si>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</si>
  <si>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</si>
  <si>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</si>
  <si>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</si>
  <si>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</si>
  <si>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</si>
  <si>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</si>
  <si>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</si>
  <si>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</si>
  <si>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</si>
  <si>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</si>
  <si>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</si>
  <si>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</si>
  <si>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</si>
  <si>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</si>
  <si>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</si>
  <si>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</si>
  <si>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</si>
  <si>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</si>
  <si>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</si>
  <si>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</si>
  <si>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</si>
  <si>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</si>
  <si>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</si>
  <si>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</si>
  <si>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</si>
  <si>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</si>
  <si>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</si>
  <si>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</si>
  <si>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</si>
  <si>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</si>
  <si>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</si>
  <si>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</si>
  <si>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</si>
  <si>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</si>
  <si>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</si>
  <si>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</si>
  <si>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</si>
  <si>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</si>
  <si>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</si>
  <si>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</si>
  <si>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</si>
  <si>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</si>
  <si>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</si>
  <si>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</si>
  <si>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</si>
  <si>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</si>
  <si>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</si>
  <si>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</si>
  <si>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</si>
  <si>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</si>
  <si>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</si>
  <si>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</si>
  <si>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</si>
  <si>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</si>
  <si>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</si>
  <si>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</si>
  <si>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</si>
  <si>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</si>
  <si>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</si>
  <si>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</si>
  <si>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</si>
  <si>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</si>
  <si>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</si>
  <si>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</si>
  <si>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</si>
  <si>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</si>
  <si>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</si>
  <si>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</si>
  <si>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</si>
  <si>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</si>
  <si>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</si>
  <si>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</si>
  <si>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</si>
  <si>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</si>
  <si>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</si>
  <si>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</si>
  <si>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</si>
  <si>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</si>
  <si>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</si>
  <si>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</si>
  <si>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</si>
  <si>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</si>
  <si>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</si>
  <si>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</si>
  <si>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</si>
  <si>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</si>
  <si>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</si>
  <si>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</si>
  <si>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</si>
  <si>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</si>
  <si>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</si>
  <si>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</si>
  <si>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</si>
  <si>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</si>
  <si>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</si>
  <si>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</si>
  <si>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</si>
  <si>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</si>
  <si>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</si>
  <si>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</si>
  <si>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</si>
  <si>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</si>
  <si>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</si>
  <si>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</si>
  <si>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</si>
  <si>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</si>
  <si>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</si>
  <si>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</si>
  <si>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</si>
  <si>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</si>
  <si>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</si>
  <si>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</si>
  <si>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</si>
  <si>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</si>
  <si>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</si>
  <si>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</si>
  <si>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</si>
  <si>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</si>
  <si>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</si>
  <si>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</si>
  <si>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</si>
  <si>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</si>
  <si>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</si>
  <si>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</si>
  <si>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</si>
  <si>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</si>
  <si>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</si>
  <si>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</si>
  <si>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</si>
  <si>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</si>
  <si>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</si>
  <si>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</si>
  <si>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</si>
  <si>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</si>
  <si>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</si>
  <si>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</si>
  <si>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</si>
  <si>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</si>
  <si>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</si>
  <si>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</si>
  <si>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</si>
  <si>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</si>
  <si>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</si>
  <si>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</si>
  <si>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</si>
  <si>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</si>
  <si>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</si>
  <si>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</si>
  <si>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</si>
  <si>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</si>
  <si>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</si>
  <si>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</si>
  <si>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</si>
  <si>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</si>
  <si>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</si>
  <si>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</si>
  <si>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</si>
  <si>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</si>
  <si>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</si>
  <si>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</si>
  <si>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</si>
  <si>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</si>
  <si>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</si>
  <si>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</si>
  <si>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</si>
  <si>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</si>
  <si>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</si>
  <si>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</si>
  <si>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</si>
  <si>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</si>
  <si>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</si>
  <si>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</si>
  <si>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</si>
  <si>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</si>
  <si>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</si>
  <si>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</si>
  <si>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</si>
  <si>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</si>
  <si>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</si>
  <si>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</si>
  <si>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</si>
  <si>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</si>
  <si>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</si>
  <si>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</si>
  <si>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</si>
  <si>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</si>
  <si>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</si>
  <si>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</si>
  <si>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</si>
  <si>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</si>
  <si>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</si>
  <si>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</si>
  <si>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</si>
  <si>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</si>
  <si>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</si>
  <si>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</si>
  <si>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</si>
  <si>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</si>
  <si>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</si>
  <si>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</si>
  <si>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</si>
  <si>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</si>
  <si>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</si>
  <si>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</si>
  <si>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</si>
  <si>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</si>
  <si>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</si>
  <si>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</si>
  <si>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</si>
  <si>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</si>
  <si>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</si>
  <si>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</si>
  <si>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</si>
  <si>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</si>
  <si>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</si>
  <si>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</si>
  <si>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</si>
  <si>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</si>
  <si>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</si>
  <si>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</si>
  <si>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</si>
  <si>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</si>
  <si>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</si>
  <si>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</si>
  <si>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</si>
  <si>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</si>
  <si>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</si>
  <si>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</si>
  <si>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</si>
  <si>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</si>
  <si>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</si>
  <si>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</si>
  <si>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</si>
  <si>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</si>
  <si>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</si>
  <si>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</si>
  <si>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</si>
  <si>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</si>
  <si>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</si>
  <si>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</si>
  <si>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</si>
  <si>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</si>
  <si>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</si>
  <si>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</si>
  <si>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</si>
  <si>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</si>
  <si>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</si>
  <si>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</si>
  <si>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</si>
  <si>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</si>
  <si>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</si>
  <si>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</si>
  <si>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</si>
  <si>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</si>
  <si>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</si>
  <si>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</si>
  <si>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</si>
  <si>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</si>
  <si>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</si>
  <si>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</si>
  <si>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</si>
  <si>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</si>
  <si>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</si>
  <si>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</si>
  <si>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</si>
  <si>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</si>
  <si>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</si>
  <si>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</si>
  <si>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</si>
  <si>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</si>
  <si>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</si>
  <si>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</si>
  <si>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</si>
  <si>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</si>
  <si>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</si>
  <si>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</si>
  <si>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</si>
  <si>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</si>
  <si>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</si>
  <si>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</si>
  <si>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</si>
  <si>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</si>
  <si>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</si>
  <si>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</si>
  <si>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</si>
  <si>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</si>
  <si>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</si>
  <si>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</si>
  <si>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</si>
  <si>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</si>
  <si>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</si>
  <si>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</si>
  <si>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</si>
  <si>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</si>
  <si>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</si>
  <si>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</si>
  <si>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</si>
  <si>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</si>
  <si>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</si>
  <si>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</si>
  <si>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</si>
  <si>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</si>
  <si>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</si>
  <si>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</si>
  <si>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</si>
  <si>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</si>
  <si>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</si>
  <si>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</si>
  <si>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</si>
  <si>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</si>
  <si>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</si>
  <si>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</si>
  <si>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</si>
  <si>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</si>
  <si>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</si>
  <si>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</si>
  <si>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</si>
  <si>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</si>
  <si>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</si>
  <si>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</si>
  <si>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</si>
  <si>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</si>
  <si>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</si>
  <si>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</si>
  <si>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</si>
  <si>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</si>
  <si>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</si>
  <si>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</si>
  <si>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</si>
  <si>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</si>
  <si>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</si>
  <si>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</si>
  <si>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</si>
  <si>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</si>
  <si>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</si>
  <si>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</si>
  <si>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</si>
  <si>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</si>
  <si>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</si>
  <si>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</si>
  <si>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</si>
  <si>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</si>
  <si>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</si>
  <si>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</si>
  <si>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</si>
  <si>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</si>
  <si>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</si>
  <si>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</si>
  <si>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</si>
  <si>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</si>
  <si>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</si>
  <si>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</si>
  <si>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</si>
  <si>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</si>
  <si>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</si>
  <si>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</si>
  <si>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</si>
  <si>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</si>
  <si>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</si>
  <si>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</si>
  <si>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</si>
  <si>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</si>
  <si>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</si>
  <si>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</si>
  <si>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</si>
  <si>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</si>
  <si>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</si>
  <si>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</si>
  <si>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</si>
  <si>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</si>
  <si>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</si>
  <si>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</si>
  <si>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</si>
  <si>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</si>
  <si>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</si>
  <si>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</si>
  <si>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</si>
  <si>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</si>
  <si>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</si>
  <si>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</si>
  <si>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</si>
  <si>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</si>
  <si>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</si>
  <si>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</si>
  <si>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</si>
  <si>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</si>
  <si>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</si>
  <si>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</si>
  <si>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</si>
  <si>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</si>
  <si>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</si>
  <si>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</si>
  <si>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</si>
  <si>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</si>
  <si>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</si>
  <si>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</si>
  <si>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</si>
  <si>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</si>
  <si>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</si>
  <si>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</si>
  <si>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</si>
  <si>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</si>
  <si>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</si>
  <si>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</si>
  <si>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</si>
  <si>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</si>
  <si>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</si>
  <si>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</si>
  <si>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</si>
  <si>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</si>
  <si>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</si>
  <si>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</si>
  <si>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</si>
  <si>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</si>
  <si>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</si>
  <si>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</si>
  <si>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</si>
  <si>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</si>
  <si>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</si>
  <si>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</si>
  <si>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</si>
  <si>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</si>
  <si>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</si>
  <si>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</si>
  <si>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</si>
  <si>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</si>
  <si>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</si>
  <si>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</si>
  <si>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</si>
  <si>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</si>
  <si>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</si>
  <si>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</si>
  <si>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</si>
  <si>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</si>
  <si>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</si>
  <si>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</si>
  <si>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</si>
  <si>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</si>
  <si>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</si>
  <si>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</si>
  <si>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</si>
  <si>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</si>
  <si>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</si>
  <si>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</si>
  <si>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</si>
  <si>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</si>
  <si>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</si>
  <si>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</si>
  <si>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</si>
  <si>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</si>
  <si>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</si>
  <si>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</si>
  <si>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</si>
  <si>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</si>
  <si>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</si>
  <si>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</si>
  <si>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</si>
  <si>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</si>
  <si>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</si>
  <si>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</si>
  <si>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</si>
  <si>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</si>
  <si>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</si>
  <si>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</si>
  <si>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</si>
  <si>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</si>
  <si>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</si>
  <si>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</si>
  <si>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</si>
  <si>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</si>
  <si>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</si>
  <si>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</si>
  <si>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</si>
  <si>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</si>
  <si>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</si>
  <si>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</si>
  <si>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</si>
  <si>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</si>
  <si>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</si>
  <si>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</si>
  <si>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</si>
  <si>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</si>
  <si>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</si>
  <si>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</si>
  <si>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</si>
  <si>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</si>
  <si>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</si>
  <si>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</si>
  <si>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</si>
  <si>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</si>
  <si>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</si>
  <si>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</si>
  <si>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</si>
  <si>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</si>
  <si>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</si>
  <si>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</si>
  <si>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</si>
  <si>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</si>
  <si>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</si>
  <si>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</si>
  <si>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</si>
  <si>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</si>
  <si>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</si>
  <si>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</si>
  <si>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</si>
  <si>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</si>
  <si>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</si>
  <si>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</si>
  <si>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</si>
  <si>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</si>
  <si>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</si>
  <si>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</si>
  <si>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</si>
  <si>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</si>
  <si>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</si>
  <si>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</si>
  <si>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</si>
  <si>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</si>
  <si>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</si>
  <si>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</si>
  <si>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</si>
  <si>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</si>
  <si>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</si>
  <si>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</si>
  <si>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</si>
  <si>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</si>
  <si>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</si>
  <si>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</si>
  <si>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</si>
  <si>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</si>
  <si>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</si>
  <si>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</si>
  <si>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</si>
  <si>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</si>
  <si>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</si>
  <si>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</si>
  <si>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</si>
  <si>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</si>
  <si>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</si>
  <si>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</si>
  <si>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</si>
  <si>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</si>
  <si>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</si>
  <si>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</si>
  <si>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</si>
  <si>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</si>
  <si>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</si>
  <si>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</si>
  <si>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</si>
  <si>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</si>
  <si>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</si>
  <si>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</si>
  <si>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</si>
  <si>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</si>
  <si>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</si>
  <si>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</si>
  <si>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</si>
  <si>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</si>
  <si>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</si>
  <si>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</si>
  <si>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</si>
  <si>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</si>
  <si>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</si>
  <si>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</si>
  <si>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</si>
  <si>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</si>
  <si>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</si>
  <si>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</si>
  <si>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</si>
  <si>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</si>
  <si>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</si>
  <si>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</si>
  <si>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</si>
  <si>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</si>
  <si>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</si>
  <si>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</si>
  <si>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</si>
  <si>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</si>
  <si>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</si>
  <si>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</si>
  <si>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</si>
  <si>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</si>
  <si>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</si>
  <si>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</si>
  <si>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</si>
  <si>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</si>
  <si>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</si>
  <si>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</si>
  <si>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</si>
  <si>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</si>
  <si>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</si>
  <si>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</si>
  <si>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</si>
  <si>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</si>
  <si>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</si>
  <si>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</si>
  <si>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</si>
  <si>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</si>
  <si>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</si>
  <si>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</si>
  <si>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</si>
  <si>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</si>
  <si>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</si>
  <si>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</si>
  <si>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</si>
  <si>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</si>
  <si>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</si>
  <si>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</si>
  <si>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</si>
  <si>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</si>
  <si>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</si>
  <si>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</si>
  <si>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</si>
  <si>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</si>
  <si>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</si>
  <si>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</si>
  <si>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</si>
  <si>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</si>
  <si>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</si>
  <si>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</si>
  <si>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</si>
  <si>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</si>
  <si>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</si>
  <si>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</si>
  <si>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</si>
  <si>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</si>
  <si>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</si>
  <si>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</si>
  <si>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</si>
  <si>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</si>
  <si>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</si>
  <si>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</si>
  <si>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</si>
  <si>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</si>
  <si>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</si>
  <si>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</si>
  <si>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</si>
  <si>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</si>
  <si>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</si>
  <si>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</si>
  <si>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</si>
  <si>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</si>
  <si>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</si>
  <si>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</si>
  <si>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</si>
  <si>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</si>
  <si>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</si>
  <si>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</si>
  <si>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</si>
  <si>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</si>
  <si>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</si>
  <si>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</si>
  <si>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</si>
  <si>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</si>
  <si>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</si>
  <si>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</si>
  <si>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</si>
  <si>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</si>
  <si>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</si>
  <si>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</si>
  <si>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</si>
  <si>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</si>
  <si>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</si>
  <si>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</si>
  <si>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</si>
  <si>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</si>
  <si>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</si>
  <si>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</si>
  <si>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</si>
  <si>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</si>
  <si>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</si>
  <si>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</si>
  <si>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</si>
  <si>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</si>
  <si>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</si>
  <si>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</si>
  <si>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</si>
  <si>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</si>
  <si>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</si>
  <si>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</si>
  <si>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</si>
  <si>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</si>
  <si>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</si>
  <si>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</si>
  <si>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</si>
  <si>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</si>
  <si>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</si>
  <si>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</si>
  <si>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</si>
  <si>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</si>
  <si>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</si>
  <si>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</si>
  <si>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</si>
  <si>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</si>
  <si>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</si>
  <si>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</si>
  <si>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</si>
  <si>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</si>
  <si>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</si>
  <si>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</si>
  <si>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</si>
  <si>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</si>
  <si>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</si>
  <si>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</si>
  <si>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</si>
  <si>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</si>
  <si>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</si>
  <si>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</si>
  <si>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</si>
  <si>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</si>
  <si>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</si>
  <si>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</si>
  <si>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</si>
  <si>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</si>
  <si>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</si>
  <si>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</si>
  <si>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</si>
  <si>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</si>
  <si>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</si>
  <si>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</si>
  <si>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</si>
  <si>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</si>
  <si>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</si>
  <si>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</si>
  <si>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</si>
  <si>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</si>
  <si>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</si>
  <si>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</si>
  <si>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</si>
  <si>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</si>
  <si>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</si>
  <si>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</si>
  <si>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</si>
  <si>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</si>
  <si>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</si>
  <si>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</si>
  <si>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</si>
  <si>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</si>
  <si>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</si>
  <si>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</si>
  <si>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</si>
  <si>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</si>
  <si>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</si>
  <si>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</si>
  <si>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</si>
  <si>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</si>
  <si>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</si>
  <si>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</si>
  <si>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</si>
  <si>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</si>
  <si>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</si>
  <si>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</si>
  <si>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</si>
  <si>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</si>
  <si>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</si>
  <si>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</si>
  <si>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</si>
  <si>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</si>
  <si>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</si>
  <si>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</si>
  <si>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</si>
  <si>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</si>
  <si>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</si>
  <si>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</si>
  <si>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</si>
  <si>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</si>
  <si>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</si>
  <si>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</si>
  <si>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</si>
  <si>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</si>
  <si>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</si>
  <si>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</si>
  <si>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</si>
  <si>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</si>
  <si>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</si>
  <si>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</si>
  <si>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</si>
  <si>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</si>
  <si>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</si>
  <si>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</si>
  <si>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</si>
  <si>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</si>
  <si>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</si>
  <si>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</si>
  <si>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</si>
  <si>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</si>
  <si>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</si>
  <si>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7704</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</si>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</sst>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5ZlRQj9ZURE"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4226</v>
      </c>
      <c r="C74" s="105" t="s">
        <v>1256</v>
      </c>
      <c r="D74" s="106" t="s">
        <v>1256</v>
      </c>
      <c r="E74" s="107" t="s">
        <v>1256</v>
      </c>
      <c r="F74" s="108" t="s">
        <v>333</v>
      </c>
      <c r="G74" s="104" t="s">
        <v>2376</v>
      </c>
      <c r="H74" s="110" t="str">
        <f>HYPERLINK("https://clips.twitch.tv/LachrymoseCourteousDelicataSeemsGood","51.28")</f>
        <v>51.28</v>
      </c>
      <c r="I74" s="226" t="s">
        <v>4238</v>
      </c>
      <c r="J74" s="226" t="s">
        <v>723</v>
      </c>
      <c r="K74" s="167" t="s">
        <v>1419</v>
      </c>
      <c r="L74" s="226" t="s">
        <v>3136</v>
      </c>
      <c r="M74" s="167" t="s">
        <v>4239</v>
      </c>
      <c r="N74" s="167" t="s">
        <v>4240</v>
      </c>
      <c r="O74" s="226" t="s">
        <v>379</v>
      </c>
      <c r="P74" s="110" t="str">
        <f>HYPERLINK("https://clips.twitch.tv/OpenFastVelociraptorPastaThat","16.00")</f>
        <v>16.00</v>
      </c>
      <c r="Q74" s="243"/>
      <c r="R74" s="243"/>
      <c r="S74" s="243"/>
      <c r="T74" s="243"/>
      <c r="U74" s="243"/>
      <c r="V74" s="243"/>
      <c r="W74" s="92"/>
      <c r="X74" s="198" t="s">
        <v>4241</v>
      </c>
      <c r="Y74" s="271"/>
      <c r="Z74" s="271"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3" t="str">
        <f>HYPERLINK("https://clips.twitch.tv/BovineSecretiveTireItsBoshyTime","49.95")</f>
        <v>49.95</v>
      </c>
      <c r="BC74" s="174" t="s">
        <v>926</v>
      </c>
      <c r="BD74" s="125" t="str">
        <f>HYPERLINK("https://youtu.be/TzgOslc32vU","28.68")</f>
        <v>28.68</v>
      </c>
      <c r="BE74" s="174" t="s">
        <v>4246</v>
      </c>
      <c r="BF74" s="174" t="s">
        <v>3596</v>
      </c>
      <c r="BG74" s="173"/>
      <c r="BH74" s="173"/>
      <c r="BI74" s="174"/>
      <c r="BJ74" s="173"/>
      <c r="BK74" s="174" t="s">
        <v>1184</v>
      </c>
      <c r="BL74" s="174" t="s">
        <v>3930</v>
      </c>
      <c r="BM74" s="173"/>
      <c r="BN74" s="173"/>
      <c r="BO74" s="173"/>
      <c r="BP74" s="173"/>
      <c r="BQ74" s="249"/>
      <c r="BR74" s="175"/>
      <c r="BS74" s="176" t="s">
        <v>706</v>
      </c>
      <c r="BT74" s="175" t="s">
        <v>4247</v>
      </c>
      <c r="BU74" s="175" t="s">
        <v>639</v>
      </c>
      <c r="BV74" s="175" t="s">
        <v>4248</v>
      </c>
      <c r="BW74" s="176" t="s">
        <v>4249</v>
      </c>
      <c r="BX74" s="253"/>
      <c r="BY74" s="253"/>
      <c r="BZ74" s="176"/>
      <c r="CA74" s="176" t="s">
        <v>4250</v>
      </c>
      <c r="CB74" s="175" t="s">
        <v>4251</v>
      </c>
      <c r="CC74" s="253"/>
      <c r="CD74" s="253"/>
      <c r="CE74" s="253"/>
      <c r="CF74" s="254"/>
      <c r="CG74" s="177" t="s">
        <v>4252</v>
      </c>
      <c r="CH74" s="132" t="str">
        <f>HYPERLINK("https://youtu.be/AR9q0_E3gEQ","28.75")</f>
        <v>28.75</v>
      </c>
      <c r="CI74" s="177" t="s">
        <v>4253</v>
      </c>
      <c r="CJ74" s="177"/>
      <c r="CK74" s="177"/>
      <c r="CL74" s="177"/>
      <c r="CM74" s="177" t="s">
        <v>2495</v>
      </c>
      <c r="CN74" s="264" t="s">
        <v>4097</v>
      </c>
      <c r="CO74" s="177" t="s">
        <v>4090</v>
      </c>
      <c r="CP74" s="256"/>
      <c r="CQ74" s="256"/>
      <c r="CR74" s="256"/>
      <c r="CS74" s="256"/>
      <c r="CT74" s="256"/>
      <c r="CU74" s="92"/>
      <c r="CV74" s="204" t="s">
        <v>4254</v>
      </c>
      <c r="CW74" s="257"/>
      <c r="CX74" s="204" t="s">
        <v>4153</v>
      </c>
      <c r="CY74" s="204" t="s">
        <v>4255</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4256</v>
      </c>
      <c r="DS74" s="205"/>
      <c r="DT74" s="259"/>
      <c r="DU74" s="259"/>
      <c r="DV74" s="259"/>
      <c r="DW74" s="259"/>
      <c r="DX74" s="259"/>
      <c r="DY74" s="259"/>
      <c r="DZ74" s="259"/>
      <c r="EA74" s="259"/>
      <c r="EB74" s="259"/>
      <c r="EC74" s="259"/>
      <c r="ED74" s="287"/>
    </row>
    <row r="75">
      <c r="A75" s="81" t="s">
        <v>4257</v>
      </c>
      <c r="B75" s="82" t="s">
        <v>4258</v>
      </c>
      <c r="C75" s="83" t="s">
        <v>981</v>
      </c>
      <c r="D75" s="84" t="s">
        <v>1256</v>
      </c>
      <c r="E75" s="85" t="s">
        <v>1256</v>
      </c>
      <c r="F75" s="86" t="s">
        <v>4050</v>
      </c>
      <c r="G75" s="82" t="s">
        <v>2681</v>
      </c>
      <c r="H75" s="88" t="s">
        <v>4112</v>
      </c>
      <c r="I75" s="99"/>
      <c r="J75" s="99"/>
      <c r="K75" s="99"/>
      <c r="L75" s="94" t="s">
        <v>345</v>
      </c>
      <c r="M75" s="99"/>
      <c r="N75" s="99"/>
      <c r="O75" s="94" t="s">
        <v>4259</v>
      </c>
      <c r="P75" s="94" t="s">
        <v>2551</v>
      </c>
      <c r="Q75" s="98" t="s">
        <v>234</v>
      </c>
      <c r="R75" s="99"/>
      <c r="S75" s="99"/>
      <c r="T75" s="94" t="s">
        <v>2274</v>
      </c>
      <c r="U75" s="94" t="s">
        <v>3576</v>
      </c>
      <c r="V75" s="87" t="s">
        <v>4260</v>
      </c>
      <c r="W75" s="92"/>
      <c r="X75" s="99"/>
      <c r="Y75" s="94"/>
      <c r="Z75" s="94" t="s">
        <v>3142</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374</v>
      </c>
      <c r="AR75" s="88" t="s">
        <v>2368</v>
      </c>
      <c r="AS75" s="99"/>
      <c r="AT75" s="94" t="s">
        <v>3758</v>
      </c>
      <c r="AU75" s="94" t="s">
        <v>4265</v>
      </c>
      <c r="AV75" s="88" t="s">
        <v>870</v>
      </c>
      <c r="AW75" s="88" t="s">
        <v>1694</v>
      </c>
      <c r="AX75" s="99"/>
      <c r="AY75" s="99"/>
      <c r="AZ75" s="87" t="s">
        <v>4266</v>
      </c>
      <c r="BA75" s="99"/>
      <c r="BB75" s="99"/>
      <c r="BC75" s="99"/>
      <c r="BD75" s="94"/>
      <c r="BE75" s="88" t="s">
        <v>3740</v>
      </c>
      <c r="BF75" s="99"/>
      <c r="BG75" s="88" t="s">
        <v>2070</v>
      </c>
      <c r="BH75" s="99"/>
      <c r="BI75" s="88" t="s">
        <v>2539</v>
      </c>
      <c r="BJ75" s="99"/>
      <c r="BK75" s="99"/>
      <c r="BL75" s="94" t="s">
        <v>2741</v>
      </c>
      <c r="BM75" s="99"/>
      <c r="BN75" s="99"/>
      <c r="BO75" s="99"/>
      <c r="BP75" s="87" t="s">
        <v>4267</v>
      </c>
      <c r="BQ75" s="94"/>
      <c r="BR75" s="99"/>
      <c r="BS75" s="99"/>
      <c r="BT75" s="94" t="s">
        <v>4268</v>
      </c>
      <c r="BU75" s="94" t="s">
        <v>4269</v>
      </c>
      <c r="BV75" s="99"/>
      <c r="BW75" s="94" t="s">
        <v>895</v>
      </c>
      <c r="BX75" s="99"/>
      <c r="BY75" s="99"/>
      <c r="BZ75" s="99"/>
      <c r="CA75" s="99"/>
      <c r="CB75" s="88" t="s">
        <v>4270</v>
      </c>
      <c r="CC75" s="94" t="s">
        <v>1599</v>
      </c>
      <c r="CD75" s="94" t="s">
        <v>372</v>
      </c>
      <c r="CE75" s="87" t="s">
        <v>4271</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1840</v>
      </c>
      <c r="DH75" s="100"/>
      <c r="DI75" s="99"/>
      <c r="DJ75" s="99"/>
      <c r="DK75" s="99"/>
      <c r="DL75" s="87" t="s">
        <v>3576</v>
      </c>
      <c r="DM75" s="94" t="s">
        <v>529</v>
      </c>
      <c r="DN75" s="99"/>
      <c r="DO75" s="94" t="s">
        <v>1024</v>
      </c>
      <c r="DP75" s="94" t="s">
        <v>4274</v>
      </c>
      <c r="DQ75" s="99"/>
      <c r="DR75" s="99"/>
      <c r="DS75" s="88" t="s">
        <v>2244</v>
      </c>
      <c r="DT75" s="99"/>
      <c r="DU75" s="99"/>
      <c r="DV75" s="94" t="s">
        <v>2897</v>
      </c>
      <c r="DW75" s="99"/>
      <c r="DX75" s="99"/>
      <c r="DY75" s="94" t="s">
        <v>4275</v>
      </c>
      <c r="DZ75" s="98" t="s">
        <v>3052</v>
      </c>
      <c r="EA75" s="98" t="str">
        <f>HYPERLINK("https://youtu.be/cSRvv7G0qWk","25.28")</f>
        <v>25.28</v>
      </c>
      <c r="EB75" s="94" t="s">
        <v>4276</v>
      </c>
      <c r="EC75" s="94" t="s">
        <v>4277</v>
      </c>
      <c r="ED75" s="261"/>
    </row>
    <row r="76">
      <c r="A76" s="166" t="s">
        <v>4278</v>
      </c>
      <c r="B76" s="104" t="s">
        <v>4279</v>
      </c>
      <c r="C76" s="105" t="s">
        <v>1256</v>
      </c>
      <c r="D76" s="106" t="s">
        <v>1256</v>
      </c>
      <c r="E76" s="107" t="s">
        <v>1256</v>
      </c>
      <c r="F76" s="108" t="s">
        <v>1256</v>
      </c>
      <c r="G76" s="104" t="s">
        <v>4051</v>
      </c>
      <c r="H76" s="167" t="s">
        <v>1285</v>
      </c>
      <c r="I76" s="167" t="s">
        <v>4280</v>
      </c>
      <c r="J76" s="167" t="s">
        <v>4281</v>
      </c>
      <c r="K76" s="167" t="s">
        <v>4282</v>
      </c>
      <c r="L76" s="167" t="s">
        <v>4283</v>
      </c>
      <c r="M76" s="167" t="s">
        <v>4284</v>
      </c>
      <c r="N76" s="167" t="s">
        <v>4285</v>
      </c>
      <c r="O76" s="167" t="s">
        <v>3171</v>
      </c>
      <c r="P76" s="167" t="s">
        <v>3298</v>
      </c>
      <c r="Q76" s="167" t="s">
        <v>4286</v>
      </c>
      <c r="R76" s="167" t="s">
        <v>624</v>
      </c>
      <c r="S76" s="167" t="s">
        <v>4287</v>
      </c>
      <c r="T76" s="243"/>
      <c r="U76" s="243"/>
      <c r="V76" s="167" t="s">
        <v>4288</v>
      </c>
      <c r="W76" s="92"/>
      <c r="X76" s="198" t="s">
        <v>4289</v>
      </c>
      <c r="Y76" s="198"/>
      <c r="Z76" s="198" t="s">
        <v>4290</v>
      </c>
      <c r="AA76" s="198" t="s">
        <v>2979</v>
      </c>
      <c r="AB76" s="198" t="s">
        <v>2552</v>
      </c>
      <c r="AC76" s="198" t="s">
        <v>3568</v>
      </c>
      <c r="AD76" s="198" t="s">
        <v>4291</v>
      </c>
      <c r="AE76" s="198" t="s">
        <v>4292</v>
      </c>
      <c r="AF76" s="198" t="s">
        <v>4293</v>
      </c>
      <c r="AG76" s="198" t="s">
        <v>4139</v>
      </c>
      <c r="AH76" s="198" t="s">
        <v>4294</v>
      </c>
      <c r="AI76" s="198"/>
      <c r="AJ76" s="198" t="s">
        <v>4295</v>
      </c>
      <c r="AK76" s="198" t="s">
        <v>4296</v>
      </c>
      <c r="AL76" s="97"/>
      <c r="AM76" s="168" t="s">
        <v>1261</v>
      </c>
      <c r="AN76" s="168" t="s">
        <v>4297</v>
      </c>
      <c r="AO76" s="168" t="s">
        <v>4298</v>
      </c>
      <c r="AP76" s="168" t="s">
        <v>4299</v>
      </c>
      <c r="AQ76" s="168" t="s">
        <v>4300</v>
      </c>
      <c r="AR76" s="168" t="s">
        <v>755</v>
      </c>
      <c r="AS76" s="168" t="s">
        <v>1006</v>
      </c>
      <c r="AT76" s="168" t="s">
        <v>4301</v>
      </c>
      <c r="AU76" s="168" t="s">
        <v>327</v>
      </c>
      <c r="AV76" s="168" t="s">
        <v>4302</v>
      </c>
      <c r="AW76" s="168" t="s">
        <v>4303</v>
      </c>
      <c r="AX76" s="168" t="s">
        <v>1751</v>
      </c>
      <c r="AY76" s="168" t="s">
        <v>1727</v>
      </c>
      <c r="AZ76" s="168" t="s">
        <v>4304</v>
      </c>
      <c r="BA76" s="168"/>
      <c r="BB76" s="174" t="s">
        <v>593</v>
      </c>
      <c r="BC76" s="174" t="s">
        <v>4305</v>
      </c>
      <c r="BD76" s="174" t="s">
        <v>3014</v>
      </c>
      <c r="BE76" s="174" t="s">
        <v>264</v>
      </c>
      <c r="BF76" s="174" t="s">
        <v>3898</v>
      </c>
      <c r="BG76" s="174" t="s">
        <v>1218</v>
      </c>
      <c r="BH76" s="174" t="s">
        <v>2948</v>
      </c>
      <c r="BI76" s="174" t="s">
        <v>517</v>
      </c>
      <c r="BJ76" s="173"/>
      <c r="BK76" s="174" t="s">
        <v>4306</v>
      </c>
      <c r="BL76" s="174" t="s">
        <v>2656</v>
      </c>
      <c r="BM76" s="173"/>
      <c r="BN76" s="174" t="s">
        <v>3998</v>
      </c>
      <c r="BO76" s="174" t="s">
        <v>4307</v>
      </c>
      <c r="BP76" s="174" t="s">
        <v>4308</v>
      </c>
      <c r="BQ76" s="174"/>
      <c r="BR76" s="175"/>
      <c r="BS76" s="175" t="s">
        <v>4309</v>
      </c>
      <c r="BT76" s="175" t="s">
        <v>4310</v>
      </c>
      <c r="BU76" s="175" t="s">
        <v>4311</v>
      </c>
      <c r="BV76" s="175" t="s">
        <v>4312</v>
      </c>
      <c r="BW76" s="175" t="s">
        <v>4313</v>
      </c>
      <c r="BX76" s="175" t="s">
        <v>1398</v>
      </c>
      <c r="BY76" s="253"/>
      <c r="BZ76" s="175" t="s">
        <v>4314</v>
      </c>
      <c r="CA76" s="175" t="s">
        <v>4315</v>
      </c>
      <c r="CB76" s="175" t="s">
        <v>4316</v>
      </c>
      <c r="CC76" s="175" t="s">
        <v>4317</v>
      </c>
      <c r="CD76" s="175" t="s">
        <v>1130</v>
      </c>
      <c r="CE76" s="175" t="s">
        <v>4318</v>
      </c>
      <c r="CF76" s="175"/>
      <c r="CG76" s="177" t="s">
        <v>4319</v>
      </c>
      <c r="CH76" s="177" t="s">
        <v>4320</v>
      </c>
      <c r="CI76" s="177" t="s">
        <v>4321</v>
      </c>
      <c r="CJ76" s="177" t="s">
        <v>4322</v>
      </c>
      <c r="CK76" s="177"/>
      <c r="CL76" s="177" t="s">
        <v>241</v>
      </c>
      <c r="CM76" s="484" t="s">
        <v>4323</v>
      </c>
      <c r="CN76" s="177" t="s">
        <v>3287</v>
      </c>
      <c r="CO76" s="177" t="s">
        <v>3722</v>
      </c>
      <c r="CP76" s="256"/>
      <c r="CQ76" s="177" t="s">
        <v>1383</v>
      </c>
      <c r="CR76" s="177"/>
      <c r="CS76" s="177" t="s">
        <v>4324</v>
      </c>
      <c r="CT76" s="177" t="s">
        <v>4325</v>
      </c>
      <c r="CU76" s="92"/>
      <c r="CV76" s="204" t="s">
        <v>3041</v>
      </c>
      <c r="CW76" s="204" t="s">
        <v>4326</v>
      </c>
      <c r="CX76" s="204" t="s">
        <v>4327</v>
      </c>
      <c r="CY76" s="204" t="s">
        <v>1546</v>
      </c>
      <c r="CZ76" s="204" t="s">
        <v>4328</v>
      </c>
      <c r="DA76" s="204" t="s">
        <v>4329</v>
      </c>
      <c r="DB76" s="204" t="s">
        <v>4330</v>
      </c>
      <c r="DC76" s="204" t="s">
        <v>4331</v>
      </c>
      <c r="DD76" s="204" t="s">
        <v>725</v>
      </c>
      <c r="DE76" s="204" t="s">
        <v>4332</v>
      </c>
      <c r="DF76" s="204" t="s">
        <v>3128</v>
      </c>
      <c r="DG76" s="204" t="s">
        <v>4333</v>
      </c>
      <c r="DH76" s="204"/>
      <c r="DI76" s="205" t="s">
        <v>4334</v>
      </c>
      <c r="DJ76" s="205" t="s">
        <v>197</v>
      </c>
      <c r="DK76" s="205" t="s">
        <v>4335</v>
      </c>
      <c r="DL76" s="205"/>
      <c r="DM76" s="205" t="s">
        <v>4011</v>
      </c>
      <c r="DN76" s="205" t="s">
        <v>4336</v>
      </c>
      <c r="DO76" s="205" t="s">
        <v>394</v>
      </c>
      <c r="DP76" s="205" t="s">
        <v>4337</v>
      </c>
      <c r="DQ76" s="259"/>
      <c r="DR76" s="205" t="s">
        <v>4338</v>
      </c>
      <c r="DS76" s="205" t="s">
        <v>4339</v>
      </c>
      <c r="DT76" s="259"/>
      <c r="DU76" s="205" t="s">
        <v>3618</v>
      </c>
      <c r="DV76" s="205" t="s">
        <v>1359</v>
      </c>
      <c r="DW76" s="205" t="s">
        <v>966</v>
      </c>
      <c r="DX76" s="259"/>
      <c r="DY76" s="205" t="s">
        <v>2261</v>
      </c>
      <c r="DZ76" s="205" t="s">
        <v>3363</v>
      </c>
      <c r="EA76" s="205" t="s">
        <v>1091</v>
      </c>
      <c r="EB76" s="205" t="s">
        <v>4340</v>
      </c>
      <c r="EC76" s="205" t="s">
        <v>2417</v>
      </c>
      <c r="ED76" s="287" t="s">
        <v>3255</v>
      </c>
    </row>
    <row r="77">
      <c r="A77" s="81" t="s">
        <v>4341</v>
      </c>
      <c r="B77" s="82" t="s">
        <v>4342</v>
      </c>
      <c r="C77" s="83" t="s">
        <v>546</v>
      </c>
      <c r="D77" s="84" t="s">
        <v>1256</v>
      </c>
      <c r="E77" s="85" t="s">
        <v>1256</v>
      </c>
      <c r="F77" s="86" t="s">
        <v>647</v>
      </c>
      <c r="G77" s="82" t="s">
        <v>3537</v>
      </c>
      <c r="H77" s="94" t="s">
        <v>682</v>
      </c>
      <c r="I77" s="93" t="s">
        <v>4343</v>
      </c>
      <c r="J77" s="93" t="s">
        <v>3938</v>
      </c>
      <c r="K77" s="94" t="s">
        <v>2877</v>
      </c>
      <c r="L77" s="93" t="s">
        <v>4344</v>
      </c>
      <c r="M77" s="99"/>
      <c r="N77" s="93" t="s">
        <v>4345</v>
      </c>
      <c r="O77" s="93" t="s">
        <v>3197</v>
      </c>
      <c r="P77" s="94" t="s">
        <v>109</v>
      </c>
      <c r="Q77" s="99"/>
      <c r="R77" s="99"/>
      <c r="S77" s="94" t="s">
        <v>3201</v>
      </c>
      <c r="T77" s="94" t="s">
        <v>1791</v>
      </c>
      <c r="U77" s="99"/>
      <c r="V77" s="99"/>
      <c r="W77" s="92"/>
      <c r="X77" s="94" t="s">
        <v>4346</v>
      </c>
      <c r="Y77" s="94"/>
      <c r="Z77" s="94" t="s">
        <v>4347</v>
      </c>
      <c r="AA77" s="94" t="s">
        <v>4009</v>
      </c>
      <c r="AB77" s="94" t="s">
        <v>4348</v>
      </c>
      <c r="AC77" s="94" t="s">
        <v>4089</v>
      </c>
      <c r="AD77" s="94" t="s">
        <v>4349</v>
      </c>
      <c r="AE77" s="99"/>
      <c r="AF77" s="94"/>
      <c r="AG77" s="94" t="s">
        <v>3741</v>
      </c>
      <c r="AH77" s="99"/>
      <c r="AI77" s="94"/>
      <c r="AJ77" s="94" t="s">
        <v>2692</v>
      </c>
      <c r="AK77" s="99"/>
      <c r="AL77" s="97"/>
      <c r="AM77" s="94" t="s">
        <v>923</v>
      </c>
      <c r="AN77" s="94" t="s">
        <v>4350</v>
      </c>
      <c r="AO77" s="99"/>
      <c r="AP77" s="94" t="s">
        <v>1926</v>
      </c>
      <c r="AQ77" s="99"/>
      <c r="AR77" s="99"/>
      <c r="AS77" s="99"/>
      <c r="AT77" s="99"/>
      <c r="AU77" s="94" t="s">
        <v>4351</v>
      </c>
      <c r="AV77" s="94" t="s">
        <v>1369</v>
      </c>
      <c r="AW77" s="94"/>
      <c r="AX77" s="99"/>
      <c r="AY77" s="94" t="s">
        <v>130</v>
      </c>
      <c r="AZ77" s="99"/>
      <c r="BA77" s="99"/>
      <c r="BB77" s="94" t="s">
        <v>4352</v>
      </c>
      <c r="BC77" s="94" t="s">
        <v>449</v>
      </c>
      <c r="BD77" s="94" t="s">
        <v>3159</v>
      </c>
      <c r="BE77" s="93" t="s">
        <v>4353</v>
      </c>
      <c r="BF77" s="94" t="s">
        <v>1601</v>
      </c>
      <c r="BG77" s="99"/>
      <c r="BH77" s="99"/>
      <c r="BI77" s="94" t="s">
        <v>1325</v>
      </c>
      <c r="BJ77" s="94"/>
      <c r="BK77" s="94"/>
      <c r="BL77" s="94" t="s">
        <v>2055</v>
      </c>
      <c r="BM77" s="99"/>
      <c r="BN77" s="94" t="s">
        <v>3114</v>
      </c>
      <c r="BO77" s="94" t="s">
        <v>4307</v>
      </c>
      <c r="BP77" s="99"/>
      <c r="BQ77" s="236"/>
      <c r="BR77" s="94"/>
      <c r="BS77" s="93" t="s">
        <v>4354</v>
      </c>
      <c r="BT77" s="94" t="s">
        <v>4045</v>
      </c>
      <c r="BU77" s="94" t="s">
        <v>4355</v>
      </c>
      <c r="BV77" s="94" t="s">
        <v>4356</v>
      </c>
      <c r="BW77" s="94" t="s">
        <v>738</v>
      </c>
      <c r="BX77" s="87" t="s">
        <v>4357</v>
      </c>
      <c r="BY77" s="99"/>
      <c r="BZ77" s="94" t="s">
        <v>4358</v>
      </c>
      <c r="CA77" s="94" t="s">
        <v>2417</v>
      </c>
      <c r="CB77" s="93" t="s">
        <v>4359</v>
      </c>
      <c r="CC77" s="94" t="s">
        <v>4360</v>
      </c>
      <c r="CD77" s="94" t="s">
        <v>689</v>
      </c>
      <c r="CE77" s="99"/>
      <c r="CF77" s="236"/>
      <c r="CG77" s="93" t="s">
        <v>4361</v>
      </c>
      <c r="CH77" s="94" t="s">
        <v>4362</v>
      </c>
      <c r="CI77" s="93"/>
      <c r="CJ77" s="88" t="s">
        <v>4363</v>
      </c>
      <c r="CK77" s="102"/>
      <c r="CL77" s="102"/>
      <c r="CM77" s="94" t="s">
        <v>2904</v>
      </c>
      <c r="CN77" s="94" t="s">
        <v>1547</v>
      </c>
      <c r="CO77" s="94" t="s">
        <v>2551</v>
      </c>
      <c r="CP77" s="99"/>
      <c r="CQ77" s="99"/>
      <c r="CR77" s="99"/>
      <c r="CS77" s="99"/>
      <c r="CT77" s="99"/>
      <c r="CU77" s="92"/>
      <c r="CV77" s="94" t="s">
        <v>4364</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4365</v>
      </c>
      <c r="DS77" s="94"/>
      <c r="DT77" s="99"/>
      <c r="DU77" s="99"/>
      <c r="DV77" s="94" t="s">
        <v>2039</v>
      </c>
      <c r="DW77" s="99"/>
      <c r="DX77" s="99"/>
      <c r="DY77" s="99"/>
      <c r="DZ77" s="99"/>
      <c r="EA77" s="94" t="s">
        <v>957</v>
      </c>
      <c r="EB77" s="99"/>
      <c r="EC77" s="99"/>
      <c r="ED77" s="261"/>
    </row>
    <row r="78">
      <c r="A78" s="166" t="s">
        <v>4366</v>
      </c>
      <c r="B78" s="104" t="s">
        <v>4367</v>
      </c>
      <c r="C78" s="105" t="s">
        <v>1256</v>
      </c>
      <c r="D78" s="106" t="s">
        <v>1256</v>
      </c>
      <c r="E78" s="107" t="s">
        <v>1256</v>
      </c>
      <c r="F78" s="108" t="s">
        <v>1256</v>
      </c>
      <c r="G78" s="104" t="s">
        <v>2154</v>
      </c>
      <c r="H78" s="167"/>
      <c r="I78" s="167" t="s">
        <v>4368</v>
      </c>
      <c r="J78" s="167" t="s">
        <v>4369</v>
      </c>
      <c r="K78" s="167" t="s">
        <v>1952</v>
      </c>
      <c r="L78" s="167" t="s">
        <v>3726</v>
      </c>
      <c r="M78" s="167" t="s">
        <v>4370</v>
      </c>
      <c r="N78" s="167" t="s">
        <v>4371</v>
      </c>
      <c r="O78" s="167" t="s">
        <v>4116</v>
      </c>
      <c r="P78" s="167" t="s">
        <v>4372</v>
      </c>
      <c r="Q78" s="243"/>
      <c r="R78" s="243"/>
      <c r="S78" s="243"/>
      <c r="T78" s="243"/>
      <c r="U78" s="243"/>
      <c r="V78" s="243"/>
      <c r="W78" s="92"/>
      <c r="X78" s="198" t="s">
        <v>1763</v>
      </c>
      <c r="Y78" s="198"/>
      <c r="Z78" s="198" t="s">
        <v>4373</v>
      </c>
      <c r="AA78" s="198" t="s">
        <v>4374</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4375</v>
      </c>
      <c r="BD78" s="174" t="s">
        <v>2738</v>
      </c>
      <c r="BE78" s="174" t="s">
        <v>4376</v>
      </c>
      <c r="BF78" s="174" t="s">
        <v>4377</v>
      </c>
      <c r="BG78" s="174" t="s">
        <v>4378</v>
      </c>
      <c r="BH78" s="173"/>
      <c r="BI78" s="174" t="s">
        <v>2931</v>
      </c>
      <c r="BJ78" s="174" t="s">
        <v>4379</v>
      </c>
      <c r="BK78" s="174" t="s">
        <v>4380</v>
      </c>
      <c r="BL78" s="174" t="s">
        <v>3777</v>
      </c>
      <c r="BM78" s="173"/>
      <c r="BN78" s="173"/>
      <c r="BO78" s="173"/>
      <c r="BP78" s="173"/>
      <c r="BQ78" s="249"/>
      <c r="BR78" s="175" t="s">
        <v>4381</v>
      </c>
      <c r="BS78" s="175" t="s">
        <v>4382</v>
      </c>
      <c r="BT78" s="175" t="s">
        <v>4045</v>
      </c>
      <c r="BU78" s="175" t="s">
        <v>3079</v>
      </c>
      <c r="BV78" s="175" t="s">
        <v>920</v>
      </c>
      <c r="BW78" s="175" t="s">
        <v>4383</v>
      </c>
      <c r="BX78" s="175" t="s">
        <v>4384</v>
      </c>
      <c r="BY78" s="175" t="s">
        <v>4385</v>
      </c>
      <c r="BZ78" s="175" t="s">
        <v>4386</v>
      </c>
      <c r="CA78" s="175" t="s">
        <v>3715</v>
      </c>
      <c r="CB78" s="253"/>
      <c r="CC78" s="253"/>
      <c r="CD78" s="253"/>
      <c r="CE78" s="253"/>
      <c r="CF78" s="254"/>
      <c r="CG78" s="177" t="s">
        <v>2205</v>
      </c>
      <c r="CH78" s="177" t="s">
        <v>2840</v>
      </c>
      <c r="CI78" s="177" t="s">
        <v>3882</v>
      </c>
      <c r="CJ78" s="177" t="s">
        <v>4387</v>
      </c>
      <c r="CK78" s="177"/>
      <c r="CL78" s="177" t="s">
        <v>4388</v>
      </c>
      <c r="CM78" s="177" t="s">
        <v>557</v>
      </c>
      <c r="CN78" s="177" t="s">
        <v>3964</v>
      </c>
      <c r="CO78" s="177" t="s">
        <v>3400</v>
      </c>
      <c r="CP78" s="256"/>
      <c r="CQ78" s="256"/>
      <c r="CR78" s="256"/>
      <c r="CS78" s="256"/>
      <c r="CT78" s="256"/>
      <c r="CU78" s="92"/>
      <c r="CV78" s="204" t="s">
        <v>4389</v>
      </c>
      <c r="CW78" s="204" t="s">
        <v>4390</v>
      </c>
      <c r="CX78" s="204" t="s">
        <v>4391</v>
      </c>
      <c r="CY78" s="204" t="s">
        <v>4392</v>
      </c>
      <c r="CZ78" s="204" t="s">
        <v>3319</v>
      </c>
      <c r="DA78" s="204" t="s">
        <v>4393</v>
      </c>
      <c r="DB78" s="204" t="s">
        <v>4394</v>
      </c>
      <c r="DC78" s="204" t="s">
        <v>4395</v>
      </c>
      <c r="DD78" s="257"/>
      <c r="DE78" s="257"/>
      <c r="DF78" s="257"/>
      <c r="DG78" s="257"/>
      <c r="DH78" s="258"/>
      <c r="DI78" s="259"/>
      <c r="DJ78" s="259"/>
      <c r="DK78" s="259"/>
      <c r="DL78" s="259"/>
      <c r="DM78" s="259"/>
      <c r="DN78" s="259"/>
      <c r="DO78" s="259"/>
      <c r="DP78" s="259"/>
      <c r="DQ78" s="259"/>
      <c r="DR78" s="205" t="s">
        <v>4396</v>
      </c>
      <c r="DS78" s="205" t="s">
        <v>4233</v>
      </c>
      <c r="DT78" s="259"/>
      <c r="DU78" s="259"/>
      <c r="DV78" s="259"/>
      <c r="DW78" s="259"/>
      <c r="DX78" s="259"/>
      <c r="DY78" s="259"/>
      <c r="DZ78" s="259"/>
      <c r="EA78" s="259"/>
      <c r="EB78" s="259"/>
      <c r="EC78" s="259"/>
      <c r="ED78" s="287"/>
    </row>
    <row r="79">
      <c r="A79" s="485" t="s">
        <v>4397</v>
      </c>
      <c r="B79" s="82" t="s">
        <v>4398</v>
      </c>
      <c r="C79" s="83" t="s">
        <v>1256</v>
      </c>
      <c r="D79" s="84" t="s">
        <v>1256</v>
      </c>
      <c r="E79" s="85" t="s">
        <v>1256</v>
      </c>
      <c r="F79" s="86" t="s">
        <v>546</v>
      </c>
      <c r="G79" s="82" t="s">
        <v>4399</v>
      </c>
      <c r="H79" s="94" t="s">
        <v>2125</v>
      </c>
      <c r="I79" s="94" t="s">
        <v>4400</v>
      </c>
      <c r="J79" s="94" t="s">
        <v>3630</v>
      </c>
      <c r="K79" s="94" t="s">
        <v>2278</v>
      </c>
      <c r="L79" s="94" t="s">
        <v>1109</v>
      </c>
      <c r="M79" s="94" t="s">
        <v>4401</v>
      </c>
      <c r="N79" s="94" t="s">
        <v>4402</v>
      </c>
      <c r="O79" s="94" t="s">
        <v>4403</v>
      </c>
      <c r="P79" s="94" t="s">
        <v>2551</v>
      </c>
      <c r="Q79" s="99"/>
      <c r="R79" s="99"/>
      <c r="S79" s="94" t="s">
        <v>1338</v>
      </c>
      <c r="T79" s="99"/>
      <c r="U79" s="94" t="s">
        <v>4404</v>
      </c>
      <c r="V79" s="99"/>
      <c r="W79" s="92"/>
      <c r="X79" s="94" t="s">
        <v>4405</v>
      </c>
      <c r="Y79" s="94"/>
      <c r="Z79" s="94" t="s">
        <v>4406</v>
      </c>
      <c r="AA79" s="94" t="s">
        <v>510</v>
      </c>
      <c r="AB79" s="94" t="s">
        <v>4407</v>
      </c>
      <c r="AC79" s="94" t="s">
        <v>3924</v>
      </c>
      <c r="AD79" s="94" t="s">
        <v>4408</v>
      </c>
      <c r="AE79" s="99"/>
      <c r="AF79" s="94" t="s">
        <v>3005</v>
      </c>
      <c r="AG79" s="94" t="s">
        <v>4409</v>
      </c>
      <c r="AH79" s="94" t="s">
        <v>4410</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4411</v>
      </c>
      <c r="BF79" s="94" t="s">
        <v>4412</v>
      </c>
      <c r="BG79" s="94" t="s">
        <v>1293</v>
      </c>
      <c r="BH79" s="99"/>
      <c r="BI79" s="94" t="s">
        <v>2216</v>
      </c>
      <c r="BJ79" s="94" t="s">
        <v>4413</v>
      </c>
      <c r="BK79" s="99"/>
      <c r="BL79" s="94" t="s">
        <v>2499</v>
      </c>
      <c r="BM79" s="99"/>
      <c r="BN79" s="99"/>
      <c r="BO79" s="94" t="s">
        <v>4414</v>
      </c>
      <c r="BP79" s="99"/>
      <c r="BQ79" s="236"/>
      <c r="BR79" s="94" t="s">
        <v>4415</v>
      </c>
      <c r="BS79" s="317" t="s">
        <v>3513</v>
      </c>
      <c r="BT79" s="317" t="s">
        <v>4416</v>
      </c>
      <c r="BU79" s="317" t="s">
        <v>4417</v>
      </c>
      <c r="BV79" s="319" t="s">
        <v>1838</v>
      </c>
      <c r="BW79" s="317" t="s">
        <v>1808</v>
      </c>
      <c r="BX79" s="88" t="s">
        <v>163</v>
      </c>
      <c r="BY79" s="94" t="s">
        <v>4418</v>
      </c>
      <c r="BZ79" s="99"/>
      <c r="CA79" s="94" t="s">
        <v>4419</v>
      </c>
      <c r="CB79" s="99"/>
      <c r="CC79" s="99"/>
      <c r="CD79" s="99"/>
      <c r="CE79" s="99"/>
      <c r="CF79" s="236"/>
      <c r="CG79" s="317" t="s">
        <v>4420</v>
      </c>
      <c r="CH79" s="319" t="s">
        <v>1317</v>
      </c>
      <c r="CI79" s="319" t="s">
        <v>4421</v>
      </c>
      <c r="CJ79" s="319" t="s">
        <v>4422</v>
      </c>
      <c r="CK79" s="319"/>
      <c r="CL79" s="319" t="s">
        <v>551</v>
      </c>
      <c r="CM79" s="317" t="s">
        <v>4423</v>
      </c>
      <c r="CN79" s="319" t="s">
        <v>1781</v>
      </c>
      <c r="CO79" s="317" t="s">
        <v>2482</v>
      </c>
      <c r="CP79" s="99"/>
      <c r="CQ79" s="99"/>
      <c r="CR79" s="99"/>
      <c r="CS79" s="99"/>
      <c r="CT79" s="99"/>
      <c r="CU79" s="92"/>
      <c r="CV79" s="317" t="s">
        <v>4424</v>
      </c>
      <c r="CW79" s="319" t="s">
        <v>2584</v>
      </c>
      <c r="CX79" s="317" t="s">
        <v>1737</v>
      </c>
      <c r="CY79" s="317" t="s">
        <v>3148</v>
      </c>
      <c r="CZ79" s="317" t="s">
        <v>4425</v>
      </c>
      <c r="DA79" s="317" t="s">
        <v>1737</v>
      </c>
      <c r="DB79" s="319" t="s">
        <v>4426</v>
      </c>
      <c r="DC79" s="317" t="s">
        <v>3480</v>
      </c>
      <c r="DD79" s="99"/>
      <c r="DE79" s="99"/>
      <c r="DF79" s="99"/>
      <c r="DG79" s="99"/>
      <c r="DH79" s="236"/>
      <c r="DI79" s="317"/>
      <c r="DJ79" s="317"/>
      <c r="DK79" s="317"/>
      <c r="DL79" s="317"/>
      <c r="DM79" s="317"/>
      <c r="DN79" s="94" t="s">
        <v>4427</v>
      </c>
      <c r="DO79" s="317"/>
      <c r="DP79" s="317"/>
      <c r="DQ79" s="94" t="s">
        <v>3957</v>
      </c>
      <c r="DR79" s="94" t="s">
        <v>4428</v>
      </c>
      <c r="DS79" s="94" t="s">
        <v>4429</v>
      </c>
      <c r="DT79" s="94" t="s">
        <v>3760</v>
      </c>
      <c r="DU79" s="94" t="s">
        <v>3135</v>
      </c>
      <c r="DV79" s="317"/>
      <c r="DW79" s="317"/>
      <c r="DX79" s="99"/>
      <c r="DY79" s="94" t="s">
        <v>4430</v>
      </c>
      <c r="DZ79" s="317"/>
      <c r="EA79" s="317"/>
      <c r="EB79" s="317"/>
      <c r="EC79" s="94" t="s">
        <v>1077</v>
      </c>
      <c r="ED79" s="319" t="s">
        <v>4431</v>
      </c>
    </row>
    <row r="80">
      <c r="A80" s="362" t="s">
        <v>4432</v>
      </c>
      <c r="B80" s="104" t="s">
        <v>4433</v>
      </c>
      <c r="C80" s="105" t="s">
        <v>1256</v>
      </c>
      <c r="D80" s="106" t="s">
        <v>1256</v>
      </c>
      <c r="E80" s="107" t="s">
        <v>1256</v>
      </c>
      <c r="F80" s="108" t="s">
        <v>2773</v>
      </c>
      <c r="G80" s="104" t="s">
        <v>1949</v>
      </c>
      <c r="H80" s="112" t="s">
        <v>2849</v>
      </c>
      <c r="I80" s="293" t="s">
        <v>4434</v>
      </c>
      <c r="J80" s="167" t="s">
        <v>108</v>
      </c>
      <c r="K80" s="167" t="s">
        <v>4435</v>
      </c>
      <c r="L80" s="167" t="s">
        <v>4436</v>
      </c>
      <c r="M80" s="167" t="s">
        <v>4437</v>
      </c>
      <c r="N80" s="167" t="s">
        <v>4438</v>
      </c>
      <c r="O80" s="167" t="s">
        <v>372</v>
      </c>
      <c r="P80" s="167" t="s">
        <v>2979</v>
      </c>
      <c r="Q80" s="112" t="s">
        <v>4439</v>
      </c>
      <c r="R80" s="167" t="s">
        <v>2513</v>
      </c>
      <c r="S80" s="275" t="s">
        <v>3015</v>
      </c>
      <c r="T80" s="167" t="s">
        <v>3006</v>
      </c>
      <c r="U80" s="167" t="s">
        <v>1910</v>
      </c>
      <c r="V80" s="167" t="s">
        <v>4440</v>
      </c>
      <c r="W80" s="92"/>
      <c r="X80" s="295" t="s">
        <v>4441</v>
      </c>
      <c r="Y80" s="198"/>
      <c r="Z80" s="198" t="s">
        <v>3092</v>
      </c>
      <c r="AA80" s="271" t="s">
        <v>3521</v>
      </c>
      <c r="AB80" s="197" t="s">
        <v>3756</v>
      </c>
      <c r="AC80" s="197" t="s">
        <v>4442</v>
      </c>
      <c r="AD80" s="116" t="s">
        <v>4443</v>
      </c>
      <c r="AE80" s="246"/>
      <c r="AF80" s="116" t="s">
        <v>3305</v>
      </c>
      <c r="AG80" s="271" t="s">
        <v>1652</v>
      </c>
      <c r="AH80" s="198" t="s">
        <v>1978</v>
      </c>
      <c r="AI80" s="246"/>
      <c r="AJ80" s="198" t="s">
        <v>4010</v>
      </c>
      <c r="AK80" s="198" t="s">
        <v>4444</v>
      </c>
      <c r="AL80" s="97"/>
      <c r="AM80" s="168" t="s">
        <v>141</v>
      </c>
      <c r="AN80" s="168" t="s">
        <v>4445</v>
      </c>
      <c r="AO80" s="168" t="s">
        <v>4446</v>
      </c>
      <c r="AP80" s="168" t="s">
        <v>4447</v>
      </c>
      <c r="AQ80" s="168" t="s">
        <v>1422</v>
      </c>
      <c r="AR80" s="168" t="s">
        <v>3752</v>
      </c>
      <c r="AS80" s="168" t="s">
        <v>3666</v>
      </c>
      <c r="AT80" s="168" t="s">
        <v>4448</v>
      </c>
      <c r="AU80" s="168" t="s">
        <v>2819</v>
      </c>
      <c r="AV80" s="168" t="s">
        <v>1624</v>
      </c>
      <c r="AW80" s="168" t="s">
        <v>4449</v>
      </c>
      <c r="AX80" s="247"/>
      <c r="AY80" s="168" t="s">
        <v>1066</v>
      </c>
      <c r="AZ80" s="280" t="s">
        <v>4450</v>
      </c>
      <c r="BA80" s="168"/>
      <c r="BB80" s="174" t="s">
        <v>4451</v>
      </c>
      <c r="BC80" s="174" t="s">
        <v>4452</v>
      </c>
      <c r="BD80" s="126" t="s">
        <v>1392</v>
      </c>
      <c r="BE80" s="174" t="s">
        <v>4453</v>
      </c>
      <c r="BF80" s="174" t="s">
        <v>3730</v>
      </c>
      <c r="BG80" s="174" t="s">
        <v>4454</v>
      </c>
      <c r="BH80" s="174" t="s">
        <v>4455</v>
      </c>
      <c r="BI80" s="174" t="s">
        <v>2513</v>
      </c>
      <c r="BJ80" s="174" t="s">
        <v>4456</v>
      </c>
      <c r="BK80" s="174" t="s">
        <v>4457</v>
      </c>
      <c r="BL80" s="174" t="s">
        <v>2741</v>
      </c>
      <c r="BM80" s="174" t="s">
        <v>4458</v>
      </c>
      <c r="BN80" s="303" t="s">
        <v>3944</v>
      </c>
      <c r="BO80" s="174" t="s">
        <v>3778</v>
      </c>
      <c r="BP80" s="174" t="s">
        <v>4459</v>
      </c>
      <c r="BQ80" s="174"/>
      <c r="BR80" s="129" t="s">
        <v>4460</v>
      </c>
      <c r="BS80" s="175" t="s">
        <v>3361</v>
      </c>
      <c r="BT80" s="175" t="s">
        <v>4461</v>
      </c>
      <c r="BU80" s="129" t="s">
        <v>4462</v>
      </c>
      <c r="BV80" s="175" t="s">
        <v>4463</v>
      </c>
      <c r="BW80" s="175" t="s">
        <v>328</v>
      </c>
      <c r="BX80" s="253"/>
      <c r="BY80" s="175" t="s">
        <v>1769</v>
      </c>
      <c r="BZ80" s="176" t="s">
        <v>3658</v>
      </c>
      <c r="CA80" s="175" t="s">
        <v>4277</v>
      </c>
      <c r="CB80" s="175" t="s">
        <v>4464</v>
      </c>
      <c r="CC80" s="175" t="s">
        <v>4465</v>
      </c>
      <c r="CD80" s="175" t="s">
        <v>3225</v>
      </c>
      <c r="CE80" s="175" t="s">
        <v>4466</v>
      </c>
      <c r="CF80" s="254"/>
      <c r="CG80" s="177" t="s">
        <v>4467</v>
      </c>
      <c r="CH80" s="177" t="s">
        <v>968</v>
      </c>
      <c r="CI80" s="177" t="s">
        <v>4468</v>
      </c>
      <c r="CJ80" s="177" t="s">
        <v>4469</v>
      </c>
      <c r="CK80" s="177"/>
      <c r="CL80" s="177" t="s">
        <v>104</v>
      </c>
      <c r="CM80" s="177" t="s">
        <v>4470</v>
      </c>
      <c r="CN80" s="135" t="s">
        <v>4471</v>
      </c>
      <c r="CO80" s="177" t="s">
        <v>4472</v>
      </c>
      <c r="CP80" s="177" t="s">
        <v>4473</v>
      </c>
      <c r="CQ80" s="177" t="s">
        <v>4474</v>
      </c>
      <c r="CR80" s="177"/>
      <c r="CS80" s="177" t="s">
        <v>1433</v>
      </c>
      <c r="CT80" s="135" t="s">
        <v>4475</v>
      </c>
      <c r="CU80" s="92"/>
      <c r="CV80" s="204" t="s">
        <v>4476</v>
      </c>
      <c r="CW80" s="204" t="s">
        <v>1138</v>
      </c>
      <c r="CX80" s="204" t="s">
        <v>4477</v>
      </c>
      <c r="CY80" s="204" t="s">
        <v>3293</v>
      </c>
      <c r="CZ80" s="204" t="s">
        <v>1480</v>
      </c>
      <c r="DA80" s="204" t="s">
        <v>4478</v>
      </c>
      <c r="DB80" s="233" t="s">
        <v>4479</v>
      </c>
      <c r="DC80" s="204" t="s">
        <v>4480</v>
      </c>
      <c r="DD80" s="204" t="s">
        <v>4481</v>
      </c>
      <c r="DE80" s="204" t="s">
        <v>3003</v>
      </c>
      <c r="DF80" s="204" t="s">
        <v>1204</v>
      </c>
      <c r="DG80" s="140" t="s">
        <v>4482</v>
      </c>
      <c r="DH80" s="204"/>
      <c r="DI80" s="259"/>
      <c r="DJ80" s="259"/>
      <c r="DK80" s="205" t="s">
        <v>4483</v>
      </c>
      <c r="DL80" s="259"/>
      <c r="DM80" s="145" t="s">
        <v>3286</v>
      </c>
      <c r="DN80" s="205" t="s">
        <v>1997</v>
      </c>
      <c r="DO80" s="205" t="s">
        <v>4023</v>
      </c>
      <c r="DP80" s="205" t="s">
        <v>4484</v>
      </c>
      <c r="DQ80" s="205" t="s">
        <v>4485</v>
      </c>
      <c r="DR80" s="205" t="s">
        <v>4264</v>
      </c>
      <c r="DS80" s="205" t="s">
        <v>4486</v>
      </c>
      <c r="DT80" s="205" t="s">
        <v>3846</v>
      </c>
      <c r="DU80" s="205" t="s">
        <v>1717</v>
      </c>
      <c r="DV80" s="205" t="s">
        <v>2784</v>
      </c>
      <c r="DW80" s="205" t="s">
        <v>4487</v>
      </c>
      <c r="DX80" s="205" t="s">
        <v>4488</v>
      </c>
      <c r="DY80" s="205" t="s">
        <v>4489</v>
      </c>
      <c r="DZ80" s="205" t="s">
        <v>4490</v>
      </c>
      <c r="EA80" s="205" t="s">
        <v>4491</v>
      </c>
      <c r="EB80" s="145" t="s">
        <v>4492</v>
      </c>
      <c r="EC80" s="145" t="s">
        <v>4107</v>
      </c>
      <c r="ED80" s="142" t="s">
        <v>3058</v>
      </c>
    </row>
    <row r="81">
      <c r="A81" s="81" t="s">
        <v>4493</v>
      </c>
      <c r="B81" s="82" t="s">
        <v>4494</v>
      </c>
      <c r="C81" s="83" t="s">
        <v>1256</v>
      </c>
      <c r="D81" s="84" t="s">
        <v>1256</v>
      </c>
      <c r="E81" s="85" t="s">
        <v>1256</v>
      </c>
      <c r="F81" s="86" t="s">
        <v>221</v>
      </c>
      <c r="G81" s="82" t="s">
        <v>3098</v>
      </c>
      <c r="H81" s="94"/>
      <c r="I81" s="88" t="s">
        <v>4495</v>
      </c>
      <c r="J81" s="99" t="s">
        <v>1727</v>
      </c>
      <c r="K81" s="162" t="s">
        <v>4496</v>
      </c>
      <c r="L81" s="88" t="s">
        <v>4497</v>
      </c>
      <c r="M81" s="261" t="s">
        <v>1639</v>
      </c>
      <c r="N81" s="99"/>
      <c r="O81" s="93" t="s">
        <v>4498</v>
      </c>
      <c r="P81" s="88" t="s">
        <v>2551</v>
      </c>
      <c r="Q81" s="99"/>
      <c r="R81" s="94"/>
      <c r="S81" s="94"/>
      <c r="T81" s="99"/>
      <c r="U81" s="99"/>
      <c r="V81" s="99"/>
      <c r="W81" s="92"/>
      <c r="X81" s="88" t="s">
        <v>1747</v>
      </c>
      <c r="Y81" s="94"/>
      <c r="Z81" s="94" t="s">
        <v>4406</v>
      </c>
      <c r="AA81" s="88" t="s">
        <v>1428</v>
      </c>
      <c r="AB81" s="94" t="s">
        <v>4499</v>
      </c>
      <c r="AC81" s="88" t="s">
        <v>3337</v>
      </c>
      <c r="AD81" s="94" t="s">
        <v>2855</v>
      </c>
      <c r="AE81" s="99"/>
      <c r="AF81" s="94"/>
      <c r="AG81" s="99"/>
      <c r="AH81" s="99"/>
      <c r="AI81" s="99"/>
      <c r="AJ81" s="99"/>
      <c r="AK81" s="99"/>
      <c r="AL81" s="97"/>
      <c r="AM81" s="99"/>
      <c r="AN81" s="99"/>
      <c r="AO81" s="94" t="s">
        <v>4500</v>
      </c>
      <c r="AP81" s="99"/>
      <c r="AQ81" s="99"/>
      <c r="AR81" s="99"/>
      <c r="AS81" s="99"/>
      <c r="AT81" s="94" t="s">
        <v>1640</v>
      </c>
      <c r="AU81" s="93" t="s">
        <v>4501</v>
      </c>
      <c r="AV81" s="99"/>
      <c r="AW81" s="99"/>
      <c r="AX81" s="99"/>
      <c r="AY81" s="99"/>
      <c r="AZ81" s="99"/>
      <c r="BA81" s="99"/>
      <c r="BB81" s="99"/>
      <c r="BC81" s="99"/>
      <c r="BD81" s="94" t="s">
        <v>1287</v>
      </c>
      <c r="BE81" s="88" t="s">
        <v>4474</v>
      </c>
      <c r="BF81" s="94" t="s">
        <v>4502</v>
      </c>
      <c r="BG81" s="99"/>
      <c r="BH81" s="99"/>
      <c r="BI81" s="94" t="s">
        <v>1286</v>
      </c>
      <c r="BJ81" s="94" t="s">
        <v>4503</v>
      </c>
      <c r="BK81" s="94"/>
      <c r="BL81" s="99"/>
      <c r="BM81" s="99"/>
      <c r="BN81" s="99"/>
      <c r="BO81" s="99"/>
      <c r="BP81" s="99"/>
      <c r="BQ81" s="236"/>
      <c r="BR81" s="94" t="s">
        <v>4504</v>
      </c>
      <c r="BS81" s="93" t="s">
        <v>4382</v>
      </c>
      <c r="BT81" s="94" t="s">
        <v>2905</v>
      </c>
      <c r="BU81" s="88" t="s">
        <v>3717</v>
      </c>
      <c r="BV81" s="99"/>
      <c r="BW81" s="88" t="s">
        <v>315</v>
      </c>
      <c r="BX81" s="99"/>
      <c r="BY81" s="94" t="s">
        <v>4505</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4506</v>
      </c>
      <c r="CW81" s="99"/>
      <c r="CX81" s="93" t="s">
        <v>755</v>
      </c>
      <c r="CY81" s="94" t="s">
        <v>3266</v>
      </c>
      <c r="CZ81" s="94" t="s">
        <v>2000</v>
      </c>
      <c r="DA81" s="94" t="s">
        <v>474</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1"/>
    </row>
    <row r="82">
      <c r="A82" s="486" t="s">
        <v>4508</v>
      </c>
      <c r="B82" s="487" t="s">
        <v>4509</v>
      </c>
      <c r="C82" s="488" t="s">
        <v>1256</v>
      </c>
      <c r="D82" s="489" t="s">
        <v>1256</v>
      </c>
      <c r="E82" s="490" t="s">
        <v>1256</v>
      </c>
      <c r="F82" s="491" t="s">
        <v>437</v>
      </c>
      <c r="G82" s="487" t="s">
        <v>2545</v>
      </c>
      <c r="H82" s="293"/>
      <c r="I82" s="324" t="s">
        <v>4510</v>
      </c>
      <c r="J82" s="293" t="s">
        <v>761</v>
      </c>
      <c r="K82" s="293" t="s">
        <v>4511</v>
      </c>
      <c r="L82" s="293" t="s">
        <v>2946</v>
      </c>
      <c r="M82" s="112" t="s">
        <v>4512</v>
      </c>
      <c r="N82" s="293" t="s">
        <v>4513</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4514</v>
      </c>
      <c r="AV82" s="280" t="s">
        <v>1448</v>
      </c>
      <c r="AW82" s="280"/>
      <c r="AX82" s="496"/>
      <c r="AY82" s="496"/>
      <c r="AZ82" s="496"/>
      <c r="BA82" s="496"/>
      <c r="BB82" s="304" t="s">
        <v>2737</v>
      </c>
      <c r="BC82" s="304" t="s">
        <v>4515</v>
      </c>
      <c r="BD82" s="304" t="s">
        <v>296</v>
      </c>
      <c r="BE82" s="304" t="s">
        <v>4516</v>
      </c>
      <c r="BF82" s="304" t="s">
        <v>4517</v>
      </c>
      <c r="BG82" s="304"/>
      <c r="BH82" s="498"/>
      <c r="BI82" s="304" t="s">
        <v>1369</v>
      </c>
      <c r="BJ82" s="498"/>
      <c r="BK82" s="304" t="s">
        <v>4518</v>
      </c>
      <c r="BL82" s="304" t="s">
        <v>3589</v>
      </c>
      <c r="BM82" s="498"/>
      <c r="BN82" s="498"/>
      <c r="BO82" s="304"/>
      <c r="BP82" s="498"/>
      <c r="BQ82" s="499"/>
      <c r="BR82" s="306" t="s">
        <v>4519</v>
      </c>
      <c r="BS82" s="306" t="s">
        <v>4520</v>
      </c>
      <c r="BT82" s="306" t="s">
        <v>4521</v>
      </c>
      <c r="BU82" s="306" t="s">
        <v>4522</v>
      </c>
      <c r="BV82" s="306" t="s">
        <v>4523</v>
      </c>
      <c r="BW82" s="306" t="s">
        <v>820</v>
      </c>
      <c r="BX82" s="129" t="s">
        <v>4524</v>
      </c>
      <c r="BY82" s="306"/>
      <c r="BZ82" s="306" t="s">
        <v>4525</v>
      </c>
      <c r="CA82" s="306" t="s">
        <v>4526</v>
      </c>
      <c r="CB82" s="500"/>
      <c r="CC82" s="500"/>
      <c r="CD82" s="500"/>
      <c r="CE82" s="500"/>
      <c r="CF82" s="501"/>
      <c r="CG82" s="412" t="s">
        <v>4527</v>
      </c>
      <c r="CH82" s="412" t="s">
        <v>188</v>
      </c>
      <c r="CI82" s="412" t="s">
        <v>3644</v>
      </c>
      <c r="CJ82" s="412" t="s">
        <v>4528</v>
      </c>
      <c r="CK82" s="412"/>
      <c r="CL82" s="412" t="s">
        <v>4529</v>
      </c>
      <c r="CM82" s="412" t="s">
        <v>4530</v>
      </c>
      <c r="CN82" s="412" t="s">
        <v>1629</v>
      </c>
      <c r="CO82" s="412" t="s">
        <v>4531</v>
      </c>
      <c r="CP82" s="502"/>
      <c r="CQ82" s="503"/>
      <c r="CR82" s="503"/>
      <c r="CS82" s="503"/>
      <c r="CT82" s="503"/>
      <c r="CU82" s="493"/>
      <c r="CV82" s="300" t="s">
        <v>4532</v>
      </c>
      <c r="CW82" s="300" t="s">
        <v>4533</v>
      </c>
      <c r="CX82" s="300" t="s">
        <v>1114</v>
      </c>
      <c r="CY82" s="300" t="s">
        <v>3756</v>
      </c>
      <c r="CZ82" s="300" t="s">
        <v>2197</v>
      </c>
      <c r="DA82" s="300" t="s">
        <v>3861</v>
      </c>
      <c r="DB82" s="300" t="s">
        <v>4534</v>
      </c>
      <c r="DC82" s="300" t="s">
        <v>4331</v>
      </c>
      <c r="DD82" s="504"/>
      <c r="DE82" s="504"/>
      <c r="DF82" s="504"/>
      <c r="DG82" s="504"/>
      <c r="DH82" s="505"/>
      <c r="DI82" s="420" t="s">
        <v>4535</v>
      </c>
      <c r="DJ82" s="506"/>
      <c r="DK82" s="506"/>
      <c r="DL82" s="420"/>
      <c r="DM82" s="420"/>
      <c r="DN82" s="420"/>
      <c r="DO82" s="506"/>
      <c r="DP82" s="506"/>
      <c r="DQ82" s="506"/>
      <c r="DR82" s="420" t="s">
        <v>4536</v>
      </c>
      <c r="DS82" s="420" t="s">
        <v>4537</v>
      </c>
      <c r="DT82" s="506"/>
      <c r="DU82" s="420"/>
      <c r="DV82" s="506"/>
      <c r="DW82" s="506"/>
      <c r="DX82" s="506"/>
      <c r="DY82" s="506"/>
      <c r="DZ82" s="506"/>
      <c r="EA82" s="420"/>
      <c r="EB82" s="506"/>
      <c r="EC82" s="506"/>
      <c r="ED82" s="287"/>
    </row>
    <row r="83">
      <c r="A83" s="81" t="s">
        <v>4538</v>
      </c>
      <c r="B83" s="82" t="s">
        <v>4539</v>
      </c>
      <c r="C83" s="83" t="s">
        <v>1256</v>
      </c>
      <c r="D83" s="84" t="s">
        <v>1256</v>
      </c>
      <c r="E83" s="85" t="s">
        <v>1256</v>
      </c>
      <c r="F83" s="86" t="s">
        <v>2376</v>
      </c>
      <c r="G83" s="82" t="s">
        <v>742</v>
      </c>
      <c r="H83" s="88" t="s">
        <v>4540</v>
      </c>
      <c r="I83" s="88" t="s">
        <v>4541</v>
      </c>
      <c r="J83" s="267" t="s">
        <v>748</v>
      </c>
      <c r="K83" s="88" t="s">
        <v>4542</v>
      </c>
      <c r="L83" s="88" t="s">
        <v>209</v>
      </c>
      <c r="M83" s="88" t="s">
        <v>4543</v>
      </c>
      <c r="N83" s="88" t="s">
        <v>4544</v>
      </c>
      <c r="O83" s="88" t="s">
        <v>4545</v>
      </c>
      <c r="P83" s="88" t="s">
        <v>240</v>
      </c>
      <c r="Q83" s="88" t="s">
        <v>4546</v>
      </c>
      <c r="R83" s="94" t="s">
        <v>2054</v>
      </c>
      <c r="S83" s="94" t="s">
        <v>4247</v>
      </c>
      <c r="T83" s="94" t="s">
        <v>2146</v>
      </c>
      <c r="U83" s="94" t="s">
        <v>4547</v>
      </c>
      <c r="V83" s="94" t="s">
        <v>4548</v>
      </c>
      <c r="W83" s="92"/>
      <c r="X83" s="88" t="s">
        <v>1467</v>
      </c>
      <c r="Y83" s="102"/>
      <c r="Z83" s="88" t="s">
        <v>467</v>
      </c>
      <c r="AA83" s="88" t="s">
        <v>294</v>
      </c>
      <c r="AB83" s="94" t="s">
        <v>4549</v>
      </c>
      <c r="AC83" s="94" t="s">
        <v>3156</v>
      </c>
      <c r="AD83" s="88" t="s">
        <v>2923</v>
      </c>
      <c r="AE83" s="88" t="s">
        <v>4550</v>
      </c>
      <c r="AF83" s="88" t="s">
        <v>4551</v>
      </c>
      <c r="AG83" s="88" t="s">
        <v>1562</v>
      </c>
      <c r="AH83" s="94" t="s">
        <v>4552</v>
      </c>
      <c r="AI83" s="94" t="s">
        <v>4553</v>
      </c>
      <c r="AJ83" s="94" t="s">
        <v>3637</v>
      </c>
      <c r="AK83" s="94" t="s">
        <v>4554</v>
      </c>
      <c r="AL83" s="97"/>
      <c r="AM83" s="94" t="s">
        <v>186</v>
      </c>
      <c r="AN83" s="94" t="s">
        <v>4555</v>
      </c>
      <c r="AO83" s="94" t="s">
        <v>4556</v>
      </c>
      <c r="AP83" s="94" t="s">
        <v>4557</v>
      </c>
      <c r="AQ83" s="94" t="s">
        <v>4558</v>
      </c>
      <c r="AR83" s="94"/>
      <c r="AS83" s="94" t="s">
        <v>3642</v>
      </c>
      <c r="AT83" s="94" t="s">
        <v>3022</v>
      </c>
      <c r="AU83" s="88" t="s">
        <v>2734</v>
      </c>
      <c r="AV83" s="88" t="s">
        <v>181</v>
      </c>
      <c r="AW83" s="88" t="s">
        <v>635</v>
      </c>
      <c r="AX83" s="94" t="s">
        <v>4559</v>
      </c>
      <c r="AY83" s="94" t="s">
        <v>3309</v>
      </c>
      <c r="AZ83" s="94" t="s">
        <v>4560</v>
      </c>
      <c r="BA83" s="94"/>
      <c r="BB83" s="88" t="s">
        <v>288</v>
      </c>
      <c r="BC83" s="88" t="s">
        <v>4305</v>
      </c>
      <c r="BD83" s="88" t="s">
        <v>4561</v>
      </c>
      <c r="BE83" s="88" t="s">
        <v>3525</v>
      </c>
      <c r="BF83" s="94" t="s">
        <v>4562</v>
      </c>
      <c r="BG83" s="94" t="s">
        <v>4563</v>
      </c>
      <c r="BH83" s="94" t="s">
        <v>4564</v>
      </c>
      <c r="BI83" s="88" t="s">
        <v>296</v>
      </c>
      <c r="BJ83" s="94" t="s">
        <v>4565</v>
      </c>
      <c r="BK83" s="94"/>
      <c r="BL83" s="88" t="s">
        <v>4566</v>
      </c>
      <c r="BM83" s="94" t="s">
        <v>4567</v>
      </c>
      <c r="BN83" s="94" t="s">
        <v>196</v>
      </c>
      <c r="BO83" s="88" t="s">
        <v>4568</v>
      </c>
      <c r="BP83" s="94" t="s">
        <v>4569</v>
      </c>
      <c r="BQ83" s="94"/>
      <c r="BR83" s="99"/>
      <c r="BS83" s="94" t="s">
        <v>4570</v>
      </c>
      <c r="BT83" s="88" t="s">
        <v>3871</v>
      </c>
      <c r="BU83" s="88" t="s">
        <v>1043</v>
      </c>
      <c r="BV83" s="88" t="s">
        <v>4571</v>
      </c>
      <c r="BW83" s="88" t="s">
        <v>2133</v>
      </c>
      <c r="BX83" s="94" t="s">
        <v>700</v>
      </c>
      <c r="BY83" s="94" t="s">
        <v>4572</v>
      </c>
      <c r="BZ83" s="99"/>
      <c r="CA83" s="88" t="s">
        <v>4573</v>
      </c>
      <c r="CB83" s="88" t="s">
        <v>4574</v>
      </c>
      <c r="CC83" s="88" t="s">
        <v>1134</v>
      </c>
      <c r="CD83" s="94" t="s">
        <v>112</v>
      </c>
      <c r="CE83" s="94" t="s">
        <v>4575</v>
      </c>
      <c r="CF83" s="94"/>
      <c r="CG83" s="267" t="s">
        <v>4576</v>
      </c>
      <c r="CH83" s="88" t="s">
        <v>1650</v>
      </c>
      <c r="CI83" s="88" t="s">
        <v>4577</v>
      </c>
      <c r="CJ83" s="94" t="s">
        <v>3328</v>
      </c>
      <c r="CK83" s="94"/>
      <c r="CL83" s="421" t="s">
        <v>4209</v>
      </c>
      <c r="CM83" s="88" t="s">
        <v>4578</v>
      </c>
      <c r="CN83" s="88" t="s">
        <v>4471</v>
      </c>
      <c r="CO83" s="88" t="s">
        <v>1692</v>
      </c>
      <c r="CP83" s="94" t="s">
        <v>4579</v>
      </c>
      <c r="CQ83" s="94" t="s">
        <v>774</v>
      </c>
      <c r="CR83" s="94" t="s">
        <v>2300</v>
      </c>
      <c r="CS83" s="94" t="s">
        <v>4580</v>
      </c>
      <c r="CT83" s="94" t="s">
        <v>942</v>
      </c>
      <c r="CU83" s="92"/>
      <c r="CV83" s="267" t="s">
        <v>4581</v>
      </c>
      <c r="CW83" s="88" t="s">
        <v>2066</v>
      </c>
      <c r="CX83" s="94" t="s">
        <v>2504</v>
      </c>
      <c r="CY83" s="94" t="s">
        <v>3469</v>
      </c>
      <c r="CZ83" s="94" t="s">
        <v>549</v>
      </c>
      <c r="DA83" s="94" t="s">
        <v>4025</v>
      </c>
      <c r="DB83" s="88" t="s">
        <v>4582</v>
      </c>
      <c r="DC83" s="94" t="s">
        <v>363</v>
      </c>
      <c r="DD83" s="94" t="s">
        <v>4583</v>
      </c>
      <c r="DE83" s="94" t="s">
        <v>1921</v>
      </c>
      <c r="DF83" s="94" t="s">
        <v>4584</v>
      </c>
      <c r="DG83" s="94" t="s">
        <v>4585</v>
      </c>
      <c r="DH83" s="94"/>
      <c r="DI83" s="94" t="s">
        <v>4586</v>
      </c>
      <c r="DJ83" s="94" t="s">
        <v>4587</v>
      </c>
      <c r="DK83" s="94" t="s">
        <v>2664</v>
      </c>
      <c r="DL83" s="88" t="s">
        <v>1465</v>
      </c>
      <c r="DM83" s="88" t="s">
        <v>4011</v>
      </c>
      <c r="DN83" s="94" t="s">
        <v>4588</v>
      </c>
      <c r="DO83" s="94" t="s">
        <v>4589</v>
      </c>
      <c r="DP83" s="94" t="s">
        <v>3092</v>
      </c>
      <c r="DQ83" s="94" t="s">
        <v>4218</v>
      </c>
      <c r="DR83" s="88" t="s">
        <v>4590</v>
      </c>
      <c r="DS83" s="88" t="s">
        <v>3510</v>
      </c>
      <c r="DT83" s="88" t="s">
        <v>3791</v>
      </c>
      <c r="DU83" s="94" t="s">
        <v>2114</v>
      </c>
      <c r="DV83" s="94" t="s">
        <v>4591</v>
      </c>
      <c r="DW83" s="88" t="s">
        <v>2930</v>
      </c>
      <c r="DX83" s="94" t="s">
        <v>2229</v>
      </c>
      <c r="DY83" s="94" t="s">
        <v>1972</v>
      </c>
      <c r="DZ83" s="94" t="s">
        <v>2490</v>
      </c>
      <c r="EA83" s="94" t="s">
        <v>1454</v>
      </c>
      <c r="EB83" s="94" t="s">
        <v>1904</v>
      </c>
      <c r="EC83" s="94" t="s">
        <v>2768</v>
      </c>
      <c r="ED83" s="98" t="s">
        <v>4592</v>
      </c>
    </row>
    <row r="84">
      <c r="A84" s="166" t="s">
        <v>4593</v>
      </c>
      <c r="B84" s="104" t="s">
        <v>4594</v>
      </c>
      <c r="C84" s="105" t="s">
        <v>1256</v>
      </c>
      <c r="D84" s="106" t="s">
        <v>1256</v>
      </c>
      <c r="E84" s="107" t="s">
        <v>1256</v>
      </c>
      <c r="F84" s="108" t="s">
        <v>1256</v>
      </c>
      <c r="G84" s="104" t="s">
        <v>4595</v>
      </c>
      <c r="H84" s="243"/>
      <c r="I84" s="167" t="s">
        <v>4596</v>
      </c>
      <c r="J84" s="167" t="s">
        <v>4597</v>
      </c>
      <c r="K84" s="167" t="s">
        <v>4598</v>
      </c>
      <c r="L84" s="167" t="s">
        <v>2300</v>
      </c>
      <c r="M84" s="167" t="s">
        <v>4599</v>
      </c>
      <c r="N84" s="167" t="s">
        <v>4600</v>
      </c>
      <c r="O84" s="167" t="s">
        <v>846</v>
      </c>
      <c r="P84" s="167" t="s">
        <v>4061</v>
      </c>
      <c r="Q84" s="243"/>
      <c r="R84" s="167" t="s">
        <v>3752</v>
      </c>
      <c r="S84" s="167" t="s">
        <v>1504</v>
      </c>
      <c r="T84" s="243"/>
      <c r="U84" s="243"/>
      <c r="V84" s="243"/>
      <c r="W84" s="92"/>
      <c r="X84" s="198" t="s">
        <v>3585</v>
      </c>
      <c r="Y84" s="198"/>
      <c r="Z84" s="198" t="s">
        <v>363</v>
      </c>
      <c r="AA84" s="198" t="s">
        <v>2551</v>
      </c>
      <c r="AB84" s="302" t="s">
        <v>4601</v>
      </c>
      <c r="AC84" s="507" t="s">
        <v>4089</v>
      </c>
      <c r="AD84" s="198" t="s">
        <v>4602</v>
      </c>
      <c r="AE84" s="198"/>
      <c r="AF84" s="198" t="s">
        <v>4603</v>
      </c>
      <c r="AG84" s="198" t="s">
        <v>4604</v>
      </c>
      <c r="AH84" s="246"/>
      <c r="AI84" s="246"/>
      <c r="AJ84" s="246"/>
      <c r="AK84" s="198" t="s">
        <v>4605</v>
      </c>
      <c r="AL84" s="97"/>
      <c r="AM84" s="168"/>
      <c r="AN84" s="168" t="s">
        <v>4606</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4607</v>
      </c>
      <c r="BF84" s="174" t="s">
        <v>1601</v>
      </c>
      <c r="BG84" s="173"/>
      <c r="BH84" s="173"/>
      <c r="BI84" s="174" t="s">
        <v>2326</v>
      </c>
      <c r="BJ84" s="174" t="s">
        <v>4608</v>
      </c>
      <c r="BK84" s="174"/>
      <c r="BL84" s="173"/>
      <c r="BM84" s="173"/>
      <c r="BN84" s="174" t="s">
        <v>4609</v>
      </c>
      <c r="BO84" s="173"/>
      <c r="BP84" s="173"/>
      <c r="BQ84" s="249"/>
      <c r="BR84" s="175" t="s">
        <v>4610</v>
      </c>
      <c r="BS84" s="175" t="s">
        <v>3682</v>
      </c>
      <c r="BT84" s="175" t="s">
        <v>3229</v>
      </c>
      <c r="BU84" s="175" t="s">
        <v>4277</v>
      </c>
      <c r="BV84" s="175" t="s">
        <v>3006</v>
      </c>
      <c r="BW84" s="175" t="s">
        <v>3166</v>
      </c>
      <c r="BX84" s="253"/>
      <c r="BY84" s="175" t="s">
        <v>4611</v>
      </c>
      <c r="BZ84" s="175"/>
      <c r="CA84" s="175" t="s">
        <v>4612</v>
      </c>
      <c r="CB84" s="253"/>
      <c r="CC84" s="253"/>
      <c r="CD84" s="253"/>
      <c r="CE84" s="345" t="s">
        <v>4613</v>
      </c>
      <c r="CF84" s="345"/>
      <c r="CG84" s="177" t="s">
        <v>4614</v>
      </c>
      <c r="CH84" s="177" t="s">
        <v>4615</v>
      </c>
      <c r="CI84" s="177" t="s">
        <v>4616</v>
      </c>
      <c r="CJ84" s="177" t="s">
        <v>4617</v>
      </c>
      <c r="CK84" s="177"/>
      <c r="CL84" s="177"/>
      <c r="CM84" s="177" t="s">
        <v>1660</v>
      </c>
      <c r="CN84" s="177" t="s">
        <v>2719</v>
      </c>
      <c r="CO84" s="177" t="s">
        <v>432</v>
      </c>
      <c r="CP84" s="256"/>
      <c r="CQ84" s="256"/>
      <c r="CR84" s="256"/>
      <c r="CS84" s="256"/>
      <c r="CT84" s="177" t="s">
        <v>4618</v>
      </c>
      <c r="CU84" s="92"/>
      <c r="CV84" s="204" t="s">
        <v>4619</v>
      </c>
      <c r="CW84" s="257"/>
      <c r="CX84" s="204" t="s">
        <v>3989</v>
      </c>
      <c r="CY84" s="204" t="s">
        <v>4620</v>
      </c>
      <c r="CZ84" s="204" t="s">
        <v>4621</v>
      </c>
      <c r="DA84" s="204" t="s">
        <v>927</v>
      </c>
      <c r="DB84" s="204" t="s">
        <v>4622</v>
      </c>
      <c r="DC84" s="204" t="s">
        <v>4099</v>
      </c>
      <c r="DD84" s="257"/>
      <c r="DE84" s="257"/>
      <c r="DF84" s="257"/>
      <c r="DG84" s="204" t="s">
        <v>4623</v>
      </c>
      <c r="DH84" s="204"/>
      <c r="DI84" s="205" t="s">
        <v>4624</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4625</v>
      </c>
      <c r="B85" s="82" t="s">
        <v>4626</v>
      </c>
      <c r="C85" s="83" t="s">
        <v>1256</v>
      </c>
      <c r="D85" s="84" t="s">
        <v>1256</v>
      </c>
      <c r="E85" s="85" t="s">
        <v>1256</v>
      </c>
      <c r="F85" s="86" t="s">
        <v>437</v>
      </c>
      <c r="G85" s="82" t="s">
        <v>4627</v>
      </c>
      <c r="H85" s="94"/>
      <c r="I85" s="94" t="s">
        <v>4628</v>
      </c>
      <c r="J85" s="94" t="s">
        <v>2876</v>
      </c>
      <c r="K85" s="94" t="s">
        <v>3904</v>
      </c>
      <c r="L85" s="94" t="s">
        <v>4629</v>
      </c>
      <c r="M85" s="99"/>
      <c r="N85" s="94" t="s">
        <v>1224</v>
      </c>
      <c r="O85" s="94" t="s">
        <v>2468</v>
      </c>
      <c r="P85" s="94" t="s">
        <v>240</v>
      </c>
      <c r="Q85" s="99"/>
      <c r="R85" s="99"/>
      <c r="S85" s="99"/>
      <c r="T85" s="99"/>
      <c r="U85" s="99"/>
      <c r="V85" s="99"/>
      <c r="W85" s="92"/>
      <c r="X85" s="94" t="s">
        <v>4630</v>
      </c>
      <c r="Y85" s="94"/>
      <c r="Z85" s="94" t="s">
        <v>578</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4416</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3606</v>
      </c>
      <c r="CN85" s="94" t="s">
        <v>2172</v>
      </c>
      <c r="CO85" s="94" t="s">
        <v>4531</v>
      </c>
      <c r="CP85" s="99"/>
      <c r="CQ85" s="99"/>
      <c r="CR85" s="99"/>
      <c r="CS85" s="99"/>
      <c r="CT85" s="99"/>
      <c r="CU85" s="92"/>
      <c r="CV85" s="94" t="s">
        <v>4636</v>
      </c>
      <c r="CW85" s="99"/>
      <c r="CX85" s="94" t="s">
        <v>1972</v>
      </c>
      <c r="CY85" s="88" t="s">
        <v>4637</v>
      </c>
      <c r="CZ85" s="94" t="s">
        <v>4638</v>
      </c>
      <c r="DA85" s="94" t="s">
        <v>3386</v>
      </c>
      <c r="DB85" s="94" t="s">
        <v>4639</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3098</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4595</v>
      </c>
      <c r="H87" s="94"/>
      <c r="I87" s="94" t="s">
        <v>3675</v>
      </c>
      <c r="J87" s="94" t="s">
        <v>4649</v>
      </c>
      <c r="K87" s="94" t="s">
        <v>4650</v>
      </c>
      <c r="L87" s="94" t="s">
        <v>4651</v>
      </c>
      <c r="M87" s="99"/>
      <c r="N87" s="94" t="s">
        <v>4652</v>
      </c>
      <c r="O87" s="94" t="s">
        <v>4259</v>
      </c>
      <c r="P87" s="94" t="s">
        <v>4653</v>
      </c>
      <c r="Q87" s="99"/>
      <c r="R87" s="99"/>
      <c r="S87" s="94" t="s">
        <v>1203</v>
      </c>
      <c r="T87" s="99"/>
      <c r="U87" s="94" t="s">
        <v>1862</v>
      </c>
      <c r="V87" s="99"/>
      <c r="W87" s="92"/>
      <c r="X87" s="94" t="s">
        <v>1314</v>
      </c>
      <c r="Y87" s="94"/>
      <c r="Z87" s="94" t="s">
        <v>720</v>
      </c>
      <c r="AA87" s="94" t="s">
        <v>4654</v>
      </c>
      <c r="AB87" s="94" t="s">
        <v>3611</v>
      </c>
      <c r="AC87" s="94" t="s">
        <v>1781</v>
      </c>
      <c r="AD87" s="94" t="s">
        <v>1732</v>
      </c>
      <c r="AE87" s="99"/>
      <c r="AF87" s="94" t="s">
        <v>3146</v>
      </c>
      <c r="AG87" s="99"/>
      <c r="AH87" s="99"/>
      <c r="AI87" s="94"/>
      <c r="AJ87" s="94" t="s">
        <v>3140</v>
      </c>
      <c r="AK87" s="99"/>
      <c r="AL87" s="97"/>
      <c r="AM87" s="99"/>
      <c r="AN87" s="94" t="s">
        <v>4244</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1423</v>
      </c>
      <c r="BF87" s="94" t="s">
        <v>1509</v>
      </c>
      <c r="BG87" s="99"/>
      <c r="BH87" s="99"/>
      <c r="BI87" s="94" t="s">
        <v>1172</v>
      </c>
      <c r="BJ87" s="94" t="s">
        <v>4658</v>
      </c>
      <c r="BK87" s="94"/>
      <c r="BL87" s="99"/>
      <c r="BM87" s="99"/>
      <c r="BN87" s="94" t="s">
        <v>3688</v>
      </c>
      <c r="BO87" s="99"/>
      <c r="BP87" s="99"/>
      <c r="BQ87" s="236"/>
      <c r="BR87" s="94" t="s">
        <v>4659</v>
      </c>
      <c r="BS87" s="94" t="s">
        <v>3682</v>
      </c>
      <c r="BT87" s="94" t="s">
        <v>2307</v>
      </c>
      <c r="BU87" s="94" t="s">
        <v>4660</v>
      </c>
      <c r="BV87" s="94" t="s">
        <v>244</v>
      </c>
      <c r="BW87" s="94" t="s">
        <v>3855</v>
      </c>
      <c r="BX87" s="99"/>
      <c r="BY87" s="94" t="s">
        <v>2452</v>
      </c>
      <c r="BZ87" s="94" t="s">
        <v>4661</v>
      </c>
      <c r="CA87" s="94"/>
      <c r="CB87" s="99"/>
      <c r="CC87" s="94" t="s">
        <v>1480</v>
      </c>
      <c r="CD87" s="94" t="s">
        <v>144</v>
      </c>
      <c r="CE87" s="99"/>
      <c r="CF87" s="236"/>
      <c r="CG87" s="94" t="s">
        <v>3231</v>
      </c>
      <c r="CH87" s="94" t="s">
        <v>509</v>
      </c>
      <c r="CI87" s="513"/>
      <c r="CJ87" s="94" t="s">
        <v>4662</v>
      </c>
      <c r="CK87" s="94"/>
      <c r="CL87" s="94"/>
      <c r="CM87" s="94" t="s">
        <v>4663</v>
      </c>
      <c r="CN87" s="94" t="s">
        <v>2188</v>
      </c>
      <c r="CO87" s="99"/>
      <c r="CP87" s="99"/>
      <c r="CQ87" s="99"/>
      <c r="CR87" s="94"/>
      <c r="CS87" s="94" t="s">
        <v>4664</v>
      </c>
      <c r="CT87" s="99"/>
      <c r="CU87" s="92"/>
      <c r="CV87" s="94" t="s">
        <v>3860</v>
      </c>
      <c r="CW87" s="99"/>
      <c r="CX87" s="94" t="s">
        <v>4615</v>
      </c>
      <c r="CY87" s="94" t="s">
        <v>4665</v>
      </c>
      <c r="CZ87" s="94" t="s">
        <v>4349</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3682</v>
      </c>
      <c r="I88" s="427"/>
      <c r="J88" s="419" t="s">
        <v>4674</v>
      </c>
      <c r="K88" s="112" t="s">
        <v>987</v>
      </c>
      <c r="L88" s="112" t="s">
        <v>2200</v>
      </c>
      <c r="M88" s="112" t="s">
        <v>4675</v>
      </c>
      <c r="N88" s="419"/>
      <c r="O88" s="419" t="s">
        <v>108</v>
      </c>
      <c r="P88" s="112" t="s">
        <v>556</v>
      </c>
      <c r="Q88" s="112" t="s">
        <v>4676</v>
      </c>
      <c r="R88" s="112" t="s">
        <v>4005</v>
      </c>
      <c r="S88" s="243"/>
      <c r="T88" s="112" t="s">
        <v>4677</v>
      </c>
      <c r="U88" s="243"/>
      <c r="V88" s="112" t="s">
        <v>4678</v>
      </c>
      <c r="W88" s="92"/>
      <c r="X88" s="117"/>
      <c r="Y88" s="117"/>
      <c r="Z88" s="117" t="s">
        <v>2763</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3874</v>
      </c>
      <c r="BO88" s="126" t="s">
        <v>4687</v>
      </c>
      <c r="BP88" s="173"/>
      <c r="BQ88" s="249"/>
      <c r="BR88" s="131"/>
      <c r="BS88" s="131"/>
      <c r="BT88" s="129" t="s">
        <v>4688</v>
      </c>
      <c r="BU88" s="131"/>
      <c r="BV88" s="131"/>
      <c r="BW88" s="131"/>
      <c r="BX88" s="253"/>
      <c r="BY88" s="131" t="s">
        <v>4689</v>
      </c>
      <c r="BZ88" s="131" t="s">
        <v>4151</v>
      </c>
      <c r="CA88" s="131"/>
      <c r="CB88" s="253"/>
      <c r="CC88" s="129" t="s">
        <v>4690</v>
      </c>
      <c r="CD88" s="253"/>
      <c r="CE88" s="253"/>
      <c r="CF88" s="254"/>
      <c r="CG88" s="135" t="s">
        <v>1389</v>
      </c>
      <c r="CH88" s="135" t="s">
        <v>2355</v>
      </c>
      <c r="CI88" s="135" t="s">
        <v>1657</v>
      </c>
      <c r="CJ88" s="136"/>
      <c r="CK88" s="136"/>
      <c r="CL88" s="136"/>
      <c r="CM88" s="136"/>
      <c r="CN88" s="135" t="s">
        <v>1694</v>
      </c>
      <c r="CO88" s="135" t="s">
        <v>3942</v>
      </c>
      <c r="CP88" s="429"/>
      <c r="CQ88" s="256"/>
      <c r="CR88" s="232" t="s">
        <v>4691</v>
      </c>
      <c r="CS88" s="135" t="s">
        <v>2069</v>
      </c>
      <c r="CT88" s="256"/>
      <c r="CU88" s="92"/>
      <c r="CV88" s="285"/>
      <c r="CW88" s="285"/>
      <c r="CX88" s="140" t="s">
        <v>4692</v>
      </c>
      <c r="CY88" s="140" t="s">
        <v>2208</v>
      </c>
      <c r="CZ88" s="285"/>
      <c r="DA88" s="285"/>
      <c r="DB88" s="140" t="s">
        <v>4213</v>
      </c>
      <c r="DC88" s="140" t="s">
        <v>3833</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3869</v>
      </c>
      <c r="H89" s="94" t="s">
        <v>4698</v>
      </c>
      <c r="I89" s="94" t="s">
        <v>4130</v>
      </c>
      <c r="J89" s="94" t="s">
        <v>4321</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3911</v>
      </c>
      <c r="AA89" s="94" t="s">
        <v>4705</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4706</v>
      </c>
      <c r="BC89" s="94" t="s">
        <v>148</v>
      </c>
      <c r="BD89" s="94" t="s">
        <v>2705</v>
      </c>
      <c r="BE89" s="94" t="s">
        <v>4707</v>
      </c>
      <c r="BF89" s="94" t="s">
        <v>3387</v>
      </c>
      <c r="BG89" s="94"/>
      <c r="BH89" s="99"/>
      <c r="BI89" s="94" t="s">
        <v>1905</v>
      </c>
      <c r="BJ89" s="94" t="s">
        <v>4708</v>
      </c>
      <c r="BK89" s="94"/>
      <c r="BL89" s="94" t="s">
        <v>2535</v>
      </c>
      <c r="BM89" s="94" t="s">
        <v>4709</v>
      </c>
      <c r="BN89" s="94" t="s">
        <v>3688</v>
      </c>
      <c r="BO89" s="99"/>
      <c r="BP89" s="99"/>
      <c r="BQ89" s="236"/>
      <c r="BR89" s="94"/>
      <c r="BS89" s="94" t="s">
        <v>2214</v>
      </c>
      <c r="BT89" s="94" t="s">
        <v>4461</v>
      </c>
      <c r="BU89" s="88" t="s">
        <v>887</v>
      </c>
      <c r="BV89" s="94" t="s">
        <v>4710</v>
      </c>
      <c r="BW89" s="88" t="s">
        <v>162</v>
      </c>
      <c r="BX89" s="94" t="s">
        <v>3408</v>
      </c>
      <c r="BY89" s="94" t="s">
        <v>4711</v>
      </c>
      <c r="BZ89" s="99"/>
      <c r="CA89" s="88" t="s">
        <v>1237</v>
      </c>
      <c r="CB89" s="94" t="s">
        <v>4712</v>
      </c>
      <c r="CC89" s="94" t="s">
        <v>4713</v>
      </c>
      <c r="CD89" s="94" t="s">
        <v>590</v>
      </c>
      <c r="CE89" s="99"/>
      <c r="CF89" s="236"/>
      <c r="CG89" s="94" t="s">
        <v>4714</v>
      </c>
      <c r="CH89" s="94" t="s">
        <v>3337</v>
      </c>
      <c r="CI89" s="94" t="s">
        <v>3493</v>
      </c>
      <c r="CJ89" s="94" t="s">
        <v>4715</v>
      </c>
      <c r="CK89" s="94"/>
      <c r="CL89" s="94"/>
      <c r="CM89" s="94" t="s">
        <v>4716</v>
      </c>
      <c r="CN89" s="94" t="s">
        <v>3838</v>
      </c>
      <c r="CO89" s="94" t="s">
        <v>109</v>
      </c>
      <c r="CP89" s="99"/>
      <c r="CQ89" s="99"/>
      <c r="CR89" s="99"/>
      <c r="CS89" s="94" t="s">
        <v>4717</v>
      </c>
      <c r="CT89" s="99"/>
      <c r="CU89" s="92"/>
      <c r="CV89" s="94" t="s">
        <v>2553</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2961</v>
      </c>
      <c r="DT89" s="99"/>
      <c r="DU89" s="94" t="s">
        <v>4722</v>
      </c>
      <c r="DV89" s="94" t="s">
        <v>4723</v>
      </c>
      <c r="DW89" s="94" t="s">
        <v>3428</v>
      </c>
      <c r="DX89" s="99"/>
      <c r="DY89" s="99"/>
      <c r="DZ89" s="94" t="s">
        <v>4515</v>
      </c>
      <c r="EA89" s="94" t="s">
        <v>1317</v>
      </c>
      <c r="EB89" s="99"/>
      <c r="EC89" s="99"/>
      <c r="ED89" s="261"/>
    </row>
    <row r="90">
      <c r="A90" s="514" t="s">
        <v>4724</v>
      </c>
      <c r="B90" s="515" t="s">
        <v>4725</v>
      </c>
      <c r="C90" s="516" t="s">
        <v>1256</v>
      </c>
      <c r="D90" s="517" t="s">
        <v>1256</v>
      </c>
      <c r="E90" s="518" t="s">
        <v>1256</v>
      </c>
      <c r="F90" s="519" t="s">
        <v>2994</v>
      </c>
      <c r="G90" s="515" t="s">
        <v>1348</v>
      </c>
      <c r="H90" s="520" t="s">
        <v>4726</v>
      </c>
      <c r="I90" s="521" t="s">
        <v>4727</v>
      </c>
      <c r="J90" s="520" t="s">
        <v>4728</v>
      </c>
      <c r="K90" s="520" t="s">
        <v>2162</v>
      </c>
      <c r="L90" s="520" t="s">
        <v>2942</v>
      </c>
      <c r="M90" s="520" t="s">
        <v>4729</v>
      </c>
      <c r="N90" s="521" t="s">
        <v>4730</v>
      </c>
      <c r="O90" s="520" t="s">
        <v>372</v>
      </c>
      <c r="P90" s="522" t="s">
        <v>4731</v>
      </c>
      <c r="Q90" s="522" t="s">
        <v>4732</v>
      </c>
      <c r="R90" s="522" t="s">
        <v>2523</v>
      </c>
      <c r="S90" s="522" t="s">
        <v>3609</v>
      </c>
      <c r="T90" s="522" t="s">
        <v>1265</v>
      </c>
      <c r="U90" s="522" t="s">
        <v>4733</v>
      </c>
      <c r="V90" s="520" t="s">
        <v>4734</v>
      </c>
      <c r="W90" s="523"/>
      <c r="X90" s="524" t="s">
        <v>2967</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2998</v>
      </c>
      <c r="AQ90" s="530" t="s">
        <v>134</v>
      </c>
      <c r="AR90" s="530" t="s">
        <v>1931</v>
      </c>
      <c r="AS90" s="529" t="s">
        <v>4741</v>
      </c>
      <c r="AT90" s="530" t="s">
        <v>4742</v>
      </c>
      <c r="AU90" s="530" t="s">
        <v>3154</v>
      </c>
      <c r="AV90" s="531" t="s">
        <v>2536</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4377</v>
      </c>
      <c r="BI90" s="533" t="s">
        <v>2473</v>
      </c>
      <c r="BJ90" s="533" t="s">
        <v>4748</v>
      </c>
      <c r="BK90" s="174"/>
      <c r="BL90" s="535" t="s">
        <v>2499</v>
      </c>
      <c r="BM90" s="536"/>
      <c r="BN90" s="536"/>
      <c r="BO90" s="536"/>
      <c r="BP90" s="536"/>
      <c r="BQ90" s="537"/>
      <c r="BR90" s="538"/>
      <c r="BS90" s="539" t="s">
        <v>4749</v>
      </c>
      <c r="BT90" s="540" t="s">
        <v>4750</v>
      </c>
      <c r="BU90" s="539" t="s">
        <v>2850</v>
      </c>
      <c r="BV90" s="540" t="s">
        <v>4377</v>
      </c>
      <c r="BW90" s="540" t="s">
        <v>4751</v>
      </c>
      <c r="BX90" s="540" t="s">
        <v>4752</v>
      </c>
      <c r="BY90" s="541" t="s">
        <v>4753</v>
      </c>
      <c r="BZ90" s="538"/>
      <c r="CA90" s="542" t="s">
        <v>4754</v>
      </c>
      <c r="CB90" s="538"/>
      <c r="CC90" s="538"/>
      <c r="CD90" s="538"/>
      <c r="CE90" s="538"/>
      <c r="CF90" s="543"/>
      <c r="CG90" s="544" t="s">
        <v>4755</v>
      </c>
      <c r="CH90" s="545" t="s">
        <v>817</v>
      </c>
      <c r="CI90" s="546" t="s">
        <v>4681</v>
      </c>
      <c r="CJ90" s="545" t="s">
        <v>4756</v>
      </c>
      <c r="CK90" s="545"/>
      <c r="CL90" s="545" t="s">
        <v>2177</v>
      </c>
      <c r="CM90" s="545" t="s">
        <v>4757</v>
      </c>
      <c r="CN90" s="545" t="s">
        <v>1061</v>
      </c>
      <c r="CO90" s="546" t="s">
        <v>3608</v>
      </c>
      <c r="CP90" s="545"/>
      <c r="CQ90" s="546" t="s">
        <v>3275</v>
      </c>
      <c r="CR90" s="546" t="s">
        <v>4758</v>
      </c>
      <c r="CS90" s="547"/>
      <c r="CT90" s="547"/>
      <c r="CU90" s="523"/>
      <c r="CV90" s="548" t="s">
        <v>4563</v>
      </c>
      <c r="CW90" s="549" t="s">
        <v>2143</v>
      </c>
      <c r="CX90" s="550" t="s">
        <v>4759</v>
      </c>
      <c r="CY90" s="549" t="s">
        <v>4760</v>
      </c>
      <c r="CZ90" s="550" t="s">
        <v>4761</v>
      </c>
      <c r="DA90" s="548" t="s">
        <v>2132</v>
      </c>
      <c r="DB90" s="551" t="s">
        <v>4762</v>
      </c>
      <c r="DC90" s="552" t="s">
        <v>1055</v>
      </c>
      <c r="DD90" s="553"/>
      <c r="DE90" s="553"/>
      <c r="DF90" s="553"/>
      <c r="DG90" s="553"/>
      <c r="DH90" s="554"/>
      <c r="DI90" s="555" t="s">
        <v>3905</v>
      </c>
      <c r="DJ90" s="556"/>
      <c r="DK90" s="555" t="s">
        <v>4763</v>
      </c>
      <c r="DL90" s="555"/>
      <c r="DM90" s="557" t="s">
        <v>4764</v>
      </c>
      <c r="DN90" s="555" t="s">
        <v>4765</v>
      </c>
      <c r="DO90" s="555" t="s">
        <v>4766</v>
      </c>
      <c r="DP90" s="555" t="s">
        <v>2015</v>
      </c>
      <c r="DQ90" s="555" t="s">
        <v>4767</v>
      </c>
      <c r="DR90" s="555" t="s">
        <v>4768</v>
      </c>
      <c r="DS90" s="558" t="s">
        <v>4769</v>
      </c>
      <c r="DT90" s="555" t="s">
        <v>3349</v>
      </c>
      <c r="DU90" s="555" t="s">
        <v>4770</v>
      </c>
      <c r="DV90" s="559"/>
      <c r="DW90" s="557" t="s">
        <v>1626</v>
      </c>
      <c r="DX90" s="556"/>
      <c r="DY90" s="557" t="s">
        <v>3126</v>
      </c>
      <c r="DZ90" s="555" t="s">
        <v>2827</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2518</v>
      </c>
      <c r="J91" s="88" t="s">
        <v>2218</v>
      </c>
      <c r="K91" s="88" t="s">
        <v>1952</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4781</v>
      </c>
      <c r="BD91" s="88" t="s">
        <v>2217</v>
      </c>
      <c r="BE91" s="88" t="s">
        <v>4782</v>
      </c>
      <c r="BF91" s="88" t="s">
        <v>2165</v>
      </c>
      <c r="BG91" s="99"/>
      <c r="BH91" s="99"/>
      <c r="BI91" s="88" t="s">
        <v>610</v>
      </c>
      <c r="BJ91" s="99"/>
      <c r="BK91" s="88" t="s">
        <v>4783</v>
      </c>
      <c r="BL91" s="88" t="s">
        <v>2609</v>
      </c>
      <c r="BM91" s="99"/>
      <c r="BN91" s="99"/>
      <c r="BO91" s="99"/>
      <c r="BP91" s="99"/>
      <c r="BQ91" s="236"/>
      <c r="BR91" s="88" t="s">
        <v>4784</v>
      </c>
      <c r="BS91" s="88" t="s">
        <v>2241</v>
      </c>
      <c r="BT91" s="88" t="s">
        <v>3644</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3520</v>
      </c>
      <c r="CO91" s="88" t="s">
        <v>2673</v>
      </c>
      <c r="CP91" s="99"/>
      <c r="CQ91" s="99"/>
      <c r="CR91" s="99"/>
      <c r="CS91" s="99"/>
      <c r="CT91" s="99"/>
      <c r="CU91" s="92"/>
      <c r="CV91" s="88" t="s">
        <v>4789</v>
      </c>
      <c r="CW91" s="421" t="str">
        <f>HYPERLINK("https://youtu.be/E3G9EWGMU-8?t=986", "14.55")</f>
        <v>14.55</v>
      </c>
      <c r="CX91" s="88" t="s">
        <v>3568</v>
      </c>
      <c r="CY91" s="88" t="s">
        <v>4790</v>
      </c>
      <c r="CZ91" s="88" t="s">
        <v>623</v>
      </c>
      <c r="DA91" s="99"/>
      <c r="DB91" s="88" t="s">
        <v>4791</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4792</v>
      </c>
      <c r="EB91" s="88" t="s">
        <v>2803</v>
      </c>
      <c r="EC91" s="99"/>
      <c r="ED91" s="98" t="s">
        <v>1721</v>
      </c>
    </row>
    <row r="92">
      <c r="A92" s="166" t="s">
        <v>4793</v>
      </c>
      <c r="B92" s="104" t="s">
        <v>4794</v>
      </c>
      <c r="C92" s="105" t="s">
        <v>1256</v>
      </c>
      <c r="D92" s="106" t="s">
        <v>1256</v>
      </c>
      <c r="E92" s="107" t="s">
        <v>1256</v>
      </c>
      <c r="F92" s="108" t="s">
        <v>1197</v>
      </c>
      <c r="G92" s="104" t="s">
        <v>1812</v>
      </c>
      <c r="H92" s="167" t="s">
        <v>3466</v>
      </c>
      <c r="I92" s="167" t="s">
        <v>4795</v>
      </c>
      <c r="J92" s="167" t="s">
        <v>1364</v>
      </c>
      <c r="K92" s="167" t="s">
        <v>4598</v>
      </c>
      <c r="L92" s="167" t="s">
        <v>4796</v>
      </c>
      <c r="M92" s="243"/>
      <c r="N92" s="167" t="s">
        <v>2243</v>
      </c>
      <c r="O92" s="167" t="s">
        <v>4411</v>
      </c>
      <c r="P92" s="167" t="s">
        <v>4797</v>
      </c>
      <c r="Q92" s="167" t="s">
        <v>2820</v>
      </c>
      <c r="R92" s="243"/>
      <c r="S92" s="167" t="s">
        <v>196</v>
      </c>
      <c r="T92" s="243"/>
      <c r="U92" s="243"/>
      <c r="V92" s="167" t="s">
        <v>4798</v>
      </c>
      <c r="W92" s="92"/>
      <c r="X92" s="198" t="s">
        <v>4799</v>
      </c>
      <c r="Y92" s="198"/>
      <c r="Z92" s="198" t="s">
        <v>4800</v>
      </c>
      <c r="AA92" s="198" t="s">
        <v>240</v>
      </c>
      <c r="AB92" s="198" t="s">
        <v>4801</v>
      </c>
      <c r="AC92" s="198" t="s">
        <v>4802</v>
      </c>
      <c r="AD92" s="198" t="s">
        <v>3009</v>
      </c>
      <c r="AE92" s="198" t="s">
        <v>4475</v>
      </c>
      <c r="AF92" s="198" t="s">
        <v>1382</v>
      </c>
      <c r="AG92" s="198" t="s">
        <v>4372</v>
      </c>
      <c r="AH92" s="198" t="s">
        <v>1339</v>
      </c>
      <c r="AI92" s="198"/>
      <c r="AJ92" s="116" t="s">
        <v>4803</v>
      </c>
      <c r="AK92" s="198" t="s">
        <v>4804</v>
      </c>
      <c r="AL92" s="97"/>
      <c r="AM92" s="168" t="s">
        <v>3732</v>
      </c>
      <c r="AN92" s="168" t="s">
        <v>390</v>
      </c>
      <c r="AO92" s="168" t="s">
        <v>4805</v>
      </c>
      <c r="AP92" s="168" t="s">
        <v>4806</v>
      </c>
      <c r="AQ92" s="168" t="s">
        <v>1572</v>
      </c>
      <c r="AR92" s="168"/>
      <c r="AS92" s="168" t="s">
        <v>1530</v>
      </c>
      <c r="AT92" s="168" t="s">
        <v>1885</v>
      </c>
      <c r="AU92" s="168" t="s">
        <v>2482</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3353</v>
      </c>
      <c r="BO92" s="174" t="s">
        <v>2302</v>
      </c>
      <c r="BP92" s="174" t="s">
        <v>4814</v>
      </c>
      <c r="BQ92" s="174"/>
      <c r="BR92" s="253"/>
      <c r="BS92" s="253"/>
      <c r="BT92" s="175" t="s">
        <v>4815</v>
      </c>
      <c r="BU92" s="175" t="s">
        <v>2166</v>
      </c>
      <c r="BV92" s="175" t="s">
        <v>4816</v>
      </c>
      <c r="BW92" s="175" t="s">
        <v>2991</v>
      </c>
      <c r="BX92" s="253"/>
      <c r="BY92" s="175" t="s">
        <v>4817</v>
      </c>
      <c r="BZ92" s="253"/>
      <c r="CA92" s="175" t="s">
        <v>1111</v>
      </c>
      <c r="CB92" s="175" t="s">
        <v>4818</v>
      </c>
      <c r="CC92" s="175" t="s">
        <v>668</v>
      </c>
      <c r="CD92" s="175" t="s">
        <v>4142</v>
      </c>
      <c r="CE92" s="129" t="s">
        <v>4819</v>
      </c>
      <c r="CF92" s="298"/>
      <c r="CG92" s="177" t="s">
        <v>4820</v>
      </c>
      <c r="CH92" s="177" t="s">
        <v>1963</v>
      </c>
      <c r="CI92" s="256"/>
      <c r="CJ92" s="256"/>
      <c r="CK92" s="256"/>
      <c r="CL92" s="256" t="s">
        <v>3238</v>
      </c>
      <c r="CM92" s="256"/>
      <c r="CN92" s="177" t="s">
        <v>4821</v>
      </c>
      <c r="CO92" s="177" t="s">
        <v>3417</v>
      </c>
      <c r="CP92" s="256"/>
      <c r="CQ92" s="177" t="s">
        <v>4075</v>
      </c>
      <c r="CR92" s="256"/>
      <c r="CS92" s="256"/>
      <c r="CT92" s="135" t="s">
        <v>4822</v>
      </c>
      <c r="CU92" s="92"/>
      <c r="CV92" s="204" t="s">
        <v>2630</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4335</v>
      </c>
      <c r="DK92" s="259"/>
      <c r="DL92" s="205"/>
      <c r="DM92" s="205" t="s">
        <v>4653</v>
      </c>
      <c r="DN92" s="205" t="s">
        <v>4828</v>
      </c>
      <c r="DO92" s="145" t="s">
        <v>3958</v>
      </c>
      <c r="DP92" s="205" t="s">
        <v>3184</v>
      </c>
      <c r="DQ92" s="205" t="s">
        <v>2293</v>
      </c>
      <c r="DR92" s="205" t="s">
        <v>1033</v>
      </c>
      <c r="DS92" s="259"/>
      <c r="DT92" s="205" t="s">
        <v>4829</v>
      </c>
      <c r="DU92" s="205" t="s">
        <v>4830</v>
      </c>
      <c r="DV92" s="205" t="s">
        <v>4831</v>
      </c>
      <c r="DW92" s="205" t="s">
        <v>4832</v>
      </c>
      <c r="DX92" s="205" t="s">
        <v>1847</v>
      </c>
      <c r="DY92" s="205" t="s">
        <v>1311</v>
      </c>
      <c r="DZ92" s="205" t="s">
        <v>3573</v>
      </c>
      <c r="EA92" s="205" t="s">
        <v>3705</v>
      </c>
      <c r="EB92" s="205" t="s">
        <v>4833</v>
      </c>
      <c r="EC92" s="205" t="s">
        <v>1586</v>
      </c>
      <c r="ED92" s="287" t="s">
        <v>4834</v>
      </c>
    </row>
    <row r="93">
      <c r="A93" s="561" t="s">
        <v>4835</v>
      </c>
      <c r="B93" s="82" t="s">
        <v>4836</v>
      </c>
      <c r="C93" s="83" t="s">
        <v>1256</v>
      </c>
      <c r="D93" s="84" t="s">
        <v>1256</v>
      </c>
      <c r="E93" s="85" t="s">
        <v>1256</v>
      </c>
      <c r="F93" s="86" t="s">
        <v>2773</v>
      </c>
      <c r="G93" s="82" t="s">
        <v>2344</v>
      </c>
      <c r="H93" s="99"/>
      <c r="I93" s="99"/>
      <c r="J93" s="94" t="s">
        <v>4837</v>
      </c>
      <c r="K93" s="94" t="s">
        <v>995</v>
      </c>
      <c r="L93" s="94" t="s">
        <v>4838</v>
      </c>
      <c r="M93" s="94" t="s">
        <v>4839</v>
      </c>
      <c r="N93" s="94" t="s">
        <v>4840</v>
      </c>
      <c r="O93" s="94" t="s">
        <v>2798</v>
      </c>
      <c r="P93" s="88" t="s">
        <v>3104</v>
      </c>
      <c r="Q93" s="99"/>
      <c r="R93" s="99"/>
      <c r="S93" s="99"/>
      <c r="T93" s="99"/>
      <c r="U93" s="99"/>
      <c r="V93" s="94" t="s">
        <v>4841</v>
      </c>
      <c r="W93" s="92"/>
      <c r="X93" s="267" t="s">
        <v>4842</v>
      </c>
      <c r="Y93" s="94"/>
      <c r="Z93" s="94" t="s">
        <v>1004</v>
      </c>
      <c r="AA93" s="88" t="s">
        <v>1652</v>
      </c>
      <c r="AB93" s="88" t="s">
        <v>4843</v>
      </c>
      <c r="AC93" s="88" t="s">
        <v>2336</v>
      </c>
      <c r="AD93" s="267" t="s">
        <v>4332</v>
      </c>
      <c r="AE93" s="94"/>
      <c r="AF93" s="162" t="s">
        <v>3543</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4470</v>
      </c>
      <c r="BC93" s="94" t="s">
        <v>2014</v>
      </c>
      <c r="BD93" s="94" t="s">
        <v>2217</v>
      </c>
      <c r="BE93" s="88" t="s">
        <v>379</v>
      </c>
      <c r="BF93" s="94" t="s">
        <v>1227</v>
      </c>
      <c r="BG93" s="99"/>
      <c r="BH93" s="99"/>
      <c r="BI93" s="267" t="s">
        <v>2695</v>
      </c>
      <c r="BJ93" s="99"/>
      <c r="BK93" s="94" t="s">
        <v>4847</v>
      </c>
      <c r="BL93" s="99"/>
      <c r="BM93" s="94"/>
      <c r="BN93" s="94" t="s">
        <v>3275</v>
      </c>
      <c r="BO93" s="94" t="s">
        <v>4483</v>
      </c>
      <c r="BP93" s="99"/>
      <c r="BQ93" s="236"/>
      <c r="BR93" s="99"/>
      <c r="BS93" s="94" t="s">
        <v>2237</v>
      </c>
      <c r="BT93" s="98" t="s">
        <v>3687</v>
      </c>
      <c r="BU93" s="94" t="s">
        <v>2085</v>
      </c>
      <c r="BV93" s="94" t="s">
        <v>4848</v>
      </c>
      <c r="BW93" s="94" t="s">
        <v>2991</v>
      </c>
      <c r="BX93" s="99"/>
      <c r="BY93" s="99"/>
      <c r="BZ93" s="99"/>
      <c r="CA93" s="88" t="s">
        <v>4754</v>
      </c>
      <c r="CB93" s="88" t="s">
        <v>4849</v>
      </c>
      <c r="CC93" s="99"/>
      <c r="CD93" s="88" t="s">
        <v>3171</v>
      </c>
      <c r="CE93" s="94" t="s">
        <v>4850</v>
      </c>
      <c r="CF93" s="94"/>
      <c r="CG93" s="94" t="s">
        <v>4851</v>
      </c>
      <c r="CH93" s="88" t="s">
        <v>296</v>
      </c>
      <c r="CI93" s="94" t="s">
        <v>4852</v>
      </c>
      <c r="CJ93" s="94" t="s">
        <v>4853</v>
      </c>
      <c r="CK93" s="94"/>
      <c r="CL93" s="94"/>
      <c r="CM93" s="99"/>
      <c r="CN93" s="94" t="s">
        <v>4674</v>
      </c>
      <c r="CO93" s="88" t="s">
        <v>2673</v>
      </c>
      <c r="CP93" s="99"/>
      <c r="CQ93" s="94"/>
      <c r="CR93" s="99"/>
      <c r="CS93" s="99"/>
      <c r="CT93" s="94" t="s">
        <v>4854</v>
      </c>
      <c r="CU93" s="92"/>
      <c r="CV93" s="94" t="s">
        <v>4733</v>
      </c>
      <c r="CW93" s="99"/>
      <c r="CX93" s="267" t="s">
        <v>1603</v>
      </c>
      <c r="CY93" s="94" t="s">
        <v>4424</v>
      </c>
      <c r="CZ93" s="94" t="s">
        <v>4855</v>
      </c>
      <c r="DA93" s="94" t="s">
        <v>4856</v>
      </c>
      <c r="DB93" s="267" t="s">
        <v>4666</v>
      </c>
      <c r="DC93" s="94" t="s">
        <v>4099</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4673</v>
      </c>
      <c r="H94" s="419" t="s">
        <v>4126</v>
      </c>
      <c r="I94" s="427" t="s">
        <v>4865</v>
      </c>
      <c r="J94" s="112" t="s">
        <v>4866</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4867</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2090</v>
      </c>
      <c r="H95" s="94" t="s">
        <v>791</v>
      </c>
      <c r="I95" s="88" t="s">
        <v>4880</v>
      </c>
      <c r="J95" s="88" t="s">
        <v>4881</v>
      </c>
      <c r="K95" s="88" t="s">
        <v>3904</v>
      </c>
      <c r="L95" s="88" t="s">
        <v>2950</v>
      </c>
      <c r="M95" s="88" t="s">
        <v>3444</v>
      </c>
      <c r="N95" s="88" t="s">
        <v>4882</v>
      </c>
      <c r="O95" s="88" t="s">
        <v>4259</v>
      </c>
      <c r="P95" s="88" t="s">
        <v>4883</v>
      </c>
      <c r="Q95" s="88" t="s">
        <v>4884</v>
      </c>
      <c r="R95" s="99"/>
      <c r="S95" s="88" t="s">
        <v>3074</v>
      </c>
      <c r="T95" s="88" t="s">
        <v>4885</v>
      </c>
      <c r="U95" s="99"/>
      <c r="V95" s="94" t="s">
        <v>4886</v>
      </c>
      <c r="W95" s="92"/>
      <c r="X95" s="88" t="s">
        <v>1660</v>
      </c>
      <c r="Y95" s="99"/>
      <c r="Z95" s="99"/>
      <c r="AA95" s="88" t="s">
        <v>1068</v>
      </c>
      <c r="AB95" s="162" t="s">
        <v>4887</v>
      </c>
      <c r="AC95" s="88" t="s">
        <v>1481</v>
      </c>
      <c r="AD95" s="94" t="s">
        <v>2882</v>
      </c>
      <c r="AE95" s="99"/>
      <c r="AF95" s="88" t="s">
        <v>3543</v>
      </c>
      <c r="AG95" s="88" t="s">
        <v>118</v>
      </c>
      <c r="AH95" s="99"/>
      <c r="AI95" s="94" t="s">
        <v>2929</v>
      </c>
      <c r="AJ95" s="94" t="s">
        <v>756</v>
      </c>
      <c r="AK95" s="99"/>
      <c r="AL95" s="97"/>
      <c r="AM95" s="94" t="s">
        <v>4888</v>
      </c>
      <c r="AN95" s="94" t="s">
        <v>4889</v>
      </c>
      <c r="AO95" s="99"/>
      <c r="AP95" s="94" t="s">
        <v>4890</v>
      </c>
      <c r="AQ95" s="99"/>
      <c r="AR95" s="99"/>
      <c r="AS95" s="99"/>
      <c r="AT95" s="94" t="s">
        <v>3224</v>
      </c>
      <c r="AU95" s="88" t="s">
        <v>3480</v>
      </c>
      <c r="AV95" s="88" t="s">
        <v>3179</v>
      </c>
      <c r="AW95" s="88" t="s">
        <v>4891</v>
      </c>
      <c r="AX95" s="99"/>
      <c r="AY95" s="88" t="s">
        <v>4287</v>
      </c>
      <c r="AZ95" s="99"/>
      <c r="BA95" s="99"/>
      <c r="BB95" s="94" t="s">
        <v>2091</v>
      </c>
      <c r="BC95" s="94" t="s">
        <v>2828</v>
      </c>
      <c r="BD95" s="94" t="s">
        <v>1905</v>
      </c>
      <c r="BE95" s="88" t="s">
        <v>2422</v>
      </c>
      <c r="BF95" s="88" t="s">
        <v>4632</v>
      </c>
      <c r="BG95" s="99"/>
      <c r="BH95" s="99"/>
      <c r="BI95" s="88" t="s">
        <v>2931</v>
      </c>
      <c r="BJ95" s="99"/>
      <c r="BK95" s="88" t="s">
        <v>4892</v>
      </c>
      <c r="BL95" s="88" t="s">
        <v>2769</v>
      </c>
      <c r="BM95" s="99"/>
      <c r="BN95" s="88" t="s">
        <v>2490</v>
      </c>
      <c r="BO95" s="99"/>
      <c r="BP95" s="99"/>
      <c r="BQ95" s="236"/>
      <c r="BR95" s="88" t="s">
        <v>4893</v>
      </c>
      <c r="BS95" s="99"/>
      <c r="BT95" s="94" t="s">
        <v>4894</v>
      </c>
      <c r="BU95" s="88" t="s">
        <v>4526</v>
      </c>
      <c r="BV95" s="99"/>
      <c r="BW95" s="99"/>
      <c r="BX95" s="99"/>
      <c r="BY95" s="94" t="s">
        <v>4895</v>
      </c>
      <c r="BZ95" s="162" t="s">
        <v>802</v>
      </c>
      <c r="CA95" s="88" t="s">
        <v>4896</v>
      </c>
      <c r="CB95" s="88" t="s">
        <v>4897</v>
      </c>
      <c r="CC95" s="94" t="s">
        <v>4694</v>
      </c>
      <c r="CD95" s="88" t="s">
        <v>4069</v>
      </c>
      <c r="CE95" s="99"/>
      <c r="CF95" s="236"/>
      <c r="CG95" s="88" t="s">
        <v>4898</v>
      </c>
      <c r="CH95" s="88" t="s">
        <v>1394</v>
      </c>
      <c r="CI95" s="94" t="s">
        <v>4899</v>
      </c>
      <c r="CJ95" s="88" t="s">
        <v>4900</v>
      </c>
      <c r="CK95" s="102"/>
      <c r="CL95" s="88" t="s">
        <v>4901</v>
      </c>
      <c r="CM95" s="88" t="s">
        <v>4502</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3376</v>
      </c>
      <c r="DQ95" s="94" t="s">
        <v>4876</v>
      </c>
      <c r="DR95" s="99"/>
      <c r="DS95" s="99"/>
      <c r="DT95" s="94" t="s">
        <v>2926</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2877</v>
      </c>
      <c r="L96" s="167" t="s">
        <v>4637</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4774</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4630</v>
      </c>
      <c r="Y97" s="102"/>
      <c r="Z97" s="88" t="s">
        <v>2202</v>
      </c>
      <c r="AA97" s="88" t="s">
        <v>4374</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4452</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4622</v>
      </c>
      <c r="DC97" s="99"/>
      <c r="DD97" s="99"/>
      <c r="DE97" s="99"/>
      <c r="DF97" s="94" t="s">
        <v>372</v>
      </c>
      <c r="DG97" s="99"/>
      <c r="DH97" s="236"/>
      <c r="DI97" s="99"/>
      <c r="DJ97" s="99"/>
      <c r="DK97" s="99"/>
      <c r="DL97" s="88" t="s">
        <v>4553</v>
      </c>
      <c r="DM97" s="101" t="s">
        <v>179</v>
      </c>
      <c r="DN97" s="99"/>
      <c r="DO97" s="88" t="s">
        <v>421</v>
      </c>
      <c r="DP97" s="89" t="s">
        <v>4943</v>
      </c>
      <c r="DQ97" s="88" t="s">
        <v>4944</v>
      </c>
      <c r="DR97" s="99"/>
      <c r="DS97" s="99"/>
      <c r="DT97" s="99"/>
      <c r="DU97" s="94" t="s">
        <v>4461</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4807</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4657</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4401</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4353</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4442</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4329</v>
      </c>
      <c r="DB101" s="261" t="s">
        <v>5023</v>
      </c>
      <c r="DC101" s="261" t="s">
        <v>4395</v>
      </c>
      <c r="DD101" s="573"/>
      <c r="DE101" s="573"/>
      <c r="DF101" s="573"/>
      <c r="DG101" s="573"/>
      <c r="DH101" s="577"/>
      <c r="DI101" s="261"/>
      <c r="DJ101" s="573"/>
      <c r="DK101" s="573"/>
      <c r="DL101" s="261"/>
      <c r="DM101" s="261"/>
      <c r="DN101" s="261"/>
      <c r="DO101" s="573"/>
      <c r="DP101" s="573"/>
      <c r="DQ101" s="573"/>
      <c r="DR101" s="261" t="s">
        <v>3249</v>
      </c>
      <c r="DS101" s="261" t="s">
        <v>4488</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4467</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4621</v>
      </c>
      <c r="CN102" s="583" t="s">
        <v>1405</v>
      </c>
      <c r="CO102" s="177" t="s">
        <v>3150</v>
      </c>
      <c r="CP102" s="256"/>
      <c r="CQ102" s="256"/>
      <c r="CR102" s="177"/>
      <c r="CS102" s="177" t="s">
        <v>5047</v>
      </c>
      <c r="CT102" s="256"/>
      <c r="CU102" s="92"/>
      <c r="CV102" s="204" t="s">
        <v>5048</v>
      </c>
      <c r="CW102" s="204" t="s">
        <v>2584</v>
      </c>
      <c r="CX102" s="204" t="s">
        <v>5049</v>
      </c>
      <c r="CY102" s="204" t="s">
        <v>4408</v>
      </c>
      <c r="CZ102" s="257"/>
      <c r="DA102" s="204" t="s">
        <v>389</v>
      </c>
      <c r="DB102" s="204" t="s">
        <v>5050</v>
      </c>
      <c r="DC102" s="204" t="s">
        <v>4265</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4477</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4461</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4321</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4434</v>
      </c>
      <c r="BK104" s="174"/>
      <c r="BL104" s="174" t="s">
        <v>5110</v>
      </c>
      <c r="BM104" s="173"/>
      <c r="BN104" s="174" t="s">
        <v>1593</v>
      </c>
      <c r="BO104" s="173"/>
      <c r="BP104" s="173"/>
      <c r="BQ104" s="249"/>
      <c r="BR104" s="253"/>
      <c r="BS104" s="175" t="s">
        <v>5111</v>
      </c>
      <c r="BT104" s="175" t="s">
        <v>5112</v>
      </c>
      <c r="BU104" s="175" t="s">
        <v>4383</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4673</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4514</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4282</v>
      </c>
      <c r="L106" s="167" t="s">
        <v>2324</v>
      </c>
      <c r="M106" s="243"/>
      <c r="N106" s="167" t="s">
        <v>4345</v>
      </c>
      <c r="O106" s="167" t="s">
        <v>5142</v>
      </c>
      <c r="P106" s="167" t="s">
        <v>4061</v>
      </c>
      <c r="Q106" s="243"/>
      <c r="R106" s="243"/>
      <c r="S106" s="243"/>
      <c r="T106" s="243"/>
      <c r="U106" s="243"/>
      <c r="V106" s="243"/>
      <c r="W106" s="92"/>
      <c r="X106" s="198" t="s">
        <v>4803</v>
      </c>
      <c r="Y106" s="198"/>
      <c r="Z106" s="198" t="s">
        <v>3359</v>
      </c>
      <c r="AA106" s="198" t="s">
        <v>5143</v>
      </c>
      <c r="AB106" s="198" t="s">
        <v>4887</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4807</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4408</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4779</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4388</v>
      </c>
      <c r="L107" s="94" t="s">
        <v>5158</v>
      </c>
      <c r="M107" s="99"/>
      <c r="N107" s="94" t="s">
        <v>673</v>
      </c>
      <c r="O107" s="94" t="s">
        <v>3845</v>
      </c>
      <c r="P107" s="94" t="s">
        <v>4347</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4352</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4406</v>
      </c>
      <c r="AA108" s="198" t="s">
        <v>4094</v>
      </c>
      <c r="AB108" s="198" t="s">
        <v>4928</v>
      </c>
      <c r="AC108" s="198" t="s">
        <v>4320</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4451</v>
      </c>
      <c r="BC108" s="174" t="s">
        <v>3872</v>
      </c>
      <c r="BD108" s="173"/>
      <c r="BE108" s="174" t="s">
        <v>4411</v>
      </c>
      <c r="BF108" s="174" t="s">
        <v>5177</v>
      </c>
      <c r="BG108" s="173"/>
      <c r="BH108" s="173"/>
      <c r="BI108" s="174" t="s">
        <v>3356</v>
      </c>
      <c r="BJ108" s="174" t="s">
        <v>5178</v>
      </c>
      <c r="BK108" s="173"/>
      <c r="BL108" s="174" t="s">
        <v>1490</v>
      </c>
      <c r="BM108" s="173"/>
      <c r="BN108" s="173"/>
      <c r="BO108" s="173"/>
      <c r="BP108" s="173"/>
      <c r="BQ108" s="249"/>
      <c r="BR108" s="175" t="s">
        <v>5179</v>
      </c>
      <c r="BS108" s="175" t="s">
        <v>4291</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4496</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4566</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4885</v>
      </c>
      <c r="BC111" s="94" t="s">
        <v>3320</v>
      </c>
      <c r="BD111" s="94" t="s">
        <v>2181</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4803</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4452</v>
      </c>
      <c r="AN112" s="168" t="s">
        <v>1049</v>
      </c>
      <c r="AO112" s="247"/>
      <c r="AP112" s="168" t="s">
        <v>5237</v>
      </c>
      <c r="AQ112" s="168" t="s">
        <v>5238</v>
      </c>
      <c r="AR112" s="168" t="s">
        <v>2547</v>
      </c>
      <c r="AS112" s="121" t="s">
        <v>1748</v>
      </c>
      <c r="AT112" s="247"/>
      <c r="AU112" s="588" t="s">
        <v>3704</v>
      </c>
      <c r="AV112" s="280" t="s">
        <v>4702</v>
      </c>
      <c r="AW112" s="121" t="s">
        <v>4058</v>
      </c>
      <c r="AX112" s="247"/>
      <c r="AY112" s="168" t="s">
        <v>5239</v>
      </c>
      <c r="AZ112" s="247"/>
      <c r="BA112" s="247"/>
      <c r="BB112" s="174" t="s">
        <v>4361</v>
      </c>
      <c r="BC112" s="174" t="s">
        <v>1185</v>
      </c>
      <c r="BD112" s="126" t="s">
        <v>4670</v>
      </c>
      <c r="BE112" s="174" t="s">
        <v>3113</v>
      </c>
      <c r="BF112" s="174" t="s">
        <v>4349</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4874</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4388</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3114</v>
      </c>
      <c r="P114" s="596" t="s">
        <v>4876</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4289</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4562</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4337</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4515</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4718</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4372</v>
      </c>
      <c r="AH116" s="198" t="s">
        <v>1833</v>
      </c>
      <c r="AI116" s="198"/>
      <c r="AJ116" s="198" t="s">
        <v>1359</v>
      </c>
      <c r="AK116" s="198" t="s">
        <v>5356</v>
      </c>
      <c r="AL116" s="97"/>
      <c r="AM116" s="168" t="s">
        <v>1888</v>
      </c>
      <c r="AN116" s="168" t="s">
        <v>4274</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4248</v>
      </c>
      <c r="BH116" s="174" t="s">
        <v>4562</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4851</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4775</v>
      </c>
      <c r="H117" s="94" t="s">
        <v>664</v>
      </c>
      <c r="I117" s="94" t="s">
        <v>2501</v>
      </c>
      <c r="J117" s="94" t="s">
        <v>1752</v>
      </c>
      <c r="K117" s="94" t="s">
        <v>4053</v>
      </c>
      <c r="L117" s="94" t="s">
        <v>4619</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4576</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4436</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4532</v>
      </c>
      <c r="BF118" s="174" t="s">
        <v>5425</v>
      </c>
      <c r="BG118" s="174" t="s">
        <v>5426</v>
      </c>
      <c r="BH118" s="174" t="s">
        <v>4677</v>
      </c>
      <c r="BI118" s="174" t="s">
        <v>2326</v>
      </c>
      <c r="BJ118" s="174" t="s">
        <v>5427</v>
      </c>
      <c r="BK118" s="174" t="s">
        <v>5428</v>
      </c>
      <c r="BL118" s="174" t="s">
        <v>5429</v>
      </c>
      <c r="BM118" s="173"/>
      <c r="BN118" s="174" t="s">
        <v>2326</v>
      </c>
      <c r="BO118" s="174" t="s">
        <v>3574</v>
      </c>
      <c r="BP118" s="173"/>
      <c r="BQ118" s="249"/>
      <c r="BR118" s="175" t="s">
        <v>5430</v>
      </c>
      <c r="BS118" s="253"/>
      <c r="BT118" s="175" t="s">
        <v>4461</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4860</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267" t="s">
        <v>5459</v>
      </c>
      <c r="M119" s="102"/>
      <c r="N119" s="102" t="s">
        <v>4402</v>
      </c>
      <c r="O119" s="102" t="s">
        <v>417</v>
      </c>
      <c r="P119" s="88" t="s">
        <v>5460</v>
      </c>
      <c r="Q119" s="99"/>
      <c r="R119" s="99"/>
      <c r="S119" s="99"/>
      <c r="T119" s="99"/>
      <c r="U119" s="99"/>
      <c r="V119" s="99"/>
      <c r="W119" s="92"/>
      <c r="X119" s="102" t="s">
        <v>3831</v>
      </c>
      <c r="Y119" s="102"/>
      <c r="Z119" s="88" t="s">
        <v>1566</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4435</v>
      </c>
      <c r="L120" s="293" t="s">
        <v>4454</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4438</v>
      </c>
      <c r="BP120" s="174" t="s">
        <v>5498</v>
      </c>
      <c r="BQ120" s="174"/>
      <c r="BR120" s="175"/>
      <c r="BS120" s="175" t="s">
        <v>3898</v>
      </c>
      <c r="BT120" s="175" t="s">
        <v>3808</v>
      </c>
      <c r="BU120" s="175" t="s">
        <v>5499</v>
      </c>
      <c r="BV120" s="175" t="s">
        <v>4855</v>
      </c>
      <c r="BW120" s="175" t="s">
        <v>4417</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1881</v>
      </c>
      <c r="H121" s="261" t="s">
        <v>949</v>
      </c>
      <c r="I121" s="261" t="s">
        <v>5520</v>
      </c>
      <c r="J121" s="261" t="s">
        <v>2653</v>
      </c>
      <c r="K121" s="261" t="s">
        <v>4940</v>
      </c>
      <c r="L121" s="261" t="s">
        <v>5521</v>
      </c>
      <c r="M121" s="261" t="s">
        <v>5522</v>
      </c>
      <c r="N121" s="261" t="s">
        <v>5523</v>
      </c>
      <c r="O121" s="261" t="s">
        <v>5524</v>
      </c>
      <c r="P121" s="261" t="s">
        <v>5525</v>
      </c>
      <c r="Q121" s="573"/>
      <c r="R121" s="573"/>
      <c r="S121" s="575" t="s">
        <v>4807</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5" t="s">
        <v>3653</v>
      </c>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4542</v>
      </c>
      <c r="CX121" s="261" t="s">
        <v>5548</v>
      </c>
      <c r="CY121" s="261" t="s">
        <v>5549</v>
      </c>
      <c r="CZ121" s="261"/>
      <c r="DA121" s="261"/>
      <c r="DB121" s="261"/>
      <c r="DC121" s="261"/>
      <c r="DD121" s="573"/>
      <c r="DE121" s="575" t="s">
        <v>4143</v>
      </c>
      <c r="DF121" s="575" t="s">
        <v>1130</v>
      </c>
      <c r="DG121" s="573"/>
      <c r="DH121" s="577"/>
      <c r="DI121" s="261" t="s">
        <v>5550</v>
      </c>
      <c r="DJ121" s="573"/>
      <c r="DK121" s="573"/>
      <c r="DL121" s="261"/>
      <c r="DM121" s="261"/>
      <c r="DN121" s="261"/>
      <c r="DO121" s="573"/>
      <c r="DP121" s="573"/>
      <c r="DQ121" s="573"/>
      <c r="DR121" s="261" t="s">
        <v>5551</v>
      </c>
      <c r="DS121" s="261" t="s">
        <v>5552</v>
      </c>
      <c r="DT121" s="573"/>
      <c r="DU121" s="261"/>
      <c r="DV121" s="575" t="s">
        <v>5553</v>
      </c>
      <c r="DW121" s="573"/>
      <c r="DX121" s="573"/>
      <c r="DY121" s="573"/>
      <c r="DZ121" s="573"/>
      <c r="EA121" s="261" t="s">
        <v>5554</v>
      </c>
      <c r="EB121" s="573"/>
      <c r="EC121" s="575" t="s">
        <v>5555</v>
      </c>
      <c r="ED121" s="261"/>
    </row>
    <row r="122">
      <c r="A122" s="443" t="s">
        <v>5556</v>
      </c>
      <c r="B122" s="104" t="s">
        <v>5557</v>
      </c>
      <c r="C122" s="105" t="s">
        <v>1256</v>
      </c>
      <c r="D122" s="106" t="s">
        <v>1256</v>
      </c>
      <c r="E122" s="107" t="s">
        <v>1256</v>
      </c>
      <c r="F122" s="108" t="s">
        <v>2154</v>
      </c>
      <c r="G122" s="104" t="s">
        <v>5276</v>
      </c>
      <c r="H122" s="419"/>
      <c r="I122" s="110" t="s">
        <v>5558</v>
      </c>
      <c r="J122" s="112" t="s">
        <v>2588</v>
      </c>
      <c r="K122" s="112" t="s">
        <v>753</v>
      </c>
      <c r="L122" s="112" t="s">
        <v>5559</v>
      </c>
      <c r="M122" s="112" t="s">
        <v>5560</v>
      </c>
      <c r="N122" s="112" t="s">
        <v>5561</v>
      </c>
      <c r="O122" s="112" t="s">
        <v>626</v>
      </c>
      <c r="P122" s="112" t="s">
        <v>5562</v>
      </c>
      <c r="Q122" s="243"/>
      <c r="R122" s="243"/>
      <c r="S122" s="243"/>
      <c r="T122" s="243"/>
      <c r="U122" s="243"/>
      <c r="V122" s="243"/>
      <c r="W122" s="92"/>
      <c r="X122" s="116" t="s">
        <v>5563</v>
      </c>
      <c r="Y122" s="116" t="s">
        <v>5564</v>
      </c>
      <c r="Z122" s="116" t="s">
        <v>3091</v>
      </c>
      <c r="AA122" s="116" t="s">
        <v>5565</v>
      </c>
      <c r="AB122" s="116" t="s">
        <v>5566</v>
      </c>
      <c r="AC122" s="116" t="s">
        <v>1517</v>
      </c>
      <c r="AD122" s="116" t="s">
        <v>3758</v>
      </c>
      <c r="AE122" s="116" t="s">
        <v>3110</v>
      </c>
      <c r="AF122" s="116" t="s">
        <v>2725</v>
      </c>
      <c r="AG122" s="116" t="s">
        <v>4731</v>
      </c>
      <c r="AH122" s="246"/>
      <c r="AI122" s="246"/>
      <c r="AJ122" s="117"/>
      <c r="AK122" s="246"/>
      <c r="AL122" s="97"/>
      <c r="AM122" s="124"/>
      <c r="AN122" s="124"/>
      <c r="AO122" s="247"/>
      <c r="AP122" s="247"/>
      <c r="AQ122" s="168"/>
      <c r="AR122" s="168"/>
      <c r="AS122" s="247"/>
      <c r="AT122" s="247"/>
      <c r="AU122" s="121" t="s">
        <v>5567</v>
      </c>
      <c r="AV122" s="121" t="s">
        <v>5568</v>
      </c>
      <c r="AW122" s="124"/>
      <c r="AX122" s="247"/>
      <c r="AY122" s="247"/>
      <c r="AZ122" s="247"/>
      <c r="BA122" s="247"/>
      <c r="BB122" s="126" t="s">
        <v>2178</v>
      </c>
      <c r="BC122" s="126" t="s">
        <v>353</v>
      </c>
      <c r="BD122" s="126" t="s">
        <v>3254</v>
      </c>
      <c r="BE122" s="126" t="s">
        <v>1136</v>
      </c>
      <c r="BF122" s="126" t="s">
        <v>5569</v>
      </c>
      <c r="BG122" s="353"/>
      <c r="BH122" s="173"/>
      <c r="BI122" s="126" t="s">
        <v>1547</v>
      </c>
      <c r="BJ122" s="173"/>
      <c r="BK122" s="126" t="s">
        <v>5570</v>
      </c>
      <c r="BL122" s="126" t="s">
        <v>1776</v>
      </c>
      <c r="BM122" s="173"/>
      <c r="BN122" s="173"/>
      <c r="BO122" s="353"/>
      <c r="BP122" s="173"/>
      <c r="BQ122" s="249"/>
      <c r="BR122" s="129" t="s">
        <v>5571</v>
      </c>
      <c r="BS122" s="129" t="s">
        <v>5572</v>
      </c>
      <c r="BT122" s="129" t="s">
        <v>5573</v>
      </c>
      <c r="BU122" s="129" t="s">
        <v>5574</v>
      </c>
      <c r="BV122" s="129" t="s">
        <v>5039</v>
      </c>
      <c r="BW122" s="129" t="s">
        <v>326</v>
      </c>
      <c r="BX122" s="129" t="s">
        <v>5575</v>
      </c>
      <c r="BY122" s="131"/>
      <c r="BZ122" s="129" t="s">
        <v>5576</v>
      </c>
      <c r="CA122" s="129" t="s">
        <v>4417</v>
      </c>
      <c r="CB122" s="253"/>
      <c r="CC122" s="253"/>
      <c r="CD122" s="175"/>
      <c r="CE122" s="253"/>
      <c r="CF122" s="254"/>
      <c r="CG122" s="135" t="s">
        <v>4552</v>
      </c>
      <c r="CH122" s="135" t="s">
        <v>2307</v>
      </c>
      <c r="CI122" s="135" t="s">
        <v>880</v>
      </c>
      <c r="CJ122" s="135" t="s">
        <v>5071</v>
      </c>
      <c r="CK122" s="135" t="s">
        <v>4784</v>
      </c>
      <c r="CL122" s="135" t="s">
        <v>5577</v>
      </c>
      <c r="CM122" s="135" t="s">
        <v>5359</v>
      </c>
      <c r="CN122" s="135" t="s">
        <v>2268</v>
      </c>
      <c r="CO122" s="135" t="s">
        <v>3608</v>
      </c>
      <c r="CP122" s="429"/>
      <c r="CQ122" s="256"/>
      <c r="CR122" s="256"/>
      <c r="CS122" s="256"/>
      <c r="CT122" s="256"/>
      <c r="CU122" s="92"/>
      <c r="CV122" s="140" t="s">
        <v>759</v>
      </c>
      <c r="CW122" s="140" t="s">
        <v>5578</v>
      </c>
      <c r="CX122" s="140" t="s">
        <v>126</v>
      </c>
      <c r="CY122" s="140" t="s">
        <v>5579</v>
      </c>
      <c r="CZ122" s="140" t="s">
        <v>5580</v>
      </c>
      <c r="DA122" s="140" t="s">
        <v>5581</v>
      </c>
      <c r="DB122" s="140" t="s">
        <v>349</v>
      </c>
      <c r="DC122" s="140" t="s">
        <v>5302</v>
      </c>
      <c r="DD122" s="257"/>
      <c r="DE122" s="257"/>
      <c r="DF122" s="257"/>
      <c r="DG122" s="257"/>
      <c r="DH122" s="258"/>
      <c r="DI122" s="206"/>
      <c r="DJ122" s="259"/>
      <c r="DK122" s="259"/>
      <c r="DL122" s="206"/>
      <c r="DM122" s="206" t="s">
        <v>5582</v>
      </c>
      <c r="DN122" s="206"/>
      <c r="DO122" s="259"/>
      <c r="DP122" s="259"/>
      <c r="DQ122" s="259"/>
      <c r="DR122" s="145" t="s">
        <v>5583</v>
      </c>
      <c r="DS122" s="145" t="s">
        <v>5584</v>
      </c>
      <c r="DT122" s="259"/>
      <c r="DU122" s="206"/>
      <c r="DV122" s="259"/>
      <c r="DW122" s="259"/>
      <c r="DX122" s="259"/>
      <c r="DY122" s="259"/>
      <c r="DZ122" s="259"/>
      <c r="EA122" s="206"/>
      <c r="EB122" s="259"/>
      <c r="EC122" s="259"/>
      <c r="ED122" s="287" t="s">
        <v>5585</v>
      </c>
    </row>
    <row r="123">
      <c r="A123" s="81" t="s">
        <v>5586</v>
      </c>
      <c r="B123" s="82" t="s">
        <v>5587</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5589</v>
      </c>
      <c r="B124" s="104" t="s">
        <v>5590</v>
      </c>
      <c r="C124" s="105" t="s">
        <v>1256</v>
      </c>
      <c r="D124" s="106" t="s">
        <v>1256</v>
      </c>
      <c r="E124" s="107" t="s">
        <v>1256</v>
      </c>
      <c r="F124" s="108" t="s">
        <v>647</v>
      </c>
      <c r="G124" s="104" t="s">
        <v>1881</v>
      </c>
      <c r="H124" s="167"/>
      <c r="I124" s="167" t="s">
        <v>5591</v>
      </c>
      <c r="J124" s="112" t="s">
        <v>653</v>
      </c>
      <c r="K124" s="112" t="s">
        <v>5372</v>
      </c>
      <c r="L124" s="167" t="s">
        <v>5473</v>
      </c>
      <c r="M124" s="243"/>
      <c r="N124" s="167" t="s">
        <v>5592</v>
      </c>
      <c r="O124" s="167" t="s">
        <v>1204</v>
      </c>
      <c r="P124" s="112" t="s">
        <v>4174</v>
      </c>
      <c r="Q124" s="243"/>
      <c r="R124" s="243"/>
      <c r="S124" s="243"/>
      <c r="T124" s="243"/>
      <c r="U124" s="243"/>
      <c r="V124" s="243"/>
      <c r="W124" s="92"/>
      <c r="X124" s="198" t="s">
        <v>3006</v>
      </c>
      <c r="Y124" s="198"/>
      <c r="Z124" s="198" t="s">
        <v>5593</v>
      </c>
      <c r="AA124" s="198" t="s">
        <v>4735</v>
      </c>
      <c r="AB124" s="198" t="s">
        <v>993</v>
      </c>
      <c r="AC124" s="198" t="s">
        <v>4136</v>
      </c>
      <c r="AD124" s="198" t="s">
        <v>5594</v>
      </c>
      <c r="AE124" s="198"/>
      <c r="AF124" s="622" t="s">
        <v>5595</v>
      </c>
      <c r="AG124" s="198" t="s">
        <v>5596</v>
      </c>
      <c r="AH124" s="246"/>
      <c r="AI124" s="246"/>
      <c r="AJ124" s="246"/>
      <c r="AK124" s="246"/>
      <c r="AL124" s="97"/>
      <c r="AM124" s="247"/>
      <c r="AN124" s="247"/>
      <c r="AO124" s="247"/>
      <c r="AP124" s="247"/>
      <c r="AQ124" s="247"/>
      <c r="AR124" s="247"/>
      <c r="AS124" s="247"/>
      <c r="AT124" s="247"/>
      <c r="AU124" s="168" t="s">
        <v>5597</v>
      </c>
      <c r="AV124" s="168" t="s">
        <v>1013</v>
      </c>
      <c r="AW124" s="247"/>
      <c r="AX124" s="247"/>
      <c r="AY124" s="247"/>
      <c r="AZ124" s="247"/>
      <c r="BA124" s="247"/>
      <c r="BB124" s="174" t="s">
        <v>5537</v>
      </c>
      <c r="BC124" s="174" t="s">
        <v>5598</v>
      </c>
      <c r="BD124" s="174" t="s">
        <v>1905</v>
      </c>
      <c r="BE124" s="174" t="s">
        <v>5599</v>
      </c>
      <c r="BF124" s="174" t="s">
        <v>4679</v>
      </c>
      <c r="BG124" s="174" t="s">
        <v>4144</v>
      </c>
      <c r="BH124" s="173"/>
      <c r="BI124" s="304" t="s">
        <v>610</v>
      </c>
      <c r="BJ124" s="174" t="s">
        <v>5600</v>
      </c>
      <c r="BK124" s="174" t="s">
        <v>5601</v>
      </c>
      <c r="BL124" s="174" t="s">
        <v>5602</v>
      </c>
      <c r="BM124" s="173"/>
      <c r="BN124" s="173"/>
      <c r="BO124" s="173"/>
      <c r="BP124" s="173"/>
      <c r="BQ124" s="249"/>
      <c r="BR124" s="175" t="s">
        <v>5603</v>
      </c>
      <c r="BS124" s="175" t="s">
        <v>3109</v>
      </c>
      <c r="BT124" s="175" t="s">
        <v>4894</v>
      </c>
      <c r="BU124" s="175" t="s">
        <v>5244</v>
      </c>
      <c r="BV124" s="175" t="s">
        <v>5604</v>
      </c>
      <c r="BW124" s="175" t="s">
        <v>4660</v>
      </c>
      <c r="BX124" s="253"/>
      <c r="BY124" s="175" t="s">
        <v>719</v>
      </c>
      <c r="BZ124" s="175" t="s">
        <v>5605</v>
      </c>
      <c r="CA124" s="253"/>
      <c r="CB124" s="253"/>
      <c r="CC124" s="253"/>
      <c r="CD124" s="253"/>
      <c r="CE124" s="253"/>
      <c r="CF124" s="254"/>
      <c r="CG124" s="177" t="s">
        <v>5606</v>
      </c>
      <c r="CH124" s="177" t="s">
        <v>5607</v>
      </c>
      <c r="CI124" s="177" t="s">
        <v>4120</v>
      </c>
      <c r="CJ124" s="177" t="s">
        <v>5608</v>
      </c>
      <c r="CK124" s="177"/>
      <c r="CL124" s="177"/>
      <c r="CM124" s="177" t="s">
        <v>5609</v>
      </c>
      <c r="CN124" s="177" t="s">
        <v>1627</v>
      </c>
      <c r="CO124" s="177" t="s">
        <v>5019</v>
      </c>
      <c r="CP124" s="256"/>
      <c r="CQ124" s="256"/>
      <c r="CR124" s="256"/>
      <c r="CS124" s="256"/>
      <c r="CT124" s="256"/>
      <c r="CU124" s="92"/>
      <c r="CV124" s="204" t="s">
        <v>5610</v>
      </c>
      <c r="CW124" s="204" t="s">
        <v>4094</v>
      </c>
      <c r="CX124" s="204" t="s">
        <v>3275</v>
      </c>
      <c r="CY124" s="204" t="s">
        <v>5611</v>
      </c>
      <c r="CZ124" s="204" t="s">
        <v>5612</v>
      </c>
      <c r="DA124" s="204" t="s">
        <v>5613</v>
      </c>
      <c r="DB124" s="204" t="s">
        <v>4762</v>
      </c>
      <c r="DC124" s="204" t="s">
        <v>5614</v>
      </c>
      <c r="DD124" s="257"/>
      <c r="DE124" s="257"/>
      <c r="DF124" s="257"/>
      <c r="DG124" s="257"/>
      <c r="DH124" s="258"/>
      <c r="DI124" s="259"/>
      <c r="DJ124" s="259"/>
      <c r="DK124" s="259"/>
      <c r="DL124" s="259"/>
      <c r="DM124" s="259"/>
      <c r="DN124" s="259"/>
      <c r="DO124" s="259"/>
      <c r="DP124" s="259"/>
      <c r="DQ124" s="259"/>
      <c r="DR124" s="205" t="s">
        <v>5615</v>
      </c>
      <c r="DS124" s="259"/>
      <c r="DT124" s="259"/>
      <c r="DU124" s="259"/>
      <c r="DV124" s="259"/>
      <c r="DW124" s="259"/>
      <c r="DX124" s="259"/>
      <c r="DY124" s="259"/>
      <c r="DZ124" s="259"/>
      <c r="EA124" s="259"/>
      <c r="EB124" s="259"/>
      <c r="EC124" s="259"/>
      <c r="ED124" s="287"/>
    </row>
    <row r="125">
      <c r="A125" s="623" t="s">
        <v>5616</v>
      </c>
      <c r="B125" s="82" t="s">
        <v>5617</v>
      </c>
      <c r="C125" s="83" t="s">
        <v>1256</v>
      </c>
      <c r="D125" s="84" t="s">
        <v>1256</v>
      </c>
      <c r="E125" s="85" t="s">
        <v>1256</v>
      </c>
      <c r="F125" s="86" t="s">
        <v>1256</v>
      </c>
      <c r="G125" s="82" t="s">
        <v>4595</v>
      </c>
      <c r="H125" s="94" t="s">
        <v>4726</v>
      </c>
      <c r="I125" s="94" t="s">
        <v>5618</v>
      </c>
      <c r="J125" s="94" t="s">
        <v>5265</v>
      </c>
      <c r="K125" s="94" t="s">
        <v>352</v>
      </c>
      <c r="L125" s="94" t="s">
        <v>4953</v>
      </c>
      <c r="M125" s="94" t="s">
        <v>5619</v>
      </c>
      <c r="N125" s="94" t="s">
        <v>5620</v>
      </c>
      <c r="O125" s="94" t="s">
        <v>3077</v>
      </c>
      <c r="P125" s="94" t="s">
        <v>5621</v>
      </c>
      <c r="Q125" s="99"/>
      <c r="R125" s="99"/>
      <c r="S125" s="99"/>
      <c r="T125" s="99"/>
      <c r="U125" s="99"/>
      <c r="V125" s="99"/>
      <c r="W125" s="92"/>
      <c r="X125" s="94" t="s">
        <v>3422</v>
      </c>
      <c r="Y125" s="94"/>
      <c r="Z125" s="94" t="s">
        <v>573</v>
      </c>
      <c r="AA125" s="94" t="s">
        <v>4738</v>
      </c>
      <c r="AB125" s="94" t="s">
        <v>618</v>
      </c>
      <c r="AC125" s="94" t="s">
        <v>4769</v>
      </c>
      <c r="AD125" s="94" t="s">
        <v>2197</v>
      </c>
      <c r="AE125" s="94"/>
      <c r="AF125" s="94" t="s">
        <v>5622</v>
      </c>
      <c r="AG125" s="94" t="s">
        <v>5623</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5624</v>
      </c>
      <c r="BC125" s="94" t="s">
        <v>5598</v>
      </c>
      <c r="BD125" s="94" t="s">
        <v>1040</v>
      </c>
      <c r="BE125" s="94" t="s">
        <v>5625</v>
      </c>
      <c r="BF125" s="94" t="s">
        <v>5626</v>
      </c>
      <c r="BG125" s="94" t="s">
        <v>5627</v>
      </c>
      <c r="BH125" s="94" t="s">
        <v>5628</v>
      </c>
      <c r="BI125" s="94" t="s">
        <v>3135</v>
      </c>
      <c r="BJ125" s="99"/>
      <c r="BK125" s="94" t="s">
        <v>5629</v>
      </c>
      <c r="BL125" s="94" t="s">
        <v>5630</v>
      </c>
      <c r="BM125" s="99"/>
      <c r="BN125" s="99"/>
      <c r="BO125" s="99"/>
      <c r="BP125" s="99"/>
      <c r="BQ125" s="236"/>
      <c r="BR125" s="94" t="s">
        <v>5631</v>
      </c>
      <c r="BS125" s="94" t="s">
        <v>5128</v>
      </c>
      <c r="BT125" s="94" t="s">
        <v>2379</v>
      </c>
      <c r="BU125" s="94" t="s">
        <v>5632</v>
      </c>
      <c r="BV125" s="94" t="s">
        <v>5633</v>
      </c>
      <c r="BW125" s="94" t="s">
        <v>1286</v>
      </c>
      <c r="BX125" s="94" t="s">
        <v>5634</v>
      </c>
      <c r="BY125" s="99"/>
      <c r="BZ125" s="94" t="s">
        <v>5635</v>
      </c>
      <c r="CA125" s="94" t="s">
        <v>5636</v>
      </c>
      <c r="CB125" s="99"/>
      <c r="CC125" s="99"/>
      <c r="CD125" s="99"/>
      <c r="CE125" s="99"/>
      <c r="CF125" s="236"/>
      <c r="CG125" s="94" t="s">
        <v>5637</v>
      </c>
      <c r="CH125" s="94" t="s">
        <v>5319</v>
      </c>
      <c r="CI125" s="94" t="s">
        <v>2186</v>
      </c>
      <c r="CJ125" s="94" t="s">
        <v>5638</v>
      </c>
      <c r="CK125" s="94"/>
      <c r="CL125" s="94" t="s">
        <v>5639</v>
      </c>
      <c r="CM125" s="94" t="s">
        <v>5640</v>
      </c>
      <c r="CN125" s="94" t="s">
        <v>4894</v>
      </c>
      <c r="CO125" s="94" t="s">
        <v>5623</v>
      </c>
      <c r="CP125" s="99"/>
      <c r="CQ125" s="99"/>
      <c r="CR125" s="99"/>
      <c r="CS125" s="99"/>
      <c r="CT125" s="99"/>
      <c r="CU125" s="92"/>
      <c r="CV125" s="94" t="s">
        <v>1007</v>
      </c>
      <c r="CW125" s="94" t="s">
        <v>5032</v>
      </c>
      <c r="CX125" s="94" t="s">
        <v>3253</v>
      </c>
      <c r="CY125" s="94" t="s">
        <v>4547</v>
      </c>
      <c r="CZ125" s="94" t="s">
        <v>5205</v>
      </c>
      <c r="DA125" s="94" t="s">
        <v>4778</v>
      </c>
      <c r="DB125" s="94" t="s">
        <v>5641</v>
      </c>
      <c r="DC125" s="94" t="s">
        <v>3879</v>
      </c>
      <c r="DD125" s="99"/>
      <c r="DE125" s="99"/>
      <c r="DF125" s="99"/>
      <c r="DG125" s="99"/>
      <c r="DH125" s="236"/>
      <c r="DI125" s="94" t="s">
        <v>5642</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5643</v>
      </c>
      <c r="B126" s="104" t="s">
        <v>5644</v>
      </c>
      <c r="C126" s="105" t="s">
        <v>1256</v>
      </c>
      <c r="D126" s="106" t="s">
        <v>1256</v>
      </c>
      <c r="E126" s="107" t="s">
        <v>1256</v>
      </c>
      <c r="F126" s="108" t="s">
        <v>332</v>
      </c>
      <c r="G126" s="104" t="s">
        <v>2376</v>
      </c>
      <c r="H126" s="167"/>
      <c r="I126" s="167" t="s">
        <v>5645</v>
      </c>
      <c r="J126" s="167" t="s">
        <v>5206</v>
      </c>
      <c r="K126" s="167" t="s">
        <v>5646</v>
      </c>
      <c r="L126" s="112" t="s">
        <v>5647</v>
      </c>
      <c r="M126" s="243"/>
      <c r="N126" s="243"/>
      <c r="O126" s="243"/>
      <c r="P126" s="167" t="s">
        <v>5648</v>
      </c>
      <c r="Q126" s="243"/>
      <c r="R126" s="243"/>
      <c r="S126" s="167" t="s">
        <v>4179</v>
      </c>
      <c r="T126" s="243"/>
      <c r="U126" s="167" t="s">
        <v>3213</v>
      </c>
      <c r="V126" s="243"/>
      <c r="W126" s="92"/>
      <c r="X126" s="198" t="s">
        <v>5075</v>
      </c>
      <c r="Y126" s="198"/>
      <c r="Z126" s="198" t="s">
        <v>5649</v>
      </c>
      <c r="AA126" s="198" t="s">
        <v>5562</v>
      </c>
      <c r="AB126" s="246"/>
      <c r="AC126" s="198" t="s">
        <v>126</v>
      </c>
      <c r="AD126" s="246"/>
      <c r="AE126" s="246"/>
      <c r="AF126" s="246"/>
      <c r="AG126" s="198" t="s">
        <v>5650</v>
      </c>
      <c r="AH126" s="198" t="s">
        <v>5651</v>
      </c>
      <c r="AI126" s="246"/>
      <c r="AJ126" s="198" t="s">
        <v>4392</v>
      </c>
      <c r="AK126" s="198" t="s">
        <v>5652</v>
      </c>
      <c r="AL126" s="97"/>
      <c r="AM126" s="168" t="s">
        <v>3559</v>
      </c>
      <c r="AN126" s="168" t="s">
        <v>5653</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4532</v>
      </c>
      <c r="BF126" s="173"/>
      <c r="BG126" s="174" t="s">
        <v>4255</v>
      </c>
      <c r="BH126" s="173"/>
      <c r="BI126" s="174" t="s">
        <v>243</v>
      </c>
      <c r="BJ126" s="173"/>
      <c r="BK126" s="173"/>
      <c r="BL126" s="174" t="s">
        <v>5654</v>
      </c>
      <c r="BM126" s="173"/>
      <c r="BN126" s="173"/>
      <c r="BO126" s="173"/>
      <c r="BP126" s="173"/>
      <c r="BQ126" s="249"/>
      <c r="BR126" s="253"/>
      <c r="BS126" s="253"/>
      <c r="BT126" s="175" t="s">
        <v>5655</v>
      </c>
      <c r="BU126" s="175" t="s">
        <v>4785</v>
      </c>
      <c r="BV126" s="253"/>
      <c r="BW126" s="175" t="s">
        <v>5656</v>
      </c>
      <c r="BX126" s="253"/>
      <c r="BY126" s="253"/>
      <c r="BZ126" s="253"/>
      <c r="CA126" s="175" t="s">
        <v>2933</v>
      </c>
      <c r="CB126" s="253"/>
      <c r="CC126" s="253"/>
      <c r="CD126" s="253"/>
      <c r="CE126" s="253"/>
      <c r="CF126" s="254"/>
      <c r="CG126" s="177" t="s">
        <v>2274</v>
      </c>
      <c r="CH126" s="135" t="s">
        <v>875</v>
      </c>
      <c r="CI126" s="177" t="s">
        <v>5657</v>
      </c>
      <c r="CJ126" s="177" t="s">
        <v>5658</v>
      </c>
      <c r="CK126" s="177"/>
      <c r="CL126" s="177" t="s">
        <v>104</v>
      </c>
      <c r="CM126" s="177" t="s">
        <v>5659</v>
      </c>
      <c r="CN126" s="177" t="s">
        <v>2379</v>
      </c>
      <c r="CO126" s="177" t="s">
        <v>5660</v>
      </c>
      <c r="CP126" s="256"/>
      <c r="CQ126" s="256"/>
      <c r="CR126" s="256"/>
      <c r="CS126" s="256"/>
      <c r="CT126" s="256"/>
      <c r="CU126" s="92"/>
      <c r="CV126" s="204" t="s">
        <v>5661</v>
      </c>
      <c r="CW126" s="257"/>
      <c r="CX126" s="204" t="s">
        <v>5662</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5663</v>
      </c>
      <c r="DV126" s="205" t="s">
        <v>5664</v>
      </c>
      <c r="DW126" s="259"/>
      <c r="DX126" s="205" t="s">
        <v>5665</v>
      </c>
      <c r="DY126" s="259"/>
      <c r="DZ126" s="205" t="s">
        <v>5666</v>
      </c>
      <c r="EA126" s="145" t="s">
        <v>921</v>
      </c>
      <c r="EB126" s="259"/>
      <c r="EC126" s="259"/>
      <c r="ED126" s="287" t="s">
        <v>5667</v>
      </c>
    </row>
    <row r="127">
      <c r="A127" s="625" t="s">
        <v>5668</v>
      </c>
      <c r="B127" s="82" t="s">
        <v>5669</v>
      </c>
      <c r="C127" s="83" t="s">
        <v>1256</v>
      </c>
      <c r="D127" s="84" t="s">
        <v>1256</v>
      </c>
      <c r="E127" s="85" t="s">
        <v>1256</v>
      </c>
      <c r="F127" s="86" t="s">
        <v>1256</v>
      </c>
      <c r="G127" s="82" t="s">
        <v>4775</v>
      </c>
      <c r="H127" s="94" t="s">
        <v>5670</v>
      </c>
      <c r="I127" s="94" t="s">
        <v>5671</v>
      </c>
      <c r="J127" s="94" t="s">
        <v>5672</v>
      </c>
      <c r="K127" s="94" t="s">
        <v>5413</v>
      </c>
      <c r="L127" s="94" t="s">
        <v>2688</v>
      </c>
      <c r="M127" s="99"/>
      <c r="N127" s="94" t="s">
        <v>5673</v>
      </c>
      <c r="O127" s="94" t="s">
        <v>689</v>
      </c>
      <c r="P127" s="94" t="s">
        <v>1270</v>
      </c>
      <c r="Q127" s="99"/>
      <c r="R127" s="99"/>
      <c r="S127" s="99"/>
      <c r="T127" s="99"/>
      <c r="U127" s="99"/>
      <c r="V127" s="99"/>
      <c r="W127" s="92"/>
      <c r="X127" s="94" t="s">
        <v>2484</v>
      </c>
      <c r="Y127" s="94"/>
      <c r="Z127" s="94" t="s">
        <v>3833</v>
      </c>
      <c r="AA127" s="94" t="s">
        <v>5650</v>
      </c>
      <c r="AB127" s="94" t="s">
        <v>5674</v>
      </c>
      <c r="AC127" s="94" t="s">
        <v>4222</v>
      </c>
      <c r="AD127" s="94" t="s">
        <v>1328</v>
      </c>
      <c r="AE127" s="99"/>
      <c r="AF127" s="94" t="s">
        <v>5675</v>
      </c>
      <c r="AG127" s="94" t="s">
        <v>5676</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4312</v>
      </c>
      <c r="BC127" s="94" t="s">
        <v>580</v>
      </c>
      <c r="BD127" s="94" t="s">
        <v>3677</v>
      </c>
      <c r="BE127" s="94" t="s">
        <v>5677</v>
      </c>
      <c r="BF127" s="94" t="s">
        <v>5678</v>
      </c>
      <c r="BG127" s="99"/>
      <c r="BH127" s="626"/>
      <c r="BI127" s="94" t="s">
        <v>755</v>
      </c>
      <c r="BJ127" s="94" t="s">
        <v>5679</v>
      </c>
      <c r="BK127" s="99"/>
      <c r="BL127" s="94" t="s">
        <v>4529</v>
      </c>
      <c r="BM127" s="99"/>
      <c r="BN127" s="99"/>
      <c r="BO127" s="99"/>
      <c r="BP127" s="99"/>
      <c r="BQ127" s="236"/>
      <c r="BR127" s="94" t="s">
        <v>5427</v>
      </c>
      <c r="BS127" s="94" t="s">
        <v>4439</v>
      </c>
      <c r="BT127" s="94" t="s">
        <v>4881</v>
      </c>
      <c r="BU127" s="94" t="s">
        <v>1853</v>
      </c>
      <c r="BV127" s="94" t="s">
        <v>1001</v>
      </c>
      <c r="BW127" s="94" t="s">
        <v>5680</v>
      </c>
      <c r="BX127" s="94"/>
      <c r="BY127" s="94" t="s">
        <v>5681</v>
      </c>
      <c r="BZ127" s="99"/>
      <c r="CA127" s="94" t="s">
        <v>2262</v>
      </c>
      <c r="CB127" s="99"/>
      <c r="CC127" s="99"/>
      <c r="CD127" s="99"/>
      <c r="CE127" s="99"/>
      <c r="CF127" s="236"/>
      <c r="CG127" s="94" t="s">
        <v>5682</v>
      </c>
      <c r="CH127" s="94" t="s">
        <v>2338</v>
      </c>
      <c r="CI127" s="99"/>
      <c r="CJ127" s="99"/>
      <c r="CK127" s="99"/>
      <c r="CL127" s="99"/>
      <c r="CM127" s="94" t="s">
        <v>5683</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4265</v>
      </c>
      <c r="DD127" s="99"/>
      <c r="DE127" s="99"/>
      <c r="DF127" s="99"/>
      <c r="DG127" s="99"/>
      <c r="DH127" s="236"/>
      <c r="DI127" s="99"/>
      <c r="DJ127" s="99"/>
      <c r="DK127" s="99"/>
      <c r="DL127" s="99"/>
      <c r="DM127" s="99"/>
      <c r="DN127" s="99"/>
      <c r="DO127" s="99"/>
      <c r="DP127" s="99"/>
      <c r="DQ127" s="99"/>
      <c r="DR127" s="94" t="s">
        <v>5684</v>
      </c>
      <c r="DS127" s="94" t="s">
        <v>2435</v>
      </c>
      <c r="DT127" s="99"/>
      <c r="DU127" s="99"/>
      <c r="DV127" s="99"/>
      <c r="DW127" s="99"/>
      <c r="DX127" s="99"/>
      <c r="DY127" s="99"/>
      <c r="DZ127" s="99"/>
      <c r="EA127" s="99"/>
      <c r="EB127" s="99"/>
      <c r="EC127" s="99"/>
      <c r="ED127" s="261"/>
    </row>
    <row r="128">
      <c r="A128" s="627" t="s">
        <v>5685</v>
      </c>
      <c r="B128" s="104" t="s">
        <v>5686</v>
      </c>
      <c r="C128" s="105" t="s">
        <v>1256</v>
      </c>
      <c r="D128" s="106" t="s">
        <v>546</v>
      </c>
      <c r="E128" s="107" t="s">
        <v>1256</v>
      </c>
      <c r="F128" s="108" t="s">
        <v>5687</v>
      </c>
      <c r="G128" s="104" t="s">
        <v>2153</v>
      </c>
      <c r="H128" s="243"/>
      <c r="I128" s="112" t="s">
        <v>5688</v>
      </c>
      <c r="J128" s="112" t="s">
        <v>5689</v>
      </c>
      <c r="K128" s="112" t="s">
        <v>5690</v>
      </c>
      <c r="L128" s="112" t="s">
        <v>2470</v>
      </c>
      <c r="M128" s="112" t="s">
        <v>1462</v>
      </c>
      <c r="N128" s="112" t="s">
        <v>5691</v>
      </c>
      <c r="O128" s="112" t="s">
        <v>1298</v>
      </c>
      <c r="P128" s="167" t="s">
        <v>5389</v>
      </c>
      <c r="Q128" s="243"/>
      <c r="R128" s="243"/>
      <c r="S128" s="243"/>
      <c r="T128" s="243"/>
      <c r="U128" s="243"/>
      <c r="V128" s="243"/>
      <c r="W128" s="92"/>
      <c r="X128" s="116" t="s">
        <v>3187</v>
      </c>
      <c r="Y128" s="117"/>
      <c r="Z128" s="116" t="s">
        <v>2482</v>
      </c>
      <c r="AA128" s="295" t="s">
        <v>5692</v>
      </c>
      <c r="AB128" s="198" t="s">
        <v>5693</v>
      </c>
      <c r="AC128" s="116" t="s">
        <v>3884</v>
      </c>
      <c r="AD128" s="295" t="s">
        <v>3483</v>
      </c>
      <c r="AE128" s="246"/>
      <c r="AF128" s="295" t="s">
        <v>5694</v>
      </c>
      <c r="AG128" s="116" t="s">
        <v>4738</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5695</v>
      </c>
      <c r="BC128" s="304" t="s">
        <v>4231</v>
      </c>
      <c r="BD128" s="304" t="s">
        <v>5607</v>
      </c>
      <c r="BE128" s="126" t="s">
        <v>3354</v>
      </c>
      <c r="BF128" s="126" t="s">
        <v>5696</v>
      </c>
      <c r="BG128" s="173"/>
      <c r="BH128" s="173"/>
      <c r="BI128" s="126" t="s">
        <v>4013</v>
      </c>
      <c r="BJ128" s="173"/>
      <c r="BK128" s="174" t="s">
        <v>5697</v>
      </c>
      <c r="BL128" s="304" t="s">
        <v>5698</v>
      </c>
      <c r="BM128" s="173"/>
      <c r="BN128" s="173"/>
      <c r="BO128" s="173"/>
      <c r="BP128" s="173"/>
      <c r="BQ128" s="249"/>
      <c r="BR128" s="129" t="s">
        <v>5699</v>
      </c>
      <c r="BS128" s="175" t="s">
        <v>5700</v>
      </c>
      <c r="BT128" s="175" t="s">
        <v>5701</v>
      </c>
      <c r="BU128" s="175" t="s">
        <v>1716</v>
      </c>
      <c r="BV128" s="175" t="s">
        <v>4820</v>
      </c>
      <c r="BW128" s="175" t="s">
        <v>191</v>
      </c>
      <c r="BX128" s="175" t="s">
        <v>5702</v>
      </c>
      <c r="BY128" s="253"/>
      <c r="BZ128" s="129" t="s">
        <v>5703</v>
      </c>
      <c r="CA128" s="175" t="s">
        <v>5704</v>
      </c>
      <c r="CB128" s="253"/>
      <c r="CC128" s="253"/>
      <c r="CD128" s="253"/>
      <c r="CE128" s="253"/>
      <c r="CF128" s="254"/>
      <c r="CG128" s="177" t="s">
        <v>5705</v>
      </c>
      <c r="CH128" s="135" t="s">
        <v>3432</v>
      </c>
      <c r="CI128" s="135" t="s">
        <v>5706</v>
      </c>
      <c r="CJ128" s="135" t="s">
        <v>5707</v>
      </c>
      <c r="CK128" s="136"/>
      <c r="CL128" s="135" t="s">
        <v>3578</v>
      </c>
      <c r="CM128" s="177" t="s">
        <v>5708</v>
      </c>
      <c r="CN128" s="135" t="s">
        <v>2045</v>
      </c>
      <c r="CO128" s="177" t="s">
        <v>1989</v>
      </c>
      <c r="CP128" s="256"/>
      <c r="CQ128" s="256"/>
      <c r="CR128" s="256"/>
      <c r="CS128" s="256"/>
      <c r="CT128" s="256"/>
      <c r="CU128" s="92"/>
      <c r="CV128" s="140" t="s">
        <v>5709</v>
      </c>
      <c r="CW128" s="140" t="s">
        <v>5710</v>
      </c>
      <c r="CX128" s="140" t="s">
        <v>5711</v>
      </c>
      <c r="CY128" s="140" t="s">
        <v>5712</v>
      </c>
      <c r="CZ128" s="140" t="s">
        <v>5713</v>
      </c>
      <c r="DA128" s="140" t="s">
        <v>5714</v>
      </c>
      <c r="DB128" s="140" t="s">
        <v>5715</v>
      </c>
      <c r="DC128" s="140" t="s">
        <v>5031</v>
      </c>
      <c r="DD128" s="257"/>
      <c r="DE128" s="257"/>
      <c r="DF128" s="257"/>
      <c r="DG128" s="257"/>
      <c r="DH128" s="258"/>
      <c r="DI128" s="145" t="s">
        <v>5716</v>
      </c>
      <c r="DJ128" s="259"/>
      <c r="DK128" s="259"/>
      <c r="DL128" s="259"/>
      <c r="DM128" s="179" t="s">
        <v>179</v>
      </c>
      <c r="DN128" s="259"/>
      <c r="DO128" s="259"/>
      <c r="DP128" s="259"/>
      <c r="DQ128" s="259"/>
      <c r="DR128" s="205" t="s">
        <v>5717</v>
      </c>
      <c r="DS128" s="205" t="s">
        <v>5718</v>
      </c>
      <c r="DT128" s="259"/>
      <c r="DU128" s="259"/>
      <c r="DV128" s="259"/>
      <c r="DW128" s="259"/>
      <c r="DX128" s="259"/>
      <c r="DY128" s="259"/>
      <c r="DZ128" s="259"/>
      <c r="EA128" s="259"/>
      <c r="EB128" s="259"/>
      <c r="EC128" s="259"/>
      <c r="ED128" s="565"/>
    </row>
    <row r="129">
      <c r="A129" s="628" t="s">
        <v>5719</v>
      </c>
      <c r="B129" s="82" t="s">
        <v>5720</v>
      </c>
      <c r="C129" s="83" t="s">
        <v>1256</v>
      </c>
      <c r="D129" s="84" t="s">
        <v>1256</v>
      </c>
      <c r="E129" s="85" t="s">
        <v>1256</v>
      </c>
      <c r="F129" s="86" t="s">
        <v>2773</v>
      </c>
      <c r="G129" s="82" t="s">
        <v>2153</v>
      </c>
      <c r="H129" s="102"/>
      <c r="I129" s="98" t="s">
        <v>5721</v>
      </c>
      <c r="J129" s="93" t="s">
        <v>4728</v>
      </c>
      <c r="K129" s="88" t="s">
        <v>2278</v>
      </c>
      <c r="L129" s="93" t="s">
        <v>925</v>
      </c>
      <c r="M129" s="88" t="s">
        <v>5722</v>
      </c>
      <c r="N129" s="88" t="s">
        <v>4365</v>
      </c>
      <c r="O129" s="88" t="s">
        <v>5723</v>
      </c>
      <c r="P129" s="88" t="s">
        <v>4406</v>
      </c>
      <c r="Q129" s="99"/>
      <c r="R129" s="99"/>
      <c r="S129" s="99"/>
      <c r="T129" s="99"/>
      <c r="U129" s="99"/>
      <c r="V129" s="99"/>
      <c r="W129" s="92"/>
      <c r="X129" s="93" t="s">
        <v>1408</v>
      </c>
      <c r="Y129" s="93"/>
      <c r="Z129" s="88" t="s">
        <v>5724</v>
      </c>
      <c r="AA129" s="93" t="s">
        <v>959</v>
      </c>
      <c r="AB129" s="88" t="s">
        <v>1988</v>
      </c>
      <c r="AC129" s="88" t="s">
        <v>2989</v>
      </c>
      <c r="AD129" s="88" t="s">
        <v>5725</v>
      </c>
      <c r="AE129" s="94"/>
      <c r="AF129" s="88" t="s">
        <v>5726</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5727</v>
      </c>
      <c r="BC129" s="102" t="s">
        <v>880</v>
      </c>
      <c r="BD129" s="102" t="s">
        <v>736</v>
      </c>
      <c r="BE129" s="102" t="s">
        <v>5526</v>
      </c>
      <c r="BF129" s="102" t="s">
        <v>5728</v>
      </c>
      <c r="BG129" s="102" t="s">
        <v>706</v>
      </c>
      <c r="BH129" s="94"/>
      <c r="BI129" s="102" t="s">
        <v>3067</v>
      </c>
      <c r="BJ129" s="94" t="s">
        <v>5729</v>
      </c>
      <c r="BK129" s="102"/>
      <c r="BL129" s="102" t="s">
        <v>5730</v>
      </c>
      <c r="BM129" s="99"/>
      <c r="BN129" s="99"/>
      <c r="BO129" s="102"/>
      <c r="BP129" s="99"/>
      <c r="BQ129" s="236"/>
      <c r="BR129" s="102" t="s">
        <v>5731</v>
      </c>
      <c r="BS129" s="102" t="s">
        <v>4319</v>
      </c>
      <c r="BT129" s="102" t="s">
        <v>5732</v>
      </c>
      <c r="BU129" s="102" t="s">
        <v>1518</v>
      </c>
      <c r="BV129" s="102" t="s">
        <v>5733</v>
      </c>
      <c r="BW129" s="102" t="s">
        <v>5734</v>
      </c>
      <c r="BX129" s="94" t="s">
        <v>5735</v>
      </c>
      <c r="BY129" s="102" t="s">
        <v>5736</v>
      </c>
      <c r="BZ129" s="102"/>
      <c r="CA129" s="102" t="s">
        <v>5737</v>
      </c>
      <c r="CB129" s="99"/>
      <c r="CC129" s="99"/>
      <c r="CD129" s="99"/>
      <c r="CE129" s="99"/>
      <c r="CF129" s="236"/>
      <c r="CG129" s="102" t="s">
        <v>5738</v>
      </c>
      <c r="CH129" s="102" t="s">
        <v>4353</v>
      </c>
      <c r="CI129" s="102" t="s">
        <v>5739</v>
      </c>
      <c r="CJ129" s="102" t="s">
        <v>5740</v>
      </c>
      <c r="CK129" s="102" t="s">
        <v>2817</v>
      </c>
      <c r="CL129" s="102" t="s">
        <v>5577</v>
      </c>
      <c r="CM129" s="102" t="s">
        <v>3312</v>
      </c>
      <c r="CN129" s="102" t="s">
        <v>1582</v>
      </c>
      <c r="CO129" s="102" t="s">
        <v>3359</v>
      </c>
      <c r="CP129" s="222"/>
      <c r="CQ129" s="99"/>
      <c r="CR129" s="99"/>
      <c r="CS129" s="99"/>
      <c r="CT129" s="99"/>
      <c r="CU129" s="92"/>
      <c r="CV129" s="102" t="s">
        <v>4294</v>
      </c>
      <c r="CW129" s="102" t="s">
        <v>5741</v>
      </c>
      <c r="CX129" s="102" t="s">
        <v>2635</v>
      </c>
      <c r="CY129" s="102" t="s">
        <v>5742</v>
      </c>
      <c r="CZ129" s="102" t="s">
        <v>1086</v>
      </c>
      <c r="DA129" s="102" t="s">
        <v>3781</v>
      </c>
      <c r="DB129" s="102" t="s">
        <v>5743</v>
      </c>
      <c r="DC129" s="102" t="s">
        <v>5031</v>
      </c>
      <c r="DD129" s="99"/>
      <c r="DE129" s="99"/>
      <c r="DF129" s="99"/>
      <c r="DG129" s="99"/>
      <c r="DH129" s="236"/>
      <c r="DI129" s="102"/>
      <c r="DJ129" s="99"/>
      <c r="DK129" s="99"/>
      <c r="DL129" s="102"/>
      <c r="DM129" s="102"/>
      <c r="DN129" s="102"/>
      <c r="DO129" s="99"/>
      <c r="DP129" s="99"/>
      <c r="DQ129" s="99"/>
      <c r="DR129" s="102" t="s">
        <v>5744</v>
      </c>
      <c r="DS129" s="102" t="s">
        <v>5745</v>
      </c>
      <c r="DT129" s="99"/>
      <c r="DU129" s="102"/>
      <c r="DV129" s="99"/>
      <c r="DW129" s="99"/>
      <c r="DX129" s="99"/>
      <c r="DY129" s="99"/>
      <c r="DZ129" s="99"/>
      <c r="EA129" s="102"/>
      <c r="EB129" s="99"/>
      <c r="EC129" s="99"/>
      <c r="ED129" s="261"/>
    </row>
    <row r="130">
      <c r="A130" s="629" t="s">
        <v>5746</v>
      </c>
      <c r="B130" s="104" t="s">
        <v>5747</v>
      </c>
      <c r="C130" s="105" t="s">
        <v>1256</v>
      </c>
      <c r="D130" s="106" t="s">
        <v>1256</v>
      </c>
      <c r="E130" s="107" t="s">
        <v>1256</v>
      </c>
      <c r="F130" s="108" t="s">
        <v>546</v>
      </c>
      <c r="G130" s="104" t="s">
        <v>1948</v>
      </c>
      <c r="H130" s="243"/>
      <c r="I130" s="243"/>
      <c r="J130" s="167" t="s">
        <v>5748</v>
      </c>
      <c r="K130" s="167" t="s">
        <v>4598</v>
      </c>
      <c r="L130" s="167" t="s">
        <v>836</v>
      </c>
      <c r="M130" s="243"/>
      <c r="N130" s="167" t="s">
        <v>4949</v>
      </c>
      <c r="O130" s="167" t="s">
        <v>2674</v>
      </c>
      <c r="P130" s="167" t="s">
        <v>3575</v>
      </c>
      <c r="Q130" s="243"/>
      <c r="R130" s="243"/>
      <c r="S130" s="243"/>
      <c r="T130" s="243"/>
      <c r="U130" s="243"/>
      <c r="V130" s="243"/>
      <c r="W130" s="92"/>
      <c r="X130" s="198" t="s">
        <v>4581</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2912</v>
      </c>
      <c r="AW130" s="247"/>
      <c r="AX130" s="247"/>
      <c r="AY130" s="247"/>
      <c r="AZ130" s="247"/>
      <c r="BA130" s="247"/>
      <c r="BB130" s="173"/>
      <c r="BC130" s="173"/>
      <c r="BD130" s="173"/>
      <c r="BE130" s="173"/>
      <c r="BF130" s="174" t="s">
        <v>5749</v>
      </c>
      <c r="BG130" s="173"/>
      <c r="BH130" s="173"/>
      <c r="BI130" s="174" t="s">
        <v>3386</v>
      </c>
      <c r="BJ130" s="173"/>
      <c r="BK130" s="174" t="s">
        <v>5750</v>
      </c>
      <c r="BL130" s="173"/>
      <c r="BM130" s="173"/>
      <c r="BN130" s="173"/>
      <c r="BO130" s="173"/>
      <c r="BP130" s="173"/>
      <c r="BQ130" s="249"/>
      <c r="BR130" s="175" t="s">
        <v>5751</v>
      </c>
      <c r="BS130" s="253"/>
      <c r="BT130" s="253"/>
      <c r="BU130" s="175" t="s">
        <v>4785</v>
      </c>
      <c r="BV130" s="253"/>
      <c r="BW130" s="253"/>
      <c r="BX130" s="253"/>
      <c r="BY130" s="253"/>
      <c r="BZ130" s="253"/>
      <c r="CA130" s="253"/>
      <c r="CB130" s="253"/>
      <c r="CC130" s="253"/>
      <c r="CD130" s="253"/>
      <c r="CE130" s="253"/>
      <c r="CF130" s="254"/>
      <c r="CG130" s="177" t="s">
        <v>5752</v>
      </c>
      <c r="CH130" s="177" t="s">
        <v>1443</v>
      </c>
      <c r="CI130" s="256"/>
      <c r="CJ130" s="177" t="s">
        <v>5753</v>
      </c>
      <c r="CK130" s="177"/>
      <c r="CL130" s="177"/>
      <c r="CM130" s="256"/>
      <c r="CN130" s="256"/>
      <c r="CO130" s="135" t="s">
        <v>1245</v>
      </c>
      <c r="CP130" s="256"/>
      <c r="CQ130" s="256"/>
      <c r="CR130" s="256"/>
      <c r="CS130" s="256"/>
      <c r="CT130" s="256"/>
      <c r="CU130" s="92"/>
      <c r="CV130" s="204" t="s">
        <v>5625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5754</v>
      </c>
      <c r="B131" s="82" t="s">
        <v>5755</v>
      </c>
      <c r="C131" s="83" t="s">
        <v>1256</v>
      </c>
      <c r="D131" s="84" t="s">
        <v>1256</v>
      </c>
      <c r="E131" s="85" t="s">
        <v>1256</v>
      </c>
      <c r="F131" s="86" t="s">
        <v>3291</v>
      </c>
      <c r="G131" s="82" t="s">
        <v>2872</v>
      </c>
      <c r="H131" s="102"/>
      <c r="I131" s="95"/>
      <c r="J131" s="102"/>
      <c r="K131" s="88" t="s">
        <v>2162</v>
      </c>
      <c r="L131" s="102" t="s">
        <v>561</v>
      </c>
      <c r="M131" s="102"/>
      <c r="N131" s="102"/>
      <c r="O131" s="88" t="s">
        <v>5756</v>
      </c>
      <c r="P131" s="88" t="s">
        <v>109</v>
      </c>
      <c r="Q131" s="99"/>
      <c r="R131" s="99"/>
      <c r="S131" s="99"/>
      <c r="T131" s="99"/>
      <c r="U131" s="99"/>
      <c r="V131" s="99"/>
      <c r="W131" s="92"/>
      <c r="X131" s="102" t="s">
        <v>5757</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5758</v>
      </c>
      <c r="BX131" s="99"/>
      <c r="BY131" s="102"/>
      <c r="BZ131" s="102"/>
      <c r="CA131" s="102"/>
      <c r="CB131" s="99"/>
      <c r="CC131" s="99"/>
      <c r="CD131" s="99"/>
      <c r="CE131" s="99"/>
      <c r="CF131" s="236"/>
      <c r="CG131" s="102"/>
      <c r="CH131" s="102" t="s">
        <v>5759</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5761</v>
      </c>
      <c r="B132" s="104" t="s">
        <v>5762</v>
      </c>
      <c r="C132" s="105" t="s">
        <v>1256</v>
      </c>
      <c r="D132" s="106" t="s">
        <v>1256</v>
      </c>
      <c r="E132" s="107" t="s">
        <v>1256</v>
      </c>
      <c r="F132" s="108" t="s">
        <v>1256</v>
      </c>
      <c r="G132" s="104" t="s">
        <v>4050</v>
      </c>
      <c r="H132" s="243"/>
      <c r="I132" s="167" t="s">
        <v>5763</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5764</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5765</v>
      </c>
      <c r="BG132" s="173"/>
      <c r="BH132" s="173"/>
      <c r="BI132" s="174" t="s">
        <v>5424</v>
      </c>
      <c r="BJ132" s="173"/>
      <c r="BK132" s="173"/>
      <c r="BL132" s="173"/>
      <c r="BM132" s="173"/>
      <c r="BN132" s="173"/>
      <c r="BO132" s="173"/>
      <c r="BP132" s="173"/>
      <c r="BQ132" s="249"/>
      <c r="BR132" s="253"/>
      <c r="BS132" s="175" t="s">
        <v>5766</v>
      </c>
      <c r="BT132" s="175" t="s">
        <v>1727</v>
      </c>
      <c r="BU132" s="253"/>
      <c r="BV132" s="253"/>
      <c r="BW132" s="175" t="s">
        <v>1808</v>
      </c>
      <c r="BX132" s="253"/>
      <c r="BY132" s="175" t="s">
        <v>5767</v>
      </c>
      <c r="BZ132" s="253"/>
      <c r="CA132" s="253"/>
      <c r="CB132" s="253"/>
      <c r="CC132" s="253"/>
      <c r="CD132" s="253"/>
      <c r="CE132" s="253"/>
      <c r="CF132" s="254"/>
      <c r="CG132" s="256"/>
      <c r="CH132" s="256"/>
      <c r="CI132" s="256"/>
      <c r="CJ132" s="177" t="s">
        <v>5768</v>
      </c>
      <c r="CK132" s="177"/>
      <c r="CL132" s="177"/>
      <c r="CM132" s="256"/>
      <c r="CN132" s="256"/>
      <c r="CO132" s="256"/>
      <c r="CP132" s="256"/>
      <c r="CQ132" s="256"/>
      <c r="CR132" s="256"/>
      <c r="CS132" s="256"/>
      <c r="CT132" s="256"/>
      <c r="CU132" s="92"/>
      <c r="CV132" s="204" t="s">
        <v>4790</v>
      </c>
      <c r="CW132" s="257"/>
      <c r="CX132" s="204" t="s">
        <v>2559</v>
      </c>
      <c r="CY132" s="257"/>
      <c r="CZ132" s="257"/>
      <c r="DA132" s="257"/>
      <c r="DB132" s="204" t="s">
        <v>5769</v>
      </c>
      <c r="DC132" s="204" t="s">
        <v>4351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5770</v>
      </c>
      <c r="B133" s="82" t="s">
        <v>5771</v>
      </c>
      <c r="C133" s="83" t="s">
        <v>1256</v>
      </c>
      <c r="D133" s="84" t="s">
        <v>1256</v>
      </c>
      <c r="E133" s="85" t="s">
        <v>1256</v>
      </c>
      <c r="F133" s="86" t="s">
        <v>3969</v>
      </c>
      <c r="G133" s="82" t="s">
        <v>3969</v>
      </c>
      <c r="H133" s="88" t="s">
        <v>5772</v>
      </c>
      <c r="I133" s="88" t="s">
        <v>5773</v>
      </c>
      <c r="J133" s="88" t="s">
        <v>4656</v>
      </c>
      <c r="K133" s="99"/>
      <c r="L133" s="88" t="s">
        <v>5774</v>
      </c>
      <c r="M133" s="88" t="s">
        <v>5775</v>
      </c>
      <c r="N133" s="99"/>
      <c r="O133" s="99"/>
      <c r="P133" s="88" t="s">
        <v>3631</v>
      </c>
      <c r="Q133" s="99"/>
      <c r="R133" s="99"/>
      <c r="S133" s="99"/>
      <c r="T133" s="99"/>
      <c r="U133" s="99"/>
      <c r="V133" s="99"/>
      <c r="W133" s="92"/>
      <c r="X133" s="88" t="s">
        <v>2301</v>
      </c>
      <c r="Y133" s="93"/>
      <c r="Z133" s="88" t="s">
        <v>5776</v>
      </c>
      <c r="AA133" s="88" t="s">
        <v>661</v>
      </c>
      <c r="AB133" s="99"/>
      <c r="AC133" s="99"/>
      <c r="AD133" s="99"/>
      <c r="AE133" s="99"/>
      <c r="AF133" s="88" t="s">
        <v>5777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5778</v>
      </c>
      <c r="BS133" s="99"/>
      <c r="BT133" s="88" t="s">
        <v>4058</v>
      </c>
      <c r="BU133" s="99"/>
      <c r="BV133" s="99"/>
      <c r="BW133" s="99"/>
      <c r="BX133" s="99"/>
      <c r="BY133" s="99"/>
      <c r="BZ133" s="99"/>
      <c r="CA133" s="88" t="s">
        <v>5779</v>
      </c>
      <c r="CB133" s="99"/>
      <c r="CC133" s="99"/>
      <c r="CD133" s="99"/>
      <c r="CE133" s="99"/>
      <c r="CF133" s="236"/>
      <c r="CG133" s="88" t="s">
        <v>5780</v>
      </c>
      <c r="CH133" s="88" t="s">
        <v>2371</v>
      </c>
      <c r="CI133" s="99"/>
      <c r="CJ133" s="88" t="s">
        <v>4662</v>
      </c>
      <c r="CK133" s="93"/>
      <c r="CL133" s="93"/>
      <c r="CM133" s="88" t="s">
        <v>5529</v>
      </c>
      <c r="CN133" s="88" t="s">
        <v>1624</v>
      </c>
      <c r="CO133" s="99"/>
      <c r="CP133" s="99"/>
      <c r="CQ133" s="99"/>
      <c r="CR133" s="99"/>
      <c r="CS133" s="99"/>
      <c r="CT133" s="99"/>
      <c r="CU133" s="92"/>
      <c r="CV133" s="99"/>
      <c r="CW133" s="99"/>
      <c r="CX133" s="99"/>
      <c r="CY133" s="99"/>
      <c r="CZ133" s="99"/>
      <c r="DA133" s="99"/>
      <c r="DB133" s="88" t="s">
        <v>5781</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5782</v>
      </c>
      <c r="B134" s="104" t="s">
        <v>5783</v>
      </c>
      <c r="C134" s="105" t="s">
        <v>1256</v>
      </c>
      <c r="D134" s="106" t="s">
        <v>1256</v>
      </c>
      <c r="E134" s="107" t="s">
        <v>1256</v>
      </c>
      <c r="F134" s="108" t="s">
        <v>1256</v>
      </c>
      <c r="G134" s="104" t="s">
        <v>2994</v>
      </c>
      <c r="H134" s="167" t="s">
        <v>5784</v>
      </c>
      <c r="I134" s="167" t="s">
        <v>5785</v>
      </c>
      <c r="J134" s="167" t="s">
        <v>916</v>
      </c>
      <c r="K134" s="167" t="s">
        <v>3904</v>
      </c>
      <c r="L134" s="167" t="s">
        <v>5786</v>
      </c>
      <c r="M134" s="167" t="s">
        <v>5787</v>
      </c>
      <c r="N134" s="167" t="s">
        <v>5788</v>
      </c>
      <c r="O134" s="167" t="s">
        <v>5789</v>
      </c>
      <c r="P134" s="243"/>
      <c r="Q134" s="243"/>
      <c r="R134" s="243"/>
      <c r="S134" s="243"/>
      <c r="T134" s="243"/>
      <c r="U134" s="243"/>
      <c r="V134" s="243"/>
      <c r="W134" s="92"/>
      <c r="X134" s="198" t="s">
        <v>5790</v>
      </c>
      <c r="Y134" s="198"/>
      <c r="Z134" s="198" t="s">
        <v>5791</v>
      </c>
      <c r="AA134" s="198" t="s">
        <v>5596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5792</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4815</v>
      </c>
      <c r="BU134" s="175" t="s">
        <v>1911</v>
      </c>
      <c r="BV134" s="175" t="s">
        <v>5664</v>
      </c>
      <c r="BW134" s="175" t="s">
        <v>5656</v>
      </c>
      <c r="BX134" s="253"/>
      <c r="BY134" s="253"/>
      <c r="BZ134" s="253"/>
      <c r="CA134" s="253"/>
      <c r="CB134" s="253"/>
      <c r="CC134" s="253"/>
      <c r="CD134" s="253"/>
      <c r="CE134" s="253"/>
      <c r="CF134" s="254"/>
      <c r="CG134" s="177" t="s">
        <v>5793</v>
      </c>
      <c r="CH134" s="177" t="s">
        <v>3914</v>
      </c>
      <c r="CI134" s="256"/>
      <c r="CJ134" s="256"/>
      <c r="CK134" s="256"/>
      <c r="CL134" s="256"/>
      <c r="CM134" s="256"/>
      <c r="CN134" s="256"/>
      <c r="CO134" s="256"/>
      <c r="CP134" s="256"/>
      <c r="CQ134" s="256"/>
      <c r="CR134" s="256"/>
      <c r="CS134" s="256"/>
      <c r="CT134" s="256"/>
      <c r="CU134" s="92"/>
      <c r="CV134" s="204" t="s">
        <v>4663</v>
      </c>
      <c r="CW134" s="204" t="s">
        <v>5794</v>
      </c>
      <c r="CX134" s="204" t="s">
        <v>2644</v>
      </c>
      <c r="CY134" s="257"/>
      <c r="CZ134" s="257"/>
      <c r="DA134" s="257"/>
      <c r="DB134" s="204" t="s">
        <v>5795</v>
      </c>
      <c r="DC134" s="257"/>
      <c r="DD134" s="257"/>
      <c r="DE134" s="257"/>
      <c r="DF134" s="257"/>
      <c r="DG134" s="257"/>
      <c r="DH134" s="258"/>
      <c r="DI134" s="259"/>
      <c r="DJ134" s="259"/>
      <c r="DK134" s="259"/>
      <c r="DL134" s="259"/>
      <c r="DM134" s="259"/>
      <c r="DN134" s="259"/>
      <c r="DO134" s="259"/>
      <c r="DP134" s="259"/>
      <c r="DQ134" s="259"/>
      <c r="DR134" s="205" t="s">
        <v>5796</v>
      </c>
      <c r="DS134" s="205"/>
      <c r="DT134" s="259"/>
      <c r="DU134" s="259"/>
      <c r="DV134" s="259"/>
      <c r="DW134" s="259"/>
      <c r="DX134" s="259"/>
      <c r="DY134" s="259"/>
      <c r="DZ134" s="259"/>
      <c r="EA134" s="259"/>
      <c r="EB134" s="259"/>
      <c r="EC134" s="259"/>
      <c r="ED134" s="287"/>
    </row>
    <row r="135">
      <c r="A135" s="632" t="s">
        <v>5797</v>
      </c>
      <c r="B135" s="82" t="s">
        <v>5798</v>
      </c>
      <c r="C135" s="83" t="s">
        <v>1256</v>
      </c>
      <c r="D135" s="84" t="s">
        <v>1256</v>
      </c>
      <c r="E135" s="85" t="s">
        <v>1256</v>
      </c>
      <c r="F135" s="86" t="s">
        <v>1256</v>
      </c>
      <c r="G135" s="82" t="s">
        <v>983</v>
      </c>
      <c r="H135" s="633" t="s">
        <v>4570</v>
      </c>
      <c r="I135" s="261" t="s">
        <v>5799</v>
      </c>
      <c r="J135" s="261" t="s">
        <v>5800</v>
      </c>
      <c r="K135" s="261" t="s">
        <v>2656</v>
      </c>
      <c r="L135" s="261" t="s">
        <v>2099</v>
      </c>
      <c r="M135" s="261" t="s">
        <v>5801</v>
      </c>
      <c r="N135" s="261" t="s">
        <v>5802</v>
      </c>
      <c r="O135" s="261" t="s">
        <v>3954</v>
      </c>
      <c r="P135" s="261" t="s">
        <v>4956</v>
      </c>
      <c r="Q135" s="94" t="s">
        <v>5803</v>
      </c>
      <c r="R135" s="99"/>
      <c r="S135" s="94" t="s">
        <v>3807</v>
      </c>
      <c r="T135" s="99"/>
      <c r="U135" s="94" t="s">
        <v>1264</v>
      </c>
      <c r="V135" s="94" t="s">
        <v>5804</v>
      </c>
      <c r="W135" s="92"/>
      <c r="X135" s="261" t="s">
        <v>5006</v>
      </c>
      <c r="Y135" s="261"/>
      <c r="Z135" s="261" t="s">
        <v>3595</v>
      </c>
      <c r="AA135" s="261" t="s">
        <v>1441</v>
      </c>
      <c r="AB135" s="267" t="s">
        <v>5805</v>
      </c>
      <c r="AC135" s="261" t="s">
        <v>4830</v>
      </c>
      <c r="AD135" s="261" t="s">
        <v>4979</v>
      </c>
      <c r="AE135" s="99"/>
      <c r="AF135" s="261" t="s">
        <v>2423</v>
      </c>
      <c r="AG135" s="261" t="s">
        <v>5389</v>
      </c>
      <c r="AH135" s="94" t="s">
        <v>1746</v>
      </c>
      <c r="AI135" s="99"/>
      <c r="AJ135" s="261" t="s">
        <v>2438</v>
      </c>
      <c r="AK135" s="94" t="s">
        <v>5806</v>
      </c>
      <c r="AL135" s="97"/>
      <c r="AM135" s="261" t="s">
        <v>1371</v>
      </c>
      <c r="AN135" s="261" t="s">
        <v>1009</v>
      </c>
      <c r="AO135" s="99"/>
      <c r="AP135" s="99"/>
      <c r="AQ135" s="94" t="s">
        <v>5807</v>
      </c>
      <c r="AR135" s="94" t="s">
        <v>1025</v>
      </c>
      <c r="AS135" s="94" t="s">
        <v>1138</v>
      </c>
      <c r="AT135" s="99"/>
      <c r="AU135" s="261" t="s">
        <v>5567</v>
      </c>
      <c r="AV135" s="261" t="s">
        <v>4722</v>
      </c>
      <c r="AW135" s="102"/>
      <c r="AX135" s="99"/>
      <c r="AY135" s="94" t="s">
        <v>950</v>
      </c>
      <c r="AZ135" s="94" t="s">
        <v>5808</v>
      </c>
      <c r="BA135" s="99"/>
      <c r="BB135" s="261" t="s">
        <v>5809</v>
      </c>
      <c r="BC135" s="261" t="s">
        <v>5810</v>
      </c>
      <c r="BD135" s="261" t="s">
        <v>5811</v>
      </c>
      <c r="BE135" s="261" t="s">
        <v>3109</v>
      </c>
      <c r="BF135" s="261" t="s">
        <v>5812</v>
      </c>
      <c r="BG135" s="261" t="s">
        <v>4332</v>
      </c>
      <c r="BH135" s="94" t="s">
        <v>5813</v>
      </c>
      <c r="BI135" s="261" t="s">
        <v>4429</v>
      </c>
      <c r="BJ135" s="99"/>
      <c r="BK135" s="261" t="s">
        <v>5814</v>
      </c>
      <c r="BL135" s="261" t="s">
        <v>2857</v>
      </c>
      <c r="BM135" s="99"/>
      <c r="BN135" s="99"/>
      <c r="BO135" s="102"/>
      <c r="BP135" s="99"/>
      <c r="BQ135" s="236"/>
      <c r="BR135" s="261" t="s">
        <v>5815</v>
      </c>
      <c r="BS135" s="261" t="s">
        <v>5816</v>
      </c>
      <c r="BT135" s="261" t="s">
        <v>5817</v>
      </c>
      <c r="BU135" s="261" t="s">
        <v>5818</v>
      </c>
      <c r="BV135" s="261" t="s">
        <v>5391</v>
      </c>
      <c r="BW135" s="261" t="s">
        <v>328</v>
      </c>
      <c r="BX135" s="94" t="s">
        <v>5819</v>
      </c>
      <c r="BY135" s="102"/>
      <c r="BZ135" s="261" t="s">
        <v>5820</v>
      </c>
      <c r="CA135" s="261" t="s">
        <v>5821</v>
      </c>
      <c r="CB135" s="94" t="s">
        <v>5822</v>
      </c>
      <c r="CC135" s="99"/>
      <c r="CD135" s="99"/>
      <c r="CE135" s="94" t="s">
        <v>5823</v>
      </c>
      <c r="CF135" s="236"/>
      <c r="CG135" s="261" t="s">
        <v>3445</v>
      </c>
      <c r="CH135" s="261" t="s">
        <v>5552</v>
      </c>
      <c r="CI135" s="261" t="s">
        <v>1048</v>
      </c>
      <c r="CJ135" s="261" t="s">
        <v>5824</v>
      </c>
      <c r="CK135" s="261" t="s">
        <v>5825</v>
      </c>
      <c r="CL135" s="261" t="s">
        <v>5826</v>
      </c>
      <c r="CM135" s="261" t="s">
        <v>5827</v>
      </c>
      <c r="CN135" s="261" t="s">
        <v>1012</v>
      </c>
      <c r="CO135" s="261" t="s">
        <v>1411</v>
      </c>
      <c r="CP135" s="222"/>
      <c r="CQ135" s="99"/>
      <c r="CR135" s="99"/>
      <c r="CS135" s="99"/>
      <c r="CT135" s="94" t="s">
        <v>5828</v>
      </c>
      <c r="CU135" s="92"/>
      <c r="CV135" s="261" t="s">
        <v>2617</v>
      </c>
      <c r="CW135" s="261" t="s">
        <v>5829</v>
      </c>
      <c r="CX135" s="576" t="s">
        <v>5830</v>
      </c>
      <c r="CY135" s="261" t="s">
        <v>3327</v>
      </c>
      <c r="CZ135" s="261" t="s">
        <v>5831</v>
      </c>
      <c r="DA135" s="261" t="s">
        <v>4052</v>
      </c>
      <c r="DB135" s="261" t="s">
        <v>5832</v>
      </c>
      <c r="DC135" s="261" t="s">
        <v>5833</v>
      </c>
      <c r="DD135" s="94" t="s">
        <v>5834</v>
      </c>
      <c r="DE135" s="99"/>
      <c r="DF135" s="99"/>
      <c r="DG135" s="94" t="s">
        <v>5835</v>
      </c>
      <c r="DH135" s="236"/>
      <c r="DI135" s="261" t="s">
        <v>569</v>
      </c>
      <c r="DJ135" s="99"/>
      <c r="DK135" s="94" t="s">
        <v>4021</v>
      </c>
      <c r="DL135" s="261" t="s">
        <v>5836</v>
      </c>
      <c r="DM135" s="261" t="s">
        <v>3980</v>
      </c>
      <c r="DN135" s="261" t="s">
        <v>3159</v>
      </c>
      <c r="DO135" s="94" t="s">
        <v>5837</v>
      </c>
      <c r="DP135" s="94" t="s">
        <v>5838</v>
      </c>
      <c r="DQ135" s="94" t="s">
        <v>5839</v>
      </c>
      <c r="DR135" s="261" t="s">
        <v>5840</v>
      </c>
      <c r="DS135" s="102"/>
      <c r="DT135" s="99"/>
      <c r="DU135" s="261" t="s">
        <v>5841</v>
      </c>
      <c r="DV135" s="99"/>
      <c r="DW135" s="99"/>
      <c r="DX135" s="99"/>
      <c r="DY135" s="99"/>
      <c r="DZ135" s="94" t="s">
        <v>5842</v>
      </c>
      <c r="EA135" s="261" t="s">
        <v>5843</v>
      </c>
      <c r="EB135" s="99"/>
      <c r="EC135" s="94" t="s">
        <v>3948</v>
      </c>
      <c r="ED135" s="261" t="s">
        <v>5844</v>
      </c>
    </row>
    <row r="136">
      <c r="A136" s="166" t="s">
        <v>5845</v>
      </c>
      <c r="B136" s="104" t="s">
        <v>5846</v>
      </c>
      <c r="C136" s="105" t="s">
        <v>1256</v>
      </c>
      <c r="D136" s="106" t="s">
        <v>1256</v>
      </c>
      <c r="E136" s="107" t="s">
        <v>1256</v>
      </c>
      <c r="F136" s="108" t="s">
        <v>546</v>
      </c>
      <c r="G136" s="104" t="s">
        <v>3098</v>
      </c>
      <c r="H136" s="167" t="s">
        <v>4202</v>
      </c>
      <c r="I136" s="167" t="s">
        <v>5847</v>
      </c>
      <c r="J136" s="167" t="s">
        <v>3360</v>
      </c>
      <c r="K136" s="167" t="s">
        <v>2278</v>
      </c>
      <c r="L136" s="167" t="s">
        <v>5526</v>
      </c>
      <c r="M136" s="167" t="s">
        <v>5848</v>
      </c>
      <c r="N136" s="167" t="s">
        <v>5849</v>
      </c>
      <c r="O136" s="167" t="s">
        <v>5850</v>
      </c>
      <c r="P136" s="167" t="s">
        <v>1207</v>
      </c>
      <c r="Q136" s="167"/>
      <c r="R136" s="243"/>
      <c r="S136" s="243"/>
      <c r="T136" s="243"/>
      <c r="U136" s="243"/>
      <c r="V136" s="243"/>
      <c r="W136" s="92"/>
      <c r="X136" s="198" t="s">
        <v>5851</v>
      </c>
      <c r="Y136" s="198"/>
      <c r="Z136" s="198" t="s">
        <v>5852</v>
      </c>
      <c r="AA136" s="198" t="s">
        <v>2068</v>
      </c>
      <c r="AB136" s="198" t="s">
        <v>5853</v>
      </c>
      <c r="AC136" s="198" t="s">
        <v>3884</v>
      </c>
      <c r="AD136" s="198" t="s">
        <v>5854</v>
      </c>
      <c r="AE136" s="246"/>
      <c r="AF136" s="198" t="s">
        <v>5802</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2489</v>
      </c>
      <c r="BV136" s="253"/>
      <c r="BW136" s="175" t="s">
        <v>5855</v>
      </c>
      <c r="BX136" s="253"/>
      <c r="BY136" s="253"/>
      <c r="BZ136" s="253"/>
      <c r="CA136" s="175" t="s">
        <v>822</v>
      </c>
      <c r="CB136" s="253"/>
      <c r="CC136" s="253"/>
      <c r="CD136" s="253"/>
      <c r="CE136" s="253"/>
      <c r="CF136" s="254"/>
      <c r="CG136" s="177" t="s">
        <v>5856</v>
      </c>
      <c r="CH136" s="177" t="s">
        <v>4273</v>
      </c>
      <c r="CI136" s="177" t="s">
        <v>2606</v>
      </c>
      <c r="CJ136" s="256"/>
      <c r="CK136" s="256"/>
      <c r="CL136" s="256"/>
      <c r="CM136" s="256"/>
      <c r="CN136" s="256"/>
      <c r="CO136" s="177" t="s">
        <v>5857</v>
      </c>
      <c r="CP136" s="256"/>
      <c r="CQ136" s="256"/>
      <c r="CR136" s="256"/>
      <c r="CS136" s="256"/>
      <c r="CT136" s="256"/>
      <c r="CU136" s="92"/>
      <c r="CV136" s="204" t="s">
        <v>5858</v>
      </c>
      <c r="CW136" s="204" t="s">
        <v>5859</v>
      </c>
      <c r="CX136" s="204" t="s">
        <v>1839</v>
      </c>
      <c r="CY136" s="204" t="s">
        <v>5048</v>
      </c>
      <c r="CZ136" s="257"/>
      <c r="DA136" s="257"/>
      <c r="DB136" s="257"/>
      <c r="DC136" s="204"/>
      <c r="DD136" s="257"/>
      <c r="DE136" s="257"/>
      <c r="DF136" s="257"/>
      <c r="DG136" s="257"/>
      <c r="DH136" s="258"/>
      <c r="DI136" s="205" t="s">
        <v>5860</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4616</v>
      </c>
      <c r="EC136" s="205" t="s">
        <v>2700</v>
      </c>
      <c r="ED136" s="287" t="s">
        <v>5861</v>
      </c>
    </row>
    <row r="137">
      <c r="A137" s="634" t="s">
        <v>5862</v>
      </c>
      <c r="B137" s="209" t="s">
        <v>5863</v>
      </c>
      <c r="C137" s="210" t="s">
        <v>1256</v>
      </c>
      <c r="D137" s="211" t="s">
        <v>1256</v>
      </c>
      <c r="E137" s="212" t="s">
        <v>1256</v>
      </c>
      <c r="F137" s="213" t="s">
        <v>981</v>
      </c>
      <c r="G137" s="209" t="s">
        <v>5864</v>
      </c>
      <c r="H137" s="635"/>
      <c r="I137" s="635" t="s">
        <v>5865</v>
      </c>
      <c r="J137" s="635"/>
      <c r="K137" s="635" t="s">
        <v>3107</v>
      </c>
      <c r="L137" s="214" t="s">
        <v>5187</v>
      </c>
      <c r="M137" s="635"/>
      <c r="N137" s="636" t="s">
        <v>5866</v>
      </c>
      <c r="O137" s="636" t="s">
        <v>5756</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4491</v>
      </c>
      <c r="AZ137" s="635"/>
      <c r="BA137" s="635"/>
      <c r="BB137" s="635" t="s">
        <v>5867</v>
      </c>
      <c r="BC137" s="635"/>
      <c r="BD137" s="635"/>
      <c r="BE137" s="635" t="s">
        <v>5868</v>
      </c>
      <c r="BF137" s="635" t="s">
        <v>5869</v>
      </c>
      <c r="BG137" s="635"/>
      <c r="BH137" s="635"/>
      <c r="BI137" s="88" t="s">
        <v>5870</v>
      </c>
      <c r="BJ137" s="635"/>
      <c r="BK137" s="214" t="s">
        <v>5871</v>
      </c>
      <c r="BL137" s="635"/>
      <c r="BM137" s="635"/>
      <c r="BN137" s="635"/>
      <c r="BO137" s="635"/>
      <c r="BP137" s="635"/>
      <c r="BQ137" s="638"/>
      <c r="BR137" s="635"/>
      <c r="BS137" s="635"/>
      <c r="BT137" s="635" t="s">
        <v>5872</v>
      </c>
      <c r="BU137" s="635"/>
      <c r="BV137" s="88" t="s">
        <v>2598</v>
      </c>
      <c r="BW137" s="88" t="s">
        <v>5433</v>
      </c>
      <c r="BX137" s="635"/>
      <c r="BY137" s="635"/>
      <c r="BZ137" s="635"/>
      <c r="CA137" s="88" t="s">
        <v>3736</v>
      </c>
      <c r="CB137" s="635" t="s">
        <v>5873</v>
      </c>
      <c r="CC137" s="635"/>
      <c r="CD137" s="635"/>
      <c r="CE137" s="635"/>
      <c r="CF137" s="638"/>
      <c r="CG137" s="635" t="s">
        <v>767</v>
      </c>
      <c r="CH137" s="635"/>
      <c r="CI137" s="635"/>
      <c r="CJ137" s="635" t="s">
        <v>5874</v>
      </c>
      <c r="CK137" s="635"/>
      <c r="CL137" s="635"/>
      <c r="CM137" s="636" t="s">
        <v>5875</v>
      </c>
      <c r="CN137" s="94" t="s">
        <v>5250</v>
      </c>
      <c r="CO137" s="635"/>
      <c r="CP137" s="635"/>
      <c r="CQ137" s="635"/>
      <c r="CR137" s="635"/>
      <c r="CS137" s="635"/>
      <c r="CT137" s="635" t="s">
        <v>5876</v>
      </c>
      <c r="CU137" s="460"/>
      <c r="CV137" s="635"/>
      <c r="CW137" s="635"/>
      <c r="CX137" s="636" t="s">
        <v>3419</v>
      </c>
      <c r="CY137" s="635" t="s">
        <v>5877</v>
      </c>
      <c r="CZ137" s="636" t="s">
        <v>5878</v>
      </c>
      <c r="DA137" s="214" t="s">
        <v>1924</v>
      </c>
      <c r="DB137" s="214" t="s">
        <v>5879</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5880</v>
      </c>
      <c r="EB137" s="635"/>
      <c r="EC137" s="635"/>
      <c r="ED137" s="635"/>
    </row>
    <row r="138">
      <c r="A138" s="166" t="s">
        <v>5881</v>
      </c>
      <c r="B138" s="104" t="s">
        <v>5882</v>
      </c>
      <c r="C138" s="105" t="s">
        <v>1256</v>
      </c>
      <c r="D138" s="106" t="s">
        <v>1256</v>
      </c>
      <c r="E138" s="107" t="s">
        <v>1256</v>
      </c>
      <c r="F138" s="108" t="s">
        <v>437</v>
      </c>
      <c r="G138" s="104" t="s">
        <v>3380</v>
      </c>
      <c r="H138" s="167" t="s">
        <v>3832</v>
      </c>
      <c r="I138" s="167" t="s">
        <v>2128</v>
      </c>
      <c r="J138" s="167" t="s">
        <v>5543</v>
      </c>
      <c r="K138" s="167" t="s">
        <v>3971</v>
      </c>
      <c r="L138" s="226" t="s">
        <v>5883</v>
      </c>
      <c r="M138" s="243"/>
      <c r="N138" s="243"/>
      <c r="O138" s="226" t="s">
        <v>1370</v>
      </c>
      <c r="P138" s="243"/>
      <c r="Q138" s="243"/>
      <c r="R138" s="167"/>
      <c r="S138" s="167"/>
      <c r="T138" s="243"/>
      <c r="U138" s="243"/>
      <c r="V138" s="243"/>
      <c r="W138" s="92"/>
      <c r="X138" s="198" t="s">
        <v>3160</v>
      </c>
      <c r="Y138" s="246"/>
      <c r="Z138" s="246"/>
      <c r="AA138" s="198" t="s">
        <v>5884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5885</v>
      </c>
      <c r="BK138" s="174"/>
      <c r="BL138" s="173"/>
      <c r="BM138" s="173"/>
      <c r="BN138" s="173"/>
      <c r="BO138" s="173"/>
      <c r="BP138" s="173"/>
      <c r="BQ138" s="249"/>
      <c r="BR138" s="253"/>
      <c r="BS138" s="176" t="s">
        <v>3915</v>
      </c>
      <c r="BT138" s="175" t="s">
        <v>5281</v>
      </c>
      <c r="BU138" s="253"/>
      <c r="BV138" s="253"/>
      <c r="BW138" s="175" t="s">
        <v>5886</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5887</v>
      </c>
      <c r="B139" s="82" t="s">
        <v>5888</v>
      </c>
      <c r="C139" s="83" t="s">
        <v>1256</v>
      </c>
      <c r="D139" s="84" t="s">
        <v>1256</v>
      </c>
      <c r="E139" s="85" t="s">
        <v>1256</v>
      </c>
      <c r="F139" s="86" t="s">
        <v>647</v>
      </c>
      <c r="G139" s="82" t="s">
        <v>5889</v>
      </c>
      <c r="H139" s="261" t="s">
        <v>3781</v>
      </c>
      <c r="I139" s="267" t="s">
        <v>5890</v>
      </c>
      <c r="J139" s="267" t="s">
        <v>1731</v>
      </c>
      <c r="K139" s="261" t="s">
        <v>352</v>
      </c>
      <c r="L139" s="261" t="s">
        <v>609</v>
      </c>
      <c r="M139" s="261" t="s">
        <v>5891</v>
      </c>
      <c r="N139" s="261" t="s">
        <v>5892</v>
      </c>
      <c r="O139" s="93" t="s">
        <v>242</v>
      </c>
      <c r="P139" s="261" t="s">
        <v>4876</v>
      </c>
      <c r="Q139" s="94" t="s">
        <v>5893</v>
      </c>
      <c r="R139" s="99"/>
      <c r="S139" s="94" t="s">
        <v>4097</v>
      </c>
      <c r="T139" s="99"/>
      <c r="U139" s="94" t="s">
        <v>2097</v>
      </c>
      <c r="V139" s="94" t="s">
        <v>5894</v>
      </c>
      <c r="W139" s="92"/>
      <c r="X139" s="434" t="s">
        <v>5003</v>
      </c>
      <c r="Y139" s="162"/>
      <c r="Z139" s="162" t="s">
        <v>5445</v>
      </c>
      <c r="AA139" s="88" t="s">
        <v>414</v>
      </c>
      <c r="AB139" s="267" t="s">
        <v>2731</v>
      </c>
      <c r="AC139" s="267" t="s">
        <v>3880</v>
      </c>
      <c r="AD139" s="261" t="s">
        <v>1572</v>
      </c>
      <c r="AE139" s="99"/>
      <c r="AF139" s="93" t="s">
        <v>5895</v>
      </c>
      <c r="AG139" s="261" t="s">
        <v>5896</v>
      </c>
      <c r="AH139" s="99"/>
      <c r="AI139" s="99"/>
      <c r="AJ139" s="102"/>
      <c r="AK139" s="99"/>
      <c r="AL139" s="97"/>
      <c r="AM139" s="261" t="s">
        <v>3525</v>
      </c>
      <c r="AN139" s="261" t="s">
        <v>5897</v>
      </c>
      <c r="AO139" s="94" t="s">
        <v>5898</v>
      </c>
      <c r="AP139" s="94" t="s">
        <v>102</v>
      </c>
      <c r="AQ139" s="94" t="s">
        <v>5899</v>
      </c>
      <c r="AR139" s="94" t="s">
        <v>5105</v>
      </c>
      <c r="AS139" s="94" t="s">
        <v>5900</v>
      </c>
      <c r="AT139" s="94" t="s">
        <v>5901</v>
      </c>
      <c r="AU139" s="261" t="s">
        <v>4297</v>
      </c>
      <c r="AV139" s="261" t="s">
        <v>3540</v>
      </c>
      <c r="AW139" s="261" t="s">
        <v>4185</v>
      </c>
      <c r="AX139" s="99"/>
      <c r="AY139" s="99"/>
      <c r="AZ139" s="99"/>
      <c r="BA139" s="99"/>
      <c r="BB139" s="261" t="s">
        <v>5902</v>
      </c>
      <c r="BC139" s="261" t="s">
        <v>2062</v>
      </c>
      <c r="BD139" s="261" t="s">
        <v>1073</v>
      </c>
      <c r="BE139" s="261" t="s">
        <v>5903</v>
      </c>
      <c r="BF139" s="102"/>
      <c r="BG139" s="261" t="s">
        <v>5904</v>
      </c>
      <c r="BH139" s="99"/>
      <c r="BI139" s="261" t="s">
        <v>1082</v>
      </c>
      <c r="BJ139" s="99"/>
      <c r="BK139" s="102"/>
      <c r="BL139" s="261" t="s">
        <v>5905</v>
      </c>
      <c r="BM139" s="99"/>
      <c r="BN139" s="99"/>
      <c r="BO139" s="102"/>
      <c r="BP139" s="99"/>
      <c r="BQ139" s="236"/>
      <c r="BR139" s="261" t="s">
        <v>5906</v>
      </c>
      <c r="BS139" s="261" t="s">
        <v>5907</v>
      </c>
      <c r="BT139" s="261" t="s">
        <v>3866</v>
      </c>
      <c r="BU139" s="261" t="s">
        <v>5811</v>
      </c>
      <c r="BV139" s="261" t="s">
        <v>5908</v>
      </c>
      <c r="BW139" s="261" t="s">
        <v>4588</v>
      </c>
      <c r="BX139" s="99"/>
      <c r="BY139" s="261" t="s">
        <v>5909</v>
      </c>
      <c r="BZ139" s="102"/>
      <c r="CA139" s="261" t="s">
        <v>974</v>
      </c>
      <c r="CB139" s="99"/>
      <c r="CC139" s="99"/>
      <c r="CD139" s="99"/>
      <c r="CE139" s="99"/>
      <c r="CF139" s="236"/>
      <c r="CG139" s="261" t="s">
        <v>5910</v>
      </c>
      <c r="CH139" s="261" t="s">
        <v>5911</v>
      </c>
      <c r="CI139" s="261" t="s">
        <v>4411</v>
      </c>
      <c r="CJ139" s="102"/>
      <c r="CK139" s="102"/>
      <c r="CL139" s="261" t="s">
        <v>2142</v>
      </c>
      <c r="CM139" s="102"/>
      <c r="CN139" s="102"/>
      <c r="CO139" s="102"/>
      <c r="CP139" s="222"/>
      <c r="CQ139" s="99"/>
      <c r="CR139" s="99"/>
      <c r="CS139" s="99"/>
      <c r="CT139" s="99"/>
      <c r="CU139" s="92"/>
      <c r="CV139" s="261" t="s">
        <v>5912</v>
      </c>
      <c r="CW139" s="261" t="s">
        <v>5913</v>
      </c>
      <c r="CX139" s="434" t="s">
        <v>5914</v>
      </c>
      <c r="CY139" s="88" t="s">
        <v>4502</v>
      </c>
      <c r="CZ139" s="261" t="s">
        <v>3401</v>
      </c>
      <c r="DA139" s="261" t="s">
        <v>4028</v>
      </c>
      <c r="DB139" s="261" t="s">
        <v>5915</v>
      </c>
      <c r="DC139" s="88" t="s">
        <v>5916</v>
      </c>
      <c r="DD139" s="99"/>
      <c r="DE139" s="99"/>
      <c r="DF139" s="99"/>
      <c r="DG139" s="99"/>
      <c r="DH139" s="236"/>
      <c r="DI139" s="261" t="s">
        <v>5917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5918</v>
      </c>
      <c r="B140" s="104" t="s">
        <v>5919</v>
      </c>
      <c r="C140" s="105" t="s">
        <v>1256</v>
      </c>
      <c r="D140" s="106" t="s">
        <v>1256</v>
      </c>
      <c r="E140" s="107" t="s">
        <v>1256</v>
      </c>
      <c r="F140" s="108" t="s">
        <v>1256</v>
      </c>
      <c r="G140" s="104" t="s">
        <v>221</v>
      </c>
      <c r="H140" s="226" t="s">
        <v>5920</v>
      </c>
      <c r="I140" s="342" t="s">
        <v>5921</v>
      </c>
      <c r="J140" s="226" t="s">
        <v>2827</v>
      </c>
      <c r="K140" s="226" t="s">
        <v>4496</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4409</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4300</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5922</v>
      </c>
      <c r="B141" s="82" t="s">
        <v>5923</v>
      </c>
      <c r="C141" s="83" t="s">
        <v>1256</v>
      </c>
      <c r="D141" s="84" t="s">
        <v>1256</v>
      </c>
      <c r="E141" s="85" t="s">
        <v>1256</v>
      </c>
      <c r="F141" s="86" t="s">
        <v>437</v>
      </c>
      <c r="G141" s="82" t="s">
        <v>2681</v>
      </c>
      <c r="H141" s="94" t="s">
        <v>5924</v>
      </c>
      <c r="I141" s="267" t="s">
        <v>1590</v>
      </c>
      <c r="J141" s="94" t="s">
        <v>5925</v>
      </c>
      <c r="K141" s="94" t="s">
        <v>5926</v>
      </c>
      <c r="L141" s="94" t="s">
        <v>5927</v>
      </c>
      <c r="M141" s="99"/>
      <c r="N141" s="94" t="s">
        <v>5928</v>
      </c>
      <c r="O141" s="94" t="s">
        <v>3586</v>
      </c>
      <c r="P141" s="94" t="s">
        <v>1075</v>
      </c>
      <c r="Q141" s="99"/>
      <c r="R141" s="94" t="s">
        <v>324</v>
      </c>
      <c r="S141" s="94" t="s">
        <v>2217</v>
      </c>
      <c r="T141" s="99"/>
      <c r="U141" s="94" t="s">
        <v>3225</v>
      </c>
      <c r="V141" s="99"/>
      <c r="W141" s="92"/>
      <c r="X141" s="94" t="s">
        <v>5929</v>
      </c>
      <c r="Y141" s="102"/>
      <c r="Z141" s="88" t="s">
        <v>2394</v>
      </c>
      <c r="AA141" s="94" t="s">
        <v>4514</v>
      </c>
      <c r="AB141" s="94" t="s">
        <v>1679</v>
      </c>
      <c r="AC141" s="94" t="s">
        <v>3882</v>
      </c>
      <c r="AD141" s="94" t="s">
        <v>2392</v>
      </c>
      <c r="AE141" s="99"/>
      <c r="AF141" s="94" t="s">
        <v>5930</v>
      </c>
      <c r="AG141" s="94" t="s">
        <v>193</v>
      </c>
      <c r="AH141" s="99"/>
      <c r="AI141" s="99"/>
      <c r="AJ141" s="99"/>
      <c r="AK141" s="99"/>
      <c r="AL141" s="97"/>
      <c r="AM141" s="99"/>
      <c r="AN141" s="94" t="s">
        <v>322</v>
      </c>
      <c r="AO141" s="99"/>
      <c r="AP141" s="99"/>
      <c r="AQ141" s="94" t="s">
        <v>5931</v>
      </c>
      <c r="AR141" s="94"/>
      <c r="AS141" s="99"/>
      <c r="AT141" s="99"/>
      <c r="AU141" s="94" t="s">
        <v>701</v>
      </c>
      <c r="AV141" s="99"/>
      <c r="AW141" s="99"/>
      <c r="AX141" s="99"/>
      <c r="AY141" s="99"/>
      <c r="AZ141" s="99"/>
      <c r="BA141" s="99"/>
      <c r="BB141" s="99"/>
      <c r="BC141" s="94" t="s">
        <v>1959</v>
      </c>
      <c r="BD141" s="94" t="s">
        <v>5932</v>
      </c>
      <c r="BE141" s="94" t="s">
        <v>3576</v>
      </c>
      <c r="BF141" s="94" t="s">
        <v>5766</v>
      </c>
      <c r="BG141" s="99"/>
      <c r="BH141" s="99"/>
      <c r="BI141" s="94" t="s">
        <v>4017</v>
      </c>
      <c r="BJ141" s="94" t="s">
        <v>5933</v>
      </c>
      <c r="BK141" s="94"/>
      <c r="BL141" s="94" t="s">
        <v>2625</v>
      </c>
      <c r="BM141" s="99"/>
      <c r="BN141" s="94" t="s">
        <v>4223</v>
      </c>
      <c r="BO141" s="99"/>
      <c r="BP141" s="99"/>
      <c r="BQ141" s="236"/>
      <c r="BR141" s="94" t="s">
        <v>5934</v>
      </c>
      <c r="BS141" s="94" t="s">
        <v>4240</v>
      </c>
      <c r="BT141" s="94" t="s">
        <v>3406</v>
      </c>
      <c r="BU141" s="94" t="s">
        <v>5935</v>
      </c>
      <c r="BV141" s="94" t="s">
        <v>5936</v>
      </c>
      <c r="BW141" s="94" t="s">
        <v>5180</v>
      </c>
      <c r="BX141" s="99"/>
      <c r="BY141" s="94" t="s">
        <v>2879</v>
      </c>
      <c r="BZ141" s="99"/>
      <c r="CA141" s="94" t="s">
        <v>5937</v>
      </c>
      <c r="CB141" s="99"/>
      <c r="CC141" s="99"/>
      <c r="CD141" s="99"/>
      <c r="CE141" s="99"/>
      <c r="CF141" s="236"/>
      <c r="CG141" s="94" t="s">
        <v>5938</v>
      </c>
      <c r="CH141" s="94" t="s">
        <v>4474</v>
      </c>
      <c r="CI141" s="94" t="s">
        <v>2219</v>
      </c>
      <c r="CJ141" s="94" t="s">
        <v>5939</v>
      </c>
      <c r="CK141" s="94"/>
      <c r="CL141" s="94" t="s">
        <v>5940</v>
      </c>
      <c r="CM141" s="94" t="s">
        <v>5941</v>
      </c>
      <c r="CN141" s="94" t="s">
        <v>1731</v>
      </c>
      <c r="CO141" s="94" t="s">
        <v>4297</v>
      </c>
      <c r="CP141" s="99"/>
      <c r="CQ141" s="99"/>
      <c r="CR141" s="99"/>
      <c r="CS141" s="99"/>
      <c r="CT141" s="99"/>
      <c r="CU141" s="92"/>
      <c r="CV141" s="94" t="s">
        <v>5942</v>
      </c>
      <c r="CW141" s="94" t="s">
        <v>2836</v>
      </c>
      <c r="CX141" s="94" t="s">
        <v>3752</v>
      </c>
      <c r="CY141" s="94" t="s">
        <v>5943</v>
      </c>
      <c r="CZ141" s="99"/>
      <c r="DA141" s="94" t="s">
        <v>5944</v>
      </c>
      <c r="DB141" s="88" t="s">
        <v>5945</v>
      </c>
      <c r="DC141" s="94" t="s">
        <v>4472</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4775</v>
      </c>
      <c r="H142" s="167"/>
      <c r="I142" s="167" t="s">
        <v>5953</v>
      </c>
      <c r="J142" s="167" t="s">
        <v>4142</v>
      </c>
      <c r="K142" s="112" t="s">
        <v>2278</v>
      </c>
      <c r="L142" s="167" t="s">
        <v>2477</v>
      </c>
      <c r="M142" s="167" t="s">
        <v>5954</v>
      </c>
      <c r="N142" s="167" t="s">
        <v>5955</v>
      </c>
      <c r="O142" s="167" t="s">
        <v>5128</v>
      </c>
      <c r="P142" s="167" t="s">
        <v>563</v>
      </c>
      <c r="Q142" s="243"/>
      <c r="R142" s="243"/>
      <c r="S142" s="243"/>
      <c r="T142" s="243"/>
      <c r="U142" s="243"/>
      <c r="V142" s="243"/>
      <c r="W142" s="92"/>
      <c r="X142" s="198" t="s">
        <v>4614</v>
      </c>
      <c r="Y142" s="198"/>
      <c r="Z142" s="198" t="s">
        <v>5791</v>
      </c>
      <c r="AA142" s="198" t="s">
        <v>2242</v>
      </c>
      <c r="AB142" s="198" t="s">
        <v>5956</v>
      </c>
      <c r="AC142" s="198" t="s">
        <v>4961</v>
      </c>
      <c r="AD142" s="198" t="s">
        <v>5957</v>
      </c>
      <c r="AE142" s="246"/>
      <c r="AF142" s="198" t="s">
        <v>5958</v>
      </c>
      <c r="AG142" s="295" t="s">
        <v>5013</v>
      </c>
      <c r="AH142" s="246"/>
      <c r="AI142" s="246"/>
      <c r="AJ142" s="246"/>
      <c r="AK142" s="246"/>
      <c r="AL142" s="97"/>
      <c r="AM142" s="247"/>
      <c r="AN142" s="247"/>
      <c r="AO142" s="247"/>
      <c r="AP142" s="247"/>
      <c r="AQ142" s="247"/>
      <c r="AR142" s="247"/>
      <c r="AS142" s="247"/>
      <c r="AT142" s="247"/>
      <c r="AU142" s="168" t="s">
        <v>4606</v>
      </c>
      <c r="AV142" s="168" t="s">
        <v>4750</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5791</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5515</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4535</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5864</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5006</v>
      </c>
      <c r="Y145" s="94"/>
      <c r="Z145" s="94" t="s">
        <v>4244</v>
      </c>
      <c r="AA145" s="94" t="s">
        <v>5582</v>
      </c>
      <c r="AB145" s="94" t="s">
        <v>784</v>
      </c>
      <c r="AC145" s="94" t="s">
        <v>4327</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5818</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5721</v>
      </c>
      <c r="J147" s="94" t="s">
        <v>6019</v>
      </c>
      <c r="K147" s="94" t="s">
        <v>5913</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5870</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4506</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5943</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4707</v>
      </c>
      <c r="AK149" s="94" t="s">
        <v>6048</v>
      </c>
      <c r="AL149" s="97"/>
      <c r="AM149" s="94" t="s">
        <v>6049</v>
      </c>
      <c r="AN149" s="94" t="s">
        <v>5019</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4275</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5032</v>
      </c>
      <c r="CM149" s="94" t="s">
        <v>6074</v>
      </c>
      <c r="CN149" s="94" t="s">
        <v>3808</v>
      </c>
      <c r="CO149" s="94" t="s">
        <v>2121</v>
      </c>
      <c r="CP149" s="94" t="s">
        <v>6075</v>
      </c>
      <c r="CQ149" s="94" t="s">
        <v>6076</v>
      </c>
      <c r="CR149" s="99"/>
      <c r="CS149" s="94" t="s">
        <v>5459</v>
      </c>
      <c r="CT149" s="94" t="s">
        <v>6077</v>
      </c>
      <c r="CU149" s="92"/>
      <c r="CV149" s="94" t="s">
        <v>2899</v>
      </c>
      <c r="CW149" s="94" t="s">
        <v>6078</v>
      </c>
      <c r="CX149" s="94" t="s">
        <v>2442</v>
      </c>
      <c r="CY149" s="94" t="s">
        <v>6079</v>
      </c>
      <c r="CZ149" s="94" t="s">
        <v>1430</v>
      </c>
      <c r="DA149" s="94" t="s">
        <v>4211</v>
      </c>
      <c r="DB149" s="94" t="s">
        <v>6080</v>
      </c>
      <c r="DC149" s="94" t="s">
        <v>6081</v>
      </c>
      <c r="DD149" s="94" t="s">
        <v>6082</v>
      </c>
      <c r="DE149" s="94" t="s">
        <v>4173</v>
      </c>
      <c r="DF149" s="94" t="s">
        <v>1822</v>
      </c>
      <c r="DG149" s="94" t="s">
        <v>6083</v>
      </c>
      <c r="DH149" s="236"/>
      <c r="DI149" s="94" t="s">
        <v>4041</v>
      </c>
      <c r="DJ149" s="99"/>
      <c r="DK149" s="94" t="s">
        <v>2797</v>
      </c>
      <c r="DL149" s="94" t="s">
        <v>2112</v>
      </c>
      <c r="DM149" s="94" t="s">
        <v>3697</v>
      </c>
      <c r="DN149" s="94" t="s">
        <v>2417</v>
      </c>
      <c r="DO149" s="94" t="s">
        <v>4127</v>
      </c>
      <c r="DP149" s="94" t="s">
        <v>6084</v>
      </c>
      <c r="DQ149" s="94" t="s">
        <v>179</v>
      </c>
      <c r="DR149" s="94" t="s">
        <v>6085</v>
      </c>
      <c r="DS149" s="94" t="s">
        <v>3135</v>
      </c>
      <c r="DT149" s="94" t="s">
        <v>4825</v>
      </c>
      <c r="DU149" s="94" t="s">
        <v>6086</v>
      </c>
      <c r="DV149" s="94" t="s">
        <v>6087</v>
      </c>
      <c r="DW149" s="94" t="s">
        <v>1120</v>
      </c>
      <c r="DX149" s="94" t="s">
        <v>3882</v>
      </c>
      <c r="DY149" s="94" t="s">
        <v>6088</v>
      </c>
      <c r="DZ149" s="94" t="s">
        <v>4452</v>
      </c>
      <c r="EA149" s="94" t="s">
        <v>2582</v>
      </c>
      <c r="EB149" s="94" t="s">
        <v>5014</v>
      </c>
      <c r="EC149" s="94" t="s">
        <v>2319</v>
      </c>
      <c r="ED149" s="575" t="s">
        <v>4431</v>
      </c>
    </row>
    <row r="150">
      <c r="A150" s="675" t="s">
        <v>6089</v>
      </c>
      <c r="B150" s="104" t="s">
        <v>6090</v>
      </c>
      <c r="C150" s="105" t="s">
        <v>1256</v>
      </c>
      <c r="D150" s="106" t="s">
        <v>546</v>
      </c>
      <c r="E150" s="107" t="s">
        <v>1256</v>
      </c>
      <c r="F150" s="108" t="s">
        <v>982</v>
      </c>
      <c r="G150" s="104" t="s">
        <v>1058</v>
      </c>
      <c r="H150" s="243"/>
      <c r="I150" s="167" t="s">
        <v>6091</v>
      </c>
      <c r="J150" s="167" t="s">
        <v>4348</v>
      </c>
      <c r="K150" s="112" t="s">
        <v>662</v>
      </c>
      <c r="L150" s="112" t="s">
        <v>6092</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4244</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4828</v>
      </c>
      <c r="BX150" s="253"/>
      <c r="BY150" s="253"/>
      <c r="BZ150" s="253"/>
      <c r="CA150" s="253"/>
      <c r="CB150" s="253"/>
      <c r="CC150" s="253"/>
      <c r="CD150" s="253"/>
      <c r="CE150" s="253"/>
      <c r="CF150" s="254"/>
      <c r="CG150" s="256"/>
      <c r="CH150" s="135" t="s">
        <v>6093</v>
      </c>
      <c r="CI150" s="256"/>
      <c r="CJ150" s="264" t="s">
        <v>3891</v>
      </c>
      <c r="CK150" s="264"/>
      <c r="CL150" s="264"/>
      <c r="CM150" s="256"/>
      <c r="CN150" s="256"/>
      <c r="CO150" s="177" t="s">
        <v>844</v>
      </c>
      <c r="CP150" s="256"/>
      <c r="CQ150" s="256"/>
      <c r="CR150" s="256"/>
      <c r="CS150" s="256"/>
      <c r="CT150" s="256"/>
      <c r="CU150" s="92"/>
      <c r="CV150" s="204" t="s">
        <v>6094</v>
      </c>
      <c r="CW150" s="257"/>
      <c r="CX150" s="140" t="s">
        <v>6095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6096</v>
      </c>
      <c r="DT150" s="259"/>
      <c r="DU150" s="259"/>
      <c r="DV150" s="259"/>
      <c r="DW150" s="259"/>
      <c r="DX150" s="259"/>
      <c r="DY150" s="259"/>
      <c r="DZ150" s="259"/>
      <c r="EA150" s="259"/>
      <c r="EB150" s="259"/>
      <c r="EC150" s="259"/>
      <c r="ED150" s="676" t="s">
        <v>6097</v>
      </c>
    </row>
    <row r="151">
      <c r="A151" s="674" t="s">
        <v>6098</v>
      </c>
      <c r="B151" s="82" t="s">
        <v>6099</v>
      </c>
      <c r="C151" s="83" t="s">
        <v>1256</v>
      </c>
      <c r="D151" s="84" t="s">
        <v>1256</v>
      </c>
      <c r="E151" s="85" t="s">
        <v>1256</v>
      </c>
      <c r="F151" s="86" t="s">
        <v>222</v>
      </c>
      <c r="G151" s="82" t="s">
        <v>5864</v>
      </c>
      <c r="H151" s="93"/>
      <c r="I151" s="98" t="s">
        <v>6100</v>
      </c>
      <c r="J151" s="88" t="s">
        <v>4728</v>
      </c>
      <c r="K151" s="88" t="s">
        <v>6101</v>
      </c>
      <c r="L151" s="88" t="s">
        <v>2099</v>
      </c>
      <c r="M151" s="102"/>
      <c r="N151" s="88" t="s">
        <v>712</v>
      </c>
      <c r="O151" s="267" t="s">
        <v>6102</v>
      </c>
      <c r="P151" s="88" t="s">
        <v>1865</v>
      </c>
      <c r="Q151" s="99"/>
      <c r="R151" s="99"/>
      <c r="S151" s="99"/>
      <c r="T151" s="99"/>
      <c r="U151" s="99"/>
      <c r="V151" s="99"/>
      <c r="W151" s="92"/>
      <c r="X151" s="88" t="s">
        <v>5563</v>
      </c>
      <c r="Y151" s="102"/>
      <c r="Z151" s="102" t="s">
        <v>6103</v>
      </c>
      <c r="AA151" s="102" t="s">
        <v>6104</v>
      </c>
      <c r="AB151" s="267" t="s">
        <v>2874</v>
      </c>
      <c r="AC151" s="102"/>
      <c r="AD151" s="102" t="s">
        <v>6105</v>
      </c>
      <c r="AE151" s="99"/>
      <c r="AF151" s="102"/>
      <c r="AG151" s="102"/>
      <c r="AH151" s="99"/>
      <c r="AI151" s="99"/>
      <c r="AJ151" s="102"/>
      <c r="AK151" s="99"/>
      <c r="AL151" s="97"/>
      <c r="AM151" s="102"/>
      <c r="AN151" s="102"/>
      <c r="AO151" s="99"/>
      <c r="AP151" s="99"/>
      <c r="AQ151" s="94"/>
      <c r="AR151" s="94"/>
      <c r="AS151" s="99"/>
      <c r="AT151" s="99"/>
      <c r="AU151" s="88" t="s">
        <v>1188</v>
      </c>
      <c r="AV151" s="88" t="s">
        <v>6106</v>
      </c>
      <c r="AW151" s="102"/>
      <c r="AX151" s="99"/>
      <c r="AY151" s="99"/>
      <c r="AZ151" s="99"/>
      <c r="BA151" s="99"/>
      <c r="BB151" s="88" t="s">
        <v>6107</v>
      </c>
      <c r="BC151" s="267" t="s">
        <v>6108</v>
      </c>
      <c r="BD151" s="102"/>
      <c r="BE151" s="88" t="s">
        <v>1538</v>
      </c>
      <c r="BF151" s="88" t="s">
        <v>4562</v>
      </c>
      <c r="BG151" s="102"/>
      <c r="BH151" s="99"/>
      <c r="BI151" s="88" t="s">
        <v>3056</v>
      </c>
      <c r="BJ151" s="267" t="s">
        <v>6109</v>
      </c>
      <c r="BK151" s="102"/>
      <c r="BL151" s="102"/>
      <c r="BM151" s="99"/>
      <c r="BN151" s="99"/>
      <c r="BO151" s="102"/>
      <c r="BP151" s="99"/>
      <c r="BQ151" s="236"/>
      <c r="BR151" s="102" t="s">
        <v>2507</v>
      </c>
      <c r="BS151" s="102" t="s">
        <v>6110</v>
      </c>
      <c r="BT151" s="102"/>
      <c r="BU151" s="102" t="s">
        <v>3108</v>
      </c>
      <c r="BV151" s="102" t="s">
        <v>6111</v>
      </c>
      <c r="BW151" s="102"/>
      <c r="BX151" s="99"/>
      <c r="BY151" s="102"/>
      <c r="BZ151" s="102"/>
      <c r="CA151" s="102"/>
      <c r="CB151" s="99"/>
      <c r="CC151" s="99"/>
      <c r="CD151" s="99"/>
      <c r="CE151" s="99"/>
      <c r="CF151" s="236"/>
      <c r="CG151" s="102" t="s">
        <v>6112</v>
      </c>
      <c r="CH151" s="102" t="s">
        <v>1934</v>
      </c>
      <c r="CI151" s="102" t="s">
        <v>3501</v>
      </c>
      <c r="CJ151" s="102" t="s">
        <v>6113</v>
      </c>
      <c r="CK151" s="102"/>
      <c r="CL151" s="102"/>
      <c r="CM151" s="102" t="s">
        <v>6114</v>
      </c>
      <c r="CN151" s="88" t="s">
        <v>2653</v>
      </c>
      <c r="CO151" s="102"/>
      <c r="CP151" s="222"/>
      <c r="CQ151" s="99"/>
      <c r="CR151" s="99"/>
      <c r="CS151" s="99"/>
      <c r="CT151" s="99"/>
      <c r="CU151" s="92"/>
      <c r="CV151" s="88" t="s">
        <v>5233</v>
      </c>
      <c r="CW151" s="102"/>
      <c r="CX151" s="267" t="s">
        <v>6115</v>
      </c>
      <c r="CY151" s="102"/>
      <c r="CZ151" s="88" t="s">
        <v>6116</v>
      </c>
      <c r="DA151" s="102"/>
      <c r="DB151" s="88" t="s">
        <v>6117</v>
      </c>
      <c r="DC151" s="102"/>
      <c r="DD151" s="99"/>
      <c r="DE151" s="99"/>
      <c r="DF151" s="99"/>
      <c r="DG151" s="99"/>
      <c r="DH151" s="236"/>
      <c r="DI151" s="102"/>
      <c r="DJ151" s="99"/>
      <c r="DK151" s="99"/>
      <c r="DL151" s="102"/>
      <c r="DM151" s="102"/>
      <c r="DN151" s="102"/>
      <c r="DO151" s="99"/>
      <c r="DP151" s="99"/>
      <c r="DQ151" s="99"/>
      <c r="DR151" s="102" t="s">
        <v>6118</v>
      </c>
      <c r="DS151" s="102"/>
      <c r="DT151" s="99"/>
      <c r="DU151" s="102"/>
      <c r="DV151" s="99"/>
      <c r="DW151" s="99"/>
      <c r="DX151" s="99"/>
      <c r="DY151" s="99"/>
      <c r="DZ151" s="99"/>
      <c r="EA151" s="102"/>
      <c r="EB151" s="99"/>
      <c r="EC151" s="99"/>
      <c r="ED151" s="261"/>
    </row>
    <row r="152">
      <c r="A152" s="166" t="s">
        <v>6119</v>
      </c>
      <c r="B152" s="104" t="s">
        <v>6120</v>
      </c>
      <c r="C152" s="105" t="s">
        <v>1256</v>
      </c>
      <c r="D152" s="106" t="s">
        <v>1256</v>
      </c>
      <c r="E152" s="107" t="s">
        <v>1256</v>
      </c>
      <c r="F152" s="108" t="s">
        <v>546</v>
      </c>
      <c r="G152" s="104" t="s">
        <v>1196</v>
      </c>
      <c r="H152" s="243"/>
      <c r="I152" s="243"/>
      <c r="J152" s="167" t="s">
        <v>6121</v>
      </c>
      <c r="K152" s="167" t="s">
        <v>662</v>
      </c>
      <c r="L152" s="167" t="s">
        <v>6122</v>
      </c>
      <c r="M152" s="243"/>
      <c r="N152" s="167" t="s">
        <v>2599</v>
      </c>
      <c r="O152" s="167" t="s">
        <v>6123</v>
      </c>
      <c r="P152" s="243"/>
      <c r="Q152" s="243"/>
      <c r="R152" s="243"/>
      <c r="S152" s="243"/>
      <c r="T152" s="243"/>
      <c r="U152" s="243"/>
      <c r="V152" s="243"/>
      <c r="W152" s="92"/>
      <c r="X152" s="246"/>
      <c r="Y152" s="246"/>
      <c r="Z152" s="246"/>
      <c r="AA152" s="198" t="s">
        <v>6124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6125</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6126</v>
      </c>
      <c r="B153" s="82" t="s">
        <v>6127</v>
      </c>
      <c r="C153" s="83" t="s">
        <v>1256</v>
      </c>
      <c r="D153" s="84" t="s">
        <v>1256</v>
      </c>
      <c r="E153" s="85" t="s">
        <v>1256</v>
      </c>
      <c r="F153" s="86" t="s">
        <v>332</v>
      </c>
      <c r="G153" s="82" t="s">
        <v>2937</v>
      </c>
      <c r="H153" s="261"/>
      <c r="I153" s="261" t="s">
        <v>2817</v>
      </c>
      <c r="J153" s="98" t="s">
        <v>6128</v>
      </c>
      <c r="K153" s="261" t="s">
        <v>6129</v>
      </c>
      <c r="L153" s="102" t="s">
        <v>4143</v>
      </c>
      <c r="M153" s="102" t="s">
        <v>6130</v>
      </c>
      <c r="N153" s="102" t="s">
        <v>5777</v>
      </c>
      <c r="O153" s="102" t="s">
        <v>6131</v>
      </c>
      <c r="P153" s="102" t="s">
        <v>3104</v>
      </c>
      <c r="Q153" s="99"/>
      <c r="R153" s="99"/>
      <c r="S153" s="99"/>
      <c r="T153" s="99"/>
      <c r="U153" s="99"/>
      <c r="V153" s="99"/>
      <c r="W153" s="92"/>
      <c r="X153" s="102"/>
      <c r="Y153" s="93"/>
      <c r="Z153" s="88" t="s">
        <v>2839</v>
      </c>
      <c r="AA153" s="102" t="s">
        <v>5117</v>
      </c>
      <c r="AB153" s="267"/>
      <c r="AC153" s="102" t="s">
        <v>4353</v>
      </c>
      <c r="AD153" s="102"/>
      <c r="AE153" s="99"/>
      <c r="AF153" s="102" t="s">
        <v>6132</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4547</v>
      </c>
      <c r="BF153" s="102" t="s">
        <v>6133</v>
      </c>
      <c r="BG153" s="102"/>
      <c r="BH153" s="99"/>
      <c r="BI153" s="102"/>
      <c r="BJ153" s="99"/>
      <c r="BK153" s="102"/>
      <c r="BL153" s="102"/>
      <c r="BM153" s="99"/>
      <c r="BN153" s="99"/>
      <c r="BO153" s="102"/>
      <c r="BP153" s="99"/>
      <c r="BQ153" s="236"/>
      <c r="BR153" s="102" t="s">
        <v>6134</v>
      </c>
      <c r="BS153" s="102"/>
      <c r="BT153" s="102"/>
      <c r="BU153" s="88" t="s">
        <v>1073</v>
      </c>
      <c r="BV153" s="102"/>
      <c r="BW153" s="102" t="s">
        <v>6005</v>
      </c>
      <c r="BX153" s="99"/>
      <c r="BY153" s="102"/>
      <c r="BZ153" s="102" t="s">
        <v>6135</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6136</v>
      </c>
      <c r="CZ153" s="102"/>
      <c r="DA153" s="102" t="s">
        <v>6137</v>
      </c>
      <c r="DB153" s="102" t="s">
        <v>6138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6139</v>
      </c>
      <c r="B154" s="104" t="s">
        <v>6140</v>
      </c>
      <c r="C154" s="105" t="s">
        <v>1256</v>
      </c>
      <c r="D154" s="106" t="s">
        <v>1256</v>
      </c>
      <c r="E154" s="107" t="s">
        <v>1256</v>
      </c>
      <c r="F154" s="108" t="s">
        <v>1256</v>
      </c>
      <c r="G154" s="104" t="s">
        <v>4673</v>
      </c>
      <c r="H154" s="680"/>
      <c r="I154" s="324"/>
      <c r="J154" s="324" t="s">
        <v>1178</v>
      </c>
      <c r="K154" s="324" t="s">
        <v>352</v>
      </c>
      <c r="L154" s="324" t="s">
        <v>659</v>
      </c>
      <c r="M154" s="324"/>
      <c r="N154" s="324"/>
      <c r="O154" s="324" t="s">
        <v>6141</v>
      </c>
      <c r="P154" s="324" t="s">
        <v>6142</v>
      </c>
      <c r="Q154" s="681"/>
      <c r="R154" s="681"/>
      <c r="S154" s="276" t="s">
        <v>3014</v>
      </c>
      <c r="T154" s="681"/>
      <c r="U154" s="681"/>
      <c r="V154" s="681"/>
      <c r="W154" s="580"/>
      <c r="X154" s="302" t="s">
        <v>6143</v>
      </c>
      <c r="Y154" s="302"/>
      <c r="Z154" s="302" t="s">
        <v>2839</v>
      </c>
      <c r="AA154" s="302" t="s">
        <v>131</v>
      </c>
      <c r="AB154" s="302" t="s">
        <v>6144</v>
      </c>
      <c r="AC154" s="302" t="s">
        <v>3880</v>
      </c>
      <c r="AD154" s="302" t="s">
        <v>6145</v>
      </c>
      <c r="AE154" s="682"/>
      <c r="AF154" s="302" t="s">
        <v>6146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6147</v>
      </c>
      <c r="BD154" s="201" t="s">
        <v>3337</v>
      </c>
      <c r="BE154" s="201" t="s">
        <v>6148</v>
      </c>
      <c r="BF154" s="201" t="s">
        <v>2424</v>
      </c>
      <c r="BG154" s="201" t="s">
        <v>6149</v>
      </c>
      <c r="BH154" s="686"/>
      <c r="BI154" s="201" t="s">
        <v>2821</v>
      </c>
      <c r="BJ154" s="686"/>
      <c r="BK154" s="201" t="s">
        <v>6150</v>
      </c>
      <c r="BL154" s="201" t="s">
        <v>4209</v>
      </c>
      <c r="BM154" s="686"/>
      <c r="BN154" s="686"/>
      <c r="BO154" s="201"/>
      <c r="BP154" s="686"/>
      <c r="BQ154" s="687"/>
      <c r="BR154" s="345"/>
      <c r="BS154" s="345" t="s">
        <v>6151</v>
      </c>
      <c r="BT154" s="345" t="s">
        <v>4228</v>
      </c>
      <c r="BU154" s="345" t="s">
        <v>6152</v>
      </c>
      <c r="BV154" s="345" t="s">
        <v>6153</v>
      </c>
      <c r="BW154" s="345" t="s">
        <v>1397</v>
      </c>
      <c r="BX154" s="688"/>
      <c r="BY154" s="345"/>
      <c r="BZ154" s="345" t="s">
        <v>6154</v>
      </c>
      <c r="CA154" s="345" t="s">
        <v>6155</v>
      </c>
      <c r="CB154" s="313"/>
      <c r="CC154" s="688"/>
      <c r="CD154" s="688"/>
      <c r="CE154" s="688"/>
      <c r="CF154" s="689"/>
      <c r="CG154" s="338" t="s">
        <v>5947</v>
      </c>
      <c r="CH154" s="338" t="s">
        <v>6156</v>
      </c>
      <c r="CI154" s="338"/>
      <c r="CJ154" s="338"/>
      <c r="CK154" s="338" t="s">
        <v>6157</v>
      </c>
      <c r="CL154" s="338"/>
      <c r="CM154" s="338"/>
      <c r="CN154" s="338" t="s">
        <v>2653</v>
      </c>
      <c r="CO154" s="338" t="s">
        <v>6158</v>
      </c>
      <c r="CP154" s="690"/>
      <c r="CQ154" s="691"/>
      <c r="CR154" s="691"/>
      <c r="CS154" s="691"/>
      <c r="CT154" s="691"/>
      <c r="CU154" s="580"/>
      <c r="CV154" s="284" t="s">
        <v>2076</v>
      </c>
      <c r="CW154" s="284"/>
      <c r="CX154" s="284" t="s">
        <v>3940</v>
      </c>
      <c r="CY154" s="284"/>
      <c r="CZ154" s="284"/>
      <c r="DA154" s="284"/>
      <c r="DB154" s="284" t="s">
        <v>6159</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6160</v>
      </c>
      <c r="B155" s="82" t="s">
        <v>6161</v>
      </c>
      <c r="C155" s="83" t="s">
        <v>1256</v>
      </c>
      <c r="D155" s="84" t="s">
        <v>1256</v>
      </c>
      <c r="E155" s="85" t="s">
        <v>1256</v>
      </c>
      <c r="F155" s="86" t="s">
        <v>1256</v>
      </c>
      <c r="G155" s="82" t="s">
        <v>2545</v>
      </c>
      <c r="H155" s="102"/>
      <c r="I155" s="95" t="s">
        <v>5150</v>
      </c>
      <c r="J155" s="102" t="s">
        <v>6162</v>
      </c>
      <c r="K155" s="102" t="s">
        <v>6163</v>
      </c>
      <c r="L155" s="102" t="s">
        <v>5986</v>
      </c>
      <c r="M155" s="102" t="s">
        <v>6164</v>
      </c>
      <c r="N155" s="102" t="s">
        <v>1020</v>
      </c>
      <c r="O155" s="102" t="s">
        <v>480</v>
      </c>
      <c r="P155" s="102" t="s">
        <v>762</v>
      </c>
      <c r="Q155" s="99"/>
      <c r="R155" s="99"/>
      <c r="S155" s="94"/>
      <c r="T155" s="99"/>
      <c r="U155" s="99"/>
      <c r="V155" s="99"/>
      <c r="W155" s="92"/>
      <c r="X155" s="102" t="s">
        <v>4352</v>
      </c>
      <c r="Y155" s="102"/>
      <c r="Z155" s="102" t="s">
        <v>2086</v>
      </c>
      <c r="AA155" s="102" t="s">
        <v>6165</v>
      </c>
      <c r="AB155" s="267" t="s">
        <v>6166</v>
      </c>
      <c r="AC155" s="102" t="s">
        <v>6167</v>
      </c>
      <c r="AD155" s="102" t="s">
        <v>3686</v>
      </c>
      <c r="AE155" s="99"/>
      <c r="AF155" s="102" t="s">
        <v>6168</v>
      </c>
      <c r="AG155" s="102" t="s">
        <v>6169</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6060</v>
      </c>
      <c r="BC155" s="102" t="s">
        <v>4959</v>
      </c>
      <c r="BD155" s="102" t="s">
        <v>1073</v>
      </c>
      <c r="BE155" s="102" t="s">
        <v>6170</v>
      </c>
      <c r="BF155" s="102" t="s">
        <v>6171</v>
      </c>
      <c r="BG155" s="102"/>
      <c r="BH155" s="99"/>
      <c r="BI155" s="102" t="s">
        <v>6172</v>
      </c>
      <c r="BJ155" s="94" t="s">
        <v>6173</v>
      </c>
      <c r="BK155" s="102"/>
      <c r="BL155" s="102" t="s">
        <v>1952</v>
      </c>
      <c r="BM155" s="99"/>
      <c r="BN155" s="99"/>
      <c r="BO155" s="102"/>
      <c r="BP155" s="99"/>
      <c r="BQ155" s="236"/>
      <c r="BR155" s="695" t="s">
        <v>6174</v>
      </c>
      <c r="BS155" s="102" t="s">
        <v>1353</v>
      </c>
      <c r="BT155" s="102" t="s">
        <v>5627</v>
      </c>
      <c r="BU155" s="102" t="s">
        <v>6175</v>
      </c>
      <c r="BV155" s="102" t="s">
        <v>6176</v>
      </c>
      <c r="BW155" s="102" t="s">
        <v>1518</v>
      </c>
      <c r="BX155" s="94" t="s">
        <v>4200</v>
      </c>
      <c r="BY155" s="102" t="s">
        <v>6177</v>
      </c>
      <c r="BZ155" s="102"/>
      <c r="CA155" s="102" t="s">
        <v>1442</v>
      </c>
      <c r="CB155" s="99"/>
      <c r="CC155" s="99"/>
      <c r="CD155" s="99"/>
      <c r="CE155" s="99"/>
      <c r="CF155" s="236"/>
      <c r="CG155" s="102" t="s">
        <v>6178</v>
      </c>
      <c r="CH155" s="102" t="s">
        <v>2126</v>
      </c>
      <c r="CI155" s="102" t="s">
        <v>2550</v>
      </c>
      <c r="CJ155" s="102"/>
      <c r="CK155" s="102" t="s">
        <v>6179</v>
      </c>
      <c r="CL155" s="102" t="s">
        <v>363</v>
      </c>
      <c r="CM155" s="102" t="s">
        <v>6180</v>
      </c>
      <c r="CN155" s="102" t="s">
        <v>6181</v>
      </c>
      <c r="CO155" s="102" t="s">
        <v>6182</v>
      </c>
      <c r="CP155" s="222"/>
      <c r="CQ155" s="99"/>
      <c r="CR155" s="99"/>
      <c r="CS155" s="99"/>
      <c r="CT155" s="99"/>
      <c r="CU155" s="92"/>
      <c r="CV155" s="102" t="s">
        <v>6183</v>
      </c>
      <c r="CW155" s="102" t="s">
        <v>2655</v>
      </c>
      <c r="CX155" s="102" t="s">
        <v>1792</v>
      </c>
      <c r="CY155" s="102" t="s">
        <v>4220</v>
      </c>
      <c r="CZ155" s="102" t="s">
        <v>6184</v>
      </c>
      <c r="DA155" s="102" t="s">
        <v>5529</v>
      </c>
      <c r="DB155" s="102" t="s">
        <v>6065</v>
      </c>
      <c r="DC155" s="102" t="s">
        <v>6165</v>
      </c>
      <c r="DD155" s="99"/>
      <c r="DE155" s="99"/>
      <c r="DF155" s="99"/>
      <c r="DG155" s="99"/>
      <c r="DH155" s="236"/>
      <c r="DI155" s="102" t="s">
        <v>2849</v>
      </c>
      <c r="DJ155" s="99"/>
      <c r="DK155" s="99"/>
      <c r="DL155" s="102"/>
      <c r="DM155" s="102"/>
      <c r="DN155" s="102"/>
      <c r="DO155" s="99"/>
      <c r="DP155" s="99"/>
      <c r="DQ155" s="99"/>
      <c r="DR155" s="102" t="s">
        <v>6185</v>
      </c>
      <c r="DS155" s="102" t="s">
        <v>4389</v>
      </c>
      <c r="DT155" s="99"/>
      <c r="DU155" s="102"/>
      <c r="DV155" s="99"/>
      <c r="DW155" s="99"/>
      <c r="DX155" s="99"/>
      <c r="DY155" s="99"/>
      <c r="DZ155" s="99"/>
      <c r="EA155" s="102"/>
      <c r="EB155" s="99"/>
      <c r="EC155" s="99"/>
      <c r="ED155" s="261"/>
    </row>
    <row r="156">
      <c r="A156" s="166" t="s">
        <v>6186</v>
      </c>
      <c r="B156" s="104" t="s">
        <v>6187</v>
      </c>
      <c r="C156" s="105" t="s">
        <v>1256</v>
      </c>
      <c r="D156" s="106" t="s">
        <v>1256</v>
      </c>
      <c r="E156" s="107" t="s">
        <v>1256</v>
      </c>
      <c r="F156" s="108" t="s">
        <v>438</v>
      </c>
      <c r="G156" s="104" t="s">
        <v>5864</v>
      </c>
      <c r="H156" s="167"/>
      <c r="I156" s="112" t="s">
        <v>6188</v>
      </c>
      <c r="J156" s="112" t="s">
        <v>1743</v>
      </c>
      <c r="K156" s="112" t="s">
        <v>1827</v>
      </c>
      <c r="L156" s="112" t="s">
        <v>6189</v>
      </c>
      <c r="M156" s="167" t="s">
        <v>6190</v>
      </c>
      <c r="N156" s="167" t="s">
        <v>3739</v>
      </c>
      <c r="O156" s="167" t="s">
        <v>5250</v>
      </c>
      <c r="P156" s="167" t="s">
        <v>3952</v>
      </c>
      <c r="Q156" s="243"/>
      <c r="R156" s="243"/>
      <c r="S156" s="243"/>
      <c r="T156" s="243"/>
      <c r="U156" s="243"/>
      <c r="V156" s="243"/>
      <c r="W156" s="92"/>
      <c r="X156" s="198" t="s">
        <v>6191</v>
      </c>
      <c r="Y156" s="246"/>
      <c r="Z156" s="246"/>
      <c r="AA156" s="198" t="s">
        <v>675</v>
      </c>
      <c r="AB156" s="198" t="s">
        <v>5527</v>
      </c>
      <c r="AC156" s="116" t="s">
        <v>5485</v>
      </c>
      <c r="AD156" s="246"/>
      <c r="AE156" s="246"/>
      <c r="AF156" s="198" t="s">
        <v>6192</v>
      </c>
      <c r="AG156" s="198" t="s">
        <v>305</v>
      </c>
      <c r="AH156" s="246"/>
      <c r="AI156" s="246"/>
      <c r="AJ156" s="246"/>
      <c r="AK156" s="246"/>
      <c r="AL156" s="97"/>
      <c r="AM156" s="168"/>
      <c r="AN156" s="168" t="s">
        <v>5508</v>
      </c>
      <c r="AO156" s="247"/>
      <c r="AP156" s="247"/>
      <c r="AQ156" s="247"/>
      <c r="AR156" s="247"/>
      <c r="AS156" s="247"/>
      <c r="AT156" s="247"/>
      <c r="AU156" s="168" t="s">
        <v>6193</v>
      </c>
      <c r="AV156" s="247"/>
      <c r="AW156" s="168" t="s">
        <v>198</v>
      </c>
      <c r="AX156" s="247"/>
      <c r="AY156" s="247"/>
      <c r="AZ156" s="247"/>
      <c r="BA156" s="247"/>
      <c r="BB156" s="173"/>
      <c r="BC156" s="174" t="s">
        <v>5860</v>
      </c>
      <c r="BD156" s="173"/>
      <c r="BE156" s="174" t="s">
        <v>6194</v>
      </c>
      <c r="BF156" s="174" t="s">
        <v>1456</v>
      </c>
      <c r="BG156" s="174" t="s">
        <v>4758</v>
      </c>
      <c r="BH156" s="173"/>
      <c r="BI156" s="126" t="s">
        <v>6195</v>
      </c>
      <c r="BJ156" s="173"/>
      <c r="BK156" s="173"/>
      <c r="BL156" s="174" t="s">
        <v>104</v>
      </c>
      <c r="BM156" s="173"/>
      <c r="BN156" s="173"/>
      <c r="BO156" s="173"/>
      <c r="BP156" s="173"/>
      <c r="BQ156" s="249"/>
      <c r="BR156" s="175"/>
      <c r="BS156" s="253"/>
      <c r="BT156" s="253"/>
      <c r="BU156" s="175" t="s">
        <v>6196</v>
      </c>
      <c r="BV156" s="253"/>
      <c r="BW156" s="175" t="s">
        <v>1904</v>
      </c>
      <c r="BX156" s="253"/>
      <c r="BY156" s="175" t="s">
        <v>6197</v>
      </c>
      <c r="BZ156" s="253"/>
      <c r="CA156" s="175" t="s">
        <v>6198</v>
      </c>
      <c r="CB156" s="253"/>
      <c r="CC156" s="253"/>
      <c r="CD156" s="253"/>
      <c r="CE156" s="253"/>
      <c r="CF156" s="254"/>
      <c r="CG156" s="256"/>
      <c r="CH156" s="177" t="s">
        <v>6199</v>
      </c>
      <c r="CI156" s="256"/>
      <c r="CJ156" s="264" t="s">
        <v>6200</v>
      </c>
      <c r="CK156" s="264"/>
      <c r="CL156" s="264" t="s">
        <v>5794</v>
      </c>
      <c r="CM156" s="256"/>
      <c r="CN156" s="256"/>
      <c r="CO156" s="256"/>
      <c r="CP156" s="256"/>
      <c r="CQ156" s="256"/>
      <c r="CR156" s="256"/>
      <c r="CS156" s="256"/>
      <c r="CT156" s="256"/>
      <c r="CU156" s="92"/>
      <c r="CV156" s="257"/>
      <c r="CW156" s="204" t="s">
        <v>5710</v>
      </c>
      <c r="CX156" s="204" t="s">
        <v>6201</v>
      </c>
      <c r="CY156" s="257"/>
      <c r="CZ156" s="257"/>
      <c r="DA156" s="204" t="s">
        <v>5431</v>
      </c>
      <c r="DB156" s="233" t="s">
        <v>5635</v>
      </c>
      <c r="DC156" s="204" t="s">
        <v>6202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6203</v>
      </c>
      <c r="B157" s="82" t="s">
        <v>6204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6205</v>
      </c>
      <c r="B158" s="104" t="s">
        <v>6206</v>
      </c>
      <c r="C158" s="105" t="s">
        <v>1256</v>
      </c>
      <c r="D158" s="106" t="s">
        <v>1256</v>
      </c>
      <c r="E158" s="107" t="s">
        <v>1256</v>
      </c>
      <c r="F158" s="108" t="s">
        <v>437</v>
      </c>
      <c r="G158" s="104" t="s">
        <v>5687</v>
      </c>
      <c r="H158" s="243"/>
      <c r="I158" s="167" t="s">
        <v>1981</v>
      </c>
      <c r="J158" s="167" t="s">
        <v>2595</v>
      </c>
      <c r="K158" s="167" t="s">
        <v>3107</v>
      </c>
      <c r="L158" s="167" t="s">
        <v>2560</v>
      </c>
      <c r="M158" s="167" t="s">
        <v>6207</v>
      </c>
      <c r="N158" s="167" t="s">
        <v>6208</v>
      </c>
      <c r="O158" s="167" t="s">
        <v>6209</v>
      </c>
      <c r="P158" s="167" t="s">
        <v>4155</v>
      </c>
      <c r="Q158" s="243"/>
      <c r="R158" s="243"/>
      <c r="S158" s="243"/>
      <c r="T158" s="243"/>
      <c r="U158" s="243"/>
      <c r="V158" s="243"/>
      <c r="W158" s="92"/>
      <c r="X158" s="198" t="s">
        <v>5349</v>
      </c>
      <c r="Y158" s="198"/>
      <c r="Z158" s="198" t="s">
        <v>2133</v>
      </c>
      <c r="AA158" s="198" t="s">
        <v>2251</v>
      </c>
      <c r="AB158" s="198" t="s">
        <v>1923</v>
      </c>
      <c r="AC158" s="198" t="s">
        <v>6210</v>
      </c>
      <c r="AD158" s="116" t="s">
        <v>6211</v>
      </c>
      <c r="AE158" s="246"/>
      <c r="AF158" s="246"/>
      <c r="AG158" s="246"/>
      <c r="AH158" s="246"/>
      <c r="AI158" s="246"/>
      <c r="AJ158" s="246"/>
      <c r="AK158" s="246"/>
      <c r="AL158" s="97"/>
      <c r="AM158" s="247"/>
      <c r="AN158" s="247"/>
      <c r="AO158" s="247"/>
      <c r="AP158" s="247"/>
      <c r="AQ158" s="247"/>
      <c r="AR158" s="247"/>
      <c r="AS158" s="247"/>
      <c r="AT158" s="247"/>
      <c r="AU158" s="168" t="s">
        <v>6182</v>
      </c>
      <c r="AV158" s="168" t="s">
        <v>3309</v>
      </c>
      <c r="AW158" s="247"/>
      <c r="AX158" s="247"/>
      <c r="AY158" s="247"/>
      <c r="AZ158" s="247"/>
      <c r="BA158" s="247"/>
      <c r="BB158" s="173"/>
      <c r="BC158" s="174" t="s">
        <v>1209</v>
      </c>
      <c r="BD158" s="173"/>
      <c r="BE158" s="174" t="s">
        <v>1777</v>
      </c>
      <c r="BF158" s="173"/>
      <c r="BG158" s="174" t="s">
        <v>6212</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4423</v>
      </c>
      <c r="CW158" s="204" t="s">
        <v>563</v>
      </c>
      <c r="CX158" s="204" t="s">
        <v>6213</v>
      </c>
      <c r="CY158" s="204" t="s">
        <v>4252</v>
      </c>
      <c r="CZ158" s="257"/>
      <c r="DA158" s="257"/>
      <c r="DB158" s="257"/>
      <c r="DC158" s="204" t="s">
        <v>1016</v>
      </c>
      <c r="DD158" s="257"/>
      <c r="DE158" s="257"/>
      <c r="DF158" s="257"/>
      <c r="DG158" s="257"/>
      <c r="DH158" s="258"/>
      <c r="DI158" s="205" t="s">
        <v>6214</v>
      </c>
      <c r="DJ158" s="259"/>
      <c r="DK158" s="259"/>
      <c r="DL158" s="205"/>
      <c r="DM158" s="259"/>
      <c r="DN158" s="205" t="s">
        <v>1915</v>
      </c>
      <c r="DO158" s="205" t="s">
        <v>6215</v>
      </c>
      <c r="DP158" s="259"/>
      <c r="DQ158" s="259"/>
      <c r="DR158" s="259"/>
      <c r="DS158" s="259"/>
      <c r="DT158" s="259"/>
      <c r="DU158" s="259"/>
      <c r="DV158" s="259"/>
      <c r="DW158" s="259"/>
      <c r="DX158" s="259"/>
      <c r="DY158" s="259"/>
      <c r="DZ158" s="205" t="s">
        <v>6216</v>
      </c>
      <c r="EA158" s="259"/>
      <c r="EB158" s="259"/>
      <c r="EC158" s="205" t="s">
        <v>4246</v>
      </c>
      <c r="ED158" s="287"/>
    </row>
    <row r="159">
      <c r="A159" s="81" t="s">
        <v>6217</v>
      </c>
      <c r="B159" s="82" t="s">
        <v>6218</v>
      </c>
      <c r="C159" s="83" t="s">
        <v>1256</v>
      </c>
      <c r="D159" s="84" t="s">
        <v>1256</v>
      </c>
      <c r="E159" s="85" t="s">
        <v>1256</v>
      </c>
      <c r="F159" s="86" t="s">
        <v>1256</v>
      </c>
      <c r="G159" s="82" t="s">
        <v>2937</v>
      </c>
      <c r="H159" s="94" t="s">
        <v>2795</v>
      </c>
      <c r="I159" s="94" t="s">
        <v>6219</v>
      </c>
      <c r="J159" s="94" t="s">
        <v>4837</v>
      </c>
      <c r="K159" s="94" t="s">
        <v>551</v>
      </c>
      <c r="L159" s="94" t="s">
        <v>6220</v>
      </c>
      <c r="M159" s="99"/>
      <c r="N159" s="99"/>
      <c r="O159" s="94" t="s">
        <v>1837</v>
      </c>
      <c r="P159" s="94" t="s">
        <v>351</v>
      </c>
      <c r="Q159" s="94"/>
      <c r="R159" s="99"/>
      <c r="S159" s="94" t="s">
        <v>6221</v>
      </c>
      <c r="T159" s="99"/>
      <c r="U159" s="94" t="s">
        <v>2957</v>
      </c>
      <c r="V159" s="99"/>
      <c r="W159" s="92"/>
      <c r="X159" s="94" t="s">
        <v>6222</v>
      </c>
      <c r="Y159" s="99"/>
      <c r="Z159" s="99"/>
      <c r="AA159" s="94" t="s">
        <v>556</v>
      </c>
      <c r="AB159" s="99"/>
      <c r="AC159" s="99"/>
      <c r="AD159" s="99"/>
      <c r="AE159" s="99"/>
      <c r="AF159" s="99"/>
      <c r="AG159" s="94" t="s">
        <v>6223</v>
      </c>
      <c r="AH159" s="94" t="s">
        <v>6224</v>
      </c>
      <c r="AI159" s="94"/>
      <c r="AJ159" s="94" t="s">
        <v>6225</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6226</v>
      </c>
      <c r="BE159" s="99"/>
      <c r="BF159" s="99"/>
      <c r="BG159" s="94" t="s">
        <v>122</v>
      </c>
      <c r="BH159" s="99"/>
      <c r="BI159" s="94" t="s">
        <v>6227</v>
      </c>
      <c r="BJ159" s="99"/>
      <c r="BK159" s="99"/>
      <c r="BL159" s="99"/>
      <c r="BM159" s="99"/>
      <c r="BN159" s="99"/>
      <c r="BO159" s="99"/>
      <c r="BP159" s="99"/>
      <c r="BQ159" s="236"/>
      <c r="BR159" s="94"/>
      <c r="BS159" s="99"/>
      <c r="BT159" s="99"/>
      <c r="BU159" s="94" t="s">
        <v>6228</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6229</v>
      </c>
      <c r="B160" s="104" t="s">
        <v>6230</v>
      </c>
      <c r="C160" s="105" t="s">
        <v>1256</v>
      </c>
      <c r="D160" s="106" t="s">
        <v>1256</v>
      </c>
      <c r="E160" s="107" t="s">
        <v>1256</v>
      </c>
      <c r="F160" s="108" t="s">
        <v>1197</v>
      </c>
      <c r="G160" s="104" t="s">
        <v>333</v>
      </c>
      <c r="H160" s="243"/>
      <c r="I160" s="243"/>
      <c r="J160" s="167" t="s">
        <v>6231</v>
      </c>
      <c r="K160" s="112" t="s">
        <v>5690</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6232</v>
      </c>
      <c r="BK160" s="173"/>
      <c r="BL160" s="173"/>
      <c r="BM160" s="173"/>
      <c r="BN160" s="173"/>
      <c r="BO160" s="173"/>
      <c r="BP160" s="173"/>
      <c r="BQ160" s="249"/>
      <c r="BR160" s="253"/>
      <c r="BS160" s="253"/>
      <c r="BT160" s="129" t="s">
        <v>1351</v>
      </c>
      <c r="BU160" s="129" t="s">
        <v>4277</v>
      </c>
      <c r="BV160" s="253"/>
      <c r="BW160" s="306" t="s">
        <v>6233</v>
      </c>
      <c r="BX160" s="253"/>
      <c r="BY160" s="253"/>
      <c r="BZ160" s="253"/>
      <c r="CA160" s="253"/>
      <c r="CB160" s="253"/>
      <c r="CC160" s="253"/>
      <c r="CD160" s="253"/>
      <c r="CE160" s="253"/>
      <c r="CF160" s="254"/>
      <c r="CG160" s="177"/>
      <c r="CH160" s="135" t="s">
        <v>6234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6235</v>
      </c>
      <c r="B161" s="82" t="s">
        <v>6236</v>
      </c>
      <c r="C161" s="83" t="s">
        <v>1256</v>
      </c>
      <c r="D161" s="84" t="s">
        <v>1256</v>
      </c>
      <c r="E161" s="85" t="s">
        <v>1256</v>
      </c>
      <c r="F161" s="86" t="s">
        <v>334</v>
      </c>
      <c r="G161" s="82" t="s">
        <v>3969</v>
      </c>
      <c r="H161" s="94" t="s">
        <v>6237</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6238</v>
      </c>
      <c r="AA161" s="94" t="s">
        <v>6239</v>
      </c>
      <c r="AB161" s="94" t="s">
        <v>4540</v>
      </c>
      <c r="AC161" s="94" t="s">
        <v>6240</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6241</v>
      </c>
      <c r="BT161" s="94" t="s">
        <v>6242</v>
      </c>
      <c r="BU161" s="99"/>
      <c r="BV161" s="99"/>
      <c r="BW161" s="94" t="s">
        <v>6243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6244</v>
      </c>
      <c r="B162" s="104" t="s">
        <v>6245</v>
      </c>
      <c r="C162" s="105" t="s">
        <v>1256</v>
      </c>
      <c r="D162" s="106" t="s">
        <v>1256</v>
      </c>
      <c r="E162" s="107" t="s">
        <v>1256</v>
      </c>
      <c r="F162" s="108" t="s">
        <v>437</v>
      </c>
      <c r="G162" s="104" t="s">
        <v>6246</v>
      </c>
      <c r="H162" s="419"/>
      <c r="I162" s="324" t="s">
        <v>1592</v>
      </c>
      <c r="J162" s="419"/>
      <c r="K162" s="324" t="s">
        <v>4053</v>
      </c>
      <c r="L162" s="419"/>
      <c r="M162" s="419"/>
      <c r="N162" s="419"/>
      <c r="O162" s="419"/>
      <c r="P162" s="324" t="s">
        <v>4883</v>
      </c>
      <c r="Q162" s="243"/>
      <c r="R162" s="243"/>
      <c r="S162" s="243"/>
      <c r="T162" s="243"/>
      <c r="U162" s="243"/>
      <c r="V162" s="243"/>
      <c r="W162" s="92"/>
      <c r="X162" s="302" t="s">
        <v>6247</v>
      </c>
      <c r="Y162" s="117"/>
      <c r="Z162" s="117"/>
      <c r="AA162" s="302" t="s">
        <v>1512</v>
      </c>
      <c r="AB162" s="295"/>
      <c r="AC162" s="114" t="s">
        <v>1694</v>
      </c>
      <c r="AD162" s="117"/>
      <c r="AE162" s="246"/>
      <c r="AF162" s="117"/>
      <c r="AG162" s="302" t="s">
        <v>5896</v>
      </c>
      <c r="AH162" s="246"/>
      <c r="AI162" s="246"/>
      <c r="AJ162" s="117"/>
      <c r="AK162" s="246"/>
      <c r="AL162" s="97"/>
      <c r="AM162" s="124"/>
      <c r="AN162" s="124"/>
      <c r="AO162" s="247"/>
      <c r="AP162" s="247"/>
      <c r="AQ162" s="168"/>
      <c r="AR162" s="168"/>
      <c r="AS162" s="247"/>
      <c r="AT162" s="247"/>
      <c r="AU162" s="588" t="s">
        <v>6248</v>
      </c>
      <c r="AV162" s="588" t="s">
        <v>5552</v>
      </c>
      <c r="AW162" s="124"/>
      <c r="AX162" s="247"/>
      <c r="AY162" s="247"/>
      <c r="AZ162" s="247"/>
      <c r="BA162" s="168"/>
      <c r="BB162" s="353"/>
      <c r="BC162" s="125" t="s">
        <v>996</v>
      </c>
      <c r="BD162" s="201"/>
      <c r="BE162" s="201" t="s">
        <v>6249</v>
      </c>
      <c r="BF162" s="353"/>
      <c r="BG162" s="353"/>
      <c r="BH162" s="173"/>
      <c r="BI162" s="201" t="s">
        <v>1542</v>
      </c>
      <c r="BJ162" s="173"/>
      <c r="BK162" s="353"/>
      <c r="BL162" s="201" t="s">
        <v>6250</v>
      </c>
      <c r="BM162" s="173"/>
      <c r="BN162" s="173"/>
      <c r="BO162" s="353"/>
      <c r="BP162" s="173"/>
      <c r="BQ162" s="249"/>
      <c r="BR162" s="131"/>
      <c r="BS162" s="131"/>
      <c r="BT162" s="131"/>
      <c r="BU162" s="131"/>
      <c r="BV162" s="131"/>
      <c r="BW162" s="345" t="s">
        <v>6251</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6252</v>
      </c>
      <c r="CX162" s="284" t="s">
        <v>362</v>
      </c>
      <c r="CY162" s="285"/>
      <c r="CZ162" s="285"/>
      <c r="DA162" s="285"/>
      <c r="DB162" s="284" t="s">
        <v>6253</v>
      </c>
      <c r="DC162" s="284" t="s">
        <v>6254</v>
      </c>
      <c r="DD162" s="257"/>
      <c r="DE162" s="257"/>
      <c r="DF162" s="257"/>
      <c r="DG162" s="257"/>
      <c r="DH162" s="258"/>
      <c r="DI162" s="206"/>
      <c r="DJ162" s="259"/>
      <c r="DK162" s="259"/>
      <c r="DL162" s="206"/>
      <c r="DM162" s="206"/>
      <c r="DN162" s="206"/>
      <c r="DO162" s="259"/>
      <c r="DP162" s="259"/>
      <c r="DQ162" s="259"/>
      <c r="DR162" s="206"/>
      <c r="DS162" s="287" t="s">
        <v>6255</v>
      </c>
      <c r="DT162" s="259"/>
      <c r="DU162" s="206"/>
      <c r="DV162" s="259"/>
      <c r="DW162" s="259"/>
      <c r="DX162" s="259"/>
      <c r="DY162" s="259"/>
      <c r="DZ162" s="259"/>
      <c r="EA162" s="206"/>
      <c r="EB162" s="259"/>
      <c r="EC162" s="259"/>
      <c r="ED162" s="287"/>
    </row>
    <row r="163">
      <c r="A163" s="81" t="s">
        <v>6256</v>
      </c>
      <c r="B163" s="82" t="s">
        <v>6257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6258</v>
      </c>
      <c r="B164" s="104" t="s">
        <v>6259</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6260</v>
      </c>
      <c r="Y164" s="198"/>
      <c r="Z164" s="198" t="s">
        <v>3822</v>
      </c>
      <c r="AA164" s="198" t="s">
        <v>6261</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6262</v>
      </c>
      <c r="CH164" s="256"/>
      <c r="CI164" s="256"/>
      <c r="CJ164" s="256"/>
      <c r="CK164" s="256"/>
      <c r="CL164" s="256"/>
      <c r="CM164" s="256"/>
      <c r="CN164" s="256"/>
      <c r="CO164" s="256"/>
      <c r="CP164" s="256"/>
      <c r="CQ164" s="256"/>
      <c r="CR164" s="256"/>
      <c r="CS164" s="256"/>
      <c r="CT164" s="256"/>
      <c r="CU164" s="92"/>
      <c r="CV164" s="204" t="s">
        <v>5664</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6263</v>
      </c>
      <c r="B165" s="82" t="s">
        <v>6264</v>
      </c>
      <c r="C165" s="83" t="s">
        <v>1256</v>
      </c>
      <c r="D165" s="84" t="s">
        <v>1256</v>
      </c>
      <c r="E165" s="85" t="s">
        <v>1256</v>
      </c>
      <c r="F165" s="86" t="s">
        <v>1256</v>
      </c>
      <c r="G165" s="82" t="s">
        <v>646</v>
      </c>
      <c r="H165" s="93" t="s">
        <v>3504</v>
      </c>
      <c r="I165" s="93" t="s">
        <v>6265</v>
      </c>
      <c r="J165" s="93" t="s">
        <v>4577</v>
      </c>
      <c r="K165" s="94" t="s">
        <v>1952</v>
      </c>
      <c r="L165" s="94" t="s">
        <v>4334</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6266</v>
      </c>
      <c r="B166" s="104" t="s">
        <v>6267</v>
      </c>
      <c r="C166" s="105" t="s">
        <v>1256</v>
      </c>
      <c r="D166" s="106" t="s">
        <v>1256</v>
      </c>
      <c r="E166" s="107" t="s">
        <v>1256</v>
      </c>
      <c r="F166" s="108" t="s">
        <v>1256</v>
      </c>
      <c r="G166" s="104" t="s">
        <v>3380</v>
      </c>
      <c r="H166" s="167" t="s">
        <v>1978</v>
      </c>
      <c r="I166" s="167" t="s">
        <v>2176</v>
      </c>
      <c r="J166" s="243"/>
      <c r="K166" s="167" t="s">
        <v>2656</v>
      </c>
      <c r="L166" s="243"/>
      <c r="M166" s="243"/>
      <c r="N166" s="243"/>
      <c r="O166" s="167" t="s">
        <v>6268</v>
      </c>
      <c r="P166" s="167" t="s">
        <v>6269</v>
      </c>
      <c r="Q166" s="243"/>
      <c r="R166" s="243"/>
      <c r="S166" s="243"/>
      <c r="T166" s="243"/>
      <c r="U166" s="243"/>
      <c r="V166" s="243"/>
      <c r="W166" s="92"/>
      <c r="X166" s="198" t="s">
        <v>3542</v>
      </c>
      <c r="Y166" s="246"/>
      <c r="Z166" s="246"/>
      <c r="AA166" s="198" t="s">
        <v>4667</v>
      </c>
      <c r="AB166" s="246"/>
      <c r="AC166" s="198" t="s">
        <v>2485</v>
      </c>
      <c r="AD166" s="246"/>
      <c r="AE166" s="246"/>
      <c r="AF166" s="198" t="s">
        <v>6270</v>
      </c>
      <c r="AG166" s="246"/>
      <c r="AH166" s="246"/>
      <c r="AI166" s="246"/>
      <c r="AJ166" s="246"/>
      <c r="AK166" s="198" t="s">
        <v>6271</v>
      </c>
      <c r="AL166" s="97"/>
      <c r="AM166" s="247"/>
      <c r="AN166" s="168" t="s">
        <v>6272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5738</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6274</v>
      </c>
      <c r="EB166" s="259"/>
      <c r="EC166" s="205" t="s">
        <v>412</v>
      </c>
      <c r="ED166" s="287"/>
    </row>
    <row r="167">
      <c r="A167" s="699" t="s">
        <v>6275</v>
      </c>
      <c r="B167" s="82" t="s">
        <v>6276</v>
      </c>
      <c r="C167" s="83" t="s">
        <v>1256</v>
      </c>
      <c r="D167" s="84" t="s">
        <v>1256</v>
      </c>
      <c r="E167" s="85" t="s">
        <v>1256</v>
      </c>
      <c r="F167" s="86" t="s">
        <v>6277</v>
      </c>
      <c r="G167" s="82" t="s">
        <v>2649</v>
      </c>
      <c r="H167" s="102"/>
      <c r="I167" s="95"/>
      <c r="J167" s="102"/>
      <c r="K167" s="88" t="s">
        <v>2351</v>
      </c>
      <c r="L167" s="88" t="s">
        <v>6278</v>
      </c>
      <c r="M167" s="102" t="s">
        <v>6279</v>
      </c>
      <c r="N167" s="102"/>
      <c r="O167" s="102"/>
      <c r="P167" s="102" t="s">
        <v>4155</v>
      </c>
      <c r="Q167" s="99"/>
      <c r="R167" s="99"/>
      <c r="S167" s="99"/>
      <c r="T167" s="99"/>
      <c r="U167" s="99"/>
      <c r="V167" s="99"/>
      <c r="W167" s="92"/>
      <c r="X167" s="88" t="s">
        <v>6280</v>
      </c>
      <c r="Y167" s="102"/>
      <c r="Z167" s="102"/>
      <c r="AA167" s="88" t="s">
        <v>2482</v>
      </c>
      <c r="AB167" s="88" t="s">
        <v>6281</v>
      </c>
      <c r="AC167" s="88" t="s">
        <v>6282</v>
      </c>
      <c r="AD167" s="88" t="s">
        <v>2274</v>
      </c>
      <c r="AE167" s="99"/>
      <c r="AF167" s="102"/>
      <c r="AG167" s="88" t="s">
        <v>6283</v>
      </c>
      <c r="AH167" s="99"/>
      <c r="AI167" s="99"/>
      <c r="AJ167" s="102"/>
      <c r="AK167" s="99"/>
      <c r="AL167" s="97"/>
      <c r="AM167" s="102"/>
      <c r="AN167" s="102"/>
      <c r="AO167" s="99"/>
      <c r="AP167" s="99"/>
      <c r="AQ167" s="94"/>
      <c r="AR167" s="94"/>
      <c r="AS167" s="99"/>
      <c r="AT167" s="99"/>
      <c r="AU167" s="88" t="s">
        <v>3839</v>
      </c>
      <c r="AV167" s="88" t="s">
        <v>6284</v>
      </c>
      <c r="AW167" s="102"/>
      <c r="AX167" s="99"/>
      <c r="AY167" s="99"/>
      <c r="AZ167" s="99"/>
      <c r="BA167" s="99"/>
      <c r="BB167" s="102" t="s">
        <v>6285</v>
      </c>
      <c r="BC167" s="88" t="s">
        <v>6286</v>
      </c>
      <c r="BD167" s="102" t="s">
        <v>3254</v>
      </c>
      <c r="BE167" s="88" t="s">
        <v>956</v>
      </c>
      <c r="BF167" s="88" t="s">
        <v>6287</v>
      </c>
      <c r="BG167" s="88" t="s">
        <v>3713</v>
      </c>
      <c r="BH167" s="94" t="s">
        <v>5030</v>
      </c>
      <c r="BI167" s="102" t="s">
        <v>6288</v>
      </c>
      <c r="BJ167" s="99"/>
      <c r="BK167" s="102"/>
      <c r="BL167" s="102"/>
      <c r="BM167" s="99"/>
      <c r="BN167" s="99"/>
      <c r="BO167" s="102"/>
      <c r="BP167" s="99"/>
      <c r="BQ167" s="236"/>
      <c r="BR167" s="88" t="s">
        <v>6289</v>
      </c>
      <c r="BS167" s="102"/>
      <c r="BT167" s="88" t="s">
        <v>6290</v>
      </c>
      <c r="BU167" s="88" t="s">
        <v>5880</v>
      </c>
      <c r="BV167" s="102"/>
      <c r="BW167" s="102"/>
      <c r="BX167" s="99"/>
      <c r="BY167" s="88" t="s">
        <v>6291</v>
      </c>
      <c r="BZ167" s="102"/>
      <c r="CA167" s="88" t="s">
        <v>1325</v>
      </c>
      <c r="CB167" s="99"/>
      <c r="CC167" s="99"/>
      <c r="CD167" s="94"/>
      <c r="CE167" s="99"/>
      <c r="CF167" s="236"/>
      <c r="CG167" s="88" t="s">
        <v>6292</v>
      </c>
      <c r="CH167" s="88" t="s">
        <v>1859</v>
      </c>
      <c r="CI167" s="88" t="s">
        <v>5440</v>
      </c>
      <c r="CJ167" s="102"/>
      <c r="CK167" s="102"/>
      <c r="CL167" s="102"/>
      <c r="CM167" s="88" t="s">
        <v>6293</v>
      </c>
      <c r="CN167" s="88" t="s">
        <v>2300</v>
      </c>
      <c r="CO167" s="88" t="s">
        <v>6294</v>
      </c>
      <c r="CP167" s="222"/>
      <c r="CQ167" s="99"/>
      <c r="CR167" s="99"/>
      <c r="CS167" s="99"/>
      <c r="CT167" s="99"/>
      <c r="CU167" s="92"/>
      <c r="CV167" s="88" t="s">
        <v>5395</v>
      </c>
      <c r="CW167" s="102"/>
      <c r="CX167" s="88" t="s">
        <v>904</v>
      </c>
      <c r="CY167" s="88" t="s">
        <v>5181</v>
      </c>
      <c r="CZ167" s="102"/>
      <c r="DA167" s="102"/>
      <c r="DB167" s="88" t="s">
        <v>6295</v>
      </c>
      <c r="DC167" s="88" t="s">
        <v>6296</v>
      </c>
      <c r="DD167" s="99"/>
      <c r="DE167" s="99"/>
      <c r="DF167" s="99"/>
      <c r="DG167" s="99"/>
      <c r="DH167" s="236"/>
      <c r="DI167" s="102"/>
      <c r="DJ167" s="99"/>
      <c r="DK167" s="99"/>
      <c r="DL167" s="102"/>
      <c r="DM167" s="102"/>
      <c r="DN167" s="102"/>
      <c r="DO167" s="99"/>
      <c r="DP167" s="99"/>
      <c r="DQ167" s="99"/>
      <c r="DR167" s="102" t="s">
        <v>6297</v>
      </c>
      <c r="DS167" s="88" t="s">
        <v>6298</v>
      </c>
      <c r="DT167" s="99"/>
      <c r="DU167" s="102"/>
      <c r="DV167" s="99"/>
      <c r="DW167" s="99"/>
      <c r="DX167" s="99"/>
      <c r="DY167" s="99"/>
      <c r="DZ167" s="99"/>
      <c r="EA167" s="102"/>
      <c r="EB167" s="99"/>
      <c r="EC167" s="99"/>
      <c r="ED167" s="261"/>
    </row>
    <row r="168">
      <c r="A168" s="700" t="s">
        <v>6299</v>
      </c>
      <c r="B168" s="104" t="s">
        <v>6300</v>
      </c>
      <c r="C168" s="105" t="s">
        <v>1256</v>
      </c>
      <c r="D168" s="106" t="s">
        <v>1256</v>
      </c>
      <c r="E168" s="107" t="s">
        <v>1256</v>
      </c>
      <c r="F168" s="108" t="s">
        <v>334</v>
      </c>
      <c r="G168" s="104" t="s">
        <v>6246</v>
      </c>
      <c r="H168" s="680" t="s">
        <v>3579</v>
      </c>
      <c r="I168" s="243" t="s">
        <v>6301</v>
      </c>
      <c r="J168" s="243" t="s">
        <v>450</v>
      </c>
      <c r="K168" s="243" t="s">
        <v>4374</v>
      </c>
      <c r="L168" s="243" t="s">
        <v>2842</v>
      </c>
      <c r="M168" s="243" t="s">
        <v>6302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5592</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4471</v>
      </c>
      <c r="CI168" s="256"/>
      <c r="CJ168" s="256"/>
      <c r="CK168" s="256"/>
      <c r="CL168" s="256"/>
      <c r="CM168" s="256"/>
      <c r="CN168" s="256" t="s">
        <v>3510</v>
      </c>
      <c r="CO168" s="327" t="s">
        <v>6303</v>
      </c>
      <c r="CP168" s="256"/>
      <c r="CQ168" s="264"/>
      <c r="CR168" s="256"/>
      <c r="CS168" s="256"/>
      <c r="CT168" s="256"/>
      <c r="CU168" s="92"/>
      <c r="CV168" s="257"/>
      <c r="CW168" s="257"/>
      <c r="CX168" s="257" t="s">
        <v>5173</v>
      </c>
      <c r="CY168" s="257" t="s">
        <v>3500</v>
      </c>
      <c r="CZ168" s="257"/>
      <c r="DA168" s="257"/>
      <c r="DB168" s="703" t="s">
        <v>6304</v>
      </c>
      <c r="DC168" s="233" t="s">
        <v>6165</v>
      </c>
      <c r="DD168" s="257"/>
      <c r="DE168" s="285"/>
      <c r="DF168" s="233"/>
      <c r="DG168" s="257"/>
      <c r="DH168" s="258"/>
      <c r="DI168" s="259"/>
      <c r="DJ168" s="259"/>
      <c r="DK168" s="259"/>
      <c r="DL168" s="259"/>
      <c r="DM168" s="259"/>
      <c r="DN168" s="259"/>
      <c r="DO168" s="259"/>
      <c r="DP168" s="259"/>
      <c r="DQ168" s="259"/>
      <c r="DR168" s="259"/>
      <c r="DS168" s="259" t="s">
        <v>6305</v>
      </c>
      <c r="DT168" s="259"/>
      <c r="DU168" s="259"/>
      <c r="DV168" s="259"/>
      <c r="DW168" s="259"/>
      <c r="DX168" s="259"/>
      <c r="DY168" s="259"/>
      <c r="DZ168" s="259"/>
      <c r="EA168" s="259"/>
      <c r="EB168" s="259"/>
      <c r="EC168" s="259"/>
      <c r="ED168" s="287"/>
    </row>
    <row r="169">
      <c r="A169" s="81" t="s">
        <v>6306</v>
      </c>
      <c r="B169" s="82" t="s">
        <v>6307</v>
      </c>
      <c r="C169" s="83" t="s">
        <v>1256</v>
      </c>
      <c r="D169" s="84" t="s">
        <v>1256</v>
      </c>
      <c r="E169" s="85" t="s">
        <v>1256</v>
      </c>
      <c r="F169" s="86" t="s">
        <v>546</v>
      </c>
      <c r="G169" s="82" t="s">
        <v>646</v>
      </c>
      <c r="H169" s="673"/>
      <c r="I169" s="99"/>
      <c r="J169" s="99"/>
      <c r="K169" s="94" t="s">
        <v>6308</v>
      </c>
      <c r="L169" s="94" t="s">
        <v>6309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6310</v>
      </c>
      <c r="CK169" s="94"/>
      <c r="CL169" s="94"/>
      <c r="CM169" s="99"/>
      <c r="CN169" s="99"/>
      <c r="CO169" s="99"/>
      <c r="CP169" s="99"/>
      <c r="CQ169" s="99"/>
      <c r="CR169" s="99"/>
      <c r="CS169" s="99"/>
      <c r="CT169" s="99"/>
      <c r="CU169" s="92"/>
      <c r="CV169" s="94" t="s">
        <v>6311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6312</v>
      </c>
      <c r="B170" s="104" t="s">
        <v>6313</v>
      </c>
      <c r="C170" s="105" t="s">
        <v>1256</v>
      </c>
      <c r="D170" s="106" t="s">
        <v>1256</v>
      </c>
      <c r="E170" s="107" t="s">
        <v>1256</v>
      </c>
      <c r="F170" s="108" t="s">
        <v>546</v>
      </c>
      <c r="G170" s="104" t="s">
        <v>6314</v>
      </c>
      <c r="H170" s="243"/>
      <c r="I170" s="196" t="s">
        <v>6315</v>
      </c>
      <c r="J170" s="167" t="s">
        <v>6231</v>
      </c>
      <c r="K170" s="167" t="s">
        <v>3107</v>
      </c>
      <c r="L170" s="167" t="s">
        <v>5742</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4891</v>
      </c>
      <c r="AD170" s="198" t="s">
        <v>6145</v>
      </c>
      <c r="AE170" s="246"/>
      <c r="AF170" s="246"/>
      <c r="AG170" s="198" t="s">
        <v>2721</v>
      </c>
      <c r="AH170" s="246"/>
      <c r="AI170" s="246"/>
      <c r="AJ170" s="246"/>
      <c r="AK170" s="246"/>
      <c r="AL170" s="97"/>
      <c r="AM170" s="247"/>
      <c r="AN170" s="247"/>
      <c r="AO170" s="247"/>
      <c r="AP170" s="247"/>
      <c r="AQ170" s="247"/>
      <c r="AR170" s="247"/>
      <c r="AS170" s="247"/>
      <c r="AT170" s="247"/>
      <c r="AU170" s="168" t="s">
        <v>6316</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6318</v>
      </c>
      <c r="B171" s="82" t="s">
        <v>6319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6321</v>
      </c>
      <c r="B172" s="104" t="s">
        <v>6322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6323</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6325</v>
      </c>
      <c r="B173" s="82" t="s">
        <v>6326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6327</v>
      </c>
      <c r="B174" s="104" t="s">
        <v>6328</v>
      </c>
      <c r="C174" s="105" t="s">
        <v>1256</v>
      </c>
      <c r="D174" s="106" t="s">
        <v>1256</v>
      </c>
      <c r="E174" s="107" t="s">
        <v>1256</v>
      </c>
      <c r="F174" s="108" t="s">
        <v>1256</v>
      </c>
      <c r="G174" s="104" t="s">
        <v>4673</v>
      </c>
      <c r="H174" s="167"/>
      <c r="I174" s="167" t="s">
        <v>6329</v>
      </c>
      <c r="J174" s="167" t="s">
        <v>3020</v>
      </c>
      <c r="K174" s="167" t="s">
        <v>753</v>
      </c>
      <c r="L174" s="167" t="s">
        <v>6330</v>
      </c>
      <c r="M174" s="167" t="s">
        <v>6331</v>
      </c>
      <c r="N174" s="167" t="s">
        <v>6332</v>
      </c>
      <c r="O174" s="167" t="s">
        <v>6333</v>
      </c>
      <c r="P174" s="167" t="s">
        <v>1876</v>
      </c>
      <c r="Q174" s="243"/>
      <c r="R174" s="243"/>
      <c r="S174" s="243"/>
      <c r="T174" s="243"/>
      <c r="U174" s="243"/>
      <c r="V174" s="243"/>
      <c r="W174" s="92"/>
      <c r="X174" s="198" t="s">
        <v>6334</v>
      </c>
      <c r="Y174" s="198"/>
      <c r="Z174" s="198"/>
      <c r="AA174" s="198" t="s">
        <v>6248</v>
      </c>
      <c r="AB174" s="246"/>
      <c r="AC174" s="198" t="s">
        <v>6335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6336</v>
      </c>
      <c r="BC174" s="174" t="s">
        <v>789</v>
      </c>
      <c r="BD174" s="174" t="s">
        <v>911</v>
      </c>
      <c r="BE174" s="174" t="s">
        <v>3670</v>
      </c>
      <c r="BF174" s="174" t="s">
        <v>6337</v>
      </c>
      <c r="BG174" s="173"/>
      <c r="BH174" s="173"/>
      <c r="BI174" s="174" t="s">
        <v>3269</v>
      </c>
      <c r="BJ174" s="173"/>
      <c r="BK174" s="173"/>
      <c r="BL174" s="174" t="s">
        <v>529</v>
      </c>
      <c r="BM174" s="173"/>
      <c r="BN174" s="173"/>
      <c r="BO174" s="173"/>
      <c r="BP174" s="173"/>
      <c r="BQ174" s="249"/>
      <c r="BR174" s="175" t="s">
        <v>6338</v>
      </c>
      <c r="BS174" s="175" t="s">
        <v>6339</v>
      </c>
      <c r="BT174" s="175" t="s">
        <v>949</v>
      </c>
      <c r="BU174" s="175" t="s">
        <v>535</v>
      </c>
      <c r="BV174" s="175" t="s">
        <v>6340</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6341</v>
      </c>
      <c r="CY174" s="204" t="s">
        <v>3109</v>
      </c>
      <c r="CZ174" s="204" t="s">
        <v>6342</v>
      </c>
      <c r="DA174" s="204" t="s">
        <v>6181</v>
      </c>
      <c r="DB174" s="204" t="s">
        <v>6343</v>
      </c>
      <c r="DC174" s="204" t="s">
        <v>6344</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6345</v>
      </c>
      <c r="B175" s="82" t="s">
        <v>6346</v>
      </c>
      <c r="C175" s="83" t="s">
        <v>546</v>
      </c>
      <c r="D175" s="84" t="s">
        <v>1256</v>
      </c>
      <c r="E175" s="85" t="s">
        <v>1256</v>
      </c>
      <c r="F175" s="86" t="s">
        <v>546</v>
      </c>
      <c r="G175" s="82" t="s">
        <v>4050</v>
      </c>
      <c r="H175" s="712" t="s">
        <v>3006</v>
      </c>
      <c r="I175" s="712" t="s">
        <v>6347</v>
      </c>
      <c r="J175" s="712" t="s">
        <v>6348</v>
      </c>
      <c r="K175" s="712" t="s">
        <v>753</v>
      </c>
      <c r="L175" s="712" t="s">
        <v>906</v>
      </c>
      <c r="M175" s="713"/>
      <c r="N175" s="712" t="s">
        <v>6349</v>
      </c>
      <c r="O175" s="712" t="s">
        <v>5843</v>
      </c>
      <c r="P175" s="712" t="s">
        <v>5419</v>
      </c>
      <c r="Q175" s="713"/>
      <c r="R175" s="713"/>
      <c r="S175" s="713"/>
      <c r="T175" s="713"/>
      <c r="U175" s="713"/>
      <c r="V175" s="713"/>
      <c r="W175" s="714"/>
      <c r="X175" s="712" t="s">
        <v>6350</v>
      </c>
      <c r="Y175" s="712"/>
      <c r="Z175" s="715" t="s">
        <v>380</v>
      </c>
      <c r="AA175" s="715" t="s">
        <v>866</v>
      </c>
      <c r="AB175" s="715" t="s">
        <v>3896</v>
      </c>
      <c r="AC175" s="712" t="s">
        <v>6351</v>
      </c>
      <c r="AD175" s="715" t="s">
        <v>6352</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6353</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6354</v>
      </c>
      <c r="DC175" s="715" t="s">
        <v>5833</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6355</v>
      </c>
      <c r="B176" s="104" t="s">
        <v>6356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6357</v>
      </c>
      <c r="B177" s="82" t="s">
        <v>6358</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6359</v>
      </c>
      <c r="Y177" s="102"/>
      <c r="Z177" s="102"/>
      <c r="AA177" s="88" t="s">
        <v>4861</v>
      </c>
      <c r="AB177" s="267"/>
      <c r="AC177" s="102"/>
      <c r="AD177" s="102"/>
      <c r="AE177" s="99"/>
      <c r="AF177" s="102"/>
      <c r="AG177" s="88" t="s">
        <v>6360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6361</v>
      </c>
      <c r="B178" s="104" t="s">
        <v>6362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6364</v>
      </c>
      <c r="B179" s="82" t="s">
        <v>6365</v>
      </c>
      <c r="C179" s="83" t="s">
        <v>1256</v>
      </c>
      <c r="D179" s="84" t="s">
        <v>1256</v>
      </c>
      <c r="E179" s="85" t="s">
        <v>1256</v>
      </c>
      <c r="F179" s="86" t="s">
        <v>1256</v>
      </c>
      <c r="G179" s="82" t="s">
        <v>222</v>
      </c>
      <c r="H179" s="99"/>
      <c r="I179" s="99"/>
      <c r="J179" s="162" t="s">
        <v>6128</v>
      </c>
      <c r="K179" s="99"/>
      <c r="L179" s="94" t="s">
        <v>6366</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6369</v>
      </c>
      <c r="DH179" s="236"/>
      <c r="DI179" s="99"/>
      <c r="DJ179" s="99"/>
      <c r="DK179" s="99"/>
      <c r="DL179" s="99"/>
      <c r="DM179" s="99"/>
      <c r="DN179" s="99"/>
      <c r="DO179" s="99"/>
      <c r="DP179" s="99"/>
      <c r="DQ179" s="99"/>
      <c r="DR179" s="99"/>
      <c r="DS179" s="99"/>
      <c r="DT179" s="99"/>
      <c r="DU179" s="99"/>
      <c r="DV179" s="99"/>
      <c r="DW179" s="99"/>
      <c r="DX179" s="99"/>
      <c r="DY179" s="99"/>
      <c r="DZ179" s="99"/>
      <c r="EA179" s="94" t="s">
        <v>6195</v>
      </c>
      <c r="EB179" s="99"/>
      <c r="EC179" s="99"/>
      <c r="ED179" s="340"/>
    </row>
    <row r="180">
      <c r="A180" s="166" t="s">
        <v>6370</v>
      </c>
      <c r="B180" s="104" t="s">
        <v>6371</v>
      </c>
      <c r="C180" s="105" t="s">
        <v>1256</v>
      </c>
      <c r="D180" s="106" t="s">
        <v>1256</v>
      </c>
      <c r="E180" s="107" t="s">
        <v>1256</v>
      </c>
      <c r="F180" s="108" t="s">
        <v>1256</v>
      </c>
      <c r="G180" s="104" t="s">
        <v>4947</v>
      </c>
      <c r="H180" s="243"/>
      <c r="I180" s="167" t="s">
        <v>6372</v>
      </c>
      <c r="J180" s="167" t="s">
        <v>5107</v>
      </c>
      <c r="K180" s="167" t="s">
        <v>2387</v>
      </c>
      <c r="L180" s="167" t="s">
        <v>4101</v>
      </c>
      <c r="M180" s="167" t="s">
        <v>6373</v>
      </c>
      <c r="N180" s="243"/>
      <c r="O180" s="167" t="s">
        <v>1861</v>
      </c>
      <c r="P180" s="167" t="s">
        <v>6374</v>
      </c>
      <c r="Q180" s="243"/>
      <c r="R180" s="243"/>
      <c r="S180" s="243"/>
      <c r="T180" s="243"/>
      <c r="U180" s="243"/>
      <c r="V180" s="243"/>
      <c r="W180" s="92"/>
      <c r="X180" s="198" t="s">
        <v>4439</v>
      </c>
      <c r="Y180" s="198"/>
      <c r="Z180" s="198" t="s">
        <v>5737</v>
      </c>
      <c r="AA180" s="198" t="s">
        <v>4472</v>
      </c>
      <c r="AB180" s="198" t="s">
        <v>6375</v>
      </c>
      <c r="AC180" s="198" t="s">
        <v>6376</v>
      </c>
      <c r="AD180" s="198" t="s">
        <v>4709</v>
      </c>
      <c r="AE180" s="246"/>
      <c r="AF180" s="198" t="s">
        <v>6377</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6378</v>
      </c>
      <c r="BF180" s="174" t="s">
        <v>6379</v>
      </c>
      <c r="BG180" s="173"/>
      <c r="BH180" s="173"/>
      <c r="BI180" s="174" t="s">
        <v>6380</v>
      </c>
      <c r="BJ180" s="174" t="s">
        <v>6381</v>
      </c>
      <c r="BK180" s="174"/>
      <c r="BL180" s="174" t="s">
        <v>537</v>
      </c>
      <c r="BM180" s="173"/>
      <c r="BN180" s="173"/>
      <c r="BO180" s="173"/>
      <c r="BP180" s="173"/>
      <c r="BQ180" s="249"/>
      <c r="BR180" s="175"/>
      <c r="BS180" s="253"/>
      <c r="BT180" s="175" t="s">
        <v>6382</v>
      </c>
      <c r="BU180" s="175" t="s">
        <v>6383</v>
      </c>
      <c r="BV180" s="253"/>
      <c r="BW180" s="175" t="s">
        <v>409</v>
      </c>
      <c r="BX180" s="175" t="s">
        <v>5963</v>
      </c>
      <c r="BY180" s="175" t="s">
        <v>2838</v>
      </c>
      <c r="BZ180" s="253"/>
      <c r="CA180" s="175" t="s">
        <v>2083</v>
      </c>
      <c r="CB180" s="253"/>
      <c r="CC180" s="253"/>
      <c r="CD180" s="253"/>
      <c r="CE180" s="253"/>
      <c r="CF180" s="254"/>
      <c r="CG180" s="177" t="s">
        <v>4950</v>
      </c>
      <c r="CH180" s="177" t="s">
        <v>2524</v>
      </c>
      <c r="CI180" s="177" t="s">
        <v>2623</v>
      </c>
      <c r="CJ180" s="177" t="s">
        <v>6384</v>
      </c>
      <c r="CK180" s="177"/>
      <c r="CL180" s="177" t="s">
        <v>2763</v>
      </c>
      <c r="CM180" s="256"/>
      <c r="CN180" s="177" t="s">
        <v>3276</v>
      </c>
      <c r="CO180" s="177" t="s">
        <v>3326</v>
      </c>
      <c r="CP180" s="256"/>
      <c r="CQ180" s="256"/>
      <c r="CR180" s="256"/>
      <c r="CS180" s="256"/>
      <c r="CT180" s="256"/>
      <c r="CU180" s="92"/>
      <c r="CV180" s="204" t="s">
        <v>5929</v>
      </c>
      <c r="CW180" s="204" t="s">
        <v>6385</v>
      </c>
      <c r="CX180" s="204" t="s">
        <v>2031</v>
      </c>
      <c r="CY180" s="257"/>
      <c r="CZ180" s="257"/>
      <c r="DA180" s="257"/>
      <c r="DB180" s="204" t="s">
        <v>6386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6387</v>
      </c>
      <c r="B181" s="82" t="s">
        <v>6388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6389</v>
      </c>
      <c r="B182" s="104" t="s">
        <v>6388</v>
      </c>
      <c r="C182" s="105" t="s">
        <v>1256</v>
      </c>
      <c r="D182" s="106" t="s">
        <v>1256</v>
      </c>
      <c r="E182" s="107" t="s">
        <v>1256</v>
      </c>
      <c r="F182" s="108" t="s">
        <v>981</v>
      </c>
      <c r="G182" s="104" t="s">
        <v>1058</v>
      </c>
      <c r="H182" s="167" t="s">
        <v>2631</v>
      </c>
      <c r="I182" s="243"/>
      <c r="J182" s="167" t="s">
        <v>6390</v>
      </c>
      <c r="K182" s="112" t="s">
        <v>4989</v>
      </c>
      <c r="L182" s="275" t="s">
        <v>3453</v>
      </c>
      <c r="M182" s="243"/>
      <c r="N182" s="243"/>
      <c r="O182" s="243"/>
      <c r="P182" s="167" t="s">
        <v>6391</v>
      </c>
      <c r="Q182" s="243"/>
      <c r="R182" s="243"/>
      <c r="S182" s="243"/>
      <c r="T182" s="243"/>
      <c r="U182" s="243"/>
      <c r="V182" s="243"/>
      <c r="W182" s="92"/>
      <c r="X182" s="116" t="s">
        <v>6392</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6393</v>
      </c>
      <c r="AW182" s="247"/>
      <c r="AX182" s="247"/>
      <c r="AY182" s="247"/>
      <c r="AZ182" s="247"/>
      <c r="BA182" s="247"/>
      <c r="BB182" s="173"/>
      <c r="BC182" s="174" t="s">
        <v>852</v>
      </c>
      <c r="BD182" s="174" t="s">
        <v>533</v>
      </c>
      <c r="BE182" s="174" t="s">
        <v>6394</v>
      </c>
      <c r="BF182" s="173"/>
      <c r="BG182" s="174" t="s">
        <v>4694</v>
      </c>
      <c r="BH182" s="174" t="s">
        <v>6395</v>
      </c>
      <c r="BI182" s="174" t="s">
        <v>6396</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4828</v>
      </c>
      <c r="CB182" s="253"/>
      <c r="CC182" s="253"/>
      <c r="CD182" s="253"/>
      <c r="CE182" s="253"/>
      <c r="CF182" s="254"/>
      <c r="CG182" s="135" t="s">
        <v>6397</v>
      </c>
      <c r="CH182" s="177" t="s">
        <v>6398</v>
      </c>
      <c r="CI182" s="256"/>
      <c r="CJ182" s="256"/>
      <c r="CK182" s="256"/>
      <c r="CL182" s="256"/>
      <c r="CM182" s="256"/>
      <c r="CN182" s="135" t="s">
        <v>5122</v>
      </c>
      <c r="CO182" s="135" t="s">
        <v>6399</v>
      </c>
      <c r="CP182" s="256"/>
      <c r="CQ182" s="256"/>
      <c r="CR182" s="256"/>
      <c r="CS182" s="256"/>
      <c r="CT182" s="256"/>
      <c r="CU182" s="92"/>
      <c r="CV182" s="285" t="s">
        <v>6400</v>
      </c>
      <c r="CW182" s="204" t="s">
        <v>240</v>
      </c>
      <c r="CX182" s="257"/>
      <c r="CY182" s="257"/>
      <c r="CZ182" s="257"/>
      <c r="DA182" s="257"/>
      <c r="DB182" s="140" t="s">
        <v>6401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6402</v>
      </c>
      <c r="B183" s="82" t="s">
        <v>6403</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6404</v>
      </c>
      <c r="BY183" s="99"/>
      <c r="BZ183" s="99"/>
      <c r="CA183" s="99"/>
      <c r="CB183" s="99"/>
      <c r="CC183" s="99"/>
      <c r="CD183" s="99"/>
      <c r="CE183" s="99"/>
      <c r="CF183" s="236"/>
      <c r="CG183" s="99"/>
      <c r="CH183" s="99"/>
      <c r="CI183" s="99"/>
      <c r="CJ183" s="89" t="s">
        <v>2664</v>
      </c>
      <c r="CK183" s="87" t="s">
        <v>6405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6406</v>
      </c>
      <c r="B184" s="104" t="s">
        <v>6407</v>
      </c>
      <c r="C184" s="105" t="s">
        <v>1256</v>
      </c>
      <c r="D184" s="106" t="s">
        <v>1256</v>
      </c>
      <c r="E184" s="107" t="s">
        <v>1256</v>
      </c>
      <c r="F184" s="108" t="s">
        <v>1256</v>
      </c>
      <c r="G184" s="104" t="s">
        <v>1811</v>
      </c>
      <c r="H184" s="167" t="s">
        <v>6408</v>
      </c>
      <c r="I184" s="167" t="s">
        <v>6409</v>
      </c>
      <c r="J184" s="167" t="s">
        <v>617</v>
      </c>
      <c r="K184" s="167" t="s">
        <v>2656</v>
      </c>
      <c r="L184" s="167" t="s">
        <v>2948</v>
      </c>
      <c r="M184" s="167" t="s">
        <v>6410</v>
      </c>
      <c r="N184" s="167" t="s">
        <v>6411</v>
      </c>
      <c r="O184" s="167" t="s">
        <v>847</v>
      </c>
      <c r="P184" s="167" t="s">
        <v>494</v>
      </c>
      <c r="Q184" s="167"/>
      <c r="R184" s="167"/>
      <c r="S184" s="167"/>
      <c r="T184" s="167"/>
      <c r="U184" s="167"/>
      <c r="V184" s="167"/>
      <c r="W184" s="92"/>
      <c r="X184" s="198" t="s">
        <v>6412</v>
      </c>
      <c r="Y184" s="198"/>
      <c r="Z184" s="198" t="s">
        <v>5208</v>
      </c>
      <c r="AA184" s="198" t="s">
        <v>138</v>
      </c>
      <c r="AB184" s="198" t="s">
        <v>2692</v>
      </c>
      <c r="AC184" s="198" t="s">
        <v>5988</v>
      </c>
      <c r="AD184" s="198" t="s">
        <v>6413</v>
      </c>
      <c r="AE184" s="198" t="s">
        <v>4124</v>
      </c>
      <c r="AF184" s="198" t="s">
        <v>6414</v>
      </c>
      <c r="AG184" s="198" t="s">
        <v>370</v>
      </c>
      <c r="AH184" s="198"/>
      <c r="AI184" s="198"/>
      <c r="AJ184" s="198"/>
      <c r="AK184" s="198"/>
      <c r="AL184" s="97"/>
      <c r="AM184" s="168"/>
      <c r="AN184" s="168"/>
      <c r="AO184" s="168"/>
      <c r="AP184" s="168"/>
      <c r="AQ184" s="168"/>
      <c r="AR184" s="168"/>
      <c r="AS184" s="168"/>
      <c r="AT184" s="168"/>
      <c r="AU184" s="168" t="s">
        <v>6415</v>
      </c>
      <c r="AV184" s="168" t="s">
        <v>1372</v>
      </c>
      <c r="AW184" s="168"/>
      <c r="AX184" s="168"/>
      <c r="AY184" s="168"/>
      <c r="AZ184" s="168"/>
      <c r="BA184" s="168"/>
      <c r="BB184" s="174" t="s">
        <v>6416</v>
      </c>
      <c r="BC184" s="174" t="s">
        <v>4254</v>
      </c>
      <c r="BD184" s="174" t="s">
        <v>3768</v>
      </c>
      <c r="BE184" s="174" t="s">
        <v>6417</v>
      </c>
      <c r="BF184" s="174" t="s">
        <v>6418</v>
      </c>
      <c r="BG184" s="174" t="s">
        <v>6419</v>
      </c>
      <c r="BH184" s="174" t="s">
        <v>5163</v>
      </c>
      <c r="BI184" s="174" t="s">
        <v>6420</v>
      </c>
      <c r="BJ184" s="173"/>
      <c r="BK184" s="173"/>
      <c r="BL184" s="173"/>
      <c r="BM184" s="174"/>
      <c r="BN184" s="174"/>
      <c r="BO184" s="174"/>
      <c r="BP184" s="174"/>
      <c r="BQ184" s="296"/>
      <c r="BR184" s="175"/>
      <c r="BS184" s="253"/>
      <c r="BT184" s="722" t="s">
        <v>6421</v>
      </c>
      <c r="BU184" s="175" t="s">
        <v>6422</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6209</v>
      </c>
      <c r="CY184" s="257"/>
      <c r="CZ184" s="204" t="s">
        <v>6423</v>
      </c>
      <c r="DA184" s="257"/>
      <c r="DB184" s="257"/>
      <c r="DC184" s="257"/>
      <c r="DD184" s="257"/>
      <c r="DE184" s="257"/>
      <c r="DF184" s="257"/>
      <c r="DG184" s="257"/>
      <c r="DH184" s="258"/>
      <c r="DI184" s="205" t="s">
        <v>3285</v>
      </c>
      <c r="DJ184" s="259"/>
      <c r="DK184" s="259"/>
      <c r="DL184" s="259"/>
      <c r="DM184" s="259"/>
      <c r="DN184" s="259"/>
      <c r="DO184" s="259"/>
      <c r="DP184" s="259"/>
      <c r="DQ184" s="259"/>
      <c r="DR184" s="205" t="s">
        <v>6424</v>
      </c>
      <c r="DS184" s="205"/>
      <c r="DT184" s="723"/>
      <c r="DU184" s="259"/>
      <c r="DV184" s="259"/>
      <c r="DW184" s="259"/>
      <c r="DX184" s="259"/>
      <c r="DY184" s="259"/>
      <c r="DZ184" s="259"/>
      <c r="EA184" s="259"/>
      <c r="EB184" s="259"/>
      <c r="EC184" s="259"/>
      <c r="ED184" s="287"/>
    </row>
    <row r="185">
      <c r="A185" s="81" t="s">
        <v>6425</v>
      </c>
      <c r="B185" s="82" t="s">
        <v>6426</v>
      </c>
      <c r="C185" s="83" t="s">
        <v>1256</v>
      </c>
      <c r="D185" s="84" t="s">
        <v>1256</v>
      </c>
      <c r="E185" s="85" t="s">
        <v>1256</v>
      </c>
      <c r="F185" s="86" t="s">
        <v>1256</v>
      </c>
      <c r="G185" s="82" t="s">
        <v>2649</v>
      </c>
      <c r="H185" s="99"/>
      <c r="I185" s="94" t="s">
        <v>6427</v>
      </c>
      <c r="J185" s="94" t="s">
        <v>302</v>
      </c>
      <c r="K185" s="94" t="s">
        <v>125</v>
      </c>
      <c r="L185" s="94" t="s">
        <v>4022</v>
      </c>
      <c r="M185" s="94" t="s">
        <v>6428</v>
      </c>
      <c r="N185" s="99"/>
      <c r="O185" s="94" t="s">
        <v>3596</v>
      </c>
      <c r="P185" s="94" t="s">
        <v>1617</v>
      </c>
      <c r="Q185" s="99"/>
      <c r="R185" s="99"/>
      <c r="S185" s="99"/>
      <c r="T185" s="99"/>
      <c r="U185" s="99"/>
      <c r="V185" s="99"/>
      <c r="W185" s="92"/>
      <c r="X185" s="94" t="s">
        <v>6429</v>
      </c>
      <c r="Y185" s="94"/>
      <c r="Z185" s="94" t="s">
        <v>3620</v>
      </c>
      <c r="AA185" s="94" t="s">
        <v>390</v>
      </c>
      <c r="AB185" s="99"/>
      <c r="AC185" s="94" t="s">
        <v>6430</v>
      </c>
      <c r="AD185" s="99"/>
      <c r="AE185" s="99"/>
      <c r="AF185" s="99"/>
      <c r="AG185" s="94" t="s">
        <v>4099</v>
      </c>
      <c r="AH185" s="99"/>
      <c r="AI185" s="99"/>
      <c r="AJ185" s="99"/>
      <c r="AK185" s="99"/>
      <c r="AL185" s="97"/>
      <c r="AM185" s="99"/>
      <c r="AN185" s="99"/>
      <c r="AO185" s="99"/>
      <c r="AP185" s="99"/>
      <c r="AQ185" s="99"/>
      <c r="AR185" s="99"/>
      <c r="AS185" s="99"/>
      <c r="AT185" s="99"/>
      <c r="AU185" s="94" t="s">
        <v>4297</v>
      </c>
      <c r="AV185" s="94" t="s">
        <v>2939</v>
      </c>
      <c r="AW185" s="99"/>
      <c r="AX185" s="99"/>
      <c r="AY185" s="99"/>
      <c r="AZ185" s="99"/>
      <c r="BA185" s="99"/>
      <c r="BB185" s="94" t="s">
        <v>3826</v>
      </c>
      <c r="BC185" s="94" t="s">
        <v>5039</v>
      </c>
      <c r="BD185" s="99"/>
      <c r="BE185" s="94" t="s">
        <v>5713</v>
      </c>
      <c r="BF185" s="99"/>
      <c r="BG185" s="99"/>
      <c r="BH185" s="99"/>
      <c r="BI185" s="94" t="s">
        <v>770</v>
      </c>
      <c r="BJ185" s="99"/>
      <c r="BK185" s="94" t="s">
        <v>6431</v>
      </c>
      <c r="BL185" s="94" t="s">
        <v>987</v>
      </c>
      <c r="BM185" s="99"/>
      <c r="BN185" s="99"/>
      <c r="BO185" s="99"/>
      <c r="BP185" s="99"/>
      <c r="BQ185" s="236"/>
      <c r="BR185" s="99"/>
      <c r="BS185" s="99"/>
      <c r="BT185" s="99"/>
      <c r="BU185" s="94" t="s">
        <v>970</v>
      </c>
      <c r="BV185" s="99"/>
      <c r="BW185" s="99"/>
      <c r="BX185" s="99"/>
      <c r="BY185" s="94" t="s">
        <v>6432</v>
      </c>
      <c r="BZ185" s="94" t="s">
        <v>6433</v>
      </c>
      <c r="CA185" s="94" t="s">
        <v>3861</v>
      </c>
      <c r="CB185" s="99"/>
      <c r="CC185" s="99"/>
      <c r="CD185" s="99"/>
      <c r="CE185" s="99"/>
      <c r="CF185" s="236"/>
      <c r="CG185" s="94" t="s">
        <v>6434</v>
      </c>
      <c r="CH185" s="94" t="s">
        <v>3499</v>
      </c>
      <c r="CI185" s="94" t="s">
        <v>754</v>
      </c>
      <c r="CJ185" s="94" t="s">
        <v>6435</v>
      </c>
      <c r="CK185" s="94"/>
      <c r="CL185" s="94"/>
      <c r="CM185" s="99"/>
      <c r="CN185" s="94" t="s">
        <v>3817</v>
      </c>
      <c r="CO185" s="94" t="s">
        <v>6316</v>
      </c>
      <c r="CP185" s="99"/>
      <c r="CQ185" s="99"/>
      <c r="CR185" s="99"/>
      <c r="CS185" s="99"/>
      <c r="CT185" s="99"/>
      <c r="CU185" s="92"/>
      <c r="CV185" s="94" t="s">
        <v>5109</v>
      </c>
      <c r="CW185" s="94" t="s">
        <v>1865</v>
      </c>
      <c r="CX185" s="94" t="s">
        <v>3077</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1256</v>
      </c>
      <c r="D186" s="106" t="s">
        <v>1256</v>
      </c>
      <c r="E186" s="107" t="s">
        <v>1256</v>
      </c>
      <c r="F186" s="108" t="s">
        <v>1256</v>
      </c>
      <c r="G186" s="104" t="s">
        <v>2773</v>
      </c>
      <c r="H186" s="167" t="s">
        <v>6443</v>
      </c>
      <c r="I186" s="167" t="s">
        <v>6444</v>
      </c>
      <c r="J186" s="167" t="s">
        <v>1884</v>
      </c>
      <c r="K186" s="167" t="s">
        <v>6101</v>
      </c>
      <c r="L186" s="167" t="s">
        <v>6445</v>
      </c>
      <c r="M186" s="243"/>
      <c r="N186" s="243"/>
      <c r="O186" s="243"/>
      <c r="P186" s="167" t="s">
        <v>6446</v>
      </c>
      <c r="Q186" s="243"/>
      <c r="R186" s="243"/>
      <c r="S186" s="243"/>
      <c r="T186" s="243"/>
      <c r="U186" s="243"/>
      <c r="V186" s="243"/>
      <c r="W186" s="92"/>
      <c r="X186" s="246"/>
      <c r="Y186" s="246"/>
      <c r="Z186" s="246"/>
      <c r="AA186" s="198" t="s">
        <v>4230</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5821</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1256</v>
      </c>
      <c r="D187" s="84" t="s">
        <v>1256</v>
      </c>
      <c r="E187" s="85" t="s">
        <v>1256</v>
      </c>
      <c r="F187" s="86" t="s">
        <v>1256</v>
      </c>
      <c r="G187" s="82" t="s">
        <v>334</v>
      </c>
      <c r="H187" s="99"/>
      <c r="I187" s="99"/>
      <c r="J187" s="99"/>
      <c r="K187" s="94" t="s">
        <v>6129</v>
      </c>
      <c r="L187" s="99"/>
      <c r="M187" s="99"/>
      <c r="N187" s="99"/>
      <c r="O187" s="94" t="s">
        <v>5402</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1256</v>
      </c>
      <c r="D189" s="84" t="s">
        <v>1256</v>
      </c>
      <c r="E189" s="85" t="s">
        <v>1256</v>
      </c>
      <c r="F189" s="86" t="s">
        <v>1256</v>
      </c>
      <c r="G189" s="82" t="s">
        <v>2872</v>
      </c>
      <c r="H189" s="102"/>
      <c r="I189" s="95"/>
      <c r="J189" s="102" t="s">
        <v>552</v>
      </c>
      <c r="K189" s="102" t="s">
        <v>6022</v>
      </c>
      <c r="L189" s="102" t="s">
        <v>6455</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6457</v>
      </c>
      <c r="BT189" s="102" t="s">
        <v>3928</v>
      </c>
      <c r="BU189" s="102"/>
      <c r="BV189" s="102" t="s">
        <v>6458</v>
      </c>
      <c r="BW189" s="102" t="s">
        <v>5821</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6461</v>
      </c>
      <c r="B190" s="104" t="s">
        <v>6462</v>
      </c>
      <c r="C190" s="105" t="s">
        <v>1256</v>
      </c>
      <c r="D190" s="106" t="s">
        <v>1256</v>
      </c>
      <c r="E190" s="107" t="s">
        <v>1256</v>
      </c>
      <c r="F190" s="108" t="s">
        <v>437</v>
      </c>
      <c r="G190" s="104" t="s">
        <v>437</v>
      </c>
      <c r="H190" s="243"/>
      <c r="I190" s="112" t="s">
        <v>6463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1256</v>
      </c>
      <c r="D191" s="84" t="s">
        <v>1256</v>
      </c>
      <c r="E191" s="85" t="s">
        <v>1256</v>
      </c>
      <c r="F191" s="86" t="s">
        <v>546</v>
      </c>
      <c r="G191" s="82" t="s">
        <v>222</v>
      </c>
      <c r="H191" s="102"/>
      <c r="I191" s="95" t="s">
        <v>6466</v>
      </c>
      <c r="J191" s="102" t="s">
        <v>144</v>
      </c>
      <c r="K191" s="88" t="s">
        <v>5926</v>
      </c>
      <c r="L191" s="102" t="s">
        <v>4137</v>
      </c>
      <c r="M191" s="102"/>
      <c r="N191" s="102"/>
      <c r="O191" s="102" t="s">
        <v>3158</v>
      </c>
      <c r="P191" s="102" t="s">
        <v>1441</v>
      </c>
      <c r="Q191" s="99"/>
      <c r="R191" s="99"/>
      <c r="S191" s="99"/>
      <c r="T191" s="99"/>
      <c r="U191" s="99"/>
      <c r="V191" s="99"/>
      <c r="W191" s="92"/>
      <c r="X191" s="102" t="s">
        <v>4564</v>
      </c>
      <c r="Y191" s="102"/>
      <c r="Z191" s="102"/>
      <c r="AA191" s="102"/>
      <c r="AB191" s="267" t="s">
        <v>6467</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4719</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3449</v>
      </c>
      <c r="CM194" s="256"/>
      <c r="CN194" s="177" t="s">
        <v>4809</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1256</v>
      </c>
      <c r="D195" s="84" t="s">
        <v>1256</v>
      </c>
      <c r="E195" s="85" t="s">
        <v>1256</v>
      </c>
      <c r="F195" s="86" t="s">
        <v>1256</v>
      </c>
      <c r="G195" s="82" t="s">
        <v>6246</v>
      </c>
      <c r="H195" s="99"/>
      <c r="I195" s="94" t="s">
        <v>6481</v>
      </c>
      <c r="J195" s="94" t="s">
        <v>4243</v>
      </c>
      <c r="K195" s="94" t="s">
        <v>4374</v>
      </c>
      <c r="L195" s="94" t="s">
        <v>6482</v>
      </c>
      <c r="M195" s="99"/>
      <c r="N195" s="99"/>
      <c r="O195" s="94" t="s">
        <v>1221</v>
      </c>
      <c r="P195" s="99"/>
      <c r="Q195" s="99"/>
      <c r="R195" s="99"/>
      <c r="S195" s="94" t="s">
        <v>2146</v>
      </c>
      <c r="T195" s="99"/>
      <c r="U195" s="99"/>
      <c r="V195" s="99"/>
      <c r="W195" s="92"/>
      <c r="X195" s="99"/>
      <c r="Y195" s="99"/>
      <c r="Z195" s="99"/>
      <c r="AA195" s="94" t="s">
        <v>2148</v>
      </c>
      <c r="AB195" s="99"/>
      <c r="AC195" s="94" t="s">
        <v>6282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6483</v>
      </c>
      <c r="BD195" s="162" t="s">
        <v>5348</v>
      </c>
      <c r="BE195" s="99"/>
      <c r="BF195" s="99"/>
      <c r="BG195" s="99"/>
      <c r="BH195" s="99"/>
      <c r="BI195" s="99"/>
      <c r="BJ195" s="99"/>
      <c r="BK195" s="94" t="s">
        <v>2452</v>
      </c>
      <c r="BL195" s="99"/>
      <c r="BM195" s="99"/>
      <c r="BN195" s="99"/>
      <c r="BO195" s="99"/>
      <c r="BP195" s="99"/>
      <c r="BQ195" s="236"/>
      <c r="BR195" s="99"/>
      <c r="BS195" s="99"/>
      <c r="BT195" s="99"/>
      <c r="BU195" s="94" t="s">
        <v>5581</v>
      </c>
      <c r="BV195" s="99"/>
      <c r="BW195" s="94" t="s">
        <v>6484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4669</v>
      </c>
      <c r="DU195" s="99"/>
      <c r="DV195" s="99"/>
      <c r="DW195" s="99"/>
      <c r="DX195" s="99"/>
      <c r="DY195" s="99"/>
      <c r="DZ195" s="99"/>
      <c r="EA195" s="99"/>
      <c r="EB195" s="99"/>
      <c r="EC195" s="99"/>
      <c r="ED195" s="261" t="s">
        <v>6487</v>
      </c>
    </row>
    <row r="196">
      <c r="A196" s="729" t="s">
        <v>6488</v>
      </c>
      <c r="B196" s="104" t="s">
        <v>6489</v>
      </c>
      <c r="C196" s="105" t="s">
        <v>1256</v>
      </c>
      <c r="D196" s="106" t="s">
        <v>546</v>
      </c>
      <c r="E196" s="107" t="s">
        <v>1256</v>
      </c>
      <c r="F196" s="108" t="s">
        <v>647</v>
      </c>
      <c r="G196" s="104" t="s">
        <v>221</v>
      </c>
      <c r="H196" s="419"/>
      <c r="I196" s="427"/>
      <c r="J196" s="419"/>
      <c r="K196" s="419" t="s">
        <v>1958</v>
      </c>
      <c r="L196" s="419" t="s">
        <v>5752</v>
      </c>
      <c r="M196" s="419"/>
      <c r="N196" s="419"/>
      <c r="O196" s="419" t="s">
        <v>2948</v>
      </c>
      <c r="P196" s="419"/>
      <c r="Q196" s="243"/>
      <c r="R196" s="243"/>
      <c r="S196" s="243"/>
      <c r="T196" s="243"/>
      <c r="U196" s="243"/>
      <c r="V196" s="243"/>
      <c r="W196" s="92"/>
      <c r="X196" s="116" t="s">
        <v>3637</v>
      </c>
      <c r="Y196" s="117"/>
      <c r="Z196" s="117" t="s">
        <v>6490</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1256</v>
      </c>
      <c r="D200" s="106" t="s">
        <v>1256</v>
      </c>
      <c r="E200" s="107" t="s">
        <v>1256</v>
      </c>
      <c r="F200" s="108" t="s">
        <v>1256</v>
      </c>
      <c r="G200" s="104" t="s">
        <v>4595</v>
      </c>
      <c r="H200" s="167" t="s">
        <v>6504</v>
      </c>
      <c r="I200" s="167" t="s">
        <v>2480</v>
      </c>
      <c r="J200" s="167" t="s">
        <v>1206</v>
      </c>
      <c r="K200" s="167" t="s">
        <v>6505</v>
      </c>
      <c r="L200" s="167" t="s">
        <v>6506</v>
      </c>
      <c r="M200" s="167" t="s">
        <v>6507</v>
      </c>
      <c r="N200" s="167" t="s">
        <v>6508</v>
      </c>
      <c r="O200" s="167" t="s">
        <v>5468</v>
      </c>
      <c r="P200" s="167" t="s">
        <v>4141</v>
      </c>
      <c r="Q200" s="243"/>
      <c r="R200" s="243"/>
      <c r="S200" s="243"/>
      <c r="T200" s="243"/>
      <c r="U200" s="243"/>
      <c r="V200" s="243"/>
      <c r="W200" s="92"/>
      <c r="X200" s="198" t="s">
        <v>6509</v>
      </c>
      <c r="Y200" s="198"/>
      <c r="Z200" s="198" t="s">
        <v>6510</v>
      </c>
      <c r="AA200" s="198" t="s">
        <v>6511</v>
      </c>
      <c r="AB200" s="246" t="s">
        <v>6512</v>
      </c>
      <c r="AC200" s="198" t="s">
        <v>5988</v>
      </c>
      <c r="AD200" s="246" t="s">
        <v>6513</v>
      </c>
      <c r="AE200" s="246"/>
      <c r="AF200" s="246" t="s">
        <v>6514</v>
      </c>
      <c r="AG200" s="198" t="s">
        <v>5621</v>
      </c>
      <c r="AH200" s="246"/>
      <c r="AI200" s="246"/>
      <c r="AJ200" s="246"/>
      <c r="AK200" s="246"/>
      <c r="AL200" s="97"/>
      <c r="AM200" s="247"/>
      <c r="AN200" s="247"/>
      <c r="AO200" s="247"/>
      <c r="AP200" s="247"/>
      <c r="AQ200" s="247"/>
      <c r="AR200" s="247"/>
      <c r="AS200" s="247"/>
      <c r="AT200" s="247"/>
      <c r="AU200" s="168" t="s">
        <v>214</v>
      </c>
      <c r="AV200" s="247" t="s">
        <v>4451</v>
      </c>
      <c r="AW200" s="168" t="s">
        <v>6515</v>
      </c>
      <c r="AX200" s="247"/>
      <c r="AY200" s="247"/>
      <c r="AZ200" s="247"/>
      <c r="BA200" s="247"/>
      <c r="BB200" s="174"/>
      <c r="BC200" s="173" t="s">
        <v>2140</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2174</v>
      </c>
      <c r="BT200" s="253" t="s">
        <v>6523</v>
      </c>
      <c r="BU200" s="175" t="s">
        <v>6194</v>
      </c>
      <c r="BV200" s="253" t="s">
        <v>6524</v>
      </c>
      <c r="BW200" s="253" t="s">
        <v>6525</v>
      </c>
      <c r="BX200" s="175" t="s">
        <v>6526</v>
      </c>
      <c r="BY200" s="175" t="s">
        <v>6527</v>
      </c>
      <c r="BZ200" s="253"/>
      <c r="CA200" s="175" t="s">
        <v>4710</v>
      </c>
      <c r="CB200" s="253"/>
      <c r="CC200" s="253"/>
      <c r="CD200" s="253"/>
      <c r="CE200" s="253"/>
      <c r="CF200" s="254"/>
      <c r="CG200" s="177" t="s">
        <v>5699</v>
      </c>
      <c r="CH200" s="177" t="s">
        <v>1560</v>
      </c>
      <c r="CI200" s="177" t="s">
        <v>2479</v>
      </c>
      <c r="CJ200" s="177" t="s">
        <v>3634</v>
      </c>
      <c r="CK200" s="177"/>
      <c r="CL200" s="177" t="s">
        <v>371</v>
      </c>
      <c r="CM200" s="177" t="s">
        <v>6528</v>
      </c>
      <c r="CN200" s="177" t="s">
        <v>6529</v>
      </c>
      <c r="CO200" s="177" t="s">
        <v>3886</v>
      </c>
      <c r="CP200" s="256"/>
      <c r="CQ200" s="256"/>
      <c r="CR200" s="256"/>
      <c r="CS200" s="256"/>
      <c r="CT200" s="256"/>
      <c r="CU200" s="92"/>
      <c r="CV200" s="257" t="s">
        <v>6530</v>
      </c>
      <c r="CW200" s="257" t="s">
        <v>2185</v>
      </c>
      <c r="CX200" s="257" t="s">
        <v>1098</v>
      </c>
      <c r="CY200" s="257" t="s">
        <v>6531</v>
      </c>
      <c r="CZ200" s="257" t="s">
        <v>6532</v>
      </c>
      <c r="DA200" s="257" t="s">
        <v>4513</v>
      </c>
      <c r="DB200" s="257" t="s">
        <v>6533</v>
      </c>
      <c r="DC200" s="204" t="s">
        <v>3337</v>
      </c>
      <c r="DD200" s="257"/>
      <c r="DE200" s="257"/>
      <c r="DF200" s="257"/>
      <c r="DG200" s="257"/>
      <c r="DH200" s="258"/>
      <c r="DI200" s="259"/>
      <c r="DJ200" s="259"/>
      <c r="DK200" s="259"/>
      <c r="DL200" s="259"/>
      <c r="DM200" s="259" t="s">
        <v>5593</v>
      </c>
      <c r="DN200" s="205"/>
      <c r="DO200" s="205" t="s">
        <v>6534</v>
      </c>
      <c r="DP200" s="205" t="s">
        <v>3877</v>
      </c>
      <c r="DQ200" s="205" t="s">
        <v>3011</v>
      </c>
      <c r="DR200" s="259"/>
      <c r="DS200" s="259"/>
      <c r="DT200" s="259"/>
      <c r="DU200" s="259"/>
      <c r="DV200" s="259"/>
      <c r="DW200" s="259"/>
      <c r="DX200" s="259"/>
      <c r="DY200" s="259"/>
      <c r="DZ200" s="259"/>
      <c r="EA200" s="259"/>
      <c r="EB200" s="259"/>
      <c r="EC200" s="259"/>
      <c r="ED200" s="287"/>
    </row>
    <row r="201">
      <c r="A201" s="731" t="s">
        <v>6535</v>
      </c>
      <c r="B201" s="82" t="s">
        <v>6536</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6248</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6086</v>
      </c>
      <c r="BJ201" s="99"/>
      <c r="BK201" s="102"/>
      <c r="BL201" s="261" t="s">
        <v>6540</v>
      </c>
      <c r="BM201" s="99"/>
      <c r="BN201" s="99"/>
      <c r="BO201" s="102"/>
      <c r="BP201" s="99"/>
      <c r="BQ201" s="236"/>
      <c r="BR201" s="261" t="s">
        <v>6541</v>
      </c>
      <c r="BS201" s="261" t="s">
        <v>6542</v>
      </c>
      <c r="BT201" s="102"/>
      <c r="BU201" s="261" t="s">
        <v>2583</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2086</v>
      </c>
      <c r="DU201" s="102"/>
      <c r="DV201" s="99"/>
      <c r="DW201" s="94" t="s">
        <v>278</v>
      </c>
      <c r="DX201" s="99"/>
      <c r="DY201" s="99"/>
      <c r="DZ201" s="99"/>
      <c r="EA201" s="102" t="s">
        <v>5830</v>
      </c>
      <c r="EB201" s="99"/>
      <c r="EC201" s="99"/>
      <c r="ED201" s="261"/>
    </row>
    <row r="202">
      <c r="A202" s="408" t="s">
        <v>6548</v>
      </c>
      <c r="B202" s="104" t="s">
        <v>6549</v>
      </c>
      <c r="C202" s="105" t="s">
        <v>1256</v>
      </c>
      <c r="D202" s="106" t="s">
        <v>1256</v>
      </c>
      <c r="E202" s="107" t="s">
        <v>1256</v>
      </c>
      <c r="F202" s="108" t="s">
        <v>1256</v>
      </c>
      <c r="G202" s="104" t="s">
        <v>1196</v>
      </c>
      <c r="H202" s="243"/>
      <c r="I202" s="167" t="s">
        <v>6550</v>
      </c>
      <c r="J202" s="167" t="s">
        <v>6551</v>
      </c>
      <c r="K202" s="167" t="s">
        <v>2041</v>
      </c>
      <c r="L202" s="167" t="s">
        <v>6552</v>
      </c>
      <c r="M202" s="167" t="s">
        <v>6553</v>
      </c>
      <c r="N202" s="243"/>
      <c r="O202" s="243"/>
      <c r="P202" s="167" t="s">
        <v>202</v>
      </c>
      <c r="Q202" s="243"/>
      <c r="R202" s="243"/>
      <c r="S202" s="243"/>
      <c r="T202" s="243"/>
      <c r="U202" s="243"/>
      <c r="V202" s="243"/>
      <c r="W202" s="92"/>
      <c r="X202" s="246"/>
      <c r="Y202" s="246"/>
      <c r="Z202" s="246"/>
      <c r="AA202" s="198" t="s">
        <v>5676</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1256</v>
      </c>
      <c r="D203" s="84" t="s">
        <v>1256</v>
      </c>
      <c r="E203" s="85" t="s">
        <v>1256</v>
      </c>
      <c r="F203" s="86" t="s">
        <v>1256</v>
      </c>
      <c r="G203" s="82" t="s">
        <v>3537</v>
      </c>
      <c r="H203" s="99"/>
      <c r="I203" s="94" t="s">
        <v>6558</v>
      </c>
      <c r="J203" s="94" t="s">
        <v>1295</v>
      </c>
      <c r="K203" s="94" t="s">
        <v>1055</v>
      </c>
      <c r="L203" s="94" t="s">
        <v>6559</v>
      </c>
      <c r="M203" s="94" t="s">
        <v>6560</v>
      </c>
      <c r="N203" s="94" t="s">
        <v>6561</v>
      </c>
      <c r="O203" s="94" t="s">
        <v>6562</v>
      </c>
      <c r="P203" s="94" t="s">
        <v>4609</v>
      </c>
      <c r="Q203" s="99"/>
      <c r="R203" s="99"/>
      <c r="S203" s="99"/>
      <c r="T203" s="99"/>
      <c r="U203" s="99"/>
      <c r="V203" s="99"/>
      <c r="W203" s="92"/>
      <c r="X203" s="94" t="s">
        <v>336</v>
      </c>
      <c r="Y203" s="94"/>
      <c r="Z203" s="94" t="s">
        <v>2211</v>
      </c>
      <c r="AA203" s="94" t="s">
        <v>3247</v>
      </c>
      <c r="AB203" s="94" t="s">
        <v>6563</v>
      </c>
      <c r="AC203" s="94" t="s">
        <v>6564</v>
      </c>
      <c r="AD203" s="94" t="s">
        <v>3209</v>
      </c>
      <c r="AE203" s="99"/>
      <c r="AF203" s="94" t="s">
        <v>6565</v>
      </c>
      <c r="AG203" s="94" t="s">
        <v>1354</v>
      </c>
      <c r="AH203" s="99"/>
      <c r="AI203" s="99"/>
      <c r="AJ203" s="99"/>
      <c r="AK203" s="99"/>
      <c r="AL203" s="97"/>
      <c r="AM203" s="94" t="s">
        <v>5115</v>
      </c>
      <c r="AN203" s="94" t="s">
        <v>1369</v>
      </c>
      <c r="AO203" s="94" t="s">
        <v>6566</v>
      </c>
      <c r="AP203" s="94" t="s">
        <v>6567</v>
      </c>
      <c r="AQ203" s="94" t="s">
        <v>6568</v>
      </c>
      <c r="AR203" s="94"/>
      <c r="AS203" s="94" t="s">
        <v>2177</v>
      </c>
      <c r="AT203" s="94" t="s">
        <v>6569</v>
      </c>
      <c r="AU203" s="94" t="s">
        <v>3852</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5249</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3583</v>
      </c>
      <c r="CB203" s="99"/>
      <c r="CC203" s="99"/>
      <c r="CD203" s="99"/>
      <c r="CE203" s="99"/>
      <c r="CF203" s="236"/>
      <c r="CG203" s="94" t="s">
        <v>6581</v>
      </c>
      <c r="CH203" s="94" t="s">
        <v>6582</v>
      </c>
      <c r="CI203" s="94" t="s">
        <v>2938</v>
      </c>
      <c r="CJ203" s="94" t="s">
        <v>6583</v>
      </c>
      <c r="CK203" s="94"/>
      <c r="CL203" s="94" t="s">
        <v>4242</v>
      </c>
      <c r="CM203" s="94" t="s">
        <v>6584</v>
      </c>
      <c r="CN203" s="94" t="s">
        <v>964</v>
      </c>
      <c r="CO203" s="94" t="s">
        <v>1429</v>
      </c>
      <c r="CP203" s="99"/>
      <c r="CQ203" s="99"/>
      <c r="CR203" s="99"/>
      <c r="CS203" s="99"/>
      <c r="CT203" s="99"/>
      <c r="CU203" s="92"/>
      <c r="CV203" s="94" t="s">
        <v>6585</v>
      </c>
      <c r="CW203" s="94" t="s">
        <v>6586</v>
      </c>
      <c r="CX203" s="94" t="s">
        <v>1649</v>
      </c>
      <c r="CY203" s="94" t="s">
        <v>6587</v>
      </c>
      <c r="CZ203" s="94" t="s">
        <v>6588</v>
      </c>
      <c r="DA203" s="94" t="s">
        <v>6589</v>
      </c>
      <c r="DB203" s="94" t="s">
        <v>1509</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1256</v>
      </c>
      <c r="D204" s="106" t="s">
        <v>1256</v>
      </c>
      <c r="E204" s="107" t="s">
        <v>1256</v>
      </c>
      <c r="F204" s="108" t="s">
        <v>1256</v>
      </c>
      <c r="G204" s="104" t="s">
        <v>4050</v>
      </c>
      <c r="H204" s="167" t="s">
        <v>6594</v>
      </c>
      <c r="I204" s="167" t="s">
        <v>6595</v>
      </c>
      <c r="J204" s="167" t="s">
        <v>6596</v>
      </c>
      <c r="K204" s="167" t="s">
        <v>1617</v>
      </c>
      <c r="L204" s="167" t="s">
        <v>4068</v>
      </c>
      <c r="M204" s="167" t="s">
        <v>6597</v>
      </c>
      <c r="N204" s="167" t="s">
        <v>6598</v>
      </c>
      <c r="O204" s="167" t="s">
        <v>4425</v>
      </c>
      <c r="P204" s="167" t="s">
        <v>4667</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5745</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5527</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5745</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5623</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4169</v>
      </c>
      <c r="C208" s="105" t="s">
        <v>1256</v>
      </c>
      <c r="D208" s="106" t="s">
        <v>1256</v>
      </c>
      <c r="E208" s="107" t="s">
        <v>1256</v>
      </c>
      <c r="F208" s="108" t="s">
        <v>1256</v>
      </c>
      <c r="G208" s="104" t="s">
        <v>2872</v>
      </c>
      <c r="H208" s="167"/>
      <c r="I208" s="167" t="s">
        <v>6608</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6609</v>
      </c>
      <c r="BF208" s="173"/>
      <c r="BG208" s="173"/>
      <c r="BH208" s="173"/>
      <c r="BI208" s="174" t="s">
        <v>4436</v>
      </c>
      <c r="BJ208" s="173"/>
      <c r="BK208" s="173"/>
      <c r="BL208" s="173"/>
      <c r="BM208" s="173"/>
      <c r="BN208" s="173"/>
      <c r="BO208" s="173"/>
      <c r="BP208" s="173"/>
      <c r="BQ208" s="249"/>
      <c r="BR208" s="253"/>
      <c r="BS208" s="175" t="s">
        <v>4900</v>
      </c>
      <c r="BT208" s="175" t="s">
        <v>6610</v>
      </c>
      <c r="BU208" s="175" t="s">
        <v>5288</v>
      </c>
      <c r="BV208" s="253"/>
      <c r="BW208" s="253"/>
      <c r="BX208" s="253"/>
      <c r="BY208" s="253"/>
      <c r="BZ208" s="253"/>
      <c r="CA208" s="253"/>
      <c r="CB208" s="253"/>
      <c r="CC208" s="253"/>
      <c r="CD208" s="253"/>
      <c r="CE208" s="253"/>
      <c r="CF208" s="254"/>
      <c r="CG208" s="177" t="s">
        <v>6611</v>
      </c>
      <c r="CH208" s="177" t="s">
        <v>1635</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4595</v>
      </c>
      <c r="C214" s="105" t="s">
        <v>1256</v>
      </c>
      <c r="D214" s="106" t="s">
        <v>1256</v>
      </c>
      <c r="E214" s="107" t="s">
        <v>1256</v>
      </c>
      <c r="F214" s="108" t="s">
        <v>2773</v>
      </c>
      <c r="G214" s="104" t="s">
        <v>2773</v>
      </c>
      <c r="H214" s="735" t="s">
        <v>6623</v>
      </c>
      <c r="I214" s="167"/>
      <c r="J214" s="243"/>
      <c r="K214" s="736" t="s">
        <v>4290</v>
      </c>
      <c r="L214" s="167"/>
      <c r="M214" s="243"/>
      <c r="N214" s="243"/>
      <c r="O214" s="167"/>
      <c r="P214" s="243"/>
      <c r="Q214" s="243"/>
      <c r="R214" s="243"/>
      <c r="S214" s="243"/>
      <c r="T214" s="243"/>
      <c r="U214" s="243"/>
      <c r="V214" s="243"/>
      <c r="W214" s="92"/>
      <c r="X214" s="246"/>
      <c r="Y214" s="246"/>
      <c r="Z214" s="582" t="s">
        <v>5737</v>
      </c>
      <c r="AA214" s="246"/>
      <c r="AB214" s="246"/>
      <c r="AC214" s="246"/>
      <c r="AD214" s="246"/>
      <c r="AE214" s="246"/>
      <c r="AF214" s="246"/>
      <c r="AG214" s="246"/>
      <c r="AH214" s="246"/>
      <c r="AI214" s="246"/>
      <c r="AJ214" s="246"/>
      <c r="AK214" s="246"/>
      <c r="AL214" s="97"/>
      <c r="AM214" s="247"/>
      <c r="AN214" s="737" t="s">
        <v>3155</v>
      </c>
      <c r="AO214" s="247"/>
      <c r="AP214" s="737" t="s">
        <v>6624</v>
      </c>
      <c r="AQ214" s="247"/>
      <c r="AR214" s="247"/>
      <c r="AS214" s="247"/>
      <c r="AT214" s="247"/>
      <c r="AU214" s="247"/>
      <c r="AV214" s="247"/>
      <c r="AW214" s="247"/>
      <c r="AX214" s="247"/>
      <c r="AY214" s="737" t="s">
        <v>520</v>
      </c>
      <c r="AZ214" s="247"/>
      <c r="BA214" s="247"/>
      <c r="BB214" s="702" t="s">
        <v>6625</v>
      </c>
      <c r="BC214" s="173"/>
      <c r="BD214" s="702" t="s">
        <v>4769</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5582</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4032</v>
      </c>
      <c r="C216" s="105" t="s">
        <v>1256</v>
      </c>
      <c r="D216" s="106" t="s">
        <v>1256</v>
      </c>
      <c r="E216" s="107" t="s">
        <v>1256</v>
      </c>
      <c r="F216" s="108" t="s">
        <v>1256</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4627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2649</v>
      </c>
      <c r="C218" s="105" t="s">
        <v>1256</v>
      </c>
      <c r="D218" s="106" t="s">
        <v>1256</v>
      </c>
      <c r="E218" s="107" t="s">
        <v>1256</v>
      </c>
      <c r="F218" s="108" t="s">
        <v>1256</v>
      </c>
      <c r="G218" s="104" t="s">
        <v>647</v>
      </c>
      <c r="H218" s="243"/>
      <c r="I218" s="167"/>
      <c r="J218" s="243"/>
      <c r="K218" s="167" t="s">
        <v>4989</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4679</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1256</v>
      </c>
      <c r="D223" s="84" t="s">
        <v>1256</v>
      </c>
      <c r="E223" s="85" t="s">
        <v>1256</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1256</v>
      </c>
      <c r="D224" s="106" t="s">
        <v>1256</v>
      </c>
      <c r="E224" s="107" t="s">
        <v>1256</v>
      </c>
      <c r="F224" s="108" t="s">
        <v>1256</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Z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4111</v>
      </c>
      <c r="D4" s="785" t="s">
        <v>438</v>
      </c>
      <c r="E4" s="786" t="s">
        <v>1256</v>
      </c>
      <c r="F4" s="787" t="s">
        <v>4774</v>
      </c>
      <c r="G4" s="788" t="s">
        <v>2545</v>
      </c>
      <c r="H4" s="789" t="s">
        <v>2996</v>
      </c>
      <c r="I4" s="790"/>
      <c r="J4" s="791" t="s">
        <v>2030</v>
      </c>
      <c r="K4" s="791" t="s">
        <v>6691</v>
      </c>
      <c r="L4" s="791" t="s">
        <v>6692</v>
      </c>
      <c r="M4" s="792" t="s">
        <v>3224</v>
      </c>
      <c r="N4" s="790"/>
      <c r="O4" s="793" t="s">
        <v>6693</v>
      </c>
      <c r="P4" s="794"/>
      <c r="Q4" s="795" t="s">
        <v>6694</v>
      </c>
      <c r="R4" s="796" t="s">
        <v>1737</v>
      </c>
      <c r="S4" s="797" t="s">
        <v>5067</v>
      </c>
      <c r="T4" s="797" t="s">
        <v>5676</v>
      </c>
      <c r="U4" s="797"/>
      <c r="V4" s="795" t="s">
        <v>6695</v>
      </c>
      <c r="W4" s="794"/>
      <c r="X4" s="798" t="s">
        <v>2381</v>
      </c>
      <c r="Y4" s="799" t="s">
        <v>6696</v>
      </c>
      <c r="Z4" s="799" t="s">
        <v>6697</v>
      </c>
      <c r="AA4" s="799" t="s">
        <v>5030</v>
      </c>
      <c r="AB4" s="800" t="s">
        <v>6698</v>
      </c>
      <c r="AC4" s="799" t="s">
        <v>747</v>
      </c>
      <c r="AD4" s="801" t="s">
        <v>4265</v>
      </c>
      <c r="AE4" s="801" t="s">
        <v>2529</v>
      </c>
      <c r="AF4" s="802"/>
      <c r="AG4" s="800" t="s">
        <v>6699</v>
      </c>
      <c r="AH4" s="803"/>
      <c r="AI4" s="804"/>
      <c r="AJ4" s="805"/>
      <c r="AK4" s="806"/>
      <c r="AL4" s="806"/>
      <c r="AM4" s="807" t="s">
        <v>6700</v>
      </c>
      <c r="AN4" s="805"/>
      <c r="AO4" s="806"/>
      <c r="AP4" s="807" t="s">
        <v>906</v>
      </c>
      <c r="AQ4" s="805" t="s">
        <v>6701</v>
      </c>
      <c r="AR4" s="806"/>
      <c r="AS4" s="806"/>
      <c r="AT4" s="806"/>
      <c r="AU4" s="806"/>
      <c r="AV4" s="806"/>
      <c r="AW4" s="808" t="s">
        <v>4738</v>
      </c>
      <c r="AX4" s="807" t="s">
        <v>6702</v>
      </c>
      <c r="AY4" s="807" t="s">
        <v>1678</v>
      </c>
      <c r="AZ4" s="809"/>
      <c r="BA4" s="810" t="s">
        <v>6703</v>
      </c>
      <c r="BB4" s="811" t="s">
        <v>6704</v>
      </c>
      <c r="BC4" s="812" t="s">
        <v>294</v>
      </c>
      <c r="BD4" s="810" t="s">
        <v>4270</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6429</v>
      </c>
      <c r="BV4" s="823"/>
      <c r="BW4" s="819" t="s">
        <v>6714</v>
      </c>
      <c r="BX4" s="794"/>
      <c r="BY4" s="824" t="s">
        <v>3390</v>
      </c>
      <c r="BZ4" s="825" t="s">
        <v>6172</v>
      </c>
      <c r="CA4" s="795" t="s">
        <v>6715</v>
      </c>
      <c r="CB4" s="826"/>
      <c r="CC4" s="827"/>
      <c r="CD4" s="795" t="s">
        <v>6716</v>
      </c>
      <c r="CE4" s="828" t="s">
        <v>6717</v>
      </c>
      <c r="CF4" s="795" t="s">
        <v>1591</v>
      </c>
      <c r="CG4" s="796" t="s">
        <v>5099</v>
      </c>
      <c r="CH4" s="829" t="s">
        <v>6718</v>
      </c>
      <c r="CI4" s="795" t="s">
        <v>1017</v>
      </c>
      <c r="CJ4" s="795" t="s">
        <v>2216</v>
      </c>
      <c r="CK4" s="795" t="s">
        <v>3872</v>
      </c>
    </row>
    <row r="5">
      <c r="A5" s="830" t="s">
        <v>6719</v>
      </c>
      <c r="B5" s="788" t="s">
        <v>6720</v>
      </c>
      <c r="C5" s="784" t="s">
        <v>647</v>
      </c>
      <c r="D5" s="785" t="s">
        <v>334</v>
      </c>
      <c r="E5" s="786" t="s">
        <v>332</v>
      </c>
      <c r="F5" s="787" t="s">
        <v>3380</v>
      </c>
      <c r="G5" s="788" t="s">
        <v>4673</v>
      </c>
      <c r="H5" s="831"/>
      <c r="I5" s="832" t="s">
        <v>1258</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4438</v>
      </c>
      <c r="AA5" s="801" t="s">
        <v>5673</v>
      </c>
      <c r="AB5" s="841" t="s">
        <v>791</v>
      </c>
      <c r="AC5" s="841" t="s">
        <v>2980</v>
      </c>
      <c r="AD5" s="799" t="s">
        <v>1213</v>
      </c>
      <c r="AE5" s="841" t="s">
        <v>2674</v>
      </c>
      <c r="AF5" s="802"/>
      <c r="AG5" s="799" t="s">
        <v>6728</v>
      </c>
      <c r="AH5" s="803"/>
      <c r="AI5" s="809"/>
      <c r="AJ5" s="842"/>
      <c r="AK5" s="842" t="s">
        <v>4072</v>
      </c>
      <c r="AL5" s="843"/>
      <c r="AM5" s="842" t="s">
        <v>4630</v>
      </c>
      <c r="AN5" s="842"/>
      <c r="AO5" s="844" t="s">
        <v>2388</v>
      </c>
      <c r="AP5" s="843"/>
      <c r="AQ5" s="845" t="s">
        <v>6729</v>
      </c>
      <c r="AR5" s="842" t="s">
        <v>6730</v>
      </c>
      <c r="AS5" s="842" t="s">
        <v>6731</v>
      </c>
      <c r="AT5" s="843"/>
      <c r="AU5" s="843"/>
      <c r="AV5" s="843"/>
      <c r="AW5" s="846" t="s">
        <v>4230</v>
      </c>
      <c r="AX5" s="847" t="s">
        <v>3759</v>
      </c>
      <c r="AY5" s="842" t="s">
        <v>6732</v>
      </c>
      <c r="AZ5" s="809"/>
      <c r="BA5" s="848"/>
      <c r="BB5" s="849" t="s">
        <v>6733</v>
      </c>
      <c r="BC5" s="850" t="s">
        <v>6734</v>
      </c>
      <c r="BD5" s="848"/>
      <c r="BE5" s="851" t="s">
        <v>6735</v>
      </c>
      <c r="BF5" s="809"/>
      <c r="BG5" s="852" t="s">
        <v>6736</v>
      </c>
      <c r="BH5" s="853" t="s">
        <v>1874</v>
      </c>
      <c r="BI5" s="853"/>
      <c r="BJ5" s="853"/>
      <c r="BK5" s="854" t="s">
        <v>2049</v>
      </c>
      <c r="BL5" s="855"/>
      <c r="BM5" s="853" t="s">
        <v>6737</v>
      </c>
      <c r="BN5" s="809"/>
      <c r="BO5" s="856" t="s">
        <v>5468</v>
      </c>
      <c r="BP5" s="857"/>
      <c r="BQ5" s="857"/>
      <c r="BR5" s="858" t="s">
        <v>6738</v>
      </c>
      <c r="BS5" s="857"/>
      <c r="BT5" s="859" t="s">
        <v>1616</v>
      </c>
      <c r="BU5" s="857"/>
      <c r="BV5" s="860" t="s">
        <v>3859</v>
      </c>
      <c r="BW5" s="859" t="s">
        <v>6138</v>
      </c>
      <c r="BX5" s="809"/>
      <c r="BY5" s="861" t="s">
        <v>2811</v>
      </c>
      <c r="BZ5" s="862" t="s">
        <v>4207</v>
      </c>
      <c r="CA5" s="863"/>
      <c r="CB5" s="863"/>
      <c r="CC5" s="863"/>
      <c r="CD5" s="862" t="s">
        <v>1396</v>
      </c>
      <c r="CE5" s="864" t="s">
        <v>4732</v>
      </c>
      <c r="CF5" s="862" t="s">
        <v>6739</v>
      </c>
      <c r="CG5" s="863"/>
      <c r="CH5" s="863"/>
      <c r="CI5" s="863"/>
      <c r="CJ5" s="863"/>
      <c r="CK5" s="863"/>
    </row>
    <row r="6">
      <c r="A6" s="865" t="s">
        <v>435</v>
      </c>
      <c r="B6" s="788" t="s">
        <v>6740</v>
      </c>
      <c r="C6" s="784" t="s">
        <v>437</v>
      </c>
      <c r="D6" s="785" t="s">
        <v>1197</v>
      </c>
      <c r="E6" s="786" t="s">
        <v>332</v>
      </c>
      <c r="F6" s="787" t="s">
        <v>4050</v>
      </c>
      <c r="G6" s="788" t="s">
        <v>1498</v>
      </c>
      <c r="H6" s="833" t="s">
        <v>1606</v>
      </c>
      <c r="I6" s="866" t="s">
        <v>3118</v>
      </c>
      <c r="J6" s="834" t="s">
        <v>6741</v>
      </c>
      <c r="K6" s="867" t="s">
        <v>5947</v>
      </c>
      <c r="L6" s="833" t="s">
        <v>5488</v>
      </c>
      <c r="M6" s="831"/>
      <c r="N6" s="831"/>
      <c r="O6" s="868" t="s">
        <v>6742</v>
      </c>
      <c r="P6" s="794"/>
      <c r="Q6" s="869" t="s">
        <v>6743</v>
      </c>
      <c r="R6" s="869" t="s">
        <v>2812</v>
      </c>
      <c r="S6" s="836"/>
      <c r="T6" s="870" t="s">
        <v>233</v>
      </c>
      <c r="U6" s="871"/>
      <c r="V6" s="837" t="s">
        <v>6744</v>
      </c>
      <c r="W6" s="794"/>
      <c r="X6" s="801" t="s">
        <v>148</v>
      </c>
      <c r="Y6" s="801" t="s">
        <v>6745</v>
      </c>
      <c r="Z6" s="801" t="s">
        <v>2597</v>
      </c>
      <c r="AA6" s="872" t="s">
        <v>6746</v>
      </c>
      <c r="AB6" s="840" t="s">
        <v>1274</v>
      </c>
      <c r="AC6" s="872" t="s">
        <v>1316</v>
      </c>
      <c r="AD6" s="799" t="s">
        <v>1213</v>
      </c>
      <c r="AE6" s="799" t="s">
        <v>6747</v>
      </c>
      <c r="AF6" s="873"/>
      <c r="AG6" s="874" t="s">
        <v>6748</v>
      </c>
      <c r="AH6" s="803"/>
      <c r="AI6" s="804"/>
      <c r="AJ6" s="842"/>
      <c r="AK6" s="842" t="s">
        <v>6749</v>
      </c>
      <c r="AL6" s="843"/>
      <c r="AM6" s="875" t="s">
        <v>3276</v>
      </c>
      <c r="AN6" s="876" t="s">
        <v>3510</v>
      </c>
      <c r="AO6" s="842" t="s">
        <v>6750</v>
      </c>
      <c r="AP6" s="875" t="s">
        <v>2467</v>
      </c>
      <c r="AQ6" s="877" t="s">
        <v>6751</v>
      </c>
      <c r="AR6" s="842" t="s">
        <v>6752</v>
      </c>
      <c r="AS6" s="843"/>
      <c r="AT6" s="844" t="s">
        <v>4893</v>
      </c>
      <c r="AU6" s="843"/>
      <c r="AV6" s="843"/>
      <c r="AW6" s="847" t="s">
        <v>5032</v>
      </c>
      <c r="AX6" s="847" t="s">
        <v>1301</v>
      </c>
      <c r="AY6" s="843"/>
      <c r="AZ6" s="809"/>
      <c r="BA6" s="878"/>
      <c r="BB6" s="850" t="s">
        <v>6753</v>
      </c>
      <c r="BC6" s="851" t="s">
        <v>6163</v>
      </c>
      <c r="BD6" s="878"/>
      <c r="BE6" s="879" t="s">
        <v>6754</v>
      </c>
      <c r="BF6" s="809"/>
      <c r="BG6" s="852" t="s">
        <v>3235</v>
      </c>
      <c r="BH6" s="852" t="s">
        <v>1303</v>
      </c>
      <c r="BI6" s="880" t="s">
        <v>5818</v>
      </c>
      <c r="BJ6" s="881"/>
      <c r="BK6" s="852" t="s">
        <v>6755</v>
      </c>
      <c r="BL6" s="855"/>
      <c r="BM6" s="853" t="s">
        <v>6756</v>
      </c>
      <c r="BN6" s="794"/>
      <c r="BO6" s="859" t="s">
        <v>6757</v>
      </c>
      <c r="BP6" s="858"/>
      <c r="BQ6" s="882" t="s">
        <v>1681</v>
      </c>
      <c r="BR6" s="858" t="s">
        <v>6758</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6759</v>
      </c>
      <c r="B7" s="886" t="s">
        <v>6760</v>
      </c>
      <c r="C7" s="784" t="s">
        <v>334</v>
      </c>
      <c r="D7" s="785" t="s">
        <v>332</v>
      </c>
      <c r="E7" s="786" t="s">
        <v>333</v>
      </c>
      <c r="F7" s="787" t="s">
        <v>3537</v>
      </c>
      <c r="G7" s="788" t="s">
        <v>3869</v>
      </c>
      <c r="H7" s="887" t="s">
        <v>6761</v>
      </c>
      <c r="I7" s="833" t="s">
        <v>6762</v>
      </c>
      <c r="J7" s="833" t="s">
        <v>3723</v>
      </c>
      <c r="K7" s="833" t="s">
        <v>6763</v>
      </c>
      <c r="L7" s="888" t="s">
        <v>2030</v>
      </c>
      <c r="M7" s="866" t="s">
        <v>6764</v>
      </c>
      <c r="N7" s="833" t="s">
        <v>6765</v>
      </c>
      <c r="O7" s="833" t="s">
        <v>6766</v>
      </c>
      <c r="P7" s="794"/>
      <c r="Q7" s="839" t="s">
        <v>6767</v>
      </c>
      <c r="R7" s="839" t="s">
        <v>1939</v>
      </c>
      <c r="S7" s="837" t="s">
        <v>726</v>
      </c>
      <c r="T7" s="839" t="s">
        <v>5176</v>
      </c>
      <c r="U7" s="869" t="s">
        <v>6768</v>
      </c>
      <c r="V7" s="837" t="s">
        <v>6769</v>
      </c>
      <c r="W7" s="794"/>
      <c r="X7" s="841" t="s">
        <v>831</v>
      </c>
      <c r="Y7" s="800" t="s">
        <v>6770</v>
      </c>
      <c r="Z7" s="801" t="s">
        <v>6771</v>
      </c>
      <c r="AA7" s="801" t="s">
        <v>6772</v>
      </c>
      <c r="AB7" s="889" t="s">
        <v>4378</v>
      </c>
      <c r="AC7" s="801" t="s">
        <v>5921</v>
      </c>
      <c r="AD7" s="801" t="s">
        <v>131</v>
      </c>
      <c r="AE7" s="801" t="s">
        <v>6773</v>
      </c>
      <c r="AF7" s="802"/>
      <c r="AG7" s="874" t="s">
        <v>6774</v>
      </c>
      <c r="AH7" s="890" t="s">
        <v>6775</v>
      </c>
      <c r="AI7" s="794"/>
      <c r="AJ7" s="891"/>
      <c r="AK7" s="876" t="s">
        <v>102</v>
      </c>
      <c r="AL7" s="877" t="s">
        <v>6776</v>
      </c>
      <c r="AM7" s="847" t="s">
        <v>2231</v>
      </c>
      <c r="AN7" s="842" t="s">
        <v>4620</v>
      </c>
      <c r="AO7" s="842" t="s">
        <v>6777</v>
      </c>
      <c r="AP7" s="847" t="s">
        <v>6778</v>
      </c>
      <c r="AQ7" s="842" t="s">
        <v>6779</v>
      </c>
      <c r="AR7" s="847" t="s">
        <v>6780</v>
      </c>
      <c r="AS7" s="847" t="s">
        <v>2749</v>
      </c>
      <c r="AT7" s="876" t="s">
        <v>6781</v>
      </c>
      <c r="AU7" s="844" t="s">
        <v>6782</v>
      </c>
      <c r="AV7" s="877" t="s">
        <v>6783</v>
      </c>
      <c r="AW7" s="847" t="s">
        <v>2551</v>
      </c>
      <c r="AX7" s="876" t="s">
        <v>5261</v>
      </c>
      <c r="AY7" s="876" t="s">
        <v>6784</v>
      </c>
      <c r="AZ7" s="809"/>
      <c r="BA7" s="851" t="s">
        <v>6785</v>
      </c>
      <c r="BB7" s="892" t="s">
        <v>6786</v>
      </c>
      <c r="BC7" s="893" t="s">
        <v>3286</v>
      </c>
      <c r="BD7" s="894"/>
      <c r="BE7" s="850" t="s">
        <v>6787</v>
      </c>
      <c r="BF7" s="809"/>
      <c r="BG7" s="895" t="s">
        <v>6788</v>
      </c>
      <c r="BH7" s="896" t="s">
        <v>3522</v>
      </c>
      <c r="BI7" s="852" t="s">
        <v>610</v>
      </c>
      <c r="BJ7" s="853" t="s">
        <v>6789</v>
      </c>
      <c r="BK7" s="852" t="s">
        <v>6790</v>
      </c>
      <c r="BL7" s="852" t="s">
        <v>6791</v>
      </c>
      <c r="BM7" s="852" t="s">
        <v>6792</v>
      </c>
      <c r="BN7" s="794"/>
      <c r="BO7" s="859" t="s">
        <v>2467</v>
      </c>
      <c r="BP7" s="860" t="s">
        <v>5858</v>
      </c>
      <c r="BQ7" s="859" t="s">
        <v>3595</v>
      </c>
      <c r="BR7" s="859" t="s">
        <v>3953</v>
      </c>
      <c r="BS7" s="859" t="s">
        <v>814</v>
      </c>
      <c r="BT7" s="859" t="s">
        <v>1369</v>
      </c>
      <c r="BU7" s="882" t="s">
        <v>3953</v>
      </c>
      <c r="BV7" s="897" t="s">
        <v>6793</v>
      </c>
      <c r="BW7" s="859" t="s">
        <v>6794</v>
      </c>
      <c r="BX7" s="794"/>
      <c r="BY7" s="883" t="s">
        <v>6795</v>
      </c>
      <c r="BZ7" s="898" t="s">
        <v>6396</v>
      </c>
      <c r="CA7" s="898" t="s">
        <v>2348</v>
      </c>
      <c r="CB7" s="899" t="s">
        <v>3461</v>
      </c>
      <c r="CC7" s="900"/>
      <c r="CD7" s="901"/>
      <c r="CE7" s="883" t="s">
        <v>2820</v>
      </c>
      <c r="CF7" s="883" t="s">
        <v>6796</v>
      </c>
      <c r="CG7" s="883" t="s">
        <v>6797</v>
      </c>
      <c r="CH7" s="883" t="s">
        <v>2246</v>
      </c>
      <c r="CI7" s="883" t="s">
        <v>6798</v>
      </c>
      <c r="CJ7" s="898" t="s">
        <v>2735</v>
      </c>
      <c r="CK7" s="899"/>
    </row>
    <row r="8">
      <c r="A8" s="902" t="s">
        <v>1550</v>
      </c>
      <c r="B8" s="788" t="s">
        <v>6799</v>
      </c>
      <c r="C8" s="784" t="s">
        <v>647</v>
      </c>
      <c r="D8" s="785" t="s">
        <v>646</v>
      </c>
      <c r="E8" s="786" t="s">
        <v>332</v>
      </c>
      <c r="F8" s="787" t="s">
        <v>2937</v>
      </c>
      <c r="G8" s="788" t="s">
        <v>5889</v>
      </c>
      <c r="H8" s="833" t="s">
        <v>1293</v>
      </c>
      <c r="I8" s="903" t="s">
        <v>6800</v>
      </c>
      <c r="J8" s="831"/>
      <c r="K8" s="832" t="s">
        <v>6801</v>
      </c>
      <c r="L8" s="903" t="s">
        <v>6802</v>
      </c>
      <c r="M8" s="831"/>
      <c r="N8" s="868" t="s">
        <v>6803</v>
      </c>
      <c r="O8" s="831"/>
      <c r="P8" s="794"/>
      <c r="Q8" s="835" t="s">
        <v>4161</v>
      </c>
      <c r="R8" s="870" t="s">
        <v>3179</v>
      </c>
      <c r="S8" s="871" t="s">
        <v>5930</v>
      </c>
      <c r="T8" s="904" t="s">
        <v>5389</v>
      </c>
      <c r="U8" s="904" t="s">
        <v>6804</v>
      </c>
      <c r="V8" s="869" t="s">
        <v>6805</v>
      </c>
      <c r="W8" s="794"/>
      <c r="X8" s="872" t="s">
        <v>910</v>
      </c>
      <c r="Y8" s="872" t="s">
        <v>6806</v>
      </c>
      <c r="Z8" s="801" t="s">
        <v>6807</v>
      </c>
      <c r="AA8" s="889" t="s">
        <v>6808</v>
      </c>
      <c r="AB8" s="840" t="s">
        <v>4955</v>
      </c>
      <c r="AC8" s="840" t="s">
        <v>5125</v>
      </c>
      <c r="AD8" s="872" t="s">
        <v>4960</v>
      </c>
      <c r="AE8" s="840" t="s">
        <v>6809</v>
      </c>
      <c r="AF8" s="840"/>
      <c r="AG8" s="905"/>
      <c r="AH8" s="906" t="s">
        <v>6810</v>
      </c>
      <c r="AI8" s="794"/>
      <c r="AJ8" s="842"/>
      <c r="AK8" s="842" t="s">
        <v>6811</v>
      </c>
      <c r="AL8" s="842" t="s">
        <v>5600</v>
      </c>
      <c r="AM8" s="842" t="s">
        <v>561</v>
      </c>
      <c r="AN8" s="847" t="s">
        <v>6812</v>
      </c>
      <c r="AO8" s="843"/>
      <c r="AP8" s="847" t="s">
        <v>6813</v>
      </c>
      <c r="AQ8" s="907" t="s">
        <v>5062</v>
      </c>
      <c r="AR8" s="842" t="s">
        <v>6814</v>
      </c>
      <c r="AS8" s="876" t="s">
        <v>6815</v>
      </c>
      <c r="AT8" s="843"/>
      <c r="AU8" s="842" t="s">
        <v>6816</v>
      </c>
      <c r="AV8" s="843"/>
      <c r="AW8" s="842" t="s">
        <v>472</v>
      </c>
      <c r="AX8" s="847" t="s">
        <v>6817</v>
      </c>
      <c r="AY8" s="847" t="s">
        <v>6818</v>
      </c>
      <c r="AZ8" s="809"/>
      <c r="BA8" s="849" t="s">
        <v>6819</v>
      </c>
      <c r="BB8" s="850" t="s">
        <v>6820</v>
      </c>
      <c r="BC8" s="908" t="s">
        <v>3521</v>
      </c>
      <c r="BD8" s="878"/>
      <c r="BE8" s="879" t="s">
        <v>6821</v>
      </c>
      <c r="BF8" s="809"/>
      <c r="BG8" s="852" t="s">
        <v>3235</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6833</v>
      </c>
      <c r="BZ8" s="862" t="s">
        <v>2683</v>
      </c>
      <c r="CA8" s="863"/>
      <c r="CB8" s="912" t="s">
        <v>2405</v>
      </c>
      <c r="CC8" s="862"/>
      <c r="CD8" s="862" t="s">
        <v>2954</v>
      </c>
      <c r="CE8" s="898" t="s">
        <v>6834</v>
      </c>
      <c r="CF8" s="899" t="s">
        <v>6835</v>
      </c>
      <c r="CG8" s="899" t="s">
        <v>6836</v>
      </c>
      <c r="CH8" s="913" t="s">
        <v>6837</v>
      </c>
      <c r="CI8" s="899" t="s">
        <v>3643</v>
      </c>
      <c r="CJ8" s="899" t="s">
        <v>5040</v>
      </c>
      <c r="CK8" s="884"/>
    </row>
    <row r="9">
      <c r="A9" s="914" t="s">
        <v>825</v>
      </c>
      <c r="B9" s="788" t="s">
        <v>6204</v>
      </c>
      <c r="C9" s="784" t="s">
        <v>646</v>
      </c>
      <c r="D9" s="785" t="s">
        <v>981</v>
      </c>
      <c r="E9" s="786" t="s">
        <v>332</v>
      </c>
      <c r="F9" s="787" t="s">
        <v>6246</v>
      </c>
      <c r="G9" s="788" t="s">
        <v>2994</v>
      </c>
      <c r="H9" s="831"/>
      <c r="I9" s="887" t="s">
        <v>6838</v>
      </c>
      <c r="J9" s="832" t="s">
        <v>6839</v>
      </c>
      <c r="K9" s="832"/>
      <c r="L9" s="868" t="s">
        <v>6840</v>
      </c>
      <c r="M9" s="831"/>
      <c r="N9" s="866" t="s">
        <v>6841</v>
      </c>
      <c r="O9" s="831"/>
      <c r="P9" s="794"/>
      <c r="Q9" s="870" t="s">
        <v>6842</v>
      </c>
      <c r="R9" s="915" t="s">
        <v>2122</v>
      </c>
      <c r="S9" s="836"/>
      <c r="T9" s="836"/>
      <c r="U9" s="870" t="s">
        <v>6843</v>
      </c>
      <c r="V9" s="837" t="s">
        <v>6844</v>
      </c>
      <c r="W9" s="794"/>
      <c r="X9" s="800" t="s">
        <v>6845</v>
      </c>
      <c r="Y9" s="840"/>
      <c r="Z9" s="840" t="s">
        <v>6846</v>
      </c>
      <c r="AA9" s="916" t="s">
        <v>6847</v>
      </c>
      <c r="AB9" s="840"/>
      <c r="AC9" s="840" t="s">
        <v>6848</v>
      </c>
      <c r="AD9" s="799" t="s">
        <v>1213</v>
      </c>
      <c r="AE9" s="905"/>
      <c r="AF9" s="905"/>
      <c r="AG9" s="840" t="s">
        <v>6849</v>
      </c>
      <c r="AH9" s="803"/>
      <c r="AI9" s="794"/>
      <c r="AJ9" s="843"/>
      <c r="AK9" s="843"/>
      <c r="AL9" s="843"/>
      <c r="AM9" s="877" t="s">
        <v>5742</v>
      </c>
      <c r="AN9" s="843"/>
      <c r="AO9" s="876" t="s">
        <v>2062</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4057</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1256</v>
      </c>
      <c r="D10" s="785" t="s">
        <v>332</v>
      </c>
      <c r="E10" s="786" t="s">
        <v>438</v>
      </c>
      <c r="F10" s="787" t="s">
        <v>220</v>
      </c>
      <c r="G10" s="788" t="s">
        <v>4947</v>
      </c>
      <c r="H10" s="831"/>
      <c r="I10" s="833" t="s">
        <v>6864</v>
      </c>
      <c r="J10" s="867"/>
      <c r="K10" s="868" t="s">
        <v>6865</v>
      </c>
      <c r="L10" s="887" t="s">
        <v>3131</v>
      </c>
      <c r="M10" s="831"/>
      <c r="N10" s="831"/>
      <c r="O10" s="903" t="s">
        <v>6866</v>
      </c>
      <c r="P10" s="794"/>
      <c r="Q10" s="839" t="s">
        <v>6867</v>
      </c>
      <c r="R10" s="836"/>
      <c r="S10" s="836"/>
      <c r="T10" s="919" t="s">
        <v>5896</v>
      </c>
      <c r="U10" s="835"/>
      <c r="V10" s="904" t="s">
        <v>6868</v>
      </c>
      <c r="W10" s="794"/>
      <c r="X10" s="801" t="s">
        <v>590</v>
      </c>
      <c r="Y10" s="920" t="s">
        <v>6869</v>
      </c>
      <c r="Z10" s="872" t="s">
        <v>6870</v>
      </c>
      <c r="AA10" s="872" t="s">
        <v>5592</v>
      </c>
      <c r="AB10" s="801" t="s">
        <v>2352</v>
      </c>
      <c r="AC10" s="872" t="s">
        <v>6871</v>
      </c>
      <c r="AD10" s="921" t="s">
        <v>2419</v>
      </c>
      <c r="AE10" s="801" t="s">
        <v>1088</v>
      </c>
      <c r="AF10" s="873"/>
      <c r="AG10" s="841" t="s">
        <v>6872</v>
      </c>
      <c r="AH10" s="922" t="s">
        <v>6873</v>
      </c>
      <c r="AI10" s="804"/>
      <c r="AJ10" s="843"/>
      <c r="AK10" s="875" t="s">
        <v>6874</v>
      </c>
      <c r="AL10" s="876" t="s">
        <v>6045</v>
      </c>
      <c r="AM10" s="847" t="s">
        <v>659</v>
      </c>
      <c r="AN10" s="923"/>
      <c r="AO10" s="847" t="s">
        <v>5883</v>
      </c>
      <c r="AP10" s="875" t="s">
        <v>6875</v>
      </c>
      <c r="AQ10" s="924" t="s">
        <v>5908</v>
      </c>
      <c r="AR10" s="843"/>
      <c r="AS10" s="843"/>
      <c r="AT10" s="843"/>
      <c r="AU10" s="843"/>
      <c r="AV10" s="875" t="s">
        <v>6876</v>
      </c>
      <c r="AW10" s="875" t="s">
        <v>959</v>
      </c>
      <c r="AX10" s="907" t="s">
        <v>6877</v>
      </c>
      <c r="AY10" s="907" t="s">
        <v>6878</v>
      </c>
      <c r="AZ10" s="809"/>
      <c r="BA10" s="917"/>
      <c r="BB10" s="925" t="s">
        <v>6879</v>
      </c>
      <c r="BC10" s="850" t="s">
        <v>5232</v>
      </c>
      <c r="BD10" s="878"/>
      <c r="BE10" s="850" t="s">
        <v>6880</v>
      </c>
      <c r="BF10" s="809"/>
      <c r="BG10" s="852" t="s">
        <v>6881</v>
      </c>
      <c r="BH10" s="926" t="s">
        <v>4759</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4334</v>
      </c>
      <c r="CE10" s="863"/>
      <c r="CF10" s="898" t="s">
        <v>6887</v>
      </c>
      <c r="CG10" s="912" t="s">
        <v>2640</v>
      </c>
      <c r="CH10" s="863"/>
      <c r="CI10" s="863"/>
      <c r="CJ10" s="884"/>
      <c r="CK10" s="884"/>
    </row>
    <row r="11">
      <c r="A11" s="830" t="s">
        <v>2374</v>
      </c>
      <c r="B11" s="788" t="s">
        <v>6888</v>
      </c>
      <c r="C11" s="784" t="s">
        <v>546</v>
      </c>
      <c r="D11" s="785" t="s">
        <v>332</v>
      </c>
      <c r="E11" s="786" t="s">
        <v>438</v>
      </c>
      <c r="F11" s="787" t="s">
        <v>1881</v>
      </c>
      <c r="G11" s="788" t="s">
        <v>1881</v>
      </c>
      <c r="H11" s="833" t="s">
        <v>1205</v>
      </c>
      <c r="I11" s="833" t="s">
        <v>6889</v>
      </c>
      <c r="J11" s="833" t="s">
        <v>3723</v>
      </c>
      <c r="K11" s="833" t="s">
        <v>2032</v>
      </c>
      <c r="L11" s="831"/>
      <c r="M11" s="831"/>
      <c r="N11" s="831"/>
      <c r="O11" s="887" t="s">
        <v>6890</v>
      </c>
      <c r="P11" s="794"/>
      <c r="Q11" s="839" t="s">
        <v>6891</v>
      </c>
      <c r="R11" s="836"/>
      <c r="S11" s="869" t="s">
        <v>6892</v>
      </c>
      <c r="T11" s="839" t="s">
        <v>5216</v>
      </c>
      <c r="U11" s="839" t="s">
        <v>3602</v>
      </c>
      <c r="V11" s="839" t="s">
        <v>6893</v>
      </c>
      <c r="W11" s="794"/>
      <c r="X11" s="801" t="s">
        <v>2778</v>
      </c>
      <c r="Y11" s="841" t="s">
        <v>6894</v>
      </c>
      <c r="Z11" s="801" t="s">
        <v>6895</v>
      </c>
      <c r="AA11" s="801" t="s">
        <v>6772</v>
      </c>
      <c r="AB11" s="801" t="s">
        <v>6408</v>
      </c>
      <c r="AC11" s="801" t="s">
        <v>6896</v>
      </c>
      <c r="AD11" s="801" t="s">
        <v>1055</v>
      </c>
      <c r="AE11" s="801" t="s">
        <v>6897</v>
      </c>
      <c r="AF11" s="873"/>
      <c r="AG11" s="801" t="s">
        <v>6898</v>
      </c>
      <c r="AH11" s="803"/>
      <c r="AI11" s="794"/>
      <c r="AJ11" s="929"/>
      <c r="AK11" s="877" t="s">
        <v>2092</v>
      </c>
      <c r="AL11" s="843"/>
      <c r="AM11" s="847" t="s">
        <v>4248</v>
      </c>
      <c r="AN11" s="843"/>
      <c r="AO11" s="843"/>
      <c r="AP11" s="847" t="s">
        <v>3523</v>
      </c>
      <c r="AQ11" s="843"/>
      <c r="AR11" s="877" t="s">
        <v>6899</v>
      </c>
      <c r="AS11" s="847" t="s">
        <v>6900</v>
      </c>
      <c r="AT11" s="843"/>
      <c r="AU11" s="876" t="s">
        <v>6901</v>
      </c>
      <c r="AV11" s="843"/>
      <c r="AW11" s="847" t="s">
        <v>5416</v>
      </c>
      <c r="AX11" s="847" t="s">
        <v>4811</v>
      </c>
      <c r="AY11" s="847" t="s">
        <v>6902</v>
      </c>
      <c r="AZ11" s="809"/>
      <c r="BA11" s="850" t="s">
        <v>6903</v>
      </c>
      <c r="BB11" s="850" t="s">
        <v>6904</v>
      </c>
      <c r="BC11" s="850" t="s">
        <v>5339</v>
      </c>
      <c r="BD11" s="878"/>
      <c r="BE11" s="850" t="s">
        <v>6905</v>
      </c>
      <c r="BF11" s="809"/>
      <c r="BG11" s="852" t="s">
        <v>6906</v>
      </c>
      <c r="BH11" s="852" t="s">
        <v>3333</v>
      </c>
      <c r="BI11" s="852" t="s">
        <v>2216</v>
      </c>
      <c r="BJ11" s="918" t="s">
        <v>6907</v>
      </c>
      <c r="BK11" s="852" t="s">
        <v>6908</v>
      </c>
      <c r="BL11" s="855"/>
      <c r="BM11" s="852" t="s">
        <v>6909</v>
      </c>
      <c r="BN11" s="794"/>
      <c r="BO11" s="857"/>
      <c r="BP11" s="910"/>
      <c r="BQ11" s="859" t="s">
        <v>2701</v>
      </c>
      <c r="BR11" s="859" t="s">
        <v>6910</v>
      </c>
      <c r="BS11" s="857"/>
      <c r="BT11" s="859" t="s">
        <v>1699</v>
      </c>
      <c r="BU11" s="857"/>
      <c r="BV11" s="859" t="s">
        <v>6911</v>
      </c>
      <c r="BW11" s="859" t="s">
        <v>6232</v>
      </c>
      <c r="BX11" s="794"/>
      <c r="BY11" s="883" t="s">
        <v>6750</v>
      </c>
      <c r="BZ11" s="883" t="s">
        <v>2782</v>
      </c>
      <c r="CA11" s="899" t="s">
        <v>6912</v>
      </c>
      <c r="CB11" s="884"/>
      <c r="CC11" s="863"/>
      <c r="CD11" s="899" t="s">
        <v>4334</v>
      </c>
      <c r="CE11" s="883" t="s">
        <v>6913</v>
      </c>
      <c r="CF11" s="883" t="s">
        <v>5341</v>
      </c>
      <c r="CG11" s="898" t="s">
        <v>6914</v>
      </c>
      <c r="CH11" s="863"/>
      <c r="CI11" s="898" t="s">
        <v>4806</v>
      </c>
      <c r="CJ11" s="884"/>
      <c r="CK11" s="884"/>
    </row>
    <row r="12">
      <c r="A12" s="865" t="s">
        <v>330</v>
      </c>
      <c r="B12" s="788" t="s">
        <v>6915</v>
      </c>
      <c r="C12" s="784" t="s">
        <v>332</v>
      </c>
      <c r="D12" s="785" t="s">
        <v>334</v>
      </c>
      <c r="E12" s="786" t="s">
        <v>1197</v>
      </c>
      <c r="F12" s="787" t="s">
        <v>3969</v>
      </c>
      <c r="G12" s="788" t="s">
        <v>1498</v>
      </c>
      <c r="H12" s="930" t="s">
        <v>2929</v>
      </c>
      <c r="I12" s="868" t="s">
        <v>6916</v>
      </c>
      <c r="J12" s="868" t="s">
        <v>6917</v>
      </c>
      <c r="K12" s="833" t="s">
        <v>713</v>
      </c>
      <c r="L12" s="931" t="s">
        <v>6918</v>
      </c>
      <c r="M12" s="831"/>
      <c r="N12" s="831"/>
      <c r="O12" s="903" t="s">
        <v>6919</v>
      </c>
      <c r="P12" s="794"/>
      <c r="Q12" s="839" t="s">
        <v>6920</v>
      </c>
      <c r="R12" s="836"/>
      <c r="S12" s="836"/>
      <c r="T12" s="869" t="s">
        <v>5351</v>
      </c>
      <c r="U12" s="835"/>
      <c r="V12" s="904" t="s">
        <v>6921</v>
      </c>
      <c r="W12" s="794"/>
      <c r="X12" s="905"/>
      <c r="Y12" s="872" t="s">
        <v>6922</v>
      </c>
      <c r="Z12" s="920" t="s">
        <v>6918</v>
      </c>
      <c r="AA12" s="920" t="s">
        <v>6923</v>
      </c>
      <c r="AB12" s="799" t="s">
        <v>3434</v>
      </c>
      <c r="AC12" s="872" t="s">
        <v>2901</v>
      </c>
      <c r="AD12" s="801" t="s">
        <v>2397</v>
      </c>
      <c r="AE12" s="800" t="s">
        <v>1247</v>
      </c>
      <c r="AF12" s="873"/>
      <c r="AG12" s="920" t="s">
        <v>6924</v>
      </c>
      <c r="AH12" s="803"/>
      <c r="AI12" s="794"/>
      <c r="AJ12" s="929"/>
      <c r="AK12" s="847" t="s">
        <v>6925</v>
      </c>
      <c r="AL12" s="843"/>
      <c r="AM12" s="932"/>
      <c r="AN12" s="932" t="s">
        <v>6926</v>
      </c>
      <c r="AO12" s="933" t="s">
        <v>4843</v>
      </c>
      <c r="AP12" s="934" t="s">
        <v>6927</v>
      </c>
      <c r="AQ12" s="934" t="s">
        <v>6928</v>
      </c>
      <c r="AR12" s="935"/>
      <c r="AS12" s="844" t="s">
        <v>6731</v>
      </c>
      <c r="AT12" s="932"/>
      <c r="AU12" s="923"/>
      <c r="AV12" s="844" t="s">
        <v>6929</v>
      </c>
      <c r="AW12" s="876" t="s">
        <v>6930</v>
      </c>
      <c r="AX12" s="907" t="s">
        <v>6931</v>
      </c>
      <c r="AY12" s="907" t="s">
        <v>6932</v>
      </c>
      <c r="AZ12" s="809"/>
      <c r="BA12" s="848"/>
      <c r="BB12" s="851" t="s">
        <v>6933</v>
      </c>
      <c r="BC12" s="850" t="s">
        <v>3755</v>
      </c>
      <c r="BD12" s="878"/>
      <c r="BE12" s="925" t="s">
        <v>6934</v>
      </c>
      <c r="BF12" s="809"/>
      <c r="BG12" s="936" t="s">
        <v>6935</v>
      </c>
      <c r="BH12" s="936" t="s">
        <v>5451</v>
      </c>
      <c r="BI12" s="853"/>
      <c r="BJ12" s="853"/>
      <c r="BK12" s="937" t="s">
        <v>6936</v>
      </c>
      <c r="BL12" s="855"/>
      <c r="BM12" s="937" t="s">
        <v>6937</v>
      </c>
      <c r="BN12" s="794"/>
      <c r="BO12" s="897" t="s">
        <v>6938</v>
      </c>
      <c r="BP12" s="910"/>
      <c r="BQ12" s="897" t="s">
        <v>695</v>
      </c>
      <c r="BR12" s="911" t="s">
        <v>6939</v>
      </c>
      <c r="BS12" s="857"/>
      <c r="BT12" s="859" t="s">
        <v>1931</v>
      </c>
      <c r="BU12" s="857"/>
      <c r="BV12" s="910" t="s">
        <v>6940</v>
      </c>
      <c r="BW12" s="938" t="s">
        <v>6941</v>
      </c>
      <c r="BX12" s="804"/>
      <c r="BY12" s="912" t="s">
        <v>4499</v>
      </c>
      <c r="BZ12" s="863"/>
      <c r="CA12" s="900"/>
      <c r="CB12" s="913" t="s">
        <v>2845</v>
      </c>
      <c r="CC12" s="928"/>
      <c r="CD12" s="912" t="s">
        <v>1169</v>
      </c>
      <c r="CE12" s="863"/>
      <c r="CF12" s="912" t="s">
        <v>6942</v>
      </c>
      <c r="CG12" s="863"/>
      <c r="CH12" s="899" t="s">
        <v>4851</v>
      </c>
      <c r="CI12" s="863"/>
      <c r="CJ12" s="884"/>
      <c r="CK12" s="884"/>
    </row>
    <row r="13">
      <c r="A13" s="939" t="s">
        <v>1632</v>
      </c>
      <c r="B13" s="788" t="s">
        <v>6943</v>
      </c>
      <c r="C13" s="784" t="s">
        <v>546</v>
      </c>
      <c r="D13" s="785" t="s">
        <v>546</v>
      </c>
      <c r="E13" s="786" t="s">
        <v>437</v>
      </c>
      <c r="F13" s="787" t="s">
        <v>1196</v>
      </c>
      <c r="G13" s="788" t="s">
        <v>5276</v>
      </c>
      <c r="H13" s="833" t="s">
        <v>2357</v>
      </c>
      <c r="I13" s="940" t="s">
        <v>6944</v>
      </c>
      <c r="J13" s="832" t="s">
        <v>1299</v>
      </c>
      <c r="K13" s="832" t="s">
        <v>6945</v>
      </c>
      <c r="L13" s="832" t="s">
        <v>2149</v>
      </c>
      <c r="M13" s="941"/>
      <c r="N13" s="832" t="s">
        <v>6946</v>
      </c>
      <c r="O13" s="832" t="s">
        <v>6947</v>
      </c>
      <c r="P13" s="794"/>
      <c r="Q13" s="835" t="s">
        <v>6948</v>
      </c>
      <c r="R13" s="835" t="s">
        <v>5607</v>
      </c>
      <c r="S13" s="835" t="s">
        <v>6949</v>
      </c>
      <c r="T13" s="835" t="s">
        <v>5776</v>
      </c>
      <c r="U13" s="835" t="s">
        <v>6950</v>
      </c>
      <c r="V13" s="835" t="s">
        <v>6951</v>
      </c>
      <c r="W13" s="794"/>
      <c r="X13" s="840" t="s">
        <v>3977</v>
      </c>
      <c r="Y13" s="840" t="s">
        <v>6952</v>
      </c>
      <c r="Z13" s="872" t="s">
        <v>6953</v>
      </c>
      <c r="AA13" s="942" t="s">
        <v>6954</v>
      </c>
      <c r="AB13" s="840" t="s">
        <v>6955</v>
      </c>
      <c r="AC13" s="840" t="s">
        <v>649</v>
      </c>
      <c r="AD13" s="889" t="s">
        <v>1789</v>
      </c>
      <c r="AE13" s="801" t="s">
        <v>5280</v>
      </c>
      <c r="AF13" s="800" t="s">
        <v>102</v>
      </c>
      <c r="AG13" s="840" t="s">
        <v>6956</v>
      </c>
      <c r="AH13" s="943" t="s">
        <v>6957</v>
      </c>
      <c r="AI13" s="794"/>
      <c r="AJ13" s="891"/>
      <c r="AK13" s="845" t="s">
        <v>6958</v>
      </c>
      <c r="AL13" s="842"/>
      <c r="AM13" s="842" t="s">
        <v>3424</v>
      </c>
      <c r="AN13" s="847" t="s">
        <v>1731</v>
      </c>
      <c r="AO13" s="842" t="s">
        <v>4125</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4216</v>
      </c>
      <c r="BD13" s="879" t="s">
        <v>5080</v>
      </c>
      <c r="BE13" s="850" t="s">
        <v>6967</v>
      </c>
      <c r="BF13" s="809"/>
      <c r="BG13" s="853" t="s">
        <v>6968</v>
      </c>
      <c r="BH13" s="853" t="s">
        <v>5168</v>
      </c>
      <c r="BI13" s="852" t="s">
        <v>1939</v>
      </c>
      <c r="BJ13" s="854" t="s">
        <v>6969</v>
      </c>
      <c r="BK13" s="909" t="s">
        <v>6970</v>
      </c>
      <c r="BL13" s="853"/>
      <c r="BM13" s="853" t="s">
        <v>6971</v>
      </c>
      <c r="BN13" s="794"/>
      <c r="BO13" s="859" t="s">
        <v>4713</v>
      </c>
      <c r="BP13" s="911"/>
      <c r="BQ13" s="944" t="s">
        <v>4765</v>
      </c>
      <c r="BR13" s="858" t="s">
        <v>6972</v>
      </c>
      <c r="BS13" s="858"/>
      <c r="BT13" s="945" t="s">
        <v>6973</v>
      </c>
      <c r="BU13" s="911" t="s">
        <v>4784</v>
      </c>
      <c r="BV13" s="858" t="s">
        <v>6974</v>
      </c>
      <c r="BW13" s="858" t="s">
        <v>6975</v>
      </c>
      <c r="BX13" s="794"/>
      <c r="BY13" s="862" t="s">
        <v>2522</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3969</v>
      </c>
      <c r="G14" s="788" t="s">
        <v>6277</v>
      </c>
      <c r="H14" s="866" t="s">
        <v>4810</v>
      </c>
      <c r="I14" s="831"/>
      <c r="J14" s="887" t="s">
        <v>6982</v>
      </c>
      <c r="K14" s="887" t="s">
        <v>6378</v>
      </c>
      <c r="L14" s="831"/>
      <c r="M14" s="831"/>
      <c r="N14" s="831"/>
      <c r="O14" s="832" t="s">
        <v>6983</v>
      </c>
      <c r="P14" s="794"/>
      <c r="Q14" s="836"/>
      <c r="R14" s="837" t="s">
        <v>403</v>
      </c>
      <c r="S14" s="836"/>
      <c r="T14" s="915" t="s">
        <v>4861</v>
      </c>
      <c r="U14" s="915" t="s">
        <v>1183</v>
      </c>
      <c r="V14" s="836"/>
      <c r="W14" s="794"/>
      <c r="X14" s="840" t="s">
        <v>379</v>
      </c>
      <c r="Y14" s="905"/>
      <c r="Z14" s="841" t="s">
        <v>3299</v>
      </c>
      <c r="AA14" s="800" t="s">
        <v>6984</v>
      </c>
      <c r="AB14" s="840" t="s">
        <v>503</v>
      </c>
      <c r="AC14" s="874" t="s">
        <v>1118</v>
      </c>
      <c r="AD14" s="800" t="s">
        <v>1701</v>
      </c>
      <c r="AE14" s="872" t="s">
        <v>6985</v>
      </c>
      <c r="AF14" s="840"/>
      <c r="AG14" s="840" t="s">
        <v>6986</v>
      </c>
      <c r="AH14" s="803"/>
      <c r="AI14" s="794"/>
      <c r="AJ14" s="843"/>
      <c r="AK14" s="843"/>
      <c r="AL14" s="843"/>
      <c r="AM14" s="842" t="s">
        <v>5161</v>
      </c>
      <c r="AN14" s="844" t="s">
        <v>4075</v>
      </c>
      <c r="AO14" s="843"/>
      <c r="AP14" s="843"/>
      <c r="AQ14" s="843"/>
      <c r="AR14" s="844" t="s">
        <v>6987</v>
      </c>
      <c r="AS14" s="843"/>
      <c r="AT14" s="877" t="s">
        <v>6988</v>
      </c>
      <c r="AU14" s="843"/>
      <c r="AV14" s="843"/>
      <c r="AW14" s="877" t="s">
        <v>1037</v>
      </c>
      <c r="AX14" s="877" t="s">
        <v>6989</v>
      </c>
      <c r="AY14" s="877" t="s">
        <v>964</v>
      </c>
      <c r="AZ14" s="809"/>
      <c r="BA14" s="917"/>
      <c r="BB14" s="879"/>
      <c r="BC14" s="849" t="s">
        <v>4542</v>
      </c>
      <c r="BD14" s="848"/>
      <c r="BE14" s="879"/>
      <c r="BF14" s="809"/>
      <c r="BG14" s="855"/>
      <c r="BH14" s="855"/>
      <c r="BI14" s="918" t="s">
        <v>6990</v>
      </c>
      <c r="BJ14" s="855"/>
      <c r="BK14" s="855"/>
      <c r="BL14" s="855"/>
      <c r="BM14" s="855"/>
      <c r="BN14" s="794"/>
      <c r="BO14" s="858"/>
      <c r="BP14" s="910"/>
      <c r="BQ14" s="860" t="s">
        <v>5034</v>
      </c>
      <c r="BR14" s="857"/>
      <c r="BS14" s="857"/>
      <c r="BT14" s="860" t="s">
        <v>6991</v>
      </c>
      <c r="BU14" s="857"/>
      <c r="BV14" s="911" t="s">
        <v>6992</v>
      </c>
      <c r="BW14" s="859" t="s">
        <v>6993</v>
      </c>
      <c r="BX14" s="794"/>
      <c r="BY14" s="913" t="s">
        <v>3460</v>
      </c>
      <c r="BZ14" s="913" t="s">
        <v>6862</v>
      </c>
      <c r="CA14" s="863"/>
      <c r="CB14" s="884"/>
      <c r="CC14" s="863"/>
      <c r="CD14" s="863"/>
      <c r="CE14" s="863"/>
      <c r="CF14" s="863"/>
      <c r="CG14" s="913" t="s">
        <v>6994</v>
      </c>
      <c r="CH14" s="863"/>
      <c r="CI14" s="863"/>
      <c r="CJ14" s="884"/>
      <c r="CK14" s="884"/>
    </row>
    <row r="15">
      <c r="A15" s="830" t="s">
        <v>2026</v>
      </c>
      <c r="B15" s="788" t="s">
        <v>6995</v>
      </c>
      <c r="C15" s="784" t="s">
        <v>1256</v>
      </c>
      <c r="D15" s="785" t="s">
        <v>647</v>
      </c>
      <c r="E15" s="786" t="s">
        <v>647</v>
      </c>
      <c r="F15" s="787" t="s">
        <v>2872</v>
      </c>
      <c r="G15" s="788" t="s">
        <v>6996</v>
      </c>
      <c r="H15" s="831"/>
      <c r="I15" s="832" t="s">
        <v>6997</v>
      </c>
      <c r="J15" s="832"/>
      <c r="K15" s="833" t="s">
        <v>1783</v>
      </c>
      <c r="L15" s="832"/>
      <c r="M15" s="832"/>
      <c r="N15" s="831"/>
      <c r="O15" s="833" t="s">
        <v>6998</v>
      </c>
      <c r="P15" s="794"/>
      <c r="Q15" s="836"/>
      <c r="R15" s="838"/>
      <c r="S15" s="839" t="s">
        <v>6999</v>
      </c>
      <c r="T15" s="836"/>
      <c r="U15" s="836"/>
      <c r="V15" s="839" t="s">
        <v>7000</v>
      </c>
      <c r="W15" s="794"/>
      <c r="X15" s="799" t="s">
        <v>1372</v>
      </c>
      <c r="Y15" s="905"/>
      <c r="Z15" s="840" t="s">
        <v>7001</v>
      </c>
      <c r="AA15" s="801" t="s">
        <v>7002</v>
      </c>
      <c r="AB15" s="840" t="s">
        <v>3721</v>
      </c>
      <c r="AC15" s="801" t="s">
        <v>2049</v>
      </c>
      <c r="AD15" s="840" t="s">
        <v>4141</v>
      </c>
      <c r="AE15" s="840" t="s">
        <v>4651</v>
      </c>
      <c r="AF15" s="840"/>
      <c r="AG15" s="801" t="s">
        <v>7003</v>
      </c>
      <c r="AH15" s="803"/>
      <c r="AI15" s="794"/>
      <c r="AJ15" s="843"/>
      <c r="AK15" s="843"/>
      <c r="AL15" s="843"/>
      <c r="AM15" s="876" t="s">
        <v>1416</v>
      </c>
      <c r="AN15" s="843"/>
      <c r="AO15" s="843"/>
      <c r="AP15" s="842" t="s">
        <v>7004</v>
      </c>
      <c r="AQ15" s="843"/>
      <c r="AR15" s="843"/>
      <c r="AS15" s="843"/>
      <c r="AT15" s="843"/>
      <c r="AU15" s="843"/>
      <c r="AV15" s="843"/>
      <c r="AW15" s="843"/>
      <c r="AX15" s="847" t="s">
        <v>7005</v>
      </c>
      <c r="AY15" s="842" t="s">
        <v>7006</v>
      </c>
      <c r="AZ15" s="809"/>
      <c r="BA15" s="879"/>
      <c r="BB15" s="879"/>
      <c r="BC15" s="850" t="s">
        <v>3697</v>
      </c>
      <c r="BD15" s="848"/>
      <c r="BE15" s="879" t="s">
        <v>7007</v>
      </c>
      <c r="BF15" s="809"/>
      <c r="BG15" s="853" t="s">
        <v>6220</v>
      </c>
      <c r="BH15" s="854" t="s">
        <v>7008</v>
      </c>
      <c r="BI15" s="855"/>
      <c r="BJ15" s="855"/>
      <c r="BK15" s="936" t="s">
        <v>7009</v>
      </c>
      <c r="BL15" s="855"/>
      <c r="BM15" s="852" t="s">
        <v>7010</v>
      </c>
      <c r="BN15" s="794"/>
      <c r="BO15" s="858" t="s">
        <v>7011</v>
      </c>
      <c r="BP15" s="911"/>
      <c r="BQ15" s="858"/>
      <c r="BR15" s="859" t="s">
        <v>7012</v>
      </c>
      <c r="BS15" s="858"/>
      <c r="BT15" s="859" t="s">
        <v>1401</v>
      </c>
      <c r="BU15" s="857"/>
      <c r="BV15" s="882" t="s">
        <v>5744</v>
      </c>
      <c r="BW15" s="859" t="s">
        <v>5740</v>
      </c>
      <c r="BX15" s="794"/>
      <c r="BY15" s="898" t="s">
        <v>462</v>
      </c>
      <c r="BZ15" s="863"/>
      <c r="CA15" s="863"/>
      <c r="CB15" s="884"/>
      <c r="CC15" s="863"/>
      <c r="CD15" s="863"/>
      <c r="CE15" s="863"/>
      <c r="CF15" s="862" t="s">
        <v>4608</v>
      </c>
      <c r="CG15" s="863"/>
      <c r="CH15" s="863"/>
      <c r="CI15" s="863"/>
      <c r="CJ15" s="884"/>
      <c r="CK15" s="884"/>
    </row>
    <row r="16">
      <c r="A16" s="830" t="s">
        <v>7013</v>
      </c>
      <c r="B16" s="788" t="s">
        <v>7014</v>
      </c>
      <c r="C16" s="784" t="s">
        <v>1256</v>
      </c>
      <c r="D16" s="785" t="s">
        <v>437</v>
      </c>
      <c r="E16" s="786" t="s">
        <v>546</v>
      </c>
      <c r="F16" s="787" t="s">
        <v>5687</v>
      </c>
      <c r="G16" s="788" t="s">
        <v>4947</v>
      </c>
      <c r="H16" s="833" t="s">
        <v>2125</v>
      </c>
      <c r="I16" s="833" t="s">
        <v>7015</v>
      </c>
      <c r="J16" s="831"/>
      <c r="K16" s="831"/>
      <c r="L16" s="833" t="s">
        <v>3377</v>
      </c>
      <c r="M16" s="831"/>
      <c r="N16" s="833" t="s">
        <v>7016</v>
      </c>
      <c r="O16" s="831"/>
      <c r="P16" s="794"/>
      <c r="Q16" s="839" t="s">
        <v>246</v>
      </c>
      <c r="R16" s="836"/>
      <c r="S16" s="839" t="s">
        <v>6874</v>
      </c>
      <c r="T16" s="839" t="s">
        <v>3738</v>
      </c>
      <c r="U16" s="836"/>
      <c r="V16" s="839" t="s">
        <v>7017</v>
      </c>
      <c r="W16" s="794"/>
      <c r="X16" s="801" t="s">
        <v>273</v>
      </c>
      <c r="Y16" s="801" t="s">
        <v>7018</v>
      </c>
      <c r="Z16" s="801" t="s">
        <v>2370</v>
      </c>
      <c r="AA16" s="889" t="s">
        <v>7019</v>
      </c>
      <c r="AB16" s="801" t="s">
        <v>7020</v>
      </c>
      <c r="AC16" s="801" t="s">
        <v>1756</v>
      </c>
      <c r="AD16" s="801" t="s">
        <v>5597</v>
      </c>
      <c r="AE16" s="801" t="s">
        <v>7021</v>
      </c>
      <c r="AF16" s="802"/>
      <c r="AG16" s="840" t="s">
        <v>7022</v>
      </c>
      <c r="AH16" s="803"/>
      <c r="AI16" s="794"/>
      <c r="AJ16" s="891"/>
      <c r="AK16" s="847" t="s">
        <v>7023</v>
      </c>
      <c r="AL16" s="847" t="s">
        <v>7024</v>
      </c>
      <c r="AM16" s="847" t="s">
        <v>1210</v>
      </c>
      <c r="AN16" s="842"/>
      <c r="AO16" s="843"/>
      <c r="AP16" s="847" t="s">
        <v>4068</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4083</v>
      </c>
      <c r="BH16" s="853" t="s">
        <v>4607</v>
      </c>
      <c r="BI16" s="936" t="s">
        <v>1586</v>
      </c>
      <c r="BJ16" s="855"/>
      <c r="BK16" s="853" t="s">
        <v>4299</v>
      </c>
      <c r="BL16" s="855"/>
      <c r="BM16" s="853" t="s">
        <v>7034</v>
      </c>
      <c r="BN16" s="794"/>
      <c r="BO16" s="859" t="s">
        <v>3430</v>
      </c>
      <c r="BP16" s="910"/>
      <c r="BQ16" s="857"/>
      <c r="BR16" s="857"/>
      <c r="BS16" s="857"/>
      <c r="BT16" s="859" t="s">
        <v>845</v>
      </c>
      <c r="BU16" s="857"/>
      <c r="BV16" s="858" t="s">
        <v>7035</v>
      </c>
      <c r="BW16" s="858" t="s">
        <v>7036</v>
      </c>
      <c r="BX16" s="794"/>
      <c r="BY16" s="883" t="s">
        <v>1614</v>
      </c>
      <c r="BZ16" s="862"/>
      <c r="CA16" s="863"/>
      <c r="CB16" s="884"/>
      <c r="CC16" s="863"/>
      <c r="CD16" s="863"/>
      <c r="CE16" s="862" t="s">
        <v>7037</v>
      </c>
      <c r="CF16" s="863"/>
      <c r="CG16" s="863"/>
      <c r="CH16" s="863"/>
      <c r="CI16" s="863"/>
      <c r="CJ16" s="884"/>
      <c r="CK16" s="884"/>
    </row>
    <row r="17">
      <c r="A17" s="830" t="s">
        <v>7038</v>
      </c>
      <c r="B17" s="788" t="s">
        <v>7039</v>
      </c>
      <c r="C17" s="784" t="s">
        <v>1256</v>
      </c>
      <c r="D17" s="785" t="s">
        <v>1256</v>
      </c>
      <c r="E17" s="786" t="s">
        <v>1256</v>
      </c>
      <c r="F17" s="787" t="s">
        <v>1197</v>
      </c>
      <c r="G17" s="788" t="s">
        <v>5864</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2403</v>
      </c>
      <c r="AA17" s="947"/>
      <c r="AB17" s="905"/>
      <c r="AC17" s="872" t="s">
        <v>814</v>
      </c>
      <c r="AD17" s="872" t="s">
        <v>5857</v>
      </c>
      <c r="AE17" s="872" t="s">
        <v>7046</v>
      </c>
      <c r="AF17" s="840"/>
      <c r="AG17" s="872" t="s">
        <v>7047</v>
      </c>
      <c r="AH17" s="803"/>
      <c r="AI17" s="794"/>
      <c r="AJ17" s="842"/>
      <c r="AK17" s="907" t="s">
        <v>1470</v>
      </c>
      <c r="AL17" s="843"/>
      <c r="AM17" s="843"/>
      <c r="AN17" s="843"/>
      <c r="AO17" s="843"/>
      <c r="AP17" s="907" t="s">
        <v>7048</v>
      </c>
      <c r="AQ17" s="843"/>
      <c r="AR17" s="843"/>
      <c r="AS17" s="843"/>
      <c r="AT17" s="843"/>
      <c r="AU17" s="843"/>
      <c r="AV17" s="843"/>
      <c r="AW17" s="847" t="s">
        <v>6239</v>
      </c>
      <c r="AX17" s="842" t="s">
        <v>7049</v>
      </c>
      <c r="AY17" s="842" t="s">
        <v>6347</v>
      </c>
      <c r="AZ17" s="809"/>
      <c r="BA17" s="879" t="s">
        <v>7050</v>
      </c>
      <c r="BB17" s="948" t="s">
        <v>7051</v>
      </c>
      <c r="BC17" s="850" t="s">
        <v>510</v>
      </c>
      <c r="BD17" s="848"/>
      <c r="BE17" s="948" t="s">
        <v>7052</v>
      </c>
      <c r="BF17" s="809"/>
      <c r="BG17" s="853" t="s">
        <v>2854</v>
      </c>
      <c r="BH17" s="937" t="s">
        <v>7053</v>
      </c>
      <c r="BI17" s="853"/>
      <c r="BJ17" s="853"/>
      <c r="BK17" s="855"/>
      <c r="BL17" s="855"/>
      <c r="BM17" s="852" t="s">
        <v>7054</v>
      </c>
      <c r="BN17" s="794"/>
      <c r="BO17" s="911" t="s">
        <v>7055</v>
      </c>
      <c r="BP17" s="910"/>
      <c r="BQ17" s="857"/>
      <c r="BR17" s="858" t="s">
        <v>7056</v>
      </c>
      <c r="BS17" s="857"/>
      <c r="BT17" s="911" t="s">
        <v>2326</v>
      </c>
      <c r="BU17" s="857"/>
      <c r="BV17" s="858" t="s">
        <v>252</v>
      </c>
      <c r="BW17" s="858" t="s">
        <v>1573</v>
      </c>
      <c r="BX17" s="794"/>
      <c r="BY17" s="862" t="s">
        <v>4208</v>
      </c>
      <c r="BZ17" s="883" t="s">
        <v>6086</v>
      </c>
      <c r="CA17" s="863"/>
      <c r="CB17" s="884"/>
      <c r="CC17" s="863"/>
      <c r="CD17" s="863"/>
      <c r="CE17" s="862" t="s">
        <v>5928</v>
      </c>
      <c r="CF17" s="912" t="s">
        <v>7057</v>
      </c>
      <c r="CG17" s="863"/>
      <c r="CH17" s="863"/>
      <c r="CI17" s="862" t="s">
        <v>7058</v>
      </c>
      <c r="CJ17" s="884"/>
      <c r="CK17" s="884"/>
    </row>
    <row r="18">
      <c r="A18" s="830" t="s">
        <v>7059</v>
      </c>
      <c r="B18" s="788" t="s">
        <v>7060</v>
      </c>
      <c r="C18" s="784" t="s">
        <v>1256</v>
      </c>
      <c r="D18" s="785" t="s">
        <v>1256</v>
      </c>
      <c r="E18" s="786" t="s">
        <v>1256</v>
      </c>
      <c r="F18" s="787" t="s">
        <v>1256</v>
      </c>
      <c r="G18" s="788" t="s">
        <v>3345</v>
      </c>
      <c r="H18" s="831"/>
      <c r="I18" s="903" t="s">
        <v>2742</v>
      </c>
      <c r="J18" s="832"/>
      <c r="K18" s="831"/>
      <c r="L18" s="831"/>
      <c r="M18" s="831"/>
      <c r="N18" s="831"/>
      <c r="O18" s="832" t="s">
        <v>7061</v>
      </c>
      <c r="P18" s="794"/>
      <c r="Q18" s="904" t="s">
        <v>1484</v>
      </c>
      <c r="R18" s="836"/>
      <c r="S18" s="836"/>
      <c r="T18" s="904" t="s">
        <v>1113</v>
      </c>
      <c r="U18" s="835"/>
      <c r="V18" s="835" t="s">
        <v>7062</v>
      </c>
      <c r="W18" s="794"/>
      <c r="X18" s="920" t="s">
        <v>7063</v>
      </c>
      <c r="Y18" s="840" t="s">
        <v>7064</v>
      </c>
      <c r="Z18" s="920" t="s">
        <v>6918</v>
      </c>
      <c r="AA18" s="872" t="s">
        <v>7065</v>
      </c>
      <c r="AB18" s="872" t="s">
        <v>1738</v>
      </c>
      <c r="AC18" s="872" t="s">
        <v>3643</v>
      </c>
      <c r="AD18" s="920" t="s">
        <v>202</v>
      </c>
      <c r="AE18" s="872" t="s">
        <v>4619</v>
      </c>
      <c r="AF18" s="840"/>
      <c r="AG18" s="872" t="s">
        <v>7066</v>
      </c>
      <c r="AH18" s="803"/>
      <c r="AI18" s="794"/>
      <c r="AJ18" s="843"/>
      <c r="AK18" s="875" t="s">
        <v>5671</v>
      </c>
      <c r="AL18" s="907" t="s">
        <v>7067</v>
      </c>
      <c r="AM18" s="875" t="s">
        <v>7068</v>
      </c>
      <c r="AN18" s="843"/>
      <c r="AO18" s="907" t="s">
        <v>971</v>
      </c>
      <c r="AP18" s="875" t="s">
        <v>1564</v>
      </c>
      <c r="AQ18" s="907" t="s">
        <v>7069</v>
      </c>
      <c r="AR18" s="907" t="s">
        <v>7070</v>
      </c>
      <c r="AS18" s="843"/>
      <c r="AT18" s="843"/>
      <c r="AU18" s="843"/>
      <c r="AV18" s="843"/>
      <c r="AW18" s="875" t="s">
        <v>1249</v>
      </c>
      <c r="AX18" s="907" t="s">
        <v>7071</v>
      </c>
      <c r="AY18" s="907" t="s">
        <v>7072</v>
      </c>
      <c r="AZ18" s="809"/>
      <c r="BA18" s="879"/>
      <c r="BB18" s="948" t="s">
        <v>7073</v>
      </c>
      <c r="BC18" s="917"/>
      <c r="BD18" s="917"/>
      <c r="BE18" s="948" t="s">
        <v>7074</v>
      </c>
      <c r="BF18" s="809"/>
      <c r="BG18" s="937" t="s">
        <v>7075</v>
      </c>
      <c r="BH18" s="937" t="s">
        <v>2132</v>
      </c>
      <c r="BI18" s="855"/>
      <c r="BJ18" s="855"/>
      <c r="BK18" s="855"/>
      <c r="BL18" s="855"/>
      <c r="BM18" s="853" t="s">
        <v>7076</v>
      </c>
      <c r="BN18" s="794"/>
      <c r="BO18" s="911" t="s">
        <v>2034</v>
      </c>
      <c r="BP18" s="910"/>
      <c r="BQ18" s="857"/>
      <c r="BR18" s="911" t="s">
        <v>7077</v>
      </c>
      <c r="BS18" s="857"/>
      <c r="BT18" s="911" t="s">
        <v>3089</v>
      </c>
      <c r="BU18" s="857"/>
      <c r="BV18" s="911" t="s">
        <v>7078</v>
      </c>
      <c r="BW18" s="911" t="s">
        <v>7079</v>
      </c>
      <c r="BX18" s="794"/>
      <c r="BY18" s="912" t="s">
        <v>3562</v>
      </c>
      <c r="BZ18" s="863"/>
      <c r="CA18" s="863"/>
      <c r="CB18" s="884"/>
      <c r="CC18" s="863"/>
      <c r="CD18" s="863"/>
      <c r="CE18" s="863"/>
      <c r="CF18" s="863"/>
      <c r="CG18" s="863"/>
      <c r="CH18" s="863"/>
      <c r="CI18" s="863"/>
      <c r="CJ18" s="884"/>
      <c r="CK18" s="884"/>
    </row>
    <row r="19">
      <c r="A19" s="830" t="s">
        <v>1809</v>
      </c>
      <c r="B19" s="788" t="s">
        <v>7080</v>
      </c>
      <c r="C19" s="784" t="s">
        <v>1256</v>
      </c>
      <c r="D19" s="785" t="s">
        <v>1256</v>
      </c>
      <c r="E19" s="786" t="s">
        <v>1256</v>
      </c>
      <c r="F19" s="787" t="s">
        <v>1256</v>
      </c>
      <c r="G19" s="788" t="s">
        <v>5864</v>
      </c>
      <c r="H19" s="831"/>
      <c r="I19" s="832" t="s">
        <v>2697</v>
      </c>
      <c r="J19" s="832" t="s">
        <v>2098</v>
      </c>
      <c r="K19" s="832" t="s">
        <v>7081</v>
      </c>
      <c r="L19" s="903" t="s">
        <v>7082</v>
      </c>
      <c r="M19" s="831"/>
      <c r="N19" s="903" t="s">
        <v>7083</v>
      </c>
      <c r="O19" s="832" t="s">
        <v>7084</v>
      </c>
      <c r="P19" s="794"/>
      <c r="Q19" s="904" t="s">
        <v>2554</v>
      </c>
      <c r="R19" s="836"/>
      <c r="S19" s="836"/>
      <c r="T19" s="904" t="s">
        <v>5033</v>
      </c>
      <c r="U19" s="835"/>
      <c r="V19" s="904" t="s">
        <v>7085</v>
      </c>
      <c r="W19" s="794"/>
      <c r="X19" s="872" t="s">
        <v>4118</v>
      </c>
      <c r="Y19" s="872" t="s">
        <v>7086</v>
      </c>
      <c r="Z19" s="872" t="s">
        <v>7087</v>
      </c>
      <c r="AA19" s="872" t="s">
        <v>3037</v>
      </c>
      <c r="AB19" s="872" t="s">
        <v>4726</v>
      </c>
      <c r="AC19" s="840" t="s">
        <v>7088</v>
      </c>
      <c r="AD19" s="872" t="s">
        <v>4606</v>
      </c>
      <c r="AE19" s="872" t="s">
        <v>4903</v>
      </c>
      <c r="AF19" s="840"/>
      <c r="AG19" s="840" t="s">
        <v>7089</v>
      </c>
      <c r="AH19" s="949" t="s">
        <v>7090</v>
      </c>
      <c r="AI19" s="794"/>
      <c r="AJ19" s="843"/>
      <c r="AK19" s="843"/>
      <c r="AL19" s="843"/>
      <c r="AM19" s="842" t="s">
        <v>171</v>
      </c>
      <c r="AN19" s="843"/>
      <c r="AO19" s="907" t="s">
        <v>4389</v>
      </c>
      <c r="AP19" s="842" t="s">
        <v>3307</v>
      </c>
      <c r="AQ19" s="907" t="s">
        <v>7091</v>
      </c>
      <c r="AR19" s="843"/>
      <c r="AS19" s="843"/>
      <c r="AT19" s="843"/>
      <c r="AU19" s="843"/>
      <c r="AV19" s="843"/>
      <c r="AW19" s="907" t="s">
        <v>1004</v>
      </c>
      <c r="AX19" s="907" t="s">
        <v>4893</v>
      </c>
      <c r="AY19" s="843"/>
      <c r="AZ19" s="809"/>
      <c r="BA19" s="917"/>
      <c r="BB19" s="917"/>
      <c r="BC19" s="948" t="s">
        <v>7092</v>
      </c>
      <c r="BD19" s="879"/>
      <c r="BE19" s="879" t="s">
        <v>7093</v>
      </c>
      <c r="BF19" s="809"/>
      <c r="BG19" s="937" t="s">
        <v>1202</v>
      </c>
      <c r="BH19" s="937" t="s">
        <v>2132</v>
      </c>
      <c r="BI19" s="855"/>
      <c r="BJ19" s="855"/>
      <c r="BK19" s="853" t="s">
        <v>7094</v>
      </c>
      <c r="BL19" s="855"/>
      <c r="BM19" s="937" t="s">
        <v>7095</v>
      </c>
      <c r="BN19" s="794"/>
      <c r="BO19" s="911" t="s">
        <v>7096</v>
      </c>
      <c r="BP19" s="910"/>
      <c r="BQ19" s="857"/>
      <c r="BR19" s="857"/>
      <c r="BS19" s="857"/>
      <c r="BT19" s="911" t="s">
        <v>2754</v>
      </c>
      <c r="BU19" s="857"/>
      <c r="BV19" s="857"/>
      <c r="BW19" s="910" t="s">
        <v>7097</v>
      </c>
      <c r="BX19" s="794"/>
      <c r="BY19" s="862" t="s">
        <v>3002</v>
      </c>
      <c r="BZ19" s="863"/>
      <c r="CA19" s="863"/>
      <c r="CB19" s="884"/>
      <c r="CC19" s="863"/>
      <c r="CD19" s="863"/>
      <c r="CE19" s="863"/>
      <c r="CF19" s="863"/>
      <c r="CG19" s="863"/>
      <c r="CH19" s="863"/>
      <c r="CI19" s="863"/>
      <c r="CJ19" s="884"/>
      <c r="CK19" s="884"/>
    </row>
    <row r="20">
      <c r="A20" s="830" t="s">
        <v>3569</v>
      </c>
      <c r="B20" s="788" t="s">
        <v>7098</v>
      </c>
      <c r="C20" s="784" t="s">
        <v>1256</v>
      </c>
      <c r="D20" s="785" t="s">
        <v>546</v>
      </c>
      <c r="E20" s="786" t="s">
        <v>647</v>
      </c>
      <c r="F20" s="787" t="s">
        <v>981</v>
      </c>
      <c r="G20" s="788" t="s">
        <v>2545</v>
      </c>
      <c r="H20" s="930" t="s">
        <v>266</v>
      </c>
      <c r="I20" s="831"/>
      <c r="J20" s="831"/>
      <c r="K20" s="831"/>
      <c r="L20" s="833" t="s">
        <v>1159</v>
      </c>
      <c r="M20" s="831"/>
      <c r="N20" s="833" t="s">
        <v>7099</v>
      </c>
      <c r="O20" s="831"/>
      <c r="P20" s="794"/>
      <c r="Q20" s="950" t="s">
        <v>7100</v>
      </c>
      <c r="R20" s="836"/>
      <c r="S20" s="835" t="s">
        <v>6039</v>
      </c>
      <c r="T20" s="950" t="s">
        <v>5389</v>
      </c>
      <c r="U20" s="951" t="s">
        <v>7101</v>
      </c>
      <c r="V20" s="835" t="s">
        <v>7102</v>
      </c>
      <c r="W20" s="794"/>
      <c r="X20" s="801" t="s">
        <v>2684</v>
      </c>
      <c r="Y20" s="840" t="s">
        <v>3582</v>
      </c>
      <c r="Z20" s="840" t="s">
        <v>6918</v>
      </c>
      <c r="AA20" s="889" t="s">
        <v>7103</v>
      </c>
      <c r="AB20" s="840" t="s">
        <v>2392</v>
      </c>
      <c r="AC20" s="840" t="s">
        <v>3943</v>
      </c>
      <c r="AD20" s="840" t="s">
        <v>3080</v>
      </c>
      <c r="AE20" s="952" t="s">
        <v>6698</v>
      </c>
      <c r="AF20" s="799" t="s">
        <v>1089</v>
      </c>
      <c r="AG20" s="840" t="s">
        <v>7104</v>
      </c>
      <c r="AH20" s="953" t="s">
        <v>3584</v>
      </c>
      <c r="AI20" s="794"/>
      <c r="AJ20" s="842"/>
      <c r="AK20" s="842" t="s">
        <v>7105</v>
      </c>
      <c r="AL20" s="842" t="s">
        <v>7106</v>
      </c>
      <c r="AM20" s="842" t="s">
        <v>7107</v>
      </c>
      <c r="AN20" s="842"/>
      <c r="AO20" s="843"/>
      <c r="AP20" s="845" t="s">
        <v>1782</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5176</v>
      </c>
      <c r="BD20" s="879" t="s">
        <v>7116</v>
      </c>
      <c r="BE20" s="879" t="s">
        <v>7117</v>
      </c>
      <c r="BF20" s="809"/>
      <c r="BG20" s="853" t="s">
        <v>7118</v>
      </c>
      <c r="BH20" s="853" t="s">
        <v>2077</v>
      </c>
      <c r="BI20" s="853" t="s">
        <v>1825</v>
      </c>
      <c r="BJ20" s="855"/>
      <c r="BK20" s="853" t="s">
        <v>1473</v>
      </c>
      <c r="BL20" s="853" t="s">
        <v>7119</v>
      </c>
      <c r="BM20" s="853" t="s">
        <v>7120</v>
      </c>
      <c r="BN20" s="794"/>
      <c r="BO20" s="911" t="s">
        <v>4882</v>
      </c>
      <c r="BP20" s="910"/>
      <c r="BQ20" s="858" t="s">
        <v>2601</v>
      </c>
      <c r="BR20" s="858" t="s">
        <v>3790</v>
      </c>
      <c r="BS20" s="897" t="s">
        <v>7121</v>
      </c>
      <c r="BT20" s="911" t="s">
        <v>2318</v>
      </c>
      <c r="BU20" s="897" t="s">
        <v>7122</v>
      </c>
      <c r="BV20" s="858" t="s">
        <v>7123</v>
      </c>
      <c r="BW20" s="858" t="s">
        <v>7124</v>
      </c>
      <c r="BX20" s="794"/>
      <c r="BY20" s="863"/>
      <c r="BZ20" s="862" t="s">
        <v>3309</v>
      </c>
      <c r="CA20" s="863"/>
      <c r="CB20" s="884"/>
      <c r="CC20" s="863"/>
      <c r="CD20" s="862" t="s">
        <v>7125</v>
      </c>
      <c r="CE20" s="862" t="s">
        <v>7126</v>
      </c>
      <c r="CF20" s="862" t="s">
        <v>7127</v>
      </c>
      <c r="CG20" s="863"/>
      <c r="CH20" s="863"/>
      <c r="CI20" s="862" t="s">
        <v>7128</v>
      </c>
      <c r="CJ20" s="884"/>
      <c r="CK20" s="884"/>
    </row>
    <row r="21">
      <c r="A21" s="830" t="s">
        <v>7129</v>
      </c>
      <c r="B21" s="788" t="s">
        <v>7130</v>
      </c>
      <c r="C21" s="784" t="s">
        <v>1256</v>
      </c>
      <c r="D21" s="785" t="s">
        <v>1256</v>
      </c>
      <c r="E21" s="786" t="s">
        <v>546</v>
      </c>
      <c r="F21" s="787" t="s">
        <v>546</v>
      </c>
      <c r="G21" s="788" t="s">
        <v>6996</v>
      </c>
      <c r="H21" s="831"/>
      <c r="I21" s="831"/>
      <c r="J21" s="832" t="s">
        <v>7131</v>
      </c>
      <c r="K21" s="832" t="s">
        <v>7132</v>
      </c>
      <c r="L21" s="831"/>
      <c r="M21" s="831"/>
      <c r="N21" s="831"/>
      <c r="O21" s="903" t="s">
        <v>7133</v>
      </c>
      <c r="P21" s="794"/>
      <c r="Q21" s="835" t="s">
        <v>7134</v>
      </c>
      <c r="R21" s="836"/>
      <c r="S21" s="835" t="s">
        <v>5930</v>
      </c>
      <c r="T21" s="835" t="s">
        <v>5144</v>
      </c>
      <c r="U21" s="835" t="s">
        <v>7135</v>
      </c>
      <c r="V21" s="904" t="s">
        <v>7136</v>
      </c>
      <c r="W21" s="794"/>
      <c r="X21" s="905"/>
      <c r="Y21" s="905"/>
      <c r="Z21" s="840" t="s">
        <v>7137</v>
      </c>
      <c r="AA21" s="947"/>
      <c r="AB21" s="840" t="s">
        <v>2272</v>
      </c>
      <c r="AC21" s="872" t="s">
        <v>7138</v>
      </c>
      <c r="AD21" s="905"/>
      <c r="AE21" s="905"/>
      <c r="AF21" s="905"/>
      <c r="AG21" s="872" t="s">
        <v>7139</v>
      </c>
      <c r="AH21" s="803"/>
      <c r="AI21" s="794"/>
      <c r="AJ21" s="843"/>
      <c r="AK21" s="843"/>
      <c r="AL21" s="843"/>
      <c r="AM21" s="842" t="s">
        <v>1310</v>
      </c>
      <c r="AN21" s="842"/>
      <c r="AO21" s="843"/>
      <c r="AP21" s="843"/>
      <c r="AQ21" s="843"/>
      <c r="AR21" s="843"/>
      <c r="AS21" s="843"/>
      <c r="AT21" s="843"/>
      <c r="AU21" s="843"/>
      <c r="AV21" s="843"/>
      <c r="AW21" s="842" t="s">
        <v>3975</v>
      </c>
      <c r="AX21" s="907" t="s">
        <v>7140</v>
      </c>
      <c r="AY21" s="843"/>
      <c r="AZ21" s="809"/>
      <c r="BA21" s="917"/>
      <c r="BB21" s="879" t="s">
        <v>7141</v>
      </c>
      <c r="BC21" s="879" t="s">
        <v>3735</v>
      </c>
      <c r="BD21" s="879"/>
      <c r="BE21" s="948" t="s">
        <v>7142</v>
      </c>
      <c r="BF21" s="809"/>
      <c r="BG21" s="853" t="s">
        <v>713</v>
      </c>
      <c r="BH21" s="937" t="s">
        <v>4302</v>
      </c>
      <c r="BI21" s="853" t="s">
        <v>1671</v>
      </c>
      <c r="BJ21" s="853" t="s">
        <v>7143</v>
      </c>
      <c r="BK21" s="853" t="s">
        <v>7144</v>
      </c>
      <c r="BL21" s="855"/>
      <c r="BM21" s="853" t="s">
        <v>7145</v>
      </c>
      <c r="BN21" s="794"/>
      <c r="BO21" s="858" t="s">
        <v>4757</v>
      </c>
      <c r="BP21" s="910"/>
      <c r="BQ21" s="857"/>
      <c r="BR21" s="897" t="s">
        <v>7146</v>
      </c>
      <c r="BS21" s="857"/>
      <c r="BT21" s="858" t="s">
        <v>2368</v>
      </c>
      <c r="BU21" s="857"/>
      <c r="BV21" s="858" t="s">
        <v>7147</v>
      </c>
      <c r="BW21" s="858" t="s">
        <v>1917</v>
      </c>
      <c r="BX21" s="794"/>
      <c r="BY21" s="862" t="s">
        <v>4584</v>
      </c>
      <c r="BZ21" s="900"/>
      <c r="CA21" s="863"/>
      <c r="CB21" s="884"/>
      <c r="CC21" s="863"/>
      <c r="CD21" s="863"/>
      <c r="CE21" s="863"/>
      <c r="CF21" s="863"/>
      <c r="CG21" s="863"/>
      <c r="CH21" s="863"/>
      <c r="CI21" s="863"/>
      <c r="CJ21" s="884"/>
      <c r="CK21" s="884"/>
    </row>
    <row r="22">
      <c r="A22" s="954" t="s">
        <v>3439</v>
      </c>
      <c r="B22" s="788" t="s">
        <v>7148</v>
      </c>
      <c r="C22" s="784" t="s">
        <v>1256</v>
      </c>
      <c r="D22" s="785" t="s">
        <v>546</v>
      </c>
      <c r="E22" s="786" t="s">
        <v>1256</v>
      </c>
      <c r="F22" s="787" t="s">
        <v>332</v>
      </c>
      <c r="G22" s="788" t="s">
        <v>4111</v>
      </c>
      <c r="H22" s="831"/>
      <c r="I22" s="831"/>
      <c r="J22" s="831"/>
      <c r="K22" s="831"/>
      <c r="L22" s="832" t="s">
        <v>6515</v>
      </c>
      <c r="M22" s="831"/>
      <c r="N22" s="832" t="s">
        <v>7149</v>
      </c>
      <c r="O22" s="831"/>
      <c r="P22" s="794"/>
      <c r="Q22" s="836"/>
      <c r="R22" s="836"/>
      <c r="S22" s="836"/>
      <c r="T22" s="836"/>
      <c r="U22" s="835" t="s">
        <v>3125</v>
      </c>
      <c r="V22" s="835" t="s">
        <v>7150</v>
      </c>
      <c r="W22" s="794"/>
      <c r="X22" s="840" t="s">
        <v>198</v>
      </c>
      <c r="Y22" s="840" t="s">
        <v>7151</v>
      </c>
      <c r="Z22" s="840" t="s">
        <v>7152</v>
      </c>
      <c r="AA22" s="955" t="s">
        <v>2925</v>
      </c>
      <c r="AB22" s="840" t="s">
        <v>658</v>
      </c>
      <c r="AC22" s="840" t="s">
        <v>1814</v>
      </c>
      <c r="AD22" s="840" t="s">
        <v>7153</v>
      </c>
      <c r="AE22" s="840" t="s">
        <v>2560</v>
      </c>
      <c r="AF22" s="840"/>
      <c r="AG22" s="840" t="s">
        <v>7154</v>
      </c>
      <c r="AH22" s="956" t="s">
        <v>7155</v>
      </c>
      <c r="AI22" s="794"/>
      <c r="AJ22" s="842"/>
      <c r="AK22" s="842" t="s">
        <v>5773</v>
      </c>
      <c r="AL22" s="843"/>
      <c r="AM22" s="842" t="s">
        <v>5161</v>
      </c>
      <c r="AN22" s="843"/>
      <c r="AO22" s="843"/>
      <c r="AP22" s="842" t="s">
        <v>2061</v>
      </c>
      <c r="AQ22" s="843"/>
      <c r="AR22" s="842" t="s">
        <v>7156</v>
      </c>
      <c r="AS22" s="842"/>
      <c r="AT22" s="941"/>
      <c r="AU22" s="843"/>
      <c r="AV22" s="907" t="s">
        <v>7157</v>
      </c>
      <c r="AW22" s="847" t="s">
        <v>6142</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2992</v>
      </c>
      <c r="B23" s="788" t="s">
        <v>7166</v>
      </c>
      <c r="C23" s="784" t="s">
        <v>546</v>
      </c>
      <c r="D23" s="785" t="s">
        <v>1256</v>
      </c>
      <c r="E23" s="786" t="s">
        <v>1256</v>
      </c>
      <c r="F23" s="787" t="s">
        <v>546</v>
      </c>
      <c r="G23" s="788" t="s">
        <v>1634</v>
      </c>
      <c r="H23" s="831"/>
      <c r="I23" s="831"/>
      <c r="J23" s="832" t="s">
        <v>311</v>
      </c>
      <c r="K23" s="832" t="s">
        <v>7167</v>
      </c>
      <c r="L23" s="832"/>
      <c r="M23" s="831"/>
      <c r="N23" s="831"/>
      <c r="O23" s="832" t="s">
        <v>7168</v>
      </c>
      <c r="P23" s="794"/>
      <c r="Q23" s="835" t="s">
        <v>4939</v>
      </c>
      <c r="R23" s="835" t="s">
        <v>3808</v>
      </c>
      <c r="S23" s="835" t="s">
        <v>691</v>
      </c>
      <c r="T23" s="835" t="s">
        <v>251</v>
      </c>
      <c r="U23" s="836"/>
      <c r="V23" s="835" t="s">
        <v>7169</v>
      </c>
      <c r="W23" s="794"/>
      <c r="X23" s="840" t="s">
        <v>6483</v>
      </c>
      <c r="Y23" s="905"/>
      <c r="Z23" s="840" t="s">
        <v>4917</v>
      </c>
      <c r="AA23" s="840" t="s">
        <v>7170</v>
      </c>
      <c r="AB23" s="840" t="s">
        <v>3010</v>
      </c>
      <c r="AC23" s="840" t="s">
        <v>1756</v>
      </c>
      <c r="AD23" s="840" t="s">
        <v>2669</v>
      </c>
      <c r="AE23" s="840" t="s">
        <v>2841</v>
      </c>
      <c r="AF23" s="840"/>
      <c r="AG23" s="840" t="s">
        <v>7171</v>
      </c>
      <c r="AH23" s="958" t="s">
        <v>3013</v>
      </c>
      <c r="AI23" s="794"/>
      <c r="AJ23" s="843"/>
      <c r="AK23" s="843"/>
      <c r="AL23" s="844" t="s">
        <v>7172</v>
      </c>
      <c r="AM23" s="842" t="s">
        <v>1964</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6220</v>
      </c>
      <c r="BH23" s="855"/>
      <c r="BI23" s="853" t="s">
        <v>474</v>
      </c>
      <c r="BJ23" s="853" t="s">
        <v>7181</v>
      </c>
      <c r="BK23" s="853" t="s">
        <v>7182</v>
      </c>
      <c r="BL23" s="853" t="s">
        <v>7183</v>
      </c>
      <c r="BM23" s="909" t="s">
        <v>7184</v>
      </c>
      <c r="BN23" s="794"/>
      <c r="BO23" s="858" t="s">
        <v>7185</v>
      </c>
      <c r="BP23" s="858" t="s">
        <v>4181</v>
      </c>
      <c r="BQ23" s="857"/>
      <c r="BR23" s="858" t="s">
        <v>7186</v>
      </c>
      <c r="BS23" s="857"/>
      <c r="BT23" s="858" t="s">
        <v>3031</v>
      </c>
      <c r="BU23" s="858" t="s">
        <v>5163</v>
      </c>
      <c r="BV23" s="858" t="s">
        <v>7187</v>
      </c>
      <c r="BW23" s="858" t="s">
        <v>7188</v>
      </c>
      <c r="BX23" s="794"/>
      <c r="BY23" s="959" t="s">
        <v>3524</v>
      </c>
      <c r="BZ23" s="862" t="s">
        <v>851</v>
      </c>
      <c r="CA23" s="863"/>
      <c r="CB23" s="884"/>
      <c r="CC23" s="863"/>
      <c r="CD23" s="863"/>
      <c r="CE23" s="862" t="s">
        <v>7189</v>
      </c>
      <c r="CF23" s="862" t="s">
        <v>7190</v>
      </c>
      <c r="CG23" s="863"/>
      <c r="CH23" s="863"/>
      <c r="CI23" s="863"/>
      <c r="CJ23" s="884"/>
      <c r="CK23" s="884"/>
    </row>
    <row r="24">
      <c r="A24" s="830" t="s">
        <v>7191</v>
      </c>
      <c r="B24" s="788" t="s">
        <v>7192</v>
      </c>
      <c r="C24" s="784" t="s">
        <v>1256</v>
      </c>
      <c r="D24" s="785" t="s">
        <v>1256</v>
      </c>
      <c r="E24" s="786" t="s">
        <v>1256</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4139</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1256</v>
      </c>
      <c r="D25" s="785" t="s">
        <v>1256</v>
      </c>
      <c r="E25" s="786" t="s">
        <v>1256</v>
      </c>
      <c r="F25" s="787" t="s">
        <v>1197</v>
      </c>
      <c r="G25" s="788" t="s">
        <v>3969</v>
      </c>
      <c r="H25" s="833" t="s">
        <v>2614</v>
      </c>
      <c r="I25" s="833" t="s">
        <v>7203</v>
      </c>
      <c r="J25" s="965"/>
      <c r="K25" s="833" t="s">
        <v>3312</v>
      </c>
      <c r="L25" s="832"/>
      <c r="M25" s="831"/>
      <c r="N25" s="831"/>
      <c r="O25" s="903" t="s">
        <v>7204</v>
      </c>
      <c r="P25" s="794"/>
      <c r="Q25" s="904" t="s">
        <v>7205</v>
      </c>
      <c r="R25" s="836"/>
      <c r="S25" s="836"/>
      <c r="T25" s="904" t="s">
        <v>5176</v>
      </c>
      <c r="U25" s="835"/>
      <c r="V25" s="904" t="s">
        <v>7206</v>
      </c>
      <c r="W25" s="794"/>
      <c r="X25" s="872" t="s">
        <v>2144</v>
      </c>
      <c r="Y25" s="905"/>
      <c r="Z25" s="872" t="s">
        <v>1840</v>
      </c>
      <c r="AA25" s="947"/>
      <c r="AB25" s="872" t="s">
        <v>5325</v>
      </c>
      <c r="AC25" s="905"/>
      <c r="AD25" s="905"/>
      <c r="AE25" s="872" t="s">
        <v>4424</v>
      </c>
      <c r="AF25" s="840"/>
      <c r="AG25" s="872" t="s">
        <v>7207</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7208</v>
      </c>
      <c r="BF25" s="809"/>
      <c r="BG25" s="937" t="s">
        <v>2629</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1256</v>
      </c>
      <c r="D26" s="785" t="s">
        <v>1256</v>
      </c>
      <c r="E26" s="786" t="s">
        <v>1256</v>
      </c>
      <c r="F26" s="787" t="s">
        <v>437</v>
      </c>
      <c r="G26" s="788" t="s">
        <v>3969</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4777</v>
      </c>
      <c r="AD26" s="840" t="s">
        <v>1333</v>
      </c>
      <c r="AE26" s="840" t="s">
        <v>7220</v>
      </c>
      <c r="AF26" s="840"/>
      <c r="AG26" s="872" t="s">
        <v>7221</v>
      </c>
      <c r="AH26" s="803"/>
      <c r="AI26" s="794"/>
      <c r="AJ26" s="843"/>
      <c r="AK26" s="843"/>
      <c r="AL26" s="843"/>
      <c r="AM26" s="842" t="s">
        <v>4955</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4932</v>
      </c>
      <c r="BP26" s="910"/>
      <c r="BQ26" s="857"/>
      <c r="BR26" s="858" t="s">
        <v>7225</v>
      </c>
      <c r="BS26" s="859" t="s">
        <v>7002</v>
      </c>
      <c r="BT26" s="858" t="s">
        <v>1317</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1256</v>
      </c>
      <c r="E28" s="786" t="s">
        <v>546</v>
      </c>
      <c r="F28" s="787" t="s">
        <v>332</v>
      </c>
      <c r="G28" s="788" t="s">
        <v>2937</v>
      </c>
      <c r="H28" s="832" t="s">
        <v>4038</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4608</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6459</v>
      </c>
      <c r="AW28" s="842" t="s">
        <v>2694</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4055</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1256</v>
      </c>
      <c r="D29" s="785" t="s">
        <v>1256</v>
      </c>
      <c r="E29" s="786" t="s">
        <v>1256</v>
      </c>
      <c r="F29" s="787" t="s">
        <v>438</v>
      </c>
      <c r="G29" s="788" t="s">
        <v>4111</v>
      </c>
      <c r="H29" s="930" t="s">
        <v>4241</v>
      </c>
      <c r="I29" s="832" t="s">
        <v>7260</v>
      </c>
      <c r="J29" s="832"/>
      <c r="K29" s="832"/>
      <c r="L29" s="903" t="s">
        <v>7261</v>
      </c>
      <c r="M29" s="831"/>
      <c r="N29" s="833" t="s">
        <v>7262</v>
      </c>
      <c r="O29" s="831"/>
      <c r="P29" s="794"/>
      <c r="Q29" s="836"/>
      <c r="R29" s="836"/>
      <c r="S29" s="836"/>
      <c r="T29" s="836"/>
      <c r="U29" s="835" t="s">
        <v>415</v>
      </c>
      <c r="V29" s="839" t="s">
        <v>7263</v>
      </c>
      <c r="W29" s="794"/>
      <c r="X29" s="872" t="s">
        <v>4928</v>
      </c>
      <c r="Y29" s="840" t="s">
        <v>6185</v>
      </c>
      <c r="Z29" s="872" t="s">
        <v>6100</v>
      </c>
      <c r="AA29" s="942" t="s">
        <v>4608</v>
      </c>
      <c r="AB29" s="872" t="s">
        <v>2509</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1617</v>
      </c>
      <c r="AX29" s="842" t="s">
        <v>7270</v>
      </c>
      <c r="AY29" s="843"/>
      <c r="AZ29" s="809"/>
      <c r="BA29" s="917"/>
      <c r="BB29" s="917"/>
      <c r="BC29" s="917"/>
      <c r="BD29" s="917"/>
      <c r="BE29" s="948" t="s">
        <v>7271</v>
      </c>
      <c r="BF29" s="809"/>
      <c r="BG29" s="853" t="s">
        <v>1465</v>
      </c>
      <c r="BH29" s="855"/>
      <c r="BI29" s="855"/>
      <c r="BJ29" s="855"/>
      <c r="BK29" s="853" t="s">
        <v>7272</v>
      </c>
      <c r="BL29" s="855"/>
      <c r="BM29" s="853" t="s">
        <v>7273</v>
      </c>
      <c r="BN29" s="794"/>
      <c r="BO29" s="858" t="s">
        <v>7274</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6606</v>
      </c>
      <c r="B30" s="788" t="s">
        <v>7275</v>
      </c>
      <c r="C30" s="784" t="s">
        <v>546</v>
      </c>
      <c r="D30" s="785" t="s">
        <v>1256</v>
      </c>
      <c r="E30" s="786" t="s">
        <v>1256</v>
      </c>
      <c r="F30" s="787" t="s">
        <v>546</v>
      </c>
      <c r="G30" s="788" t="s">
        <v>6277</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1293</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5258</v>
      </c>
      <c r="BD30" s="917"/>
      <c r="BE30" s="879" t="s">
        <v>7291</v>
      </c>
      <c r="BF30" s="809"/>
      <c r="BG30" s="853" t="s">
        <v>6895</v>
      </c>
      <c r="BH30" s="853" t="s">
        <v>5872</v>
      </c>
      <c r="BI30" s="853" t="s">
        <v>3950</v>
      </c>
      <c r="BJ30" s="937" t="s">
        <v>6433</v>
      </c>
      <c r="BK30" s="855"/>
      <c r="BL30" s="853" t="s">
        <v>7292</v>
      </c>
      <c r="BM30" s="855"/>
      <c r="BN30" s="794"/>
      <c r="BO30" s="858" t="s">
        <v>7293</v>
      </c>
      <c r="BP30" s="910"/>
      <c r="BQ30" s="857"/>
      <c r="BR30" s="858" t="s">
        <v>1332</v>
      </c>
      <c r="BS30" s="857"/>
      <c r="BT30" s="858" t="s">
        <v>1287</v>
      </c>
      <c r="BU30" s="857"/>
      <c r="BV30" s="857"/>
      <c r="BW30" s="857"/>
      <c r="BX30" s="794"/>
      <c r="BY30" s="862" t="s">
        <v>4436</v>
      </c>
      <c r="BZ30" s="863"/>
      <c r="CA30" s="863"/>
      <c r="CB30" s="884"/>
      <c r="CC30" s="913" t="s">
        <v>7294</v>
      </c>
      <c r="CD30" s="863"/>
      <c r="CE30" s="863"/>
      <c r="CF30" s="862" t="s">
        <v>6745</v>
      </c>
      <c r="CG30" s="863"/>
      <c r="CH30" s="863"/>
      <c r="CI30" s="863"/>
      <c r="CJ30" s="884"/>
      <c r="CK30" s="884"/>
    </row>
    <row r="31">
      <c r="A31" s="830" t="s">
        <v>4048</v>
      </c>
      <c r="B31" s="788" t="s">
        <v>7295</v>
      </c>
      <c r="C31" s="784" t="s">
        <v>1256</v>
      </c>
      <c r="D31" s="785" t="s">
        <v>1256</v>
      </c>
      <c r="E31" s="786" t="s">
        <v>1256</v>
      </c>
      <c r="F31" s="787" t="s">
        <v>437</v>
      </c>
      <c r="G31" s="788" t="s">
        <v>2994</v>
      </c>
      <c r="H31" s="832" t="s">
        <v>2309</v>
      </c>
      <c r="I31" s="831"/>
      <c r="J31" s="831"/>
      <c r="K31" s="831"/>
      <c r="L31" s="832" t="s">
        <v>6509</v>
      </c>
      <c r="M31" s="831"/>
      <c r="N31" s="832" t="s">
        <v>7296</v>
      </c>
      <c r="O31" s="831"/>
      <c r="P31" s="794"/>
      <c r="Q31" s="835" t="s">
        <v>7297</v>
      </c>
      <c r="R31" s="836"/>
      <c r="S31" s="836"/>
      <c r="T31" s="836"/>
      <c r="U31" s="904" t="s">
        <v>6885</v>
      </c>
      <c r="V31" s="835" t="s">
        <v>7298</v>
      </c>
      <c r="W31" s="794"/>
      <c r="X31" s="905"/>
      <c r="Y31" s="905"/>
      <c r="Z31" s="840" t="s">
        <v>7299</v>
      </c>
      <c r="AA31" s="947"/>
      <c r="AB31" s="840" t="s">
        <v>4851</v>
      </c>
      <c r="AC31" s="840" t="s">
        <v>309</v>
      </c>
      <c r="AD31" s="905"/>
      <c r="AE31" s="840" t="s">
        <v>3276</v>
      </c>
      <c r="AF31" s="840"/>
      <c r="AG31" s="801" t="s">
        <v>7300</v>
      </c>
      <c r="AH31" s="958" t="s">
        <v>7301</v>
      </c>
      <c r="AI31" s="794"/>
      <c r="AJ31" s="842"/>
      <c r="AK31" s="842" t="s">
        <v>7302</v>
      </c>
      <c r="AL31" s="842" t="s">
        <v>7303</v>
      </c>
      <c r="AM31" s="842" t="s">
        <v>3993</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4501</v>
      </c>
      <c r="BD31" s="879"/>
      <c r="BE31" s="948" t="s">
        <v>7309</v>
      </c>
      <c r="BF31" s="809"/>
      <c r="BG31" s="853" t="s">
        <v>7310</v>
      </c>
      <c r="BH31" s="855"/>
      <c r="BI31" s="855"/>
      <c r="BJ31" s="855"/>
      <c r="BK31" s="855"/>
      <c r="BL31" s="853" t="s">
        <v>7311</v>
      </c>
      <c r="BM31" s="853" t="s">
        <v>7312</v>
      </c>
      <c r="BN31" s="794"/>
      <c r="BO31" s="858" t="s">
        <v>3401</v>
      </c>
      <c r="BP31" s="910"/>
      <c r="BQ31" s="857"/>
      <c r="BR31" s="858" t="s">
        <v>7313</v>
      </c>
      <c r="BS31" s="911" t="s">
        <v>7314</v>
      </c>
      <c r="BT31" s="857"/>
      <c r="BU31" s="857"/>
      <c r="BV31" s="858" t="s">
        <v>5337</v>
      </c>
      <c r="BW31" s="858" t="s">
        <v>4512</v>
      </c>
      <c r="BX31" s="794"/>
      <c r="BY31" s="863"/>
      <c r="BZ31" s="863"/>
      <c r="CA31" s="863"/>
      <c r="CB31" s="884"/>
      <c r="CC31" s="863"/>
      <c r="CD31" s="863"/>
      <c r="CE31" s="863"/>
      <c r="CF31" s="862" t="s">
        <v>7315</v>
      </c>
      <c r="CG31" s="863"/>
      <c r="CH31" s="863"/>
      <c r="CI31" s="883" t="s">
        <v>7316</v>
      </c>
      <c r="CJ31" s="884"/>
      <c r="CK31" s="884"/>
    </row>
    <row r="32">
      <c r="A32" s="830" t="s">
        <v>2935</v>
      </c>
      <c r="B32" s="788" t="s">
        <v>7317</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7318</v>
      </c>
      <c r="V32" s="835" t="s">
        <v>7319</v>
      </c>
      <c r="W32" s="794"/>
      <c r="X32" s="905"/>
      <c r="Y32" s="905"/>
      <c r="Z32" s="905"/>
      <c r="AA32" s="947"/>
      <c r="AB32" s="840"/>
      <c r="AC32" s="800" t="s">
        <v>7320</v>
      </c>
      <c r="AD32" s="840" t="s">
        <v>7321</v>
      </c>
      <c r="AE32" s="840" t="s">
        <v>4571</v>
      </c>
      <c r="AF32" s="840"/>
      <c r="AG32" s="905"/>
      <c r="AH32" s="803"/>
      <c r="AI32" s="794"/>
      <c r="AJ32" s="843"/>
      <c r="AK32" s="843"/>
      <c r="AL32" s="843"/>
      <c r="AM32" s="843"/>
      <c r="AN32" s="843"/>
      <c r="AO32" s="843"/>
      <c r="AP32" s="876" t="s">
        <v>7322</v>
      </c>
      <c r="AQ32" s="843"/>
      <c r="AR32" s="843"/>
      <c r="AS32" s="843"/>
      <c r="AT32" s="843"/>
      <c r="AU32" s="843"/>
      <c r="AV32" s="843"/>
      <c r="AW32" s="842" t="s">
        <v>1789</v>
      </c>
      <c r="AX32" s="843"/>
      <c r="AY32" s="843"/>
      <c r="AZ32" s="809"/>
      <c r="BA32" s="917"/>
      <c r="BB32" s="917"/>
      <c r="BC32" s="850" t="s">
        <v>5690</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6036</v>
      </c>
      <c r="C33" s="784" t="s">
        <v>1256</v>
      </c>
      <c r="D33" s="785" t="s">
        <v>1256</v>
      </c>
      <c r="E33" s="786" t="s">
        <v>1256</v>
      </c>
      <c r="F33" s="787" t="s">
        <v>1256</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2299</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2475</v>
      </c>
      <c r="BS33" s="857"/>
      <c r="BT33" s="857"/>
      <c r="BU33" s="857"/>
      <c r="BV33" s="911" t="s">
        <v>7335</v>
      </c>
      <c r="BW33" s="858" t="s">
        <v>7336</v>
      </c>
      <c r="BX33" s="794"/>
      <c r="BY33" s="862" t="s">
        <v>6333</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3664</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5054</v>
      </c>
      <c r="B35" s="788" t="s">
        <v>4169</v>
      </c>
      <c r="C35" s="784" t="s">
        <v>1256</v>
      </c>
      <c r="D35" s="785" t="s">
        <v>1256</v>
      </c>
      <c r="E35" s="786" t="s">
        <v>1256</v>
      </c>
      <c r="F35" s="787" t="s">
        <v>332</v>
      </c>
      <c r="G35" s="788" t="s">
        <v>6314</v>
      </c>
      <c r="H35" s="832" t="s">
        <v>7354</v>
      </c>
      <c r="I35" s="831"/>
      <c r="J35" s="831"/>
      <c r="K35" s="831"/>
      <c r="L35" s="831"/>
      <c r="M35" s="831"/>
      <c r="N35" s="831"/>
      <c r="O35" s="831"/>
      <c r="P35" s="794"/>
      <c r="Q35" s="836"/>
      <c r="R35" s="836"/>
      <c r="S35" s="835" t="s">
        <v>1020</v>
      </c>
      <c r="T35" s="835" t="s">
        <v>1899</v>
      </c>
      <c r="U35" s="835" t="s">
        <v>4567</v>
      </c>
      <c r="V35" s="835" t="s">
        <v>7355</v>
      </c>
      <c r="W35" s="794"/>
      <c r="X35" s="840" t="s">
        <v>1754</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1436</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2260</v>
      </c>
      <c r="AF36" s="905"/>
      <c r="AG36" s="801" t="s">
        <v>7368</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3961</v>
      </c>
      <c r="AC37" s="840" t="s">
        <v>7377</v>
      </c>
      <c r="AD37" s="905"/>
      <c r="AE37" s="840" t="s">
        <v>2607</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7385</v>
      </c>
      <c r="O38" s="831"/>
      <c r="P38" s="794"/>
      <c r="Q38" s="836"/>
      <c r="R38" s="836"/>
      <c r="S38" s="915" t="s">
        <v>2843</v>
      </c>
      <c r="T38" s="836"/>
      <c r="U38" s="836"/>
      <c r="V38" s="835" t="s">
        <v>7386</v>
      </c>
      <c r="W38" s="794"/>
      <c r="X38" s="905"/>
      <c r="Y38" s="905"/>
      <c r="Z38" s="840" t="s">
        <v>7131</v>
      </c>
      <c r="AA38" s="889" t="s">
        <v>607</v>
      </c>
      <c r="AB38" s="905"/>
      <c r="AC38" s="905"/>
      <c r="AD38" s="840" t="s">
        <v>4943</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1390</v>
      </c>
      <c r="BH38" s="855"/>
      <c r="BI38" s="855"/>
      <c r="BJ38" s="855"/>
      <c r="BK38" s="855"/>
      <c r="BL38" s="853" t="s">
        <v>7392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6364</v>
      </c>
      <c r="B39" s="788" t="s">
        <v>827</v>
      </c>
      <c r="C39" s="784" t="s">
        <v>1256</v>
      </c>
      <c r="D39" s="785" t="s">
        <v>1256</v>
      </c>
      <c r="E39" s="786" t="s">
        <v>1256</v>
      </c>
      <c r="F39" s="787" t="s">
        <v>1256</v>
      </c>
      <c r="G39" s="788" t="s">
        <v>2872</v>
      </c>
      <c r="H39" s="831"/>
      <c r="I39" s="831"/>
      <c r="J39" s="831"/>
      <c r="K39" s="831"/>
      <c r="L39" s="832" t="s">
        <v>7393</v>
      </c>
      <c r="M39" s="831"/>
      <c r="N39" s="832" t="s">
        <v>7394</v>
      </c>
      <c r="O39" s="831"/>
      <c r="P39" s="794"/>
      <c r="Q39" s="836"/>
      <c r="R39" s="836"/>
      <c r="S39" s="836"/>
      <c r="T39" s="836"/>
      <c r="U39" s="835" t="s">
        <v>4513</v>
      </c>
      <c r="V39" s="835" t="s">
        <v>7395</v>
      </c>
      <c r="W39" s="794"/>
      <c r="X39" s="905"/>
      <c r="Y39" s="905"/>
      <c r="Z39" s="840" t="s">
        <v>7396</v>
      </c>
      <c r="AA39" s="947"/>
      <c r="AB39" s="905"/>
      <c r="AC39" s="905"/>
      <c r="AD39" s="840" t="s">
        <v>1410</v>
      </c>
      <c r="AE39" s="840" t="s">
        <v>3270</v>
      </c>
      <c r="AF39" s="840"/>
      <c r="AG39" s="905"/>
      <c r="AH39" s="958" t="s">
        <v>7397</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7398</v>
      </c>
      <c r="BF39" s="809"/>
      <c r="BG39" s="853" t="s">
        <v>7399</v>
      </c>
      <c r="BH39" s="853" t="s">
        <v>3002</v>
      </c>
      <c r="BI39" s="855"/>
      <c r="BJ39" s="855"/>
      <c r="BK39" s="855"/>
      <c r="BL39" s="853" t="s">
        <v>7400</v>
      </c>
      <c r="BM39" s="855"/>
      <c r="BN39" s="794"/>
      <c r="BO39" s="858" t="s">
        <v>1832</v>
      </c>
      <c r="BP39" s="910"/>
      <c r="BQ39" s="857"/>
      <c r="BR39" s="857"/>
      <c r="BS39" s="857"/>
      <c r="BT39" s="858" t="s">
        <v>4391</v>
      </c>
      <c r="BU39" s="857"/>
      <c r="BV39" s="858" t="s">
        <v>7401</v>
      </c>
      <c r="BW39" s="858" t="s">
        <v>7402</v>
      </c>
      <c r="BX39" s="794"/>
      <c r="BY39" s="863"/>
      <c r="BZ39" s="863"/>
      <c r="CA39" s="863"/>
      <c r="CB39" s="884"/>
      <c r="CC39" s="863"/>
      <c r="CD39" s="863"/>
      <c r="CE39" s="863"/>
      <c r="CF39" s="863"/>
      <c r="CG39" s="863"/>
      <c r="CH39" s="912" t="s">
        <v>6105</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3415</v>
      </c>
      <c r="BV40" s="858" t="s">
        <v>391</v>
      </c>
      <c r="BW40" s="911" t="s">
        <v>7409</v>
      </c>
      <c r="BX40" s="794"/>
      <c r="BY40" s="863"/>
      <c r="BZ40" s="959" t="s">
        <v>2876</v>
      </c>
      <c r="CA40" s="863"/>
      <c r="CB40" s="884"/>
      <c r="CC40" s="863"/>
      <c r="CD40" s="863"/>
      <c r="CE40" s="863"/>
      <c r="CF40" s="862" t="s">
        <v>7410</v>
      </c>
      <c r="CG40" s="863"/>
      <c r="CH40" s="863"/>
      <c r="CI40" s="883" t="s">
        <v>4996</v>
      </c>
      <c r="CJ40" s="884"/>
      <c r="CK40" s="884"/>
    </row>
    <row r="41">
      <c r="A41" s="830" t="s">
        <v>7411</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5132</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4595</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6209</v>
      </c>
      <c r="AF43" s="905"/>
      <c r="AG43" s="905"/>
      <c r="AH43" s="803"/>
      <c r="AI43" s="794"/>
      <c r="AJ43" s="843"/>
      <c r="AK43" s="843"/>
      <c r="AL43" s="843"/>
      <c r="AM43" s="847" t="s">
        <v>4553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4432</v>
      </c>
      <c r="B44" s="788" t="s">
        <v>4774</v>
      </c>
      <c r="C44" s="784" t="s">
        <v>1256</v>
      </c>
      <c r="D44" s="785" t="s">
        <v>1256</v>
      </c>
      <c r="E44" s="786" t="s">
        <v>1256</v>
      </c>
      <c r="F44" s="787" t="s">
        <v>1256</v>
      </c>
      <c r="G44" s="788" t="s">
        <v>333</v>
      </c>
      <c r="H44" s="831"/>
      <c r="I44" s="831"/>
      <c r="J44" s="832" t="s">
        <v>7416</v>
      </c>
      <c r="K44" s="832"/>
      <c r="L44" s="832"/>
      <c r="M44" s="832" t="s">
        <v>7417</v>
      </c>
      <c r="N44" s="831"/>
      <c r="O44" s="832" t="s">
        <v>7418</v>
      </c>
      <c r="P44" s="794"/>
      <c r="Q44" s="836"/>
      <c r="R44" s="835" t="s">
        <v>5470</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6783</v>
      </c>
      <c r="BW44" s="858" t="s">
        <v>7425</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7427</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4275</v>
      </c>
      <c r="AE47" s="905"/>
      <c r="AF47" s="905"/>
      <c r="AG47" s="905"/>
      <c r="AH47" s="803"/>
      <c r="AI47" s="794"/>
      <c r="AJ47" s="843"/>
      <c r="AK47" s="843"/>
      <c r="AL47" s="843"/>
      <c r="AM47" s="842" t="s">
        <v>3341</v>
      </c>
      <c r="AN47" s="843"/>
      <c r="AO47" s="843"/>
      <c r="AP47" s="842" t="s">
        <v>703</v>
      </c>
      <c r="AQ47" s="843"/>
      <c r="AR47" s="842" t="s">
        <v>7430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7431</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7432</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6246</v>
      </c>
      <c r="C49" s="784" t="s">
        <v>1256</v>
      </c>
      <c r="D49" s="785" t="s">
        <v>1256</v>
      </c>
      <c r="E49" s="786" t="s">
        <v>1256</v>
      </c>
      <c r="F49" s="787" t="s">
        <v>1256</v>
      </c>
      <c r="G49" s="788" t="s">
        <v>981</v>
      </c>
      <c r="H49" s="831"/>
      <c r="I49" s="831"/>
      <c r="J49" s="831"/>
      <c r="K49" s="831"/>
      <c r="L49" s="832" t="s">
        <v>4827</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1196</v>
      </c>
      <c r="C52" s="784" t="s">
        <v>1256</v>
      </c>
      <c r="D52" s="785" t="s">
        <v>1256</v>
      </c>
      <c r="E52" s="786" t="s">
        <v>1256</v>
      </c>
      <c r="F52" s="787" t="s">
        <v>1256</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6139</v>
      </c>
      <c r="B53" s="788" t="s">
        <v>981</v>
      </c>
      <c r="C53" s="784" t="s">
        <v>1256</v>
      </c>
      <c r="D53" s="785" t="s">
        <v>1256</v>
      </c>
      <c r="E53" s="786" t="s">
        <v>1256</v>
      </c>
      <c r="F53" s="787" t="s">
        <v>1256</v>
      </c>
      <c r="G53" s="788" t="s">
        <v>1197</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5890</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1256</v>
      </c>
      <c r="D61" s="785" t="s">
        <v>1256</v>
      </c>
      <c r="E61" s="786" t="s">
        <v>1256</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5797</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1550</v>
      </c>
      <c r="E1" s="1002" t="s">
        <v>7472</v>
      </c>
      <c r="F1" s="1003" t="s">
        <v>2543</v>
      </c>
      <c r="G1" s="1001" t="s">
        <v>7473</v>
      </c>
      <c r="H1" s="1001" t="s">
        <v>1056</v>
      </c>
      <c r="I1" s="1002" t="s">
        <v>7474</v>
      </c>
      <c r="J1" s="1001" t="s">
        <v>7013</v>
      </c>
      <c r="K1" s="1001" t="s">
        <v>7475</v>
      </c>
      <c r="L1" s="1002" t="s">
        <v>7476</v>
      </c>
      <c r="M1" s="1001" t="s">
        <v>739</v>
      </c>
      <c r="N1" s="1001" t="s">
        <v>7477</v>
      </c>
      <c r="O1" s="1001" t="s">
        <v>979</v>
      </c>
      <c r="P1" s="1004" t="s">
        <v>7478</v>
      </c>
      <c r="Q1" s="1001" t="s">
        <v>1809</v>
      </c>
      <c r="R1" s="1001" t="s">
        <v>7479</v>
      </c>
      <c r="S1" s="1001" t="s">
        <v>7258</v>
      </c>
      <c r="T1" s="1002" t="s">
        <v>7480</v>
      </c>
      <c r="U1" s="1001" t="s">
        <v>2713</v>
      </c>
      <c r="V1" s="1005" t="s">
        <v>7481</v>
      </c>
      <c r="W1" s="1001" t="s">
        <v>7482</v>
      </c>
      <c r="X1" s="1001" t="s">
        <v>7129</v>
      </c>
      <c r="Y1" s="1001" t="s">
        <v>4048</v>
      </c>
      <c r="Z1" s="1001" t="s">
        <v>7483</v>
      </c>
      <c r="AA1" s="1001" t="s">
        <v>6719</v>
      </c>
      <c r="AB1" s="1001" t="s">
        <v>3569</v>
      </c>
      <c r="AC1" s="1001" t="s">
        <v>7213</v>
      </c>
      <c r="AD1" s="1001" t="s">
        <v>7484</v>
      </c>
      <c r="AE1" s="1001" t="s">
        <v>7485</v>
      </c>
      <c r="AF1" s="1001" t="s">
        <v>1194</v>
      </c>
      <c r="AG1" s="1001" t="s">
        <v>218</v>
      </c>
      <c r="AH1" s="1001" t="s">
        <v>1632</v>
      </c>
      <c r="AI1" s="1001" t="s">
        <v>2087</v>
      </c>
      <c r="AJ1" s="1001" t="s">
        <v>7486</v>
      </c>
      <c r="AK1" s="1001" t="s">
        <v>7487</v>
      </c>
      <c r="AL1" s="1001" t="s">
        <v>7488</v>
      </c>
      <c r="AM1" s="1001" t="s">
        <v>2026</v>
      </c>
      <c r="AN1" s="1001" t="s">
        <v>7489</v>
      </c>
      <c r="AO1" s="1001" t="s">
        <v>7490</v>
      </c>
      <c r="AP1" s="1001" t="s">
        <v>6017</v>
      </c>
      <c r="AQ1" s="1001" t="s">
        <v>7491</v>
      </c>
      <c r="AR1" s="1001" t="s">
        <v>7492</v>
      </c>
      <c r="AS1" s="1001" t="s">
        <v>7493</v>
      </c>
      <c r="AT1" s="1001" t="s">
        <v>7494</v>
      </c>
      <c r="AU1" s="1005" t="s">
        <v>7495</v>
      </c>
      <c r="AV1" s="1001" t="s">
        <v>3192</v>
      </c>
      <c r="AW1" s="1001" t="s">
        <v>3901</v>
      </c>
      <c r="AX1" s="1001" t="s">
        <v>5887</v>
      </c>
      <c r="AY1" s="1001" t="s">
        <v>7496</v>
      </c>
      <c r="AZ1" s="1001" t="s">
        <v>5274</v>
      </c>
      <c r="BA1" s="1005" t="s">
        <v>4671</v>
      </c>
      <c r="BB1" s="1001" t="s">
        <v>825</v>
      </c>
      <c r="BC1" s="1001" t="s">
        <v>644</v>
      </c>
      <c r="BD1" s="1001" t="s">
        <v>7497</v>
      </c>
      <c r="BE1" s="1002" t="s">
        <v>7230</v>
      </c>
      <c r="BF1" s="1001" t="s">
        <v>7432</v>
      </c>
      <c r="BG1" s="1001" t="s">
        <v>7440</v>
      </c>
      <c r="BH1" s="1001" t="s">
        <v>1722</v>
      </c>
      <c r="BI1" s="1005" t="s">
        <v>6646</v>
      </c>
      <c r="BJ1" s="1005" t="s">
        <v>6606</v>
      </c>
      <c r="BK1" s="1005" t="s">
        <v>1879</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3650</v>
      </c>
      <c r="L5" s="1029"/>
      <c r="M5" s="1029"/>
      <c r="N5" s="1029" t="s">
        <v>7508</v>
      </c>
      <c r="O5" s="1029" t="str">
        <f>HYPERLINK("https://youtu.be/y9FQ4EcrohI", "1:21.52")</f>
        <v>1:21.52</v>
      </c>
      <c r="P5" s="1025" t="s">
        <v>7509</v>
      </c>
      <c r="Q5" s="1029"/>
      <c r="R5" s="1029" t="s">
        <v>7065</v>
      </c>
      <c r="S5" s="1029" t="s">
        <v>2582</v>
      </c>
      <c r="T5" s="1029"/>
      <c r="U5" s="1029"/>
      <c r="V5" s="1031" t="s">
        <v>7510</v>
      </c>
      <c r="W5" s="1029"/>
      <c r="X5" s="1029"/>
      <c r="Y5" s="1029"/>
      <c r="Z5" s="1029"/>
      <c r="AA5" s="1029"/>
      <c r="AB5" s="1029" t="s">
        <v>7511</v>
      </c>
      <c r="AC5" s="1029"/>
      <c r="AD5" s="1029"/>
      <c r="AE5" s="1029" t="s">
        <v>7512</v>
      </c>
      <c r="AF5" s="1029"/>
      <c r="AG5" s="1029"/>
      <c r="AH5" s="1029"/>
      <c r="AI5" s="1029"/>
      <c r="AJ5" s="1029"/>
      <c r="AK5" s="1023" t="s">
        <v>4413</v>
      </c>
      <c r="AL5" s="1029"/>
      <c r="AM5" s="1029"/>
      <c r="AN5" s="1029"/>
      <c r="AO5" s="1029"/>
      <c r="AP5" s="1029" t="s">
        <v>5721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1555</v>
      </c>
      <c r="E6" s="1023" t="s">
        <v>336</v>
      </c>
      <c r="F6" s="1035" t="s">
        <v>2546</v>
      </c>
      <c r="G6" s="1022" t="s">
        <v>1258</v>
      </c>
      <c r="H6" s="1023" t="s">
        <v>6908</v>
      </c>
      <c r="I6" s="1023" t="str">
        <f>HYPERLINK("https://youtu.be/ZP_d48CVxG0","1:19.30")</f>
        <v>1:19.30</v>
      </c>
      <c r="J6" s="1024"/>
      <c r="K6" s="1024"/>
      <c r="L6" s="1024" t="s">
        <v>102</v>
      </c>
      <c r="M6" s="1024" t="s">
        <v>744</v>
      </c>
      <c r="N6" s="1024" t="s">
        <v>4596</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4869</v>
      </c>
      <c r="F8" s="1041" t="s">
        <v>1151</v>
      </c>
      <c r="G8" s="1040"/>
      <c r="H8" s="1023" t="s">
        <v>143</v>
      </c>
      <c r="I8" s="1029" t="s">
        <v>1371</v>
      </c>
      <c r="J8" s="1029"/>
      <c r="K8" s="1029"/>
      <c r="L8" s="1029" t="s">
        <v>1136</v>
      </c>
      <c r="M8" s="1029" t="s">
        <v>1136</v>
      </c>
      <c r="N8" s="1029" t="s">
        <v>7519</v>
      </c>
      <c r="O8" s="1029"/>
      <c r="P8" s="1025"/>
      <c r="Q8" s="1029" t="s">
        <v>5850</v>
      </c>
      <c r="R8" s="1029" t="s">
        <v>3851</v>
      </c>
      <c r="S8" s="1029" t="s">
        <v>7520</v>
      </c>
      <c r="T8" s="1029" t="s">
        <v>7521</v>
      </c>
      <c r="U8" s="1029"/>
      <c r="V8" s="1032"/>
      <c r="W8" s="1029"/>
      <c r="X8" s="1029" t="s">
        <v>5850</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7513</v>
      </c>
      <c r="C11" s="1018" t="s">
        <v>7526</v>
      </c>
      <c r="D11" s="1024"/>
      <c r="E11" s="1023" t="s">
        <v>1240</v>
      </c>
      <c r="F11" s="1047" t="s">
        <v>5040</v>
      </c>
      <c r="G11" s="1022" t="s">
        <v>2164</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2346</v>
      </c>
      <c r="D12" s="1029" t="s">
        <v>1792</v>
      </c>
      <c r="E12" s="1029" t="s">
        <v>2827</v>
      </c>
      <c r="F12" s="1049" t="s">
        <v>2346</v>
      </c>
      <c r="G12" s="1022" t="s">
        <v>7530</v>
      </c>
      <c r="H12" s="1029"/>
      <c r="I12" s="1029" t="s">
        <v>7363</v>
      </c>
      <c r="J12" s="1029"/>
      <c r="K12" s="1029" t="s">
        <v>1934</v>
      </c>
      <c r="L12" s="1029"/>
      <c r="M12" s="1029" t="s">
        <v>4490</v>
      </c>
      <c r="N12" s="1029" t="s">
        <v>4782</v>
      </c>
      <c r="O12" s="1029"/>
      <c r="P12" s="1025" t="s">
        <v>3406</v>
      </c>
      <c r="Q12" s="1029" t="s">
        <v>4490</v>
      </c>
      <c r="R12" s="1029"/>
      <c r="S12" s="1029" t="s">
        <v>4369</v>
      </c>
      <c r="T12" s="1029"/>
      <c r="U12" s="1029" t="s">
        <v>653</v>
      </c>
      <c r="V12" s="1050" t="s">
        <v>7531</v>
      </c>
      <c r="W12" s="1029" t="s">
        <v>2896</v>
      </c>
      <c r="X12" s="1029"/>
      <c r="Y12" s="1029"/>
      <c r="Z12" s="1029"/>
      <c r="AA12" s="1029"/>
      <c r="AB12" s="1029" t="s">
        <v>7532</v>
      </c>
      <c r="AC12" s="1029"/>
      <c r="AD12" s="1029"/>
      <c r="AE12" s="1029"/>
      <c r="AF12" s="1029"/>
      <c r="AG12" s="1029"/>
      <c r="AH12" s="1029"/>
      <c r="AI12" s="1029"/>
      <c r="AJ12" s="1029"/>
      <c r="AK12" s="1024"/>
      <c r="AL12" s="1029"/>
      <c r="AM12" s="1029"/>
      <c r="AN12" s="1029" t="s">
        <v>2035</v>
      </c>
      <c r="AO12" s="1029"/>
      <c r="AP12" s="1029" t="s">
        <v>6231</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4268</v>
      </c>
      <c r="D13" s="983" t="s">
        <v>1556</v>
      </c>
      <c r="E13" s="1023" t="s">
        <v>337</v>
      </c>
      <c r="F13" s="1035" t="s">
        <v>2547</v>
      </c>
      <c r="G13" s="1022" t="s">
        <v>1259</v>
      </c>
      <c r="H13" s="1023" t="s">
        <v>4268</v>
      </c>
      <c r="I13" s="1024" t="s">
        <v>7534</v>
      </c>
      <c r="J13" s="1023" t="s">
        <v>723</v>
      </c>
      <c r="K13" s="1024"/>
      <c r="L13" s="1024" t="s">
        <v>2346</v>
      </c>
      <c r="M13" s="1023" t="s">
        <v>2109</v>
      </c>
      <c r="N13" s="1024" t="s">
        <v>7535</v>
      </c>
      <c r="O13" s="1023" t="s">
        <v>7536</v>
      </c>
      <c r="P13" s="1025" t="s">
        <v>2827</v>
      </c>
      <c r="Q13" s="1024" t="s">
        <v>3871</v>
      </c>
      <c r="R13" s="1024"/>
      <c r="S13" s="1023" t="s">
        <v>7537</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6308</v>
      </c>
      <c r="D14" s="1029" t="s">
        <v>119</v>
      </c>
      <c r="E14" s="1029" t="s">
        <v>6308</v>
      </c>
      <c r="F14" s="1049" t="s">
        <v>6129</v>
      </c>
      <c r="G14" s="1022" t="str">
        <f>HYPERLINK("https://www.twitch.tv/videos/569558488","14.31")</f>
        <v>14.31</v>
      </c>
      <c r="H14" s="1024" t="s">
        <v>4435</v>
      </c>
      <c r="I14" s="1029" t="str">
        <f>HYPERLINK("https://youtu.be/F4XtupQ5d4o","14.33")</f>
        <v>14.33</v>
      </c>
      <c r="J14" s="1029" t="s">
        <v>4435</v>
      </c>
      <c r="K14" s="1023" t="s">
        <v>4053</v>
      </c>
      <c r="L14" s="1029"/>
      <c r="M14" s="1029" t="str">
        <f>HYPERLINK("https://www.youtube.com/watch?v=h3GaauXfeR4","14.16")</f>
        <v>14.16</v>
      </c>
      <c r="N14" s="1029" t="str">
        <f>HYPERLINK("https://youtu.be/rZW3Nzg9CsM","14.20")</f>
        <v>14.20</v>
      </c>
      <c r="O14" s="1029"/>
      <c r="P14" s="1025" t="s">
        <v>4390</v>
      </c>
      <c r="Q14" s="1029" t="s">
        <v>2278</v>
      </c>
      <c r="R14" s="1029" t="s">
        <v>3904</v>
      </c>
      <c r="S14" s="1029"/>
      <c r="T14" s="1029"/>
      <c r="U14" s="1029"/>
      <c r="V14" s="1053" t="s">
        <v>5372</v>
      </c>
      <c r="W14" s="1029" t="s">
        <v>5646</v>
      </c>
      <c r="X14" s="1029"/>
      <c r="Y14" s="1029" t="s">
        <v>4511</v>
      </c>
      <c r="Z14" s="1029"/>
      <c r="AA14" s="1029"/>
      <c r="AB14" s="1029" t="s">
        <v>6129</v>
      </c>
      <c r="AC14" s="1029"/>
      <c r="AD14" s="1029"/>
      <c r="AE14" s="1029" t="s">
        <v>662</v>
      </c>
      <c r="AF14" s="1029" t="s">
        <v>6853</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2257</v>
      </c>
      <c r="H17" s="1024" t="s">
        <v>7544</v>
      </c>
      <c r="I17" s="1024"/>
      <c r="J17" s="1023" t="s">
        <v>7545</v>
      </c>
      <c r="K17" s="1024"/>
      <c r="L17" s="1024" t="s">
        <v>7545</v>
      </c>
      <c r="M17" s="1024"/>
      <c r="N17" s="1024"/>
      <c r="O17" s="1023" t="s">
        <v>1989</v>
      </c>
      <c r="P17" s="1025" t="s">
        <v>7546</v>
      </c>
      <c r="Q17" s="1024" t="s">
        <v>7547</v>
      </c>
      <c r="R17" s="1024"/>
      <c r="S17" s="1024"/>
      <c r="T17" s="1024" t="s">
        <v>2669</v>
      </c>
      <c r="U17" s="1024"/>
      <c r="V17" s="1026"/>
      <c r="W17" s="1024"/>
      <c r="X17" s="1024" t="s">
        <v>7545</v>
      </c>
      <c r="Y17" s="1024"/>
      <c r="Z17" s="1023" t="s">
        <v>1989</v>
      </c>
      <c r="AA17" s="1024"/>
      <c r="AB17" s="1024"/>
      <c r="AC17" s="1024"/>
      <c r="AD17" s="1024"/>
      <c r="AE17" s="1024"/>
      <c r="AF17" s="1024"/>
      <c r="AG17" s="1023" t="s">
        <v>7542</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1698</v>
      </c>
      <c r="D18" s="1029" t="s">
        <v>3611</v>
      </c>
      <c r="E18" s="1029" t="s">
        <v>1169</v>
      </c>
      <c r="F18" s="1030"/>
      <c r="G18" s="1022" t="s">
        <v>4436</v>
      </c>
      <c r="H18" s="1029"/>
      <c r="I18" s="1029" t="s">
        <v>4208</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2862</v>
      </c>
      <c r="D19" s="1029"/>
      <c r="E19" s="1029" t="s">
        <v>880</v>
      </c>
      <c r="F19" s="1021"/>
      <c r="G19" s="1040"/>
      <c r="H19" s="1029"/>
      <c r="I19" s="1029"/>
      <c r="J19" s="1029"/>
      <c r="K19" s="1029" t="s">
        <v>6809</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1558</v>
      </c>
      <c r="E20" s="1029" t="s">
        <v>417</v>
      </c>
      <c r="F20" s="1055" t="s">
        <v>2126</v>
      </c>
      <c r="G20" s="1022" t="s">
        <v>1261</v>
      </c>
      <c r="H20" s="1029" t="s">
        <v>4375</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7557</v>
      </c>
      <c r="T20" s="1029"/>
      <c r="U20" s="1023" t="s">
        <v>5716</v>
      </c>
      <c r="V20" s="1032"/>
      <c r="W20" s="1029" t="s">
        <v>7558</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2669</v>
      </c>
      <c r="D23" s="1059"/>
      <c r="E23" s="1059" t="s">
        <v>727</v>
      </c>
      <c r="F23" s="1021"/>
      <c r="G23" s="1040" t="s">
        <v>4160</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3886</v>
      </c>
      <c r="F24" s="1047" t="s">
        <v>4250</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2830</v>
      </c>
      <c r="D27" s="1023" t="s">
        <v>1560</v>
      </c>
      <c r="E27" s="1029" t="s">
        <v>7579</v>
      </c>
      <c r="F27" s="1049" t="s">
        <v>6692</v>
      </c>
      <c r="G27" s="1040"/>
      <c r="H27" s="1029"/>
      <c r="I27" s="1029"/>
      <c r="J27" s="1029"/>
      <c r="K27" s="1029"/>
      <c r="L27" s="1029"/>
      <c r="M27" s="1029"/>
      <c r="N27" s="1029"/>
      <c r="O27" s="1029"/>
      <c r="P27" s="1025"/>
      <c r="Q27" s="1029"/>
      <c r="R27" s="1029"/>
      <c r="S27" s="1029"/>
      <c r="T27" s="1029"/>
      <c r="U27" s="1029" t="s">
        <v>4558</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2549</v>
      </c>
      <c r="G28" s="1022" t="s">
        <v>1263</v>
      </c>
      <c r="H28" s="1029"/>
      <c r="I28" s="1029"/>
      <c r="J28" s="1029" t="s">
        <v>7583</v>
      </c>
      <c r="K28" s="1029" t="s">
        <v>7584</v>
      </c>
      <c r="L28" s="1029"/>
      <c r="M28" s="1029"/>
      <c r="N28" s="1029"/>
      <c r="O28" s="1029" t="s">
        <v>7585</v>
      </c>
      <c r="P28" s="1025" t="s">
        <v>7586</v>
      </c>
      <c r="Q28" s="1029" t="s">
        <v>7587</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5402</v>
      </c>
      <c r="D29" s="1029" t="s">
        <v>479</v>
      </c>
      <c r="E29" s="1029" t="s">
        <v>5402</v>
      </c>
      <c r="F29" s="1021"/>
      <c r="G29" s="1022" t="s">
        <v>5599</v>
      </c>
      <c r="H29" s="1029"/>
      <c r="I29" s="1029"/>
      <c r="J29" s="1029"/>
      <c r="K29" s="1029" t="s">
        <v>479</v>
      </c>
      <c r="L29" s="1029"/>
      <c r="M29" s="1029"/>
      <c r="N29" s="1029"/>
      <c r="O29" s="1029"/>
      <c r="P29" s="1025"/>
      <c r="Q29" s="1029"/>
      <c r="R29" s="1029"/>
      <c r="S29" s="1029"/>
      <c r="T29" s="1029"/>
      <c r="U29" s="1029"/>
      <c r="V29" s="1053" t="s">
        <v>4874</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2958</v>
      </c>
      <c r="D30" s="1029"/>
      <c r="E30" s="1029" t="s">
        <v>2958</v>
      </c>
      <c r="F30" s="1030"/>
      <c r="G30" s="1040"/>
      <c r="H30" s="1029"/>
      <c r="I30" s="1029"/>
      <c r="J30" s="1029"/>
      <c r="K30" s="1029" t="s">
        <v>5732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4259</v>
      </c>
      <c r="D31" s="1029"/>
      <c r="E31" s="1029" t="s">
        <v>1966</v>
      </c>
      <c r="F31" s="1069" t="s">
        <v>5732</v>
      </c>
      <c r="G31" s="1040"/>
      <c r="H31" s="1029"/>
      <c r="I31" s="1029" t="s">
        <v>4908</v>
      </c>
      <c r="J31" s="1029" t="s">
        <v>770</v>
      </c>
      <c r="K31" s="1029" t="s">
        <v>3446</v>
      </c>
      <c r="L31" s="1029"/>
      <c r="M31" s="1029" t="s">
        <v>1445</v>
      </c>
      <c r="N31" s="1029" t="s">
        <v>5732</v>
      </c>
      <c r="O31" s="1029"/>
      <c r="P31" s="1025"/>
      <c r="Q31" s="1029"/>
      <c r="R31" s="1029"/>
      <c r="S31" s="1029"/>
      <c r="T31" s="1029"/>
      <c r="U31" s="1029"/>
      <c r="V31" s="1053" t="s">
        <v>2557</v>
      </c>
      <c r="W31" s="1029"/>
      <c r="X31" s="1029"/>
      <c r="Y31" s="1029" t="s">
        <v>450</v>
      </c>
      <c r="Z31" s="1029"/>
      <c r="AA31" s="1029"/>
      <c r="AB31" s="1029" t="s">
        <v>6747</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2881</v>
      </c>
      <c r="D34" s="1029"/>
      <c r="E34" s="1029" t="s">
        <v>3171</v>
      </c>
      <c r="F34" s="1030"/>
      <c r="G34" s="1040"/>
      <c r="H34" s="1029"/>
      <c r="I34" s="1029"/>
      <c r="J34" s="1029"/>
      <c r="K34" s="1029" t="s">
        <v>4259</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3743</v>
      </c>
      <c r="D35" s="1029"/>
      <c r="E35" s="1029" t="s">
        <v>3446</v>
      </c>
      <c r="F35" s="1021"/>
      <c r="G35" s="1040"/>
      <c r="H35" s="1029"/>
      <c r="I35" s="1029"/>
      <c r="J35" s="1029" t="s">
        <v>3743</v>
      </c>
      <c r="K35" s="1029" t="s">
        <v>3874</v>
      </c>
      <c r="L35" s="1029"/>
      <c r="M35" s="1029" t="s">
        <v>5370</v>
      </c>
      <c r="N35" s="1029"/>
      <c r="O35" s="1029"/>
      <c r="P35" s="1025"/>
      <c r="Q35" s="1029" t="s">
        <v>7596</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4142</v>
      </c>
      <c r="D36" s="1029"/>
      <c r="E36" s="1029" t="s">
        <v>3845</v>
      </c>
      <c r="F36" s="1030"/>
      <c r="G36" s="1040"/>
      <c r="H36" s="1029"/>
      <c r="I36" s="1029"/>
      <c r="J36" s="1029" t="s">
        <v>4142</v>
      </c>
      <c r="K36" s="1029" t="s">
        <v>7598</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2316</v>
      </c>
      <c r="D37" s="1029" t="s">
        <v>1561</v>
      </c>
      <c r="E37" s="1029" t="s">
        <v>3743</v>
      </c>
      <c r="F37" s="1049" t="s">
        <v>3157</v>
      </c>
      <c r="G37" s="1040"/>
      <c r="H37" s="1029"/>
      <c r="I37" s="1029" t="s">
        <v>7600</v>
      </c>
      <c r="J37" s="1029" t="s">
        <v>2316</v>
      </c>
      <c r="K37" s="1029" t="s">
        <v>2271</v>
      </c>
      <c r="L37" s="1029"/>
      <c r="M37" s="1029" t="s">
        <v>7598</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4005</v>
      </c>
      <c r="F38" s="1035" t="s">
        <v>2550</v>
      </c>
      <c r="G38" s="1022" t="s">
        <v>3821</v>
      </c>
      <c r="H38" s="1029" t="s">
        <v>761</v>
      </c>
      <c r="I38" s="1029" t="s">
        <v>2035</v>
      </c>
      <c r="J38" s="1029" t="s">
        <v>1133</v>
      </c>
      <c r="K38" s="1029" t="s">
        <v>4881</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4362</v>
      </c>
      <c r="D39" s="1029" t="s">
        <v>7603</v>
      </c>
      <c r="E39" s="1029" t="s">
        <v>4362</v>
      </c>
      <c r="F39" s="1049" t="s">
        <v>7604</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7605</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2539</v>
      </c>
      <c r="D40" s="1029" t="s">
        <v>2754</v>
      </c>
      <c r="E40" s="1029" t="s">
        <v>3663</v>
      </c>
      <c r="F40" s="1047" t="s">
        <v>5040</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5269</v>
      </c>
      <c r="E41" s="1029" t="s">
        <v>7610</v>
      </c>
      <c r="F41" s="1021"/>
      <c r="G41" s="1040"/>
      <c r="H41" s="1029" t="s">
        <v>2655</v>
      </c>
      <c r="I41" s="1029" t="str">
        <f>HYPERLINK("https://youtu.be/WdBDZlWcLa8","16.95")</f>
        <v>16.95</v>
      </c>
      <c r="J41" s="1029"/>
      <c r="K41" s="1029"/>
      <c r="L41" s="1029"/>
      <c r="M41" s="1029"/>
      <c r="N41" s="1029" t="str">
        <f>HYPERLINK("https://youtu.be/FwtG-kRM0SE","17.64")</f>
        <v>17.64</v>
      </c>
      <c r="O41" s="1029"/>
      <c r="P41" s="1025" t="s">
        <v>4883</v>
      </c>
      <c r="Q41" s="1029" t="str">
        <f>HYPERLINK("https://clips.twitch.tv/VainSmokyPotSeemsGood","16.88")</f>
        <v>16.88</v>
      </c>
      <c r="R41" s="1029"/>
      <c r="S41" s="1029" t="s">
        <v>994</v>
      </c>
      <c r="T41" s="1029"/>
      <c r="U41" s="1029"/>
      <c r="V41" s="1044" t="s">
        <v>4409</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7612</v>
      </c>
      <c r="B43" s="1017" t="s">
        <v>7613</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2404</v>
      </c>
      <c r="D44" s="980" t="s">
        <v>1354</v>
      </c>
      <c r="E44" s="1029" t="s">
        <v>2404</v>
      </c>
      <c r="F44" s="1021"/>
      <c r="G44" s="1040"/>
      <c r="H44" s="1029"/>
      <c r="I44" s="1029" t="str">
        <f>HYPERLINK("https://youtu.be/t-1yqXLdZMA","38.05")</f>
        <v>38.05</v>
      </c>
      <c r="J44" s="1029" t="s">
        <v>7616</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5400</v>
      </c>
      <c r="D49" s="1075" t="s">
        <v>6145</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1846</v>
      </c>
      <c r="D55" s="1029"/>
      <c r="E55" s="1029" t="s">
        <v>1477</v>
      </c>
      <c r="F55" s="1021"/>
      <c r="G55" s="1022" t="s">
        <v>2019</v>
      </c>
      <c r="H55" s="1029"/>
      <c r="I55" s="1029" t="s">
        <v>5742</v>
      </c>
      <c r="J55" s="1029" t="s">
        <v>1846</v>
      </c>
      <c r="K55" s="1029" t="s">
        <v>7635</v>
      </c>
      <c r="L55" s="1029" t="s">
        <v>908</v>
      </c>
      <c r="M55" s="1029" t="s">
        <v>752</v>
      </c>
      <c r="N55" s="1029" t="s">
        <v>2996</v>
      </c>
      <c r="O55" s="1029"/>
      <c r="P55" s="1025" t="s">
        <v>3426</v>
      </c>
      <c r="Q55" s="1029" t="s">
        <v>122</v>
      </c>
      <c r="R55" s="1029" t="s">
        <v>7636</v>
      </c>
      <c r="S55" s="1029"/>
      <c r="T55" s="1029"/>
      <c r="U55" s="1029" t="s">
        <v>3513</v>
      </c>
      <c r="V55" s="1089" t="s">
        <v>7637</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5927</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3585</v>
      </c>
      <c r="E57" s="1097"/>
      <c r="F57" s="1021"/>
      <c r="G57" s="1040"/>
      <c r="H57" s="1097"/>
      <c r="I57" s="1097"/>
      <c r="J57" s="1097"/>
      <c r="K57" s="1097"/>
      <c r="L57" s="1097"/>
      <c r="M57" s="1097"/>
      <c r="N57" s="1098" t="s">
        <v>7640</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2659</v>
      </c>
      <c r="F63" s="1103" t="s">
        <v>5826</v>
      </c>
      <c r="G63" s="1022" t="s">
        <v>7645</v>
      </c>
      <c r="H63" s="1022" t="s">
        <v>621</v>
      </c>
      <c r="I63" s="1067"/>
      <c r="J63" s="1067"/>
      <c r="K63" s="1067"/>
      <c r="L63" s="1067"/>
      <c r="M63" s="1067"/>
      <c r="N63" s="1067"/>
      <c r="O63" s="1022" t="s">
        <v>3980</v>
      </c>
      <c r="P63" s="1025" t="s">
        <v>7646</v>
      </c>
      <c r="Q63" s="1067" t="s">
        <v>7554</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4136</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2553</v>
      </c>
      <c r="D66" s="1072" t="s">
        <v>7650</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3740</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1251</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4217</v>
      </c>
      <c r="E70" s="1025"/>
      <c r="F70" s="1021"/>
      <c r="G70" s="1040"/>
      <c r="H70" s="1025"/>
      <c r="I70" s="1025"/>
      <c r="J70" s="1077" t="s">
        <v>6374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2353</v>
      </c>
      <c r="E71" s="1029" t="s">
        <v>3480</v>
      </c>
      <c r="F71" s="1103" t="s">
        <v>7658</v>
      </c>
      <c r="G71" s="1040"/>
      <c r="H71" s="1029" t="s">
        <v>573</v>
      </c>
      <c r="I71" s="1029"/>
      <c r="J71" s="1029" t="s">
        <v>7658</v>
      </c>
      <c r="K71" s="1029"/>
      <c r="L71" s="1029"/>
      <c r="M71" s="1029" t="s">
        <v>3480</v>
      </c>
      <c r="N71" s="1029"/>
      <c r="O71" s="1029"/>
      <c r="P71" s="1025"/>
      <c r="Q71" s="1029"/>
      <c r="R71" s="1029"/>
      <c r="S71" s="1029"/>
      <c r="T71" s="1029" t="s">
        <v>2839</v>
      </c>
      <c r="U71" s="1067" t="s">
        <v>5660</v>
      </c>
      <c r="V71" s="1091"/>
      <c r="W71" s="1029"/>
      <c r="X71" s="1029" t="s">
        <v>3375</v>
      </c>
      <c r="Y71" s="1029" t="s">
        <v>5073</v>
      </c>
      <c r="Z71" s="1029"/>
      <c r="AA71" s="1029" t="s">
        <v>4825</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7661</v>
      </c>
      <c r="W72" s="1113" t="s">
        <v>7662</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1271</v>
      </c>
      <c r="E74" s="1072" t="s">
        <v>909</v>
      </c>
      <c r="F74" s="1103" t="s">
        <v>1891</v>
      </c>
      <c r="G74" s="1022" t="s">
        <v>1271</v>
      </c>
      <c r="H74" s="1072" t="s">
        <v>1208</v>
      </c>
      <c r="I74" s="1072" t="s">
        <v>1428</v>
      </c>
      <c r="J74" s="1072" t="s">
        <v>4374</v>
      </c>
      <c r="K74" s="1072" t="s">
        <v>3106</v>
      </c>
      <c r="L74" s="1072" t="s">
        <v>7665</v>
      </c>
      <c r="M74" s="1072" t="s">
        <v>5926</v>
      </c>
      <c r="N74" s="1072" t="s">
        <v>358</v>
      </c>
      <c r="O74" s="1072" t="s">
        <v>6163</v>
      </c>
      <c r="P74" s="1073"/>
      <c r="Q74" s="1072" t="s">
        <v>1958</v>
      </c>
      <c r="R74" s="1072"/>
      <c r="S74" s="1072" t="s">
        <v>1608</v>
      </c>
      <c r="T74" s="1072"/>
      <c r="U74" s="1072"/>
      <c r="V74" s="1115" t="s">
        <v>5650</v>
      </c>
      <c r="W74" s="1072"/>
      <c r="X74" s="1072"/>
      <c r="Y74" s="1072"/>
      <c r="Z74" s="1072"/>
      <c r="AA74" s="1072"/>
      <c r="AB74" s="1072" t="s">
        <v>3578</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2200</v>
      </c>
      <c r="D75" s="1029"/>
      <c r="E75" s="1029" t="s">
        <v>2200</v>
      </c>
      <c r="F75" s="1094"/>
      <c r="G75" s="1022" t="s">
        <v>6612</v>
      </c>
      <c r="H75" s="1029"/>
      <c r="I75" s="1029" t="s">
        <v>7669</v>
      </c>
      <c r="J75" s="1029"/>
      <c r="K75" s="1029" t="s">
        <v>4228</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1476</v>
      </c>
      <c r="E76" s="1029" t="s">
        <v>353</v>
      </c>
      <c r="F76" s="1035" t="s">
        <v>359</v>
      </c>
      <c r="G76" s="1022" t="s">
        <v>1272</v>
      </c>
      <c r="H76" s="1029" t="s">
        <v>1537</v>
      </c>
      <c r="I76" s="1029" t="s">
        <v>1429</v>
      </c>
      <c r="J76" s="1029" t="s">
        <v>4990</v>
      </c>
      <c r="K76" s="1029" t="s">
        <v>7673</v>
      </c>
      <c r="L76" s="1029" t="s">
        <v>910</v>
      </c>
      <c r="M76" s="1029" t="s">
        <v>754</v>
      </c>
      <c r="N76" s="1029" t="s">
        <v>1358</v>
      </c>
      <c r="O76" s="1029" t="s">
        <v>2324</v>
      </c>
      <c r="P76" s="1025" t="s">
        <v>3878</v>
      </c>
      <c r="Q76" s="1029" t="s">
        <v>7674</v>
      </c>
      <c r="R76" s="1029"/>
      <c r="S76" s="1029" t="s">
        <v>4631</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1567</v>
      </c>
      <c r="E79" s="1029" t="s">
        <v>755</v>
      </c>
      <c r="F79" s="1055" t="s">
        <v>1051</v>
      </c>
      <c r="G79" s="1022" t="s">
        <v>1273</v>
      </c>
      <c r="H79" s="1029" t="s">
        <v>6226</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2741</v>
      </c>
      <c r="D81" s="1029" t="s">
        <v>2535</v>
      </c>
      <c r="E81" s="1029" t="s">
        <v>2402</v>
      </c>
      <c r="F81" s="1049" t="s">
        <v>7681</v>
      </c>
      <c r="G81" s="1022" t="s">
        <v>7682</v>
      </c>
      <c r="H81" s="1029"/>
      <c r="I81" s="1029"/>
      <c r="J81" s="1029"/>
      <c r="K81" s="1029"/>
      <c r="L81" s="1029"/>
      <c r="M81" s="1029" t="s">
        <v>7683</v>
      </c>
      <c r="N81" s="1029"/>
      <c r="O81" s="1029"/>
      <c r="P81" s="1025" t="s">
        <v>7684</v>
      </c>
      <c r="Q81" s="1029"/>
      <c r="R81" s="1029"/>
      <c r="S81" s="1029" t="s">
        <v>4043</v>
      </c>
      <c r="T81" s="1029"/>
      <c r="U81" s="1029"/>
      <c r="V81" s="1091"/>
      <c r="W81" s="1029"/>
      <c r="X81" s="1029" t="s">
        <v>7684</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2256</v>
      </c>
      <c r="D83" s="1029"/>
      <c r="E83" s="1029" t="s">
        <v>2256</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2689</v>
      </c>
      <c r="D84" s="1029" t="s">
        <v>3648</v>
      </c>
      <c r="E84" s="1029" t="s">
        <v>2689</v>
      </c>
      <c r="F84" s="1021"/>
      <c r="G84" s="1040"/>
      <c r="H84" s="1029"/>
      <c r="I84" s="1029"/>
      <c r="J84" s="1029"/>
      <c r="K84" s="1029" t="s">
        <v>7689</v>
      </c>
      <c r="L84" s="1029" t="s">
        <v>5181</v>
      </c>
      <c r="M84" s="1029"/>
      <c r="N84" s="1029" t="str">
        <f>HYPERLINK("https://youtu.be/HUwmtKe7cOY","56.54")</f>
        <v>56.54</v>
      </c>
      <c r="O84" s="1029"/>
      <c r="P84" s="1025" t="s">
        <v>3820</v>
      </c>
      <c r="Q84" s="1029"/>
      <c r="R84" s="1029"/>
      <c r="S84" s="1029"/>
      <c r="T84" s="1029"/>
      <c r="U84" s="1029" t="s">
        <v>7690</v>
      </c>
      <c r="V84" s="1089" t="s">
        <v>7691</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1568</v>
      </c>
      <c r="E85" s="1029" t="s">
        <v>5537</v>
      </c>
      <c r="F85" s="1055" t="s">
        <v>756</v>
      </c>
      <c r="G85" s="1022" t="s">
        <v>1274</v>
      </c>
      <c r="H85" s="1029" t="s">
        <v>949</v>
      </c>
      <c r="I85" s="1029" t="s">
        <v>2948</v>
      </c>
      <c r="J85" s="1029" t="s">
        <v>4420</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3509</v>
      </c>
      <c r="D86" s="1029"/>
      <c r="E86" s="1029" t="s">
        <v>7695</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6589</v>
      </c>
      <c r="D88" s="1120" t="s">
        <v>7699</v>
      </c>
      <c r="E88" s="1121" t="s">
        <v>2390</v>
      </c>
      <c r="F88" s="1121" t="s">
        <v>758</v>
      </c>
      <c r="G88" s="1121" t="s">
        <v>666</v>
      </c>
      <c r="H88" s="1120" t="s">
        <v>758</v>
      </c>
      <c r="I88" s="1121" t="s">
        <v>2441</v>
      </c>
      <c r="J88" s="1121" t="s">
        <v>1276</v>
      </c>
      <c r="K88" s="1120" t="s">
        <v>3110</v>
      </c>
      <c r="L88" s="1120" t="s">
        <v>7700</v>
      </c>
      <c r="M88" s="993"/>
      <c r="N88" s="993"/>
      <c r="O88" s="1121" t="s">
        <v>6589</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5473</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5351</v>
      </c>
      <c r="D91" s="1029" t="s">
        <v>7092</v>
      </c>
      <c r="E91" s="1029" t="s">
        <v>5351</v>
      </c>
      <c r="F91" s="1094"/>
      <c r="G91" s="1040"/>
      <c r="H91" s="1029" t="s">
        <v>5351</v>
      </c>
      <c r="I91" s="1029" t="s">
        <v>5164</v>
      </c>
      <c r="J91" s="1029"/>
      <c r="K91" s="1029" t="s">
        <v>4738</v>
      </c>
      <c r="L91" s="1029"/>
      <c r="M91" s="1029" t="s">
        <v>3697</v>
      </c>
      <c r="N91" s="1029" t="str">
        <f>HYPERLINK("https://youtu.be/HjDDp_Mj_yI","16.74")</f>
        <v>16.74</v>
      </c>
      <c r="O91" s="1029"/>
      <c r="P91" s="1025" t="s">
        <v>6447</v>
      </c>
      <c r="Q91" s="1029"/>
      <c r="R91" s="1029" t="s">
        <v>5351</v>
      </c>
      <c r="S91" s="1029"/>
      <c r="T91" s="1029"/>
      <c r="U91" s="1029"/>
      <c r="V91" s="1065" t="s">
        <v>7711</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6725</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1570</v>
      </c>
      <c r="E94" s="1023" t="s">
        <v>358</v>
      </c>
      <c r="F94" s="1021"/>
      <c r="G94" s="1022" t="s">
        <v>1277</v>
      </c>
      <c r="H94" s="1023" t="s">
        <v>1072</v>
      </c>
      <c r="I94" s="1024"/>
      <c r="J94" s="1023" t="s">
        <v>7715</v>
      </c>
      <c r="K94" s="1024"/>
      <c r="L94" s="1024" t="s">
        <v>125</v>
      </c>
      <c r="M94" s="1023" t="s">
        <v>6084</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6648</v>
      </c>
      <c r="BM96" s="1032"/>
      <c r="BN96" s="1032"/>
      <c r="BO96" s="1032"/>
    </row>
    <row r="97" ht="15.75" customHeight="1">
      <c r="A97" s="1087" t="s">
        <v>7718</v>
      </c>
      <c r="B97" s="1088" t="s">
        <v>7615</v>
      </c>
      <c r="C97" s="1074" t="s">
        <v>7719</v>
      </c>
      <c r="D97" s="1075" t="s">
        <v>1791</v>
      </c>
      <c r="E97" s="1029" t="s">
        <v>360</v>
      </c>
      <c r="F97" s="1021"/>
      <c r="G97" s="1040"/>
      <c r="H97" s="1029"/>
      <c r="I97" s="1029"/>
      <c r="J97" s="1029"/>
      <c r="K97" s="1029"/>
      <c r="L97" s="1029" t="s">
        <v>4262</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4204</v>
      </c>
      <c r="D101" s="983" t="s">
        <v>1574</v>
      </c>
      <c r="E101" s="1132" t="s">
        <v>2442</v>
      </c>
      <c r="F101" s="1021"/>
      <c r="G101" s="1022" t="s">
        <v>6055</v>
      </c>
      <c r="H101" s="1132"/>
      <c r="I101" s="1132" t="str">
        <f>HYPERLINK("https://youtu.be/ycBfir2aflI","41.70")</f>
        <v>41.70</v>
      </c>
      <c r="J101" s="1132" t="s">
        <v>7534</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1617</v>
      </c>
      <c r="D102" s="983" t="s">
        <v>1575</v>
      </c>
      <c r="E102" s="1138"/>
      <c r="F102" s="1139"/>
      <c r="G102" s="1022" t="s">
        <v>7643</v>
      </c>
      <c r="H102" s="1138"/>
      <c r="I102" s="1132" t="s">
        <v>3342</v>
      </c>
      <c r="J102" s="1132" t="s">
        <v>4155</v>
      </c>
      <c r="K102" s="1138" t="s">
        <v>1233</v>
      </c>
      <c r="L102" s="1138" t="s">
        <v>917</v>
      </c>
      <c r="M102" s="1132" t="s">
        <v>762</v>
      </c>
      <c r="N102" s="1138" t="s">
        <v>3722</v>
      </c>
      <c r="O102" s="1132" t="s">
        <v>1617</v>
      </c>
      <c r="P102" s="1140" t="s">
        <v>2917</v>
      </c>
      <c r="Q102" s="1138"/>
      <c r="R102" s="1138" t="s">
        <v>5857</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3400</v>
      </c>
      <c r="D103" s="1142" t="s">
        <v>4514</v>
      </c>
      <c r="E103" s="1138"/>
      <c r="F103" s="1021"/>
      <c r="G103" s="1022" t="s">
        <v>6104</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1513</v>
      </c>
      <c r="D104" s="980" t="s">
        <v>7726</v>
      </c>
      <c r="E104" s="1138"/>
      <c r="F104" s="1021"/>
      <c r="G104" s="1022" t="s">
        <v>1282</v>
      </c>
      <c r="H104" s="1138"/>
      <c r="I104" s="1138" t="s">
        <v>6869</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1576</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5713</v>
      </c>
      <c r="D106" s="980" t="s">
        <v>6807</v>
      </c>
      <c r="E106" s="1138"/>
      <c r="F106" s="1021"/>
      <c r="G106" s="1022" t="s">
        <v>611</v>
      </c>
      <c r="H106" s="1138"/>
      <c r="I106" s="1138"/>
      <c r="J106" s="1132" t="s">
        <v>7731</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3719</v>
      </c>
      <c r="E107" s="1138"/>
      <c r="F107" s="1139"/>
      <c r="G107" s="1022" t="s">
        <v>134</v>
      </c>
      <c r="H107" s="1138"/>
      <c r="I107" s="1138" t="s">
        <v>7735</v>
      </c>
      <c r="J107" s="1132" t="s">
        <v>7736</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1789</v>
      </c>
      <c r="D109" s="1138"/>
      <c r="E109" s="1138"/>
      <c r="F109" s="1139"/>
      <c r="G109" s="1022" t="s">
        <v>4265</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1257</v>
      </c>
      <c r="D112" s="983" t="s">
        <v>1579</v>
      </c>
      <c r="E112" s="1138"/>
      <c r="F112" s="1021"/>
      <c r="G112" s="1022" t="s">
        <v>1285</v>
      </c>
      <c r="H112" s="1138"/>
      <c r="I112" s="1138" t="s">
        <v>7741</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6104</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6104</v>
      </c>
      <c r="F114" s="1149" t="s">
        <v>3822</v>
      </c>
      <c r="G114" s="1040"/>
      <c r="H114" s="1132" t="s">
        <v>6104</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2244</v>
      </c>
      <c r="D116" s="1138"/>
      <c r="E116" s="1138"/>
      <c r="F116" s="1139"/>
      <c r="G116" s="1022" t="s">
        <v>4253</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6420</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7746</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1580</v>
      </c>
      <c r="E118" s="1132" t="s">
        <v>7749</v>
      </c>
      <c r="F118" s="1049" t="s">
        <v>2054</v>
      </c>
      <c r="G118" s="1040"/>
      <c r="H118" s="1138" t="s">
        <v>1931</v>
      </c>
      <c r="I118" s="1132" t="s">
        <v>259</v>
      </c>
      <c r="J118" s="1132" t="s">
        <v>4792</v>
      </c>
      <c r="K118" s="1132" t="s">
        <v>845</v>
      </c>
      <c r="L118" s="1132"/>
      <c r="M118" s="1132" t="s">
        <v>768</v>
      </c>
      <c r="N118" s="1132"/>
      <c r="O118" s="1132" t="s">
        <v>4234</v>
      </c>
      <c r="P118" s="1133" t="s">
        <v>6196</v>
      </c>
      <c r="Q118" s="1132" t="s">
        <v>2569</v>
      </c>
      <c r="R118" s="1132" t="s">
        <v>3371</v>
      </c>
      <c r="S118" s="1132"/>
      <c r="T118" s="1132" t="s">
        <v>6830</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2555</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6657</v>
      </c>
      <c r="B122" s="1147" t="s">
        <v>7501</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2959</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4108</v>
      </c>
      <c r="D125" s="1132" t="s">
        <v>7758</v>
      </c>
      <c r="E125" s="1132" t="s">
        <v>7759</v>
      </c>
      <c r="F125" s="1049" t="s">
        <v>7760</v>
      </c>
      <c r="G125" s="1040"/>
      <c r="H125" s="1132" t="s">
        <v>4108</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1349</v>
      </c>
      <c r="H128" s="1138"/>
      <c r="I128" s="1138"/>
      <c r="J128" s="1138" t="s">
        <v>2785</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1945</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4681</v>
      </c>
      <c r="O132" s="1138"/>
      <c r="P132" s="1140" t="s">
        <v>1217</v>
      </c>
      <c r="Q132" s="1138"/>
      <c r="R132" s="1138"/>
      <c r="S132" s="1138"/>
      <c r="T132" s="1138"/>
      <c r="U132" s="1138"/>
      <c r="V132" s="1044" t="s">
        <v>6288</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1545</v>
      </c>
      <c r="G134" s="1022" t="s">
        <v>7772</v>
      </c>
      <c r="H134" s="1132"/>
      <c r="I134" s="1132"/>
      <c r="J134" s="1132"/>
      <c r="K134" s="1132"/>
      <c r="L134" s="1132" t="s">
        <v>3018</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4810</v>
      </c>
      <c r="H135" s="1138"/>
      <c r="I135" s="1138"/>
      <c r="J135" s="1138"/>
      <c r="K135" s="1138" t="s">
        <v>4436</v>
      </c>
      <c r="L135" s="1138"/>
      <c r="M135" s="1138"/>
      <c r="N135" s="1138"/>
      <c r="O135" s="1138"/>
      <c r="P135" s="1140"/>
      <c r="Q135" s="1138"/>
      <c r="R135" s="1138"/>
      <c r="S135" s="1138"/>
      <c r="T135" s="1138"/>
      <c r="U135" s="1138"/>
      <c r="V135" s="1176" t="s">
        <v>7776</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6396</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6485</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3976</v>
      </c>
      <c r="G138" s="1022" t="s">
        <v>1292</v>
      </c>
      <c r="H138" s="1177" t="s">
        <v>7780</v>
      </c>
      <c r="I138" s="1022" t="s">
        <v>5442</v>
      </c>
      <c r="J138" s="1040"/>
      <c r="K138" s="1040"/>
      <c r="L138" s="1022" t="s">
        <v>927</v>
      </c>
      <c r="M138" s="1022" t="s">
        <v>6484</v>
      </c>
      <c r="N138" s="1040"/>
      <c r="O138" s="1022" t="s">
        <v>7781</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4289</v>
      </c>
      <c r="E139" s="1138"/>
      <c r="F139" s="1021"/>
      <c r="G139" s="1040"/>
      <c r="H139" s="1138"/>
      <c r="I139" s="1138"/>
      <c r="J139" s="1022" t="s">
        <v>5696</v>
      </c>
      <c r="K139" s="1138" t="s">
        <v>1654</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4553</v>
      </c>
      <c r="D140" s="1178"/>
      <c r="E140" s="1178"/>
      <c r="F140" s="1164"/>
      <c r="G140" s="1040"/>
      <c r="H140" s="1178"/>
      <c r="I140" s="1178"/>
      <c r="J140" s="1022" t="s">
        <v>7788</v>
      </c>
      <c r="K140" s="1178"/>
      <c r="L140" s="1178"/>
      <c r="M140" s="1178"/>
      <c r="N140" s="1178"/>
      <c r="O140" s="1178"/>
      <c r="P140" s="1133"/>
      <c r="Q140" s="1178"/>
      <c r="R140" s="1178" t="s">
        <v>4553</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1294</v>
      </c>
      <c r="H143" s="1138"/>
      <c r="I143" s="1138"/>
      <c r="J143" s="1022" t="s">
        <v>1432</v>
      </c>
      <c r="K143" s="1138"/>
      <c r="L143" s="1138" t="s">
        <v>929</v>
      </c>
      <c r="M143" s="1138"/>
      <c r="N143" s="1138"/>
      <c r="O143" s="1022" t="s">
        <v>5716</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2819</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5111</v>
      </c>
      <c r="X151" s="1132"/>
      <c r="Y151" s="1132"/>
      <c r="Z151" s="1132"/>
      <c r="AA151" s="1132"/>
      <c r="AB151" s="1132"/>
      <c r="AC151" s="1132"/>
      <c r="AD151" s="1132"/>
      <c r="AE151" s="1132"/>
      <c r="AF151" s="1132"/>
      <c r="AG151" s="1132"/>
      <c r="AH151" s="1132"/>
      <c r="AI151" s="1132"/>
      <c r="AJ151" s="1132" t="s">
        <v>6867</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2561</v>
      </c>
      <c r="D153" s="1067" t="s">
        <v>1588</v>
      </c>
      <c r="E153" s="1022" t="s">
        <v>382</v>
      </c>
      <c r="F153" s="1055" t="s">
        <v>2561</v>
      </c>
      <c r="G153" s="1040"/>
      <c r="H153" s="1022" t="s">
        <v>7815</v>
      </c>
      <c r="I153" s="1022" t="s">
        <v>587</v>
      </c>
      <c r="J153" s="1022" t="s">
        <v>3258</v>
      </c>
      <c r="K153" s="1040" t="s">
        <v>3651</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3539</v>
      </c>
      <c r="D154" s="983" t="s">
        <v>1587</v>
      </c>
      <c r="E154" s="1138"/>
      <c r="F154" s="1164"/>
      <c r="G154" s="1022" t="s">
        <v>1296</v>
      </c>
      <c r="H154" s="1138"/>
      <c r="I154" s="1138"/>
      <c r="J154" s="1138"/>
      <c r="K154" s="1142" t="s">
        <v>3650</v>
      </c>
      <c r="L154" s="1138"/>
      <c r="M154" s="1138" t="s">
        <v>7818</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2630</v>
      </c>
      <c r="D157" s="1182" t="s">
        <v>7822</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1429</v>
      </c>
      <c r="D160" s="1182"/>
      <c r="E160" s="1182"/>
      <c r="F160" s="1164"/>
      <c r="G160" s="1022" t="s">
        <v>7046</v>
      </c>
      <c r="H160" s="1182" t="s">
        <v>7825</v>
      </c>
      <c r="I160" s="1182" t="s">
        <v>286</v>
      </c>
      <c r="J160" s="1182"/>
      <c r="K160" s="1182"/>
      <c r="L160" s="1182"/>
      <c r="M160" s="1132" t="s">
        <v>4790</v>
      </c>
      <c r="N160" s="1182"/>
      <c r="O160" s="1182"/>
      <c r="P160" s="1133"/>
      <c r="Q160" s="1182"/>
      <c r="R160" s="1182"/>
      <c r="S160" s="1022" t="s">
        <v>6551</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1321</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5630</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2445</v>
      </c>
      <c r="D168" s="1029" t="s">
        <v>1589</v>
      </c>
      <c r="E168" s="1132" t="s">
        <v>7850</v>
      </c>
      <c r="F168" s="1049" t="s">
        <v>7851</v>
      </c>
      <c r="G168" s="1040"/>
      <c r="H168" s="1132" t="s">
        <v>7852</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6096</v>
      </c>
      <c r="E171" s="1138"/>
      <c r="F171" s="1021"/>
      <c r="G171" s="1040"/>
      <c r="H171" s="1138"/>
      <c r="I171" s="1138"/>
      <c r="J171" s="1138"/>
      <c r="K171" s="1138" t="s">
        <v>6351</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1521</v>
      </c>
      <c r="D175" s="980" t="s">
        <v>1590</v>
      </c>
      <c r="E175" s="1132" t="s">
        <v>7860</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2169</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1857</v>
      </c>
      <c r="D181" s="1024" t="s">
        <v>5419</v>
      </c>
      <c r="E181" s="1029" t="s">
        <v>6252</v>
      </c>
      <c r="F181" s="1049" t="s">
        <v>3001</v>
      </c>
      <c r="G181" s="1022" t="s">
        <v>7878</v>
      </c>
      <c r="H181" s="1029" t="s">
        <v>3001</v>
      </c>
      <c r="I181" s="1029"/>
      <c r="J181" s="1029"/>
      <c r="K181" s="1029"/>
      <c r="L181" s="1029" t="s">
        <v>4485</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1257</v>
      </c>
      <c r="G184" s="1022" t="s">
        <v>1302</v>
      </c>
      <c r="H184" s="1029" t="s">
        <v>5742</v>
      </c>
      <c r="I184" s="1029"/>
      <c r="J184" s="1029" t="s">
        <v>609</v>
      </c>
      <c r="K184" s="1029" t="s">
        <v>355</v>
      </c>
      <c r="L184" s="1029"/>
      <c r="M184" s="1029"/>
      <c r="N184" s="1029" t="s">
        <v>147</v>
      </c>
      <c r="O184" s="1029" t="s">
        <v>7886</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4559</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1593</v>
      </c>
      <c r="E186" s="1029" t="s">
        <v>7891</v>
      </c>
      <c r="F186" s="1055" t="s">
        <v>2485</v>
      </c>
      <c r="G186" s="1022" t="s">
        <v>1303</v>
      </c>
      <c r="H186" s="1029" t="s">
        <v>3085</v>
      </c>
      <c r="I186" s="1029" t="s">
        <v>159</v>
      </c>
      <c r="J186" s="1029" t="s">
        <v>3998</v>
      </c>
      <c r="K186" s="1029" t="s">
        <v>5396</v>
      </c>
      <c r="L186" s="1029" t="s">
        <v>938</v>
      </c>
      <c r="M186" s="1029" t="s">
        <v>2989</v>
      </c>
      <c r="N186" s="1029" t="s">
        <v>1987</v>
      </c>
      <c r="O186" s="1029" t="s">
        <v>4823</v>
      </c>
      <c r="P186" s="1025" t="s">
        <v>1987</v>
      </c>
      <c r="Q186" s="1029"/>
      <c r="R186" s="1029"/>
      <c r="S186" s="1029"/>
      <c r="T186" s="1029"/>
      <c r="U186" s="1029"/>
      <c r="V186" s="1044" t="s">
        <v>5412</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3432</v>
      </c>
      <c r="D187" s="1029"/>
      <c r="E187" s="1029" t="s">
        <v>3432</v>
      </c>
      <c r="F187" s="1021"/>
      <c r="G187" s="1040"/>
      <c r="H187" s="1029"/>
      <c r="I187" s="1029" t="s">
        <v>5332</v>
      </c>
      <c r="J187" s="1029"/>
      <c r="K187" s="1029"/>
      <c r="L187" s="1029"/>
      <c r="M187" s="1029" t="s">
        <v>1023</v>
      </c>
      <c r="N187" s="1029" t="s">
        <v>4474</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1570</v>
      </c>
      <c r="D189" s="1210" t="s">
        <v>179</v>
      </c>
      <c r="E189" s="1029" t="s">
        <v>4779</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2616</v>
      </c>
      <c r="D192" s="1204"/>
      <c r="E192" s="1204"/>
      <c r="F192" s="1199"/>
      <c r="G192" s="1022" t="s">
        <v>7904</v>
      </c>
      <c r="H192" s="1204"/>
      <c r="I192" s="1204"/>
      <c r="J192" s="1204"/>
      <c r="K192" s="1204"/>
      <c r="L192" s="1204"/>
      <c r="M192" s="1204"/>
      <c r="N192" s="1204" t="s">
        <v>4573</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3468</v>
      </c>
      <c r="E193" s="1204"/>
      <c r="F193" s="1049" t="s">
        <v>2230</v>
      </c>
      <c r="G193" s="1040"/>
      <c r="H193" s="1204"/>
      <c r="I193" s="1204" t="s">
        <v>3595</v>
      </c>
      <c r="J193" s="1204"/>
      <c r="K193" s="1204" t="s">
        <v>3364</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4526</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2927</v>
      </c>
      <c r="E194" s="1204"/>
      <c r="F194" s="1035" t="s">
        <v>2563</v>
      </c>
      <c r="G194" s="1022" t="s">
        <v>630</v>
      </c>
      <c r="H194" s="1204" t="s">
        <v>783</v>
      </c>
      <c r="I194" s="1204"/>
      <c r="J194" s="1204" t="s">
        <v>5653</v>
      </c>
      <c r="K194" s="1204"/>
      <c r="L194" s="1204" t="s">
        <v>939</v>
      </c>
      <c r="M194" s="1204"/>
      <c r="N194" s="1204"/>
      <c r="O194" s="1204" t="s">
        <v>1024</v>
      </c>
      <c r="P194" s="1054"/>
      <c r="Q194" s="1204" t="s">
        <v>6446</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1545</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2169</v>
      </c>
      <c r="D198" s="1072" t="s">
        <v>7914</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5233</v>
      </c>
      <c r="D200" s="1204" t="s">
        <v>3434</v>
      </c>
      <c r="E200" s="1204"/>
      <c r="F200" s="1202" t="s">
        <v>659</v>
      </c>
      <c r="G200" s="1022" t="s">
        <v>4517</v>
      </c>
      <c r="H200" s="1204"/>
      <c r="I200" s="1204"/>
      <c r="J200" s="1204"/>
      <c r="K200" s="1204" t="s">
        <v>5670</v>
      </c>
      <c r="L200" s="1204" t="s">
        <v>1763</v>
      </c>
      <c r="M200" s="1204"/>
      <c r="N200" s="1204" t="s">
        <v>4657</v>
      </c>
      <c r="O200" s="1204"/>
      <c r="P200" s="1054"/>
      <c r="Q200" s="1204"/>
      <c r="R200" s="1204"/>
      <c r="S200" s="1204"/>
      <c r="T200" s="1204" t="s">
        <v>3504</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5867</v>
      </c>
      <c r="E202" s="1023" t="s">
        <v>366</v>
      </c>
      <c r="F202" s="1208" t="s">
        <v>7920</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1491</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3828</v>
      </c>
      <c r="F205" s="1202" t="s">
        <v>4975</v>
      </c>
      <c r="G205" s="1022" t="s">
        <v>6546</v>
      </c>
      <c r="H205" s="1072"/>
      <c r="I205" s="1072" t="s">
        <v>7926</v>
      </c>
      <c r="J205" s="1072"/>
      <c r="K205" s="1072"/>
      <c r="L205" s="1072" t="s">
        <v>3828</v>
      </c>
      <c r="M205" s="1072"/>
      <c r="N205" s="1072" t="s">
        <v>7927</v>
      </c>
      <c r="O205" s="1072"/>
      <c r="P205" s="1073" t="s">
        <v>3855</v>
      </c>
      <c r="Q205" s="1072"/>
      <c r="R205" s="1067" t="s">
        <v>7928</v>
      </c>
      <c r="S205" s="1072"/>
      <c r="T205" s="1072"/>
      <c r="U205" s="1072"/>
      <c r="V205" s="1044" t="s">
        <v>7929</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4909</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4751</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2930</v>
      </c>
      <c r="D207" s="1029" t="s">
        <v>543</v>
      </c>
      <c r="E207" s="1029" t="s">
        <v>2930</v>
      </c>
      <c r="F207" s="1049" t="s">
        <v>7930</v>
      </c>
      <c r="G207" s="1040"/>
      <c r="H207" s="1029"/>
      <c r="I207" s="1029" t="s">
        <v>1459</v>
      </c>
      <c r="J207" s="1029" t="s">
        <v>7931</v>
      </c>
      <c r="K207" s="1029" t="s">
        <v>4249</v>
      </c>
      <c r="L207" s="1029"/>
      <c r="M207" s="1029" t="s">
        <v>7932</v>
      </c>
      <c r="N207" s="1029" t="s">
        <v>4492</v>
      </c>
      <c r="O207" s="1029" t="s">
        <v>4832</v>
      </c>
      <c r="P207" s="1023" t="s">
        <v>7933</v>
      </c>
      <c r="Q207" s="1029"/>
      <c r="R207" s="1023" t="s">
        <v>5897</v>
      </c>
      <c r="S207" s="1029"/>
      <c r="T207" s="1029"/>
      <c r="U207" s="1029"/>
      <c r="V207" s="1032"/>
      <c r="W207" s="1029"/>
      <c r="X207" s="1029" t="s">
        <v>2532</v>
      </c>
      <c r="Y207" s="1029" t="s">
        <v>7934</v>
      </c>
      <c r="Z207" s="1029"/>
      <c r="AA207" s="1029"/>
      <c r="AB207" s="1029"/>
      <c r="AC207" s="1029"/>
      <c r="AD207" s="1029"/>
      <c r="AE207" s="1029"/>
      <c r="AF207" s="1029"/>
      <c r="AG207" s="1029"/>
      <c r="AH207" s="1029"/>
      <c r="AI207" s="1029"/>
      <c r="AJ207" s="1029"/>
      <c r="AK207" s="1090"/>
      <c r="AL207" s="1029" t="s">
        <v>4832</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6031</v>
      </c>
      <c r="E209" s="1023" t="s">
        <v>380</v>
      </c>
      <c r="F209" s="1049" t="s">
        <v>1009</v>
      </c>
      <c r="G209" s="1022" t="s">
        <v>7935</v>
      </c>
      <c r="H209" s="1024" t="s">
        <v>2167</v>
      </c>
      <c r="I209" s="1024"/>
      <c r="J209" s="1024"/>
      <c r="K209" s="1024"/>
      <c r="L209" s="1024" t="s">
        <v>7936</v>
      </c>
      <c r="M209" s="1024"/>
      <c r="N209" s="1024"/>
      <c r="O209" s="1024"/>
      <c r="P209" s="1025"/>
      <c r="Q209" s="1024"/>
      <c r="R209" s="1024"/>
      <c r="S209" s="1024"/>
      <c r="T209" s="1024"/>
      <c r="U209" s="1024"/>
      <c r="V209" s="1032"/>
      <c r="W209" s="1024"/>
      <c r="X209" s="1024" t="s">
        <v>4427</v>
      </c>
      <c r="Y209" s="1024"/>
      <c r="Z209" s="1024"/>
      <c r="AA209" s="1023" t="s">
        <v>4427</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1595</v>
      </c>
      <c r="E211" s="1029" t="s">
        <v>7943</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3396</v>
      </c>
      <c r="E212" s="1029" t="s">
        <v>4445</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5883</v>
      </c>
      <c r="D213" s="1204"/>
      <c r="E213" s="1204"/>
      <c r="F213" s="1208" t="s">
        <v>4789</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1873</v>
      </c>
      <c r="D215" s="1204" t="s">
        <v>4160</v>
      </c>
      <c r="E215" s="1204"/>
      <c r="F215" s="1208" t="s">
        <v>887</v>
      </c>
      <c r="G215" s="1022" t="s">
        <v>3123</v>
      </c>
      <c r="H215" s="1204"/>
      <c r="I215" s="1204"/>
      <c r="J215" s="1204"/>
      <c r="K215" s="1204" t="s">
        <v>1122</v>
      </c>
      <c r="L215" s="1204"/>
      <c r="M215" s="1204"/>
      <c r="N215" s="1204" t="s">
        <v>7950</v>
      </c>
      <c r="O215" s="1132" t="s">
        <v>6827</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1464</v>
      </c>
      <c r="D217" s="1075" t="s">
        <v>1598</v>
      </c>
      <c r="E217" s="1204"/>
      <c r="F217" s="1199"/>
      <c r="G217" s="1040"/>
      <c r="H217" s="1204"/>
      <c r="I217" s="1204" t="s">
        <v>1464</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1599</v>
      </c>
      <c r="E218" s="1204"/>
      <c r="F218" s="1199"/>
      <c r="G218" s="1022" t="s">
        <v>1308</v>
      </c>
      <c r="H218" s="1204"/>
      <c r="I218" s="1204" t="s">
        <v>1474</v>
      </c>
      <c r="J218" s="1204" t="s">
        <v>7957</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1466</v>
      </c>
      <c r="D224" s="983" t="s">
        <v>7967</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1601</v>
      </c>
      <c r="E226" s="1138"/>
      <c r="F226" s="1035" t="s">
        <v>2568</v>
      </c>
      <c r="G226" s="1022" t="s">
        <v>1310</v>
      </c>
      <c r="H226" s="1132" t="s">
        <v>1098</v>
      </c>
      <c r="I226" s="1138" t="s">
        <v>7969</v>
      </c>
      <c r="J226" s="1132" t="s">
        <v>4570</v>
      </c>
      <c r="K226" s="1132" t="s">
        <v>1642</v>
      </c>
      <c r="L226" s="1132" t="s">
        <v>949</v>
      </c>
      <c r="M226" s="1132" t="s">
        <v>257</v>
      </c>
      <c r="N226" s="1138" t="s">
        <v>4420</v>
      </c>
      <c r="O226" s="1132" t="s">
        <v>1171</v>
      </c>
      <c r="P226" s="1140" t="s">
        <v>355</v>
      </c>
      <c r="Q226" s="1138"/>
      <c r="R226" s="1138"/>
      <c r="S226" s="1138"/>
      <c r="T226" s="1138"/>
      <c r="U226" s="1138"/>
      <c r="V226" s="1231" t="s">
        <v>7970</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1616</v>
      </c>
      <c r="D227" s="1029" t="s">
        <v>1602</v>
      </c>
      <c r="E227" s="1132" t="s">
        <v>1616</v>
      </c>
      <c r="F227" s="1035" t="s">
        <v>2569</v>
      </c>
      <c r="G227" s="1022" t="s">
        <v>2770</v>
      </c>
      <c r="H227" s="1132" t="s">
        <v>2216</v>
      </c>
      <c r="I227" s="1132" t="s">
        <v>1602</v>
      </c>
      <c r="J227" s="1132" t="s">
        <v>7801</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1728</v>
      </c>
      <c r="J228" s="1138"/>
      <c r="K228" s="1132" t="s">
        <v>6600</v>
      </c>
      <c r="L228" s="1132" t="s">
        <v>4497</v>
      </c>
      <c r="M228" s="1132" t="str">
        <f>HYPERLINK("https://www.youtube.com/watch?v=aWzlUqH0LaM","41.87")</f>
        <v>41.87</v>
      </c>
      <c r="N228" s="1138" t="s">
        <v>2197</v>
      </c>
      <c r="O228" s="1132" t="s">
        <v>1534</v>
      </c>
      <c r="P228" s="1140" t="s">
        <v>3295</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1313</v>
      </c>
      <c r="H230" s="1138" t="s">
        <v>7981</v>
      </c>
      <c r="I230" s="1138"/>
      <c r="J230" s="1132" t="s">
        <v>7982</v>
      </c>
      <c r="K230" s="1138"/>
      <c r="L230" s="1138" t="s">
        <v>951</v>
      </c>
      <c r="M230" s="1132" t="s">
        <v>792</v>
      </c>
      <c r="N230" s="1138"/>
      <c r="O230" s="1138"/>
      <c r="P230" s="1140" t="s">
        <v>4194</v>
      </c>
      <c r="Q230" s="1138"/>
      <c r="R230" s="1138"/>
      <c r="S230" s="1138"/>
      <c r="T230" s="1132" t="s">
        <v>506</v>
      </c>
      <c r="U230" s="1138"/>
      <c r="V230" s="1232"/>
      <c r="W230" s="1138" t="s">
        <v>6342</v>
      </c>
      <c r="X230" s="1138"/>
      <c r="Y230" s="1138"/>
      <c r="Z230" s="1138"/>
      <c r="AA230" s="1138"/>
      <c r="AB230" s="1138"/>
      <c r="AC230" s="1138" t="s">
        <v>7983</v>
      </c>
      <c r="AD230" s="1138" t="s">
        <v>2724</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3125</v>
      </c>
      <c r="D232" s="1138"/>
      <c r="E232" s="1138"/>
      <c r="F232" s="1055" t="s">
        <v>2571</v>
      </c>
      <c r="G232" s="1040"/>
      <c r="H232" s="1132" t="s">
        <v>6796</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3589</v>
      </c>
      <c r="K237" s="1242"/>
      <c r="L237" s="1242"/>
      <c r="M237" s="1242"/>
      <c r="N237" s="1242"/>
      <c r="O237" s="1242"/>
      <c r="P237" s="1243"/>
      <c r="Q237" s="1242"/>
      <c r="R237" s="1248" t="s">
        <v>7834</v>
      </c>
      <c r="S237" s="1242"/>
      <c r="T237" s="1242"/>
      <c r="U237" s="1242"/>
      <c r="V237" s="1232"/>
      <c r="W237" s="1242"/>
      <c r="X237" s="1248" t="s">
        <v>2609</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1471</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5604</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4189</v>
      </c>
      <c r="E241" s="1138"/>
      <c r="F241" s="1234"/>
      <c r="G241" s="1040"/>
      <c r="H241" s="1138"/>
      <c r="I241" s="1138"/>
      <c r="J241" s="1138"/>
      <c r="K241" s="1132" t="s">
        <v>5432</v>
      </c>
      <c r="L241" s="1138"/>
      <c r="M241" s="1138"/>
      <c r="N241" s="1138"/>
      <c r="O241" s="1138"/>
      <c r="P241" s="1140"/>
      <c r="Q241" s="1138"/>
      <c r="R241" s="1138"/>
      <c r="S241" s="1132" t="s">
        <v>4632</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2213</v>
      </c>
      <c r="D242" s="1029" t="s">
        <v>2000</v>
      </c>
      <c r="E242" s="1138"/>
      <c r="F242" s="1055" t="s">
        <v>2213</v>
      </c>
      <c r="G242" s="1022" t="s">
        <v>1314</v>
      </c>
      <c r="H242" s="1138"/>
      <c r="I242" s="1138" t="s">
        <v>4378</v>
      </c>
      <c r="J242" s="1132" t="s">
        <v>6183</v>
      </c>
      <c r="K242" s="1132" t="s">
        <v>3513</v>
      </c>
      <c r="L242" s="1138"/>
      <c r="M242" s="1138"/>
      <c r="N242" s="1138" t="s">
        <v>4361</v>
      </c>
      <c r="O242" s="1132" t="s">
        <v>1314</v>
      </c>
      <c r="P242" s="1140" t="s">
        <v>2145</v>
      </c>
      <c r="Q242" s="1138" t="s">
        <v>2000</v>
      </c>
      <c r="R242" s="1022" t="s">
        <v>1763</v>
      </c>
      <c r="S242" s="1022" t="s">
        <v>122</v>
      </c>
      <c r="T242" s="1132" t="s">
        <v>4044</v>
      </c>
      <c r="U242" s="1138"/>
      <c r="V242" s="1232"/>
      <c r="W242" s="1138" t="s">
        <v>4425</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2573</v>
      </c>
      <c r="D243" s="1132"/>
      <c r="E243" s="1132" t="s">
        <v>402</v>
      </c>
      <c r="F243" s="1035" t="s">
        <v>2573</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1694</v>
      </c>
      <c r="D245" s="1132"/>
      <c r="E245" s="1132" t="s">
        <v>4245</v>
      </c>
      <c r="F245" s="1247" t="s">
        <v>2356</v>
      </c>
      <c r="G245" s="1040"/>
      <c r="H245" s="1132"/>
      <c r="I245" s="1132"/>
      <c r="J245" s="1132"/>
      <c r="K245" s="1132"/>
      <c r="L245" s="1132"/>
      <c r="M245" s="1132"/>
      <c r="N245" s="1132"/>
      <c r="O245" s="1132"/>
      <c r="P245" s="1133"/>
      <c r="Q245" s="1132"/>
      <c r="R245" s="1132" t="s">
        <v>2172</v>
      </c>
      <c r="S245" s="1132"/>
      <c r="T245" s="1132"/>
      <c r="U245" s="1132"/>
      <c r="V245" s="1031" t="s">
        <v>8009</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5362</v>
      </c>
      <c r="D246" s="1138" t="s">
        <v>1624</v>
      </c>
      <c r="E246" s="1138"/>
      <c r="H246" s="1138"/>
      <c r="I246" s="1138" t="s">
        <v>2415</v>
      </c>
      <c r="J246" s="1138"/>
      <c r="L246" s="1138"/>
      <c r="M246" s="1138"/>
      <c r="N246" s="1138" t="s">
        <v>3232</v>
      </c>
      <c r="O246" s="1138"/>
      <c r="P246" s="1140" t="s">
        <v>8011</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4845</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8015</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5017</v>
      </c>
      <c r="D249" s="1256"/>
      <c r="E249" s="1132" t="s">
        <v>5852</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4445</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5407</v>
      </c>
      <c r="D251" s="1257" t="s">
        <v>4606</v>
      </c>
      <c r="E251" s="1132"/>
      <c r="F251" s="1049" t="s">
        <v>5407</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5484</v>
      </c>
      <c r="D252" s="1132" t="s">
        <v>1411</v>
      </c>
      <c r="E252" s="1132" t="s">
        <v>2600</v>
      </c>
      <c r="F252" s="1069" t="s">
        <v>3608</v>
      </c>
      <c r="G252" s="1040"/>
      <c r="H252" s="1132" t="s">
        <v>5484</v>
      </c>
      <c r="I252" s="1132"/>
      <c r="J252" s="1132"/>
      <c r="K252" s="1132" t="s">
        <v>5660</v>
      </c>
      <c r="L252" s="1132"/>
      <c r="M252" s="1132"/>
      <c r="N252" s="1132" t="s">
        <v>5270</v>
      </c>
      <c r="O252" s="1132" t="s">
        <v>3608</v>
      </c>
      <c r="P252" s="1133" t="s">
        <v>5593</v>
      </c>
      <c r="Q252" s="1132"/>
      <c r="R252" s="1132" t="s">
        <v>5484</v>
      </c>
      <c r="S252" s="1132"/>
      <c r="T252" s="1132"/>
      <c r="U252" s="1132"/>
      <c r="V252" s="1258"/>
      <c r="W252" s="1132" t="s">
        <v>4274</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3071</v>
      </c>
      <c r="D253" s="1132"/>
      <c r="E253" s="1132" t="s">
        <v>4265</v>
      </c>
      <c r="F253" s="1247" t="s">
        <v>8022</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1611</v>
      </c>
      <c r="E258" s="1138"/>
      <c r="F258" s="1234"/>
      <c r="G258" s="1040"/>
      <c r="H258" s="1138"/>
      <c r="I258" s="1138" t="s">
        <v>1858</v>
      </c>
      <c r="J258" s="1132" t="s">
        <v>1465</v>
      </c>
      <c r="K258" s="1138" t="s">
        <v>5725</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8033</v>
      </c>
      <c r="C263" s="1018" t="s">
        <v>4256</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4256</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8036</v>
      </c>
      <c r="W265" s="1138"/>
      <c r="X265" s="1138"/>
      <c r="Y265" s="1138" t="s">
        <v>6761</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4549</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8038</v>
      </c>
      <c r="S266" s="1138"/>
      <c r="T266" s="1132" t="s">
        <v>4549</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4549</v>
      </c>
      <c r="E267" s="1138"/>
      <c r="F267" s="1021"/>
      <c r="G267" s="1040"/>
      <c r="H267" s="1138"/>
      <c r="I267" s="1138" t="s">
        <v>8040</v>
      </c>
      <c r="J267" s="1132" t="s">
        <v>4838</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3878</v>
      </c>
      <c r="D268" s="1138"/>
      <c r="E268" s="1138"/>
      <c r="F268" s="1275"/>
      <c r="G268" s="1022" t="s">
        <v>6486</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2924</v>
      </c>
      <c r="D269" s="1132"/>
      <c r="E269" s="1132" t="s">
        <v>1534</v>
      </c>
      <c r="F269" s="1049" t="s">
        <v>2924</v>
      </c>
      <c r="G269" s="1040"/>
      <c r="H269" s="1132" t="s">
        <v>2070</v>
      </c>
      <c r="I269" s="1132"/>
      <c r="J269" s="1132" t="s">
        <v>2204</v>
      </c>
      <c r="K269" s="1132"/>
      <c r="L269" s="1133" t="s">
        <v>8045</v>
      </c>
      <c r="M269" s="1132"/>
      <c r="N269" s="1132"/>
      <c r="O269" s="1132" t="s">
        <v>1395</v>
      </c>
      <c r="P269" s="1133" t="s">
        <v>8046</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2204</v>
      </c>
      <c r="D270" s="1132"/>
      <c r="E270" s="1132" t="s">
        <v>2204</v>
      </c>
      <c r="F270" s="1272" t="s">
        <v>8048</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4584</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5716</v>
      </c>
      <c r="D271" s="1132"/>
      <c r="E271" s="1132" t="s">
        <v>800</v>
      </c>
      <c r="F271" s="1049" t="s">
        <v>1395</v>
      </c>
      <c r="G271" s="1040"/>
      <c r="H271" s="1133" t="s">
        <v>5611</v>
      </c>
      <c r="I271" s="1132"/>
      <c r="J271" s="1132"/>
      <c r="K271" s="1132"/>
      <c r="L271" s="1132"/>
      <c r="M271" s="1132"/>
      <c r="N271" s="1132"/>
      <c r="O271" s="1132" t="s">
        <v>5810</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5716</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2574</v>
      </c>
      <c r="D272" s="1132" t="s">
        <v>846</v>
      </c>
      <c r="E272" s="1132" t="s">
        <v>8052</v>
      </c>
      <c r="F272" s="1049" t="s">
        <v>2574</v>
      </c>
      <c r="G272" s="1022" t="s">
        <v>2722</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1624</v>
      </c>
      <c r="D274" s="1138" t="s">
        <v>1671</v>
      </c>
      <c r="E274" s="1138"/>
      <c r="F274" s="1275"/>
      <c r="G274" s="1022" t="s">
        <v>4233</v>
      </c>
      <c r="H274" s="1138"/>
      <c r="I274" s="1132" t="str">
        <f>HYPERLINK("https://youtu.be/_GZXmZdCc5s","31.80")</f>
        <v>31.80</v>
      </c>
      <c r="J274" s="1138"/>
      <c r="K274" s="1132" t="s">
        <v>8056</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5870</v>
      </c>
      <c r="O277" s="1132" t="s">
        <v>716</v>
      </c>
      <c r="P277" s="1133" t="s">
        <v>425</v>
      </c>
      <c r="Q277" s="1132" t="s">
        <v>4089</v>
      </c>
      <c r="R277" s="1132"/>
      <c r="S277" s="1132"/>
      <c r="T277" s="1132"/>
      <c r="U277" s="1278" t="s">
        <v>1567</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4157</v>
      </c>
      <c r="F278" s="1272" t="s">
        <v>2524</v>
      </c>
      <c r="G278" s="1022" t="s">
        <v>8063</v>
      </c>
      <c r="H278" s="1132"/>
      <c r="I278" s="1132" t="str">
        <f>HYPERLINK("https://youtu.be/fNmQmNF7N9I","46.93")</f>
        <v>46.93</v>
      </c>
      <c r="J278" s="1132" t="s">
        <v>8062</v>
      </c>
      <c r="K278" s="1132" t="s">
        <v>536</v>
      </c>
      <c r="L278" s="1132" t="s">
        <v>8064</v>
      </c>
      <c r="M278" s="1132" t="s">
        <v>1571</v>
      </c>
      <c r="N278" s="1132"/>
      <c r="O278" s="1132"/>
      <c r="P278" s="1133"/>
      <c r="Q278" s="1132"/>
      <c r="R278" s="1132"/>
      <c r="S278" s="1132" t="s">
        <v>3992</v>
      </c>
      <c r="T278" s="1132" t="s">
        <v>8040</v>
      </c>
      <c r="U278" s="1132"/>
      <c r="V278" s="1269"/>
      <c r="W278" s="1132" t="s">
        <v>8065</v>
      </c>
      <c r="X278" s="1132" t="s">
        <v>4392</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3977</v>
      </c>
      <c r="D279" s="1132" t="s">
        <v>5174</v>
      </c>
      <c r="E279" s="1132" t="s">
        <v>3436</v>
      </c>
      <c r="F279" s="1069" t="s">
        <v>8071</v>
      </c>
      <c r="G279" s="1022" t="s">
        <v>8072</v>
      </c>
      <c r="H279" s="1132"/>
      <c r="I279" s="1132" t="str">
        <f>HYPERLINK(" https://youtu.be/dsDcBzsPA5s","45.74")</f>
        <v>45.74</v>
      </c>
      <c r="J279" s="1132" t="s">
        <v>3977</v>
      </c>
      <c r="K279" s="1132" t="s">
        <v>8073</v>
      </c>
      <c r="L279" s="1132" t="s">
        <v>3905</v>
      </c>
      <c r="M279" s="1132" t="s">
        <v>1787</v>
      </c>
      <c r="N279" s="1132" t="s">
        <v>2071</v>
      </c>
      <c r="O279" s="1132" t="s">
        <v>4041</v>
      </c>
      <c r="P279" s="1133" t="s">
        <v>3524</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4636</v>
      </c>
      <c r="E280" s="1132" t="s">
        <v>410</v>
      </c>
      <c r="F280" s="1049" t="s">
        <v>565</v>
      </c>
      <c r="G280" s="1022" t="s">
        <v>1323</v>
      </c>
      <c r="H280" s="1132" t="s">
        <v>1910</v>
      </c>
      <c r="I280" s="1132" t="str">
        <f>HYPERLINK("https://youtu.be/9O9oqhlyCxY","45.20")</f>
        <v>45.20</v>
      </c>
      <c r="J280" s="1132" t="s">
        <v>8078</v>
      </c>
      <c r="K280" s="1022" t="s">
        <v>3669</v>
      </c>
      <c r="L280" s="1132" t="s">
        <v>321</v>
      </c>
      <c r="M280" s="1132" t="s">
        <v>1396</v>
      </c>
      <c r="N280" s="1132" t="s">
        <v>8043</v>
      </c>
      <c r="O280" s="1132" t="s">
        <v>1041</v>
      </c>
      <c r="P280" s="1133"/>
      <c r="Q280" s="1132" t="s">
        <v>1861</v>
      </c>
      <c r="R280" s="1132"/>
      <c r="S280" s="1132" t="s">
        <v>428</v>
      </c>
      <c r="T280" s="1132" t="s">
        <v>518</v>
      </c>
      <c r="U280" s="1132"/>
      <c r="V280" s="1269"/>
      <c r="W280" s="1132"/>
      <c r="X280" s="1132" t="s">
        <v>617</v>
      </c>
      <c r="Y280" s="1132"/>
      <c r="Z280" s="1132"/>
      <c r="AA280" s="1132"/>
      <c r="AB280" s="1132" t="s">
        <v>4389</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1615</v>
      </c>
      <c r="E281" s="1281" t="s">
        <v>411</v>
      </c>
      <c r="F281" s="1035" t="s">
        <v>2575</v>
      </c>
      <c r="G281" s="1022" t="s">
        <v>1324</v>
      </c>
      <c r="H281" s="1281" t="s">
        <v>4547</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1616</v>
      </c>
      <c r="E282" s="1281" t="s">
        <v>412</v>
      </c>
      <c r="F282" s="1035" t="s">
        <v>1578</v>
      </c>
      <c r="G282" s="1040"/>
      <c r="H282" s="1281" t="s">
        <v>8080</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5857</v>
      </c>
      <c r="D283" s="1132" t="s">
        <v>5791</v>
      </c>
      <c r="E283" s="1132" t="s">
        <v>2952</v>
      </c>
      <c r="F283" s="1049" t="s">
        <v>432</v>
      </c>
      <c r="G283" s="1022" t="s">
        <v>5764</v>
      </c>
      <c r="H283" s="1132" t="s">
        <v>5857</v>
      </c>
      <c r="I283" s="1132"/>
      <c r="J283" s="1132" t="s">
        <v>5270</v>
      </c>
      <c r="K283" s="1132"/>
      <c r="L283" s="1132" t="s">
        <v>8081</v>
      </c>
      <c r="M283" s="1132"/>
      <c r="N283" s="1132"/>
      <c r="O283" s="1132" t="s">
        <v>5857</v>
      </c>
      <c r="P283" s="1133"/>
      <c r="Q283" s="1132"/>
      <c r="R283" s="1022" t="s">
        <v>8082</v>
      </c>
      <c r="S283" s="1132"/>
      <c r="T283" s="1132" t="s">
        <v>5857</v>
      </c>
      <c r="U283" s="1132"/>
      <c r="V283" s="1032"/>
      <c r="W283" s="1132"/>
      <c r="X283" s="1132" t="s">
        <v>3608</v>
      </c>
      <c r="Y283" s="1132" t="s">
        <v>3595</v>
      </c>
      <c r="Z283" s="1132" t="s">
        <v>8083</v>
      </c>
      <c r="AA283" s="1132" t="s">
        <v>6248</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1478</v>
      </c>
      <c r="E284" s="1132" t="s">
        <v>4418</v>
      </c>
      <c r="F284" s="1035" t="s">
        <v>3844</v>
      </c>
      <c r="G284" s="1022" t="s">
        <v>1326</v>
      </c>
      <c r="H284" s="1132" t="s">
        <v>8085</v>
      </c>
      <c r="I284" s="1132" t="s">
        <v>1478</v>
      </c>
      <c r="J284" s="1132" t="s">
        <v>3836</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4214</v>
      </c>
      <c r="D286" s="1040"/>
      <c r="E286" s="1022" t="s">
        <v>4351</v>
      </c>
      <c r="F286" s="1275"/>
      <c r="G286" s="1022" t="s">
        <v>3248</v>
      </c>
      <c r="H286" s="1022" t="s">
        <v>4214</v>
      </c>
      <c r="I286" s="1040"/>
      <c r="J286" s="1040"/>
      <c r="K286" s="1040"/>
      <c r="L286" s="1040"/>
      <c r="M286" s="1040"/>
      <c r="N286" s="1040" t="s">
        <v>4331</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4501</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4501</v>
      </c>
      <c r="U287" s="1132"/>
      <c r="V287" s="1268" t="s">
        <v>6238</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6657</v>
      </c>
      <c r="B292" s="1267" t="s">
        <v>7725</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4830</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6835</v>
      </c>
      <c r="D294" s="1138" t="s">
        <v>8099</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4847</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1623</v>
      </c>
      <c r="E298" s="1022" t="s">
        <v>424</v>
      </c>
      <c r="F298" s="1055" t="s">
        <v>270</v>
      </c>
      <c r="G298" s="1022" t="s">
        <v>1337</v>
      </c>
      <c r="H298" s="1022" t="s">
        <v>8109</v>
      </c>
      <c r="I298" s="1022" t="str">
        <f>HYPERLINK("https://youtu.be/ZpzmhXUsVhA","1:19.38")</f>
        <v>1:19.38</v>
      </c>
      <c r="J298" s="1040"/>
      <c r="K298" s="1022" t="s">
        <v>3675</v>
      </c>
      <c r="L298" s="1040" t="s">
        <v>967</v>
      </c>
      <c r="M298" s="1040" t="s">
        <v>6114</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2221</v>
      </c>
      <c r="D301" s="1304" t="s">
        <v>8115</v>
      </c>
      <c r="E301" s="1132" t="s">
        <v>3586</v>
      </c>
      <c r="F301" s="1103" t="s">
        <v>683</v>
      </c>
      <c r="G301" s="1022" t="s">
        <v>2837</v>
      </c>
      <c r="H301" s="1177" t="s">
        <v>4681</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2578</v>
      </c>
      <c r="D302" s="1257" t="s">
        <v>1711</v>
      </c>
      <c r="E302" s="1132" t="s">
        <v>2578</v>
      </c>
      <c r="F302" s="1021"/>
      <c r="G302" s="1040"/>
      <c r="H302" s="1132"/>
      <c r="I302" s="1132"/>
      <c r="J302" s="1132"/>
      <c r="K302" s="1132" t="s">
        <v>2338</v>
      </c>
      <c r="L302" s="1132"/>
      <c r="M302" s="1132"/>
      <c r="N302" s="1132"/>
      <c r="O302" s="1132"/>
      <c r="P302" s="1133" t="s">
        <v>8118</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1624</v>
      </c>
      <c r="E303" s="1022" t="s">
        <v>425</v>
      </c>
      <c r="F303" s="1055" t="s">
        <v>2578</v>
      </c>
      <c r="G303" s="1022" t="s">
        <v>1338</v>
      </c>
      <c r="H303" s="1022" t="s">
        <v>1939</v>
      </c>
      <c r="I303" s="1040"/>
      <c r="J303" s="1040"/>
      <c r="K303" s="1040"/>
      <c r="L303" s="1022" t="s">
        <v>968</v>
      </c>
      <c r="M303" s="1040" t="s">
        <v>815</v>
      </c>
      <c r="N303" s="1040"/>
      <c r="O303" s="1022" t="s">
        <v>8060</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6320</v>
      </c>
      <c r="D304" s="1132"/>
      <c r="E304" s="1132" t="s">
        <v>6320</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1406</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3356</v>
      </c>
      <c r="D310" s="1132"/>
      <c r="E310" s="1132" t="s">
        <v>3766</v>
      </c>
      <c r="F310" s="1021"/>
      <c r="G310" s="1040"/>
      <c r="H310" s="1132" t="s">
        <v>3356</v>
      </c>
      <c r="I310" s="1132" t="s">
        <v>6856</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3942</v>
      </c>
      <c r="D313" s="1179"/>
      <c r="E313" s="1179" t="s">
        <v>4180</v>
      </c>
      <c r="F313" s="1094"/>
      <c r="G313" s="1040"/>
      <c r="H313" s="1179"/>
      <c r="I313" s="1022" t="s">
        <v>3942</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6539</v>
      </c>
      <c r="D320" s="1138"/>
      <c r="E320" s="1138"/>
      <c r="F320" s="1021"/>
      <c r="G320" s="1040"/>
      <c r="H320" s="1138"/>
      <c r="I320" s="1022" t="s">
        <v>6539</v>
      </c>
      <c r="J320" s="1138"/>
      <c r="K320" s="1138"/>
      <c r="L320" s="1138"/>
      <c r="M320" s="1138"/>
      <c r="N320" s="1138" t="s">
        <v>5916</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3031</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4719</v>
      </c>
      <c r="D326" s="1040" t="s">
        <v>5100</v>
      </c>
      <c r="E326" s="1022" t="s">
        <v>4471</v>
      </c>
      <c r="F326" s="1049" t="s">
        <v>7008</v>
      </c>
      <c r="G326" s="1040"/>
      <c r="H326" s="1022" t="s">
        <v>4719</v>
      </c>
      <c r="I326" s="1040"/>
      <c r="J326" s="1040"/>
      <c r="K326" s="1040"/>
      <c r="L326" s="1040"/>
      <c r="M326" s="1040"/>
      <c r="N326" s="1040"/>
      <c r="O326" s="1040"/>
      <c r="P326" s="1133"/>
      <c r="Q326" s="1040"/>
      <c r="R326" s="1022" t="s">
        <v>7781</v>
      </c>
      <c r="S326" s="1040"/>
      <c r="T326" s="1040"/>
      <c r="U326" s="1040"/>
      <c r="V326" s="1032"/>
      <c r="W326" s="1040"/>
      <c r="X326" s="1022" t="s">
        <v>6106</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3529</v>
      </c>
      <c r="D327" s="1062"/>
      <c r="E327" s="1061" t="s">
        <v>1698</v>
      </c>
      <c r="F327" s="1103" t="s">
        <v>3529</v>
      </c>
      <c r="G327" s="1040"/>
      <c r="H327" s="1061" t="s">
        <v>2388</v>
      </c>
      <c r="I327" s="1062"/>
      <c r="J327" s="1061" t="s">
        <v>1698</v>
      </c>
      <c r="K327" s="1062"/>
      <c r="L327" s="1061" t="s">
        <v>8147</v>
      </c>
      <c r="M327" s="1061" t="s">
        <v>8148</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4326</v>
      </c>
      <c r="D330" s="1040"/>
      <c r="E330" s="1022" t="s">
        <v>4326</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3921</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7153</v>
      </c>
      <c r="S339" s="1138"/>
      <c r="T339" s="1138"/>
      <c r="U339" s="1138"/>
      <c r="V339" s="1300"/>
      <c r="W339" s="1138"/>
      <c r="X339" s="1138" t="s">
        <v>6446</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4741</v>
      </c>
      <c r="D343" s="1040"/>
      <c r="E343" s="1022" t="s">
        <v>4741</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5791</v>
      </c>
      <c r="D346" s="1312"/>
      <c r="E346" s="1312"/>
      <c r="F346" s="1103" t="s">
        <v>8082</v>
      </c>
      <c r="G346" s="1040"/>
      <c r="H346" s="1022" t="s">
        <v>1386</v>
      </c>
      <c r="I346" s="1312"/>
      <c r="J346" s="1022" t="s">
        <v>5791</v>
      </c>
      <c r="K346" s="1312"/>
      <c r="L346" s="1312"/>
      <c r="M346" s="1312"/>
      <c r="N346" s="1312"/>
      <c r="O346" s="1312"/>
      <c r="P346" s="1133"/>
      <c r="Q346" s="1312"/>
      <c r="R346" s="1312"/>
      <c r="S346" s="1312"/>
      <c r="T346" s="1312"/>
      <c r="U346" s="1312"/>
      <c r="V346" s="1300"/>
      <c r="W346" s="1312"/>
      <c r="X346" s="1312"/>
      <c r="Y346" s="1312"/>
      <c r="Z346" s="1022" t="s">
        <v>4472</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4606</v>
      </c>
      <c r="D347" s="1040"/>
      <c r="E347" s="1022" t="s">
        <v>5833</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4606</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6152</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4257</v>
      </c>
      <c r="B3" s="1324" t="s">
        <v>6314</v>
      </c>
      <c r="C3" s="1325" t="s">
        <v>546</v>
      </c>
      <c r="D3" s="1326" t="s">
        <v>546</v>
      </c>
      <c r="E3" s="1327" t="s">
        <v>437</v>
      </c>
      <c r="F3" s="1328" t="s">
        <v>332</v>
      </c>
      <c r="G3" s="1324" t="s">
        <v>332</v>
      </c>
      <c r="H3" s="1329"/>
      <c r="I3" s="1330"/>
      <c r="J3" s="1331"/>
      <c r="K3" s="1332"/>
      <c r="L3" s="981"/>
      <c r="M3" s="981"/>
      <c r="N3" s="981"/>
      <c r="O3" s="981"/>
      <c r="P3" s="981"/>
      <c r="Q3" s="1333"/>
      <c r="R3" s="1334" t="s">
        <v>6308</v>
      </c>
      <c r="S3" s="1329"/>
      <c r="T3" s="1329"/>
      <c r="U3" s="1335" t="s">
        <v>7961</v>
      </c>
      <c r="V3" s="1333"/>
      <c r="W3" s="1333"/>
      <c r="X3" s="1335" t="s">
        <v>8214</v>
      </c>
      <c r="Y3" s="1333"/>
      <c r="Z3" s="1333"/>
      <c r="AA3" s="1336" t="s">
        <v>8215</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6101</v>
      </c>
      <c r="S4" s="981"/>
      <c r="T4" s="981"/>
      <c r="U4" s="1340" t="s">
        <v>2116</v>
      </c>
      <c r="V4" s="1333"/>
      <c r="W4" s="1333"/>
      <c r="X4" s="1334" t="s">
        <v>8216</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4511</v>
      </c>
      <c r="S5" s="1341" t="s">
        <v>1750</v>
      </c>
      <c r="T5" s="981"/>
      <c r="U5" s="983" t="s">
        <v>1037</v>
      </c>
      <c r="V5" s="1333"/>
      <c r="W5" s="1333"/>
      <c r="X5" s="983" t="s">
        <v>8217</v>
      </c>
      <c r="Y5" s="1333"/>
      <c r="Z5" s="1333"/>
      <c r="AA5" s="1342" t="s">
        <v>8218</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7310</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6439</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8221</v>
      </c>
      <c r="L8" s="1339" t="s">
        <v>6272</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7845</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8223</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4538</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1256</v>
      </c>
      <c r="E13" s="1327" t="s">
        <v>1256</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6827</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5713</v>
      </c>
      <c r="X16" s="981"/>
      <c r="Y16" s="1333"/>
      <c r="Z16" s="1333"/>
      <c r="AA16" s="981"/>
      <c r="AB16" s="1333"/>
      <c r="AC16" s="981"/>
      <c r="AD16" s="1333"/>
      <c r="AE16" s="1333"/>
      <c r="AF16" s="1333"/>
      <c r="AG16" s="1337"/>
      <c r="AH16" s="1337"/>
    </row>
    <row r="17">
      <c r="A17" s="1323" t="s">
        <v>8229</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1256</v>
      </c>
      <c r="E18" s="1327" t="s">
        <v>1256</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7610</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6614</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4910</v>
      </c>
      <c r="B22" s="1324" t="s">
        <v>647</v>
      </c>
      <c r="C22" s="1325" t="s">
        <v>546</v>
      </c>
      <c r="D22" s="1326" t="s">
        <v>1256</v>
      </c>
      <c r="E22" s="1327" t="s">
        <v>1256</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5754</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6402</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2460</v>
      </c>
      <c r="B3" s="788" t="s">
        <v>8336</v>
      </c>
      <c r="C3" s="784" t="s">
        <v>8337</v>
      </c>
      <c r="D3" s="785" t="s">
        <v>2994</v>
      </c>
      <c r="E3" s="786" t="s">
        <v>221</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4471</v>
      </c>
      <c r="AE3" s="1340" t="s">
        <v>8357</v>
      </c>
      <c r="AF3" s="983" t="s">
        <v>8358</v>
      </c>
      <c r="AG3" s="1339" t="s">
        <v>8359</v>
      </c>
      <c r="AH3" s="1340" t="s">
        <v>8360</v>
      </c>
      <c r="AI3" s="983" t="s">
        <v>6700</v>
      </c>
      <c r="AJ3" s="1340" t="s">
        <v>8361</v>
      </c>
      <c r="AK3" s="983" t="s">
        <v>8362</v>
      </c>
      <c r="AL3" s="1334" t="s">
        <v>5545</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2468</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5864</v>
      </c>
      <c r="D4" s="785" t="s">
        <v>646</v>
      </c>
      <c r="E4" s="786" t="s">
        <v>647</v>
      </c>
      <c r="F4" s="787" t="s">
        <v>4775</v>
      </c>
      <c r="G4" s="788" t="s">
        <v>3842</v>
      </c>
      <c r="H4" s="1339" t="s">
        <v>8419</v>
      </c>
      <c r="I4" s="1334" t="s">
        <v>4260</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6268</v>
      </c>
      <c r="Y4" s="1340" t="s">
        <v>2541</v>
      </c>
      <c r="Z4" s="981"/>
      <c r="AA4" s="1334" t="s">
        <v>8429</v>
      </c>
      <c r="AB4" s="981"/>
      <c r="AC4" s="981"/>
      <c r="AD4" s="980" t="s">
        <v>8430</v>
      </c>
      <c r="AE4" s="1329"/>
      <c r="AF4" s="983" t="s">
        <v>464</v>
      </c>
      <c r="AG4" s="1329"/>
      <c r="AH4" s="1334" t="s">
        <v>8431</v>
      </c>
      <c r="AI4" s="981"/>
      <c r="AJ4" s="1334" t="s">
        <v>8432</v>
      </c>
      <c r="AK4" s="1340" t="s">
        <v>6243</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7496</v>
      </c>
      <c r="B5" s="788" t="s">
        <v>6943</v>
      </c>
      <c r="C5" s="784" t="s">
        <v>438</v>
      </c>
      <c r="D5" s="785" t="s">
        <v>1197</v>
      </c>
      <c r="E5" s="786" t="s">
        <v>222</v>
      </c>
      <c r="F5" s="787" t="s">
        <v>4947</v>
      </c>
      <c r="G5" s="788" t="s">
        <v>4399</v>
      </c>
      <c r="H5" s="980" t="s">
        <v>8462</v>
      </c>
      <c r="I5" s="983" t="s">
        <v>8463</v>
      </c>
      <c r="J5" s="980" t="s">
        <v>6459</v>
      </c>
      <c r="K5" s="1339" t="s">
        <v>8464</v>
      </c>
      <c r="L5" s="1339" t="s">
        <v>8465</v>
      </c>
      <c r="M5" s="1339" t="s">
        <v>3754</v>
      </c>
      <c r="N5" s="980" t="s">
        <v>8466</v>
      </c>
      <c r="O5" s="983" t="s">
        <v>8467</v>
      </c>
      <c r="P5" s="1334" t="s">
        <v>8468</v>
      </c>
      <c r="Q5" s="1340" t="s">
        <v>8469</v>
      </c>
      <c r="R5" s="983" t="s">
        <v>8470</v>
      </c>
      <c r="S5" s="1339" t="s">
        <v>8471</v>
      </c>
      <c r="T5" s="983" t="s">
        <v>8472</v>
      </c>
      <c r="U5" s="1340" t="s">
        <v>8473</v>
      </c>
      <c r="V5" s="1339" t="s">
        <v>8474</v>
      </c>
      <c r="W5" s="980" t="s">
        <v>2357</v>
      </c>
      <c r="X5" s="1342" t="s">
        <v>1691</v>
      </c>
      <c r="Y5" s="980" t="s">
        <v>2018</v>
      </c>
      <c r="Z5" s="1342" t="s">
        <v>8475</v>
      </c>
      <c r="AA5" s="980" t="s">
        <v>4448</v>
      </c>
      <c r="AB5" s="980"/>
      <c r="AC5" s="980" t="s">
        <v>3454</v>
      </c>
      <c r="AD5" s="980" t="s">
        <v>3880</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1634</v>
      </c>
      <c r="BA5" s="1339" t="s">
        <v>6694</v>
      </c>
      <c r="BB5" s="983" t="s">
        <v>8494</v>
      </c>
      <c r="BC5" s="1339" t="s">
        <v>8495</v>
      </c>
      <c r="BD5" s="1340" t="s">
        <v>4666</v>
      </c>
      <c r="BE5" s="980"/>
      <c r="BF5" s="1339" t="s">
        <v>8496</v>
      </c>
      <c r="BG5" s="1334" t="s">
        <v>8497</v>
      </c>
      <c r="BH5" s="1339" t="s">
        <v>8498</v>
      </c>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7013</v>
      </c>
      <c r="B6" s="788" t="s">
        <v>7039</v>
      </c>
      <c r="C6" s="784" t="s">
        <v>437</v>
      </c>
      <c r="D6" s="785" t="s">
        <v>437</v>
      </c>
      <c r="E6" s="786" t="s">
        <v>437</v>
      </c>
      <c r="F6" s="787" t="s">
        <v>6277</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7045</v>
      </c>
      <c r="V6" s="1334" t="s">
        <v>8521</v>
      </c>
      <c r="W6" s="983" t="s">
        <v>1293</v>
      </c>
      <c r="X6" s="983" t="s">
        <v>1635</v>
      </c>
      <c r="Y6" s="983" t="s">
        <v>1581</v>
      </c>
      <c r="Z6" s="1340" t="s">
        <v>5364</v>
      </c>
      <c r="AA6" s="1329"/>
      <c r="AB6" s="1396" t="s">
        <v>8522</v>
      </c>
      <c r="AC6" s="983" t="s">
        <v>3413</v>
      </c>
      <c r="AD6" s="983" t="s">
        <v>4719</v>
      </c>
      <c r="AE6" s="1329"/>
      <c r="AF6" s="1339" t="s">
        <v>7356</v>
      </c>
      <c r="AG6" s="981"/>
      <c r="AH6" s="983" t="s">
        <v>8523</v>
      </c>
      <c r="AI6" s="1340" t="s">
        <v>5048</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5307</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8536</v>
      </c>
      <c r="C7" s="784" t="s">
        <v>546</v>
      </c>
      <c r="D7" s="785" t="s">
        <v>332</v>
      </c>
      <c r="E7" s="786" t="s">
        <v>437</v>
      </c>
      <c r="F7" s="787" t="s">
        <v>1196</v>
      </c>
      <c r="G7" s="788" t="s">
        <v>5687</v>
      </c>
      <c r="H7" s="980" t="s">
        <v>8537</v>
      </c>
      <c r="I7" s="980" t="s">
        <v>7306</v>
      </c>
      <c r="J7" s="980"/>
      <c r="K7" s="1340" t="s">
        <v>8538</v>
      </c>
      <c r="L7" s="1340" t="s">
        <v>8539</v>
      </c>
      <c r="M7" s="980"/>
      <c r="N7" s="980"/>
      <c r="O7" s="983" t="s">
        <v>8540</v>
      </c>
      <c r="P7" s="980" t="s">
        <v>8541</v>
      </c>
      <c r="Q7" s="980" t="s">
        <v>8542</v>
      </c>
      <c r="R7" s="1334" t="s">
        <v>8543</v>
      </c>
      <c r="S7" s="980"/>
      <c r="T7" s="983" t="s">
        <v>8544</v>
      </c>
      <c r="U7" s="1339" t="s">
        <v>8545</v>
      </c>
      <c r="V7" s="980"/>
      <c r="W7" s="980" t="s">
        <v>7519</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5128</v>
      </c>
      <c r="X8" s="983" t="s">
        <v>8572</v>
      </c>
      <c r="Y8" s="983" t="s">
        <v>3038</v>
      </c>
      <c r="Z8" s="981"/>
      <c r="AA8" s="981"/>
      <c r="AB8" s="981"/>
      <c r="AC8" s="983" t="s">
        <v>4152</v>
      </c>
      <c r="AD8" s="1019" t="s">
        <v>4273</v>
      </c>
      <c r="AE8" s="981"/>
      <c r="AF8" s="981"/>
      <c r="AG8" s="1334" t="s">
        <v>8573</v>
      </c>
      <c r="AH8" s="1342" t="s">
        <v>5415</v>
      </c>
      <c r="AI8" s="1339" t="s">
        <v>1295</v>
      </c>
      <c r="AJ8" s="981"/>
      <c r="AK8" s="1342" t="s">
        <v>4828</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6246</v>
      </c>
      <c r="CO8" s="1389"/>
      <c r="CP8" s="1389"/>
      <c r="CQ8" s="1389"/>
      <c r="CR8" s="1390" t="s">
        <v>6996</v>
      </c>
      <c r="CS8" s="1389"/>
      <c r="CT8" s="981"/>
      <c r="CU8" s="981"/>
    </row>
    <row r="9">
      <c r="A9" s="1401" t="s">
        <v>8588</v>
      </c>
      <c r="B9" s="788" t="s">
        <v>6403</v>
      </c>
      <c r="C9" s="784" t="s">
        <v>1256</v>
      </c>
      <c r="D9" s="785" t="s">
        <v>437</v>
      </c>
      <c r="E9" s="786" t="s">
        <v>438</v>
      </c>
      <c r="F9" s="787" t="s">
        <v>222</v>
      </c>
      <c r="G9" s="788" t="s">
        <v>6996</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5045</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5113</v>
      </c>
      <c r="R10" s="983" t="s">
        <v>8613</v>
      </c>
      <c r="S10" s="983" t="s">
        <v>8614</v>
      </c>
      <c r="T10" s="983" t="s">
        <v>8615</v>
      </c>
      <c r="U10" s="983" t="s">
        <v>6051</v>
      </c>
      <c r="V10" s="981"/>
      <c r="W10" s="981"/>
      <c r="X10" s="983" t="s">
        <v>147</v>
      </c>
      <c r="Y10" s="1019" t="s">
        <v>2258</v>
      </c>
      <c r="Z10" s="981"/>
      <c r="AA10" s="983" t="s">
        <v>6145</v>
      </c>
      <c r="AB10" s="981"/>
      <c r="AC10" s="983" t="s">
        <v>2256</v>
      </c>
      <c r="AD10" s="983" t="s">
        <v>2298</v>
      </c>
      <c r="AE10" s="983" t="s">
        <v>1272</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546</v>
      </c>
      <c r="D11" s="785" t="s">
        <v>437</v>
      </c>
      <c r="E11" s="786" t="s">
        <v>437</v>
      </c>
      <c r="F11" s="787" t="s">
        <v>1196</v>
      </c>
      <c r="G11" s="788" t="s">
        <v>1811</v>
      </c>
      <c r="H11" s="1399"/>
      <c r="I11" s="1399" t="s">
        <v>8630</v>
      </c>
      <c r="J11" s="981"/>
      <c r="K11" s="980" t="s">
        <v>8631</v>
      </c>
      <c r="L11" s="983" t="s">
        <v>8632</v>
      </c>
      <c r="M11" s="980" t="s">
        <v>8564</v>
      </c>
      <c r="N11" s="981"/>
      <c r="O11" s="980" t="s">
        <v>8633</v>
      </c>
      <c r="P11" s="980" t="s">
        <v>8634</v>
      </c>
      <c r="Q11" s="980" t="s">
        <v>8635</v>
      </c>
      <c r="R11" s="980" t="s">
        <v>8636</v>
      </c>
      <c r="S11" s="983" t="s">
        <v>3029</v>
      </c>
      <c r="T11" s="981"/>
      <c r="U11" s="980" t="s">
        <v>4002</v>
      </c>
      <c r="V11" s="981"/>
      <c r="W11" s="980" t="s">
        <v>5003</v>
      </c>
      <c r="X11" s="983" t="s">
        <v>3667</v>
      </c>
      <c r="Y11" s="983" t="s">
        <v>8637</v>
      </c>
      <c r="Z11" s="981"/>
      <c r="AA11" s="983" t="s">
        <v>5766</v>
      </c>
      <c r="AB11" s="981"/>
      <c r="AC11" s="980" t="s">
        <v>5904</v>
      </c>
      <c r="AD11" s="980" t="s">
        <v>2058</v>
      </c>
      <c r="AE11" s="980"/>
      <c r="AF11" s="980" t="s">
        <v>5713</v>
      </c>
      <c r="AG11" s="981"/>
      <c r="AH11" s="981"/>
      <c r="AI11" s="981"/>
      <c r="AJ11" s="981"/>
      <c r="AK11" s="981"/>
      <c r="AL11" s="981"/>
      <c r="AM11" s="983" t="s">
        <v>8638</v>
      </c>
      <c r="AN11" s="1340" t="s">
        <v>8617</v>
      </c>
      <c r="AO11" s="1340" t="s">
        <v>8639</v>
      </c>
      <c r="AP11" s="980" t="s">
        <v>8623</v>
      </c>
      <c r="AQ11" s="980" t="s">
        <v>8623</v>
      </c>
      <c r="AR11" s="1339" t="s">
        <v>8640</v>
      </c>
      <c r="AS11" s="980" t="s">
        <v>8385</v>
      </c>
      <c r="AT11" s="980"/>
      <c r="AU11" s="1339" t="s">
        <v>8641</v>
      </c>
      <c r="AV11" s="980" t="s">
        <v>8598</v>
      </c>
      <c r="AW11" s="980" t="s">
        <v>8642</v>
      </c>
      <c r="AX11" s="981"/>
      <c r="AY11" s="1334" t="s">
        <v>8643</v>
      </c>
      <c r="AZ11" s="980" t="s">
        <v>1634</v>
      </c>
      <c r="BA11" s="980"/>
      <c r="BB11" s="980" t="s">
        <v>8380</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8337</v>
      </c>
      <c r="G12" s="788" t="s">
        <v>6277</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4532</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3200</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3901</v>
      </c>
      <c r="B13" s="788" t="s">
        <v>8676</v>
      </c>
      <c r="C13" s="784" t="s">
        <v>1256</v>
      </c>
      <c r="D13" s="785" t="s">
        <v>1256</v>
      </c>
      <c r="E13" s="786" t="s">
        <v>1256</v>
      </c>
      <c r="F13" s="787" t="s">
        <v>546</v>
      </c>
      <c r="G13" s="788" t="s">
        <v>2432</v>
      </c>
      <c r="H13" s="1399"/>
      <c r="I13" s="1399" t="s">
        <v>3910</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4084</v>
      </c>
      <c r="W13" s="980" t="s">
        <v>5011</v>
      </c>
      <c r="X13" s="980" t="s">
        <v>8688</v>
      </c>
      <c r="Y13" s="980" t="s">
        <v>377</v>
      </c>
      <c r="Z13" s="1342" t="s">
        <v>3224</v>
      </c>
      <c r="AA13" s="980" t="s">
        <v>8689</v>
      </c>
      <c r="AB13" s="980"/>
      <c r="AC13" s="1342" t="s">
        <v>8690</v>
      </c>
      <c r="AD13" s="1342" t="s">
        <v>8691</v>
      </c>
      <c r="AE13" s="980" t="s">
        <v>5181</v>
      </c>
      <c r="AF13" s="980" t="s">
        <v>4091</v>
      </c>
      <c r="AG13" s="1342" t="s">
        <v>8692</v>
      </c>
      <c r="AH13" s="981"/>
      <c r="AI13" s="981"/>
      <c r="AJ13" s="981"/>
      <c r="AK13" s="981"/>
      <c r="AL13" s="980" t="s">
        <v>5622</v>
      </c>
      <c r="AM13" s="1342" t="s">
        <v>8693</v>
      </c>
      <c r="AN13" s="1342" t="s">
        <v>8694</v>
      </c>
      <c r="AO13" s="981"/>
      <c r="AP13" s="980" t="s">
        <v>8695</v>
      </c>
      <c r="AQ13" s="980" t="s">
        <v>8616</v>
      </c>
      <c r="AR13" s="1342" t="s">
        <v>8696</v>
      </c>
      <c r="AS13" s="980" t="s">
        <v>8697</v>
      </c>
      <c r="AT13" s="980" t="s">
        <v>8698</v>
      </c>
      <c r="AU13" s="980" t="s">
        <v>8450</v>
      </c>
      <c r="AV13" s="113" t="s">
        <v>8699</v>
      </c>
      <c r="AW13" s="980" t="s">
        <v>8700</v>
      </c>
      <c r="AX13" s="980" t="s">
        <v>8701</v>
      </c>
      <c r="AY13" s="981"/>
      <c r="AZ13" s="1342" t="s">
        <v>4947</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4537</v>
      </c>
      <c r="BY13" s="980" t="s">
        <v>5442</v>
      </c>
      <c r="BZ13" s="981"/>
      <c r="CA13" s="1333"/>
      <c r="CB13" s="980" t="s">
        <v>1754</v>
      </c>
      <c r="CC13" s="981"/>
      <c r="CD13" s="1333"/>
      <c r="CE13" s="1389"/>
      <c r="CF13" s="980" t="s">
        <v>8644</v>
      </c>
      <c r="CG13" s="981"/>
      <c r="CH13" s="1389"/>
      <c r="CI13" s="1406" t="s">
        <v>8511</v>
      </c>
      <c r="CJ13" s="1392" t="s">
        <v>8585</v>
      </c>
      <c r="CK13" s="1392"/>
      <c r="CL13" s="1400" t="s">
        <v>6277</v>
      </c>
      <c r="CM13" s="1392" t="s">
        <v>8705</v>
      </c>
      <c r="CN13" s="1392" t="s">
        <v>6246</v>
      </c>
      <c r="CO13" s="1392" t="s">
        <v>5864</v>
      </c>
      <c r="CP13" s="1392" t="s">
        <v>8706</v>
      </c>
      <c r="CQ13" s="1392" t="s">
        <v>8707</v>
      </c>
      <c r="CR13" s="1389"/>
      <c r="CS13" s="1389"/>
      <c r="CT13" s="981"/>
      <c r="CU13" s="981"/>
    </row>
    <row r="14">
      <c r="A14" s="1413" t="s">
        <v>2189</v>
      </c>
      <c r="B14" s="788" t="s">
        <v>8708</v>
      </c>
      <c r="C14" s="784" t="s">
        <v>1256</v>
      </c>
      <c r="D14" s="785" t="s">
        <v>1256</v>
      </c>
      <c r="E14" s="786" t="s">
        <v>546</v>
      </c>
      <c r="F14" s="787" t="s">
        <v>332</v>
      </c>
      <c r="G14" s="788" t="s">
        <v>4627</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2058</v>
      </c>
      <c r="Z14" s="981"/>
      <c r="AA14" s="981"/>
      <c r="AB14" s="981"/>
      <c r="AC14" s="1342" t="s">
        <v>8724</v>
      </c>
      <c r="AD14" s="1342" t="s">
        <v>5252</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8380</v>
      </c>
      <c r="AV14" s="981"/>
      <c r="AW14" s="980" t="s">
        <v>8729</v>
      </c>
      <c r="AX14" s="980" t="s">
        <v>8730</v>
      </c>
      <c r="AY14" s="981"/>
      <c r="AZ14" s="980"/>
      <c r="BA14" s="980"/>
      <c r="BB14" s="1329"/>
      <c r="BC14" s="980" t="s">
        <v>8644</v>
      </c>
      <c r="BD14" s="980" t="s">
        <v>8619</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6096</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1809</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8621</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4273</v>
      </c>
      <c r="AE16" s="981"/>
      <c r="AF16" s="981"/>
      <c r="AG16" s="981"/>
      <c r="AH16" s="980" t="s">
        <v>5527</v>
      </c>
      <c r="AI16" s="980"/>
      <c r="AJ16" s="980"/>
      <c r="AK16" s="1339" t="s">
        <v>8748</v>
      </c>
      <c r="AL16" s="1329"/>
      <c r="AM16" s="1342" t="s">
        <v>8623</v>
      </c>
      <c r="AN16" s="981"/>
      <c r="AO16" s="981"/>
      <c r="AP16" s="981"/>
      <c r="AQ16" s="981"/>
      <c r="AR16" s="981"/>
      <c r="AS16" s="981"/>
      <c r="AT16" s="980" t="s">
        <v>8701</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4432</v>
      </c>
      <c r="B17" s="788" t="s">
        <v>8750</v>
      </c>
      <c r="C17" s="784" t="s">
        <v>1256</v>
      </c>
      <c r="D17" s="785" t="s">
        <v>437</v>
      </c>
      <c r="E17" s="786" t="s">
        <v>437</v>
      </c>
      <c r="F17" s="787" t="s">
        <v>1197</v>
      </c>
      <c r="G17" s="788" t="s">
        <v>2937</v>
      </c>
      <c r="H17" s="1427" t="s">
        <v>8751</v>
      </c>
      <c r="I17" s="1399" t="s">
        <v>8752</v>
      </c>
      <c r="J17" s="980" t="s">
        <v>8753</v>
      </c>
      <c r="K17" s="1399" t="s">
        <v>8754</v>
      </c>
      <c r="L17" s="980" t="s">
        <v>4556</v>
      </c>
      <c r="M17" s="980" t="s">
        <v>8338</v>
      </c>
      <c r="N17" s="980" t="s">
        <v>8755</v>
      </c>
      <c r="O17" s="980" t="s">
        <v>8756</v>
      </c>
      <c r="P17" s="980" t="s">
        <v>8757</v>
      </c>
      <c r="Q17" s="980" t="s">
        <v>7139</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6172</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4275</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4439</v>
      </c>
      <c r="X20" s="980" t="s">
        <v>3817</v>
      </c>
      <c r="Y20" s="1342" t="s">
        <v>2832</v>
      </c>
      <c r="Z20" s="981"/>
      <c r="AA20" s="981"/>
      <c r="AB20" s="981"/>
      <c r="AC20" s="1342" t="s">
        <v>8796</v>
      </c>
      <c r="AD20" s="980" t="s">
        <v>5422</v>
      </c>
      <c r="AE20" s="980"/>
      <c r="AF20" s="1342" t="s">
        <v>8797</v>
      </c>
      <c r="AG20" s="1340" t="s">
        <v>8798</v>
      </c>
      <c r="AH20" s="983" t="s">
        <v>1265</v>
      </c>
      <c r="AI20" s="981"/>
      <c r="AJ20" s="981"/>
      <c r="AK20" s="1342" t="s">
        <v>707</v>
      </c>
      <c r="AL20" s="981"/>
      <c r="AM20" s="1342" t="s">
        <v>8625</v>
      </c>
      <c r="AN20" s="981"/>
      <c r="AO20" s="981"/>
      <c r="AP20" s="980" t="s">
        <v>8526</v>
      </c>
      <c r="AQ20" s="980"/>
      <c r="AR20" s="980" t="s">
        <v>8553</v>
      </c>
      <c r="AS20" s="980" t="s">
        <v>8799</v>
      </c>
      <c r="AT20" s="980" t="s">
        <v>8800</v>
      </c>
      <c r="AU20" s="980" t="s">
        <v>8801</v>
      </c>
      <c r="AV20" s="980"/>
      <c r="AW20" s="981"/>
      <c r="AX20" s="981"/>
      <c r="AY20" s="981"/>
      <c r="AZ20" s="1342" t="s">
        <v>4774</v>
      </c>
      <c r="BA20" s="980"/>
      <c r="BB20" s="1342" t="s">
        <v>8621</v>
      </c>
      <c r="BC20" s="1342" t="s">
        <v>8802</v>
      </c>
      <c r="BD20" s="1342" t="s">
        <v>8451</v>
      </c>
      <c r="BE20" s="980"/>
      <c r="BF20" s="980"/>
      <c r="BG20" s="981"/>
      <c r="BH20" s="981"/>
      <c r="BI20" s="981"/>
      <c r="BJ20" s="981"/>
      <c r="BK20" s="981"/>
      <c r="BL20" s="981"/>
      <c r="BM20" s="981"/>
      <c r="BN20" s="1342" t="s">
        <v>8803</v>
      </c>
      <c r="BO20" s="1342" t="s">
        <v>8804</v>
      </c>
      <c r="BP20" s="980"/>
      <c r="BQ20" s="981"/>
      <c r="BR20" s="981"/>
      <c r="BS20" s="981"/>
      <c r="BT20" s="981"/>
      <c r="BU20" s="981"/>
      <c r="BV20" s="1411" t="s">
        <v>4692</v>
      </c>
      <c r="BW20" s="1333"/>
      <c r="BX20" s="981"/>
      <c r="BY20" s="980" t="s">
        <v>2229</v>
      </c>
      <c r="BZ20" s="981"/>
      <c r="CA20" s="1333"/>
      <c r="CB20" s="980" t="s">
        <v>4532</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4793</v>
      </c>
      <c r="B21" s="788" t="s">
        <v>8810</v>
      </c>
      <c r="C21" s="784" t="s">
        <v>1256</v>
      </c>
      <c r="D21" s="785" t="s">
        <v>1256</v>
      </c>
      <c r="E21" s="786" t="s">
        <v>1256</v>
      </c>
      <c r="F21" s="787" t="s">
        <v>546</v>
      </c>
      <c r="G21" s="788" t="s">
        <v>3380</v>
      </c>
      <c r="H21" s="1399"/>
      <c r="I21" s="1399" t="s">
        <v>8811</v>
      </c>
      <c r="J21" s="980"/>
      <c r="K21" s="980" t="s">
        <v>6805</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6628</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4904</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8559</v>
      </c>
      <c r="BC22" s="1342" t="s">
        <v>8618</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5168</v>
      </c>
      <c r="Z23" s="981"/>
      <c r="AA23" s="981"/>
      <c r="AB23" s="981"/>
      <c r="AC23" s="1342" t="s">
        <v>8840</v>
      </c>
      <c r="AD23" s="1342" t="s">
        <v>4113</v>
      </c>
      <c r="AE23" s="1329"/>
      <c r="AF23" s="983" t="s">
        <v>722</v>
      </c>
      <c r="AG23" s="1329"/>
      <c r="AH23" s="1342" t="s">
        <v>7621</v>
      </c>
      <c r="AI23" s="1342" t="s">
        <v>5626</v>
      </c>
      <c r="AJ23" s="981"/>
      <c r="AK23" s="981"/>
      <c r="AL23" s="981"/>
      <c r="AM23" s="981"/>
      <c r="AN23" s="981"/>
      <c r="AO23" s="981"/>
      <c r="AP23" s="981"/>
      <c r="AQ23" s="981"/>
      <c r="AR23" s="981"/>
      <c r="AS23" s="981"/>
      <c r="AT23" s="981"/>
      <c r="AU23" s="981"/>
      <c r="AV23" s="981"/>
      <c r="AW23" s="981"/>
      <c r="AX23" s="980"/>
      <c r="AY23" s="1342" t="s">
        <v>8703</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5305</v>
      </c>
      <c r="B24" s="788" t="s">
        <v>8842</v>
      </c>
      <c r="C24" s="784" t="s">
        <v>1256</v>
      </c>
      <c r="D24" s="785" t="s">
        <v>1256</v>
      </c>
      <c r="E24" s="786" t="s">
        <v>546</v>
      </c>
      <c r="F24" s="787" t="s">
        <v>438</v>
      </c>
      <c r="G24" s="788" t="s">
        <v>1634</v>
      </c>
      <c r="H24" s="1416" t="s">
        <v>8843</v>
      </c>
      <c r="I24" s="1416" t="s">
        <v>5311</v>
      </c>
      <c r="J24" s="1329"/>
      <c r="K24" s="1342" t="s">
        <v>8844</v>
      </c>
      <c r="L24" s="980"/>
      <c r="M24" s="980"/>
      <c r="N24" s="1342" t="s">
        <v>8845</v>
      </c>
      <c r="O24" s="1342" t="s">
        <v>8846</v>
      </c>
      <c r="P24" s="1342" t="s">
        <v>8847</v>
      </c>
      <c r="Q24" s="1342" t="s">
        <v>8848</v>
      </c>
      <c r="R24" s="1342" t="s">
        <v>8849</v>
      </c>
      <c r="S24" s="1342" t="s">
        <v>5329</v>
      </c>
      <c r="T24" s="1342" t="s">
        <v>8850</v>
      </c>
      <c r="U24" s="1342" t="s">
        <v>8851</v>
      </c>
      <c r="V24" s="980"/>
      <c r="W24" s="1342" t="s">
        <v>6105</v>
      </c>
      <c r="X24" s="980"/>
      <c r="Y24" s="981"/>
      <c r="Z24" s="981"/>
      <c r="AA24" s="981"/>
      <c r="AB24" s="981"/>
      <c r="AC24" s="1342" t="s">
        <v>8852</v>
      </c>
      <c r="AD24" s="1342" t="s">
        <v>5911</v>
      </c>
      <c r="AE24" s="980"/>
      <c r="AF24" s="1342" t="s">
        <v>6960</v>
      </c>
      <c r="AG24" s="980"/>
      <c r="AH24" s="1342" t="s">
        <v>3331</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8625</v>
      </c>
      <c r="AX24" s="980"/>
      <c r="AY24" s="1342" t="s">
        <v>8787</v>
      </c>
      <c r="AZ24" s="981"/>
      <c r="BA24" s="981"/>
      <c r="BB24" s="1342" t="s">
        <v>8694</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1694</v>
      </c>
      <c r="BX24" s="1342" t="s">
        <v>1629</v>
      </c>
      <c r="BY24" s="1339" t="s">
        <v>4963</v>
      </c>
      <c r="BZ24" s="1342" t="s">
        <v>2253</v>
      </c>
      <c r="CA24" s="1342" t="s">
        <v>5487</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4900</v>
      </c>
      <c r="CU24" s="1329"/>
    </row>
    <row r="25">
      <c r="A25" s="1441" t="s">
        <v>7447</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5804</v>
      </c>
      <c r="Q26" s="981"/>
      <c r="R26" s="983" t="s">
        <v>8882</v>
      </c>
      <c r="S26" s="981"/>
      <c r="T26" s="981"/>
      <c r="U26" s="980" t="s">
        <v>751</v>
      </c>
      <c r="V26" s="980"/>
      <c r="W26" s="1342" t="s">
        <v>4324</v>
      </c>
      <c r="X26" s="980" t="s">
        <v>3548</v>
      </c>
      <c r="Y26" s="983" t="s">
        <v>5841</v>
      </c>
      <c r="Z26" s="981"/>
      <c r="AA26" s="981"/>
      <c r="AB26" s="981"/>
      <c r="AC26" s="1342" t="s">
        <v>8883</v>
      </c>
      <c r="AD26" s="1342" t="s">
        <v>5739</v>
      </c>
      <c r="AE26" s="980"/>
      <c r="AF26" s="1342" t="s">
        <v>8884</v>
      </c>
      <c r="AG26" s="980"/>
      <c r="AH26" s="1342" t="s">
        <v>8885</v>
      </c>
      <c r="AI26" s="981"/>
      <c r="AJ26" s="981"/>
      <c r="AK26" s="1347" t="s">
        <v>3807</v>
      </c>
      <c r="AL26" s="1442"/>
      <c r="AM26" s="981"/>
      <c r="AN26" s="981"/>
      <c r="AO26" s="981"/>
      <c r="AP26" s="981"/>
      <c r="AQ26" s="981"/>
      <c r="AR26" s="1342" t="s">
        <v>8886</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4673</v>
      </c>
      <c r="CP26" s="981"/>
      <c r="CQ26" s="981"/>
      <c r="CR26" s="981"/>
      <c r="CS26" s="981"/>
      <c r="CT26" s="981"/>
      <c r="CU26" s="981"/>
    </row>
    <row r="27">
      <c r="A27" s="1393" t="s">
        <v>7465</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5406</v>
      </c>
      <c r="V27" s="981"/>
      <c r="W27" s="981"/>
      <c r="X27" s="980" t="s">
        <v>7690</v>
      </c>
      <c r="Y27" s="983" t="s">
        <v>7781</v>
      </c>
      <c r="Z27" s="981"/>
      <c r="AA27" s="980" t="s">
        <v>8892</v>
      </c>
      <c r="AB27" s="981"/>
      <c r="AC27" s="980" t="s">
        <v>8893</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4671</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8748</v>
      </c>
      <c r="Z28" s="981"/>
      <c r="AA28" s="981"/>
      <c r="AB28" s="981"/>
      <c r="AC28" s="1334"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6617</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7554</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4538</v>
      </c>
      <c r="B32" s="788" t="s">
        <v>4774</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6086</v>
      </c>
      <c r="Z32" s="981"/>
      <c r="AA32" s="981"/>
      <c r="AB32" s="981"/>
      <c r="AC32" s="1342" t="s">
        <v>8903</v>
      </c>
      <c r="AD32" s="980" t="s">
        <v>2126</v>
      </c>
      <c r="AE32" s="980"/>
      <c r="AF32" s="1342" t="s">
        <v>7247</v>
      </c>
      <c r="AG32" s="980"/>
      <c r="AH32" s="1342" t="s">
        <v>4447</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4559</v>
      </c>
      <c r="BY32" s="1342" t="s">
        <v>4474</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6205</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5507</v>
      </c>
      <c r="AE33" s="981"/>
      <c r="AF33" s="981"/>
      <c r="AG33" s="981"/>
      <c r="AH33" s="981"/>
      <c r="AI33" s="981"/>
      <c r="AJ33" s="981"/>
      <c r="AK33" s="981"/>
      <c r="AL33" s="981"/>
      <c r="AM33" s="980" t="s">
        <v>8910</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7491</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5687</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6277</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6535</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6429</v>
      </c>
      <c r="Y38" s="980" t="s">
        <v>2005</v>
      </c>
      <c r="Z38" s="981"/>
      <c r="AA38" s="980" t="s">
        <v>3145</v>
      </c>
      <c r="AB38" s="981"/>
      <c r="AC38" s="980" t="s">
        <v>8918</v>
      </c>
      <c r="AD38" s="980" t="s">
        <v>2125</v>
      </c>
      <c r="AE38" s="980" t="s">
        <v>6514</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8337</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5627</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5797</v>
      </c>
      <c r="B40" s="788" t="s">
        <v>8337</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4647</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6246</v>
      </c>
      <c r="C42" s="784" t="s">
        <v>1256</v>
      </c>
      <c r="D42" s="785" t="s">
        <v>1256</v>
      </c>
      <c r="E42" s="786" t="s">
        <v>1256</v>
      </c>
      <c r="F42" s="787" t="s">
        <v>1256</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6314</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6266</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6520</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6647</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5107</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6464</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5556</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5922</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4324</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6622</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8954</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8251</v>
      </c>
      <c r="F1" s="1465" t="s">
        <v>8252</v>
      </c>
      <c r="G1" s="1465" t="s">
        <v>8962</v>
      </c>
      <c r="H1" s="1466" t="s">
        <v>8963</v>
      </c>
      <c r="I1" s="1466" t="s">
        <v>8964</v>
      </c>
      <c r="J1" s="1467" t="s">
        <v>8263</v>
      </c>
      <c r="K1" s="1467" t="s">
        <v>8965</v>
      </c>
      <c r="L1" s="1467" t="s">
        <v>8966</v>
      </c>
      <c r="M1" s="1467" t="s">
        <v>8967</v>
      </c>
      <c r="N1" s="1467" t="s">
        <v>8326</v>
      </c>
      <c r="O1" s="1467" t="s">
        <v>8968</v>
      </c>
      <c r="P1" s="1467" t="s">
        <v>8969</v>
      </c>
      <c r="Q1" s="1468" t="s">
        <v>8970</v>
      </c>
      <c r="R1" s="1468" t="s">
        <v>8259</v>
      </c>
      <c r="S1" s="1468" t="s">
        <v>8971</v>
      </c>
      <c r="T1" s="1468" t="s">
        <v>8972</v>
      </c>
      <c r="U1" s="1468" t="s">
        <v>8973</v>
      </c>
      <c r="V1" s="1468" t="s">
        <v>8974</v>
      </c>
      <c r="W1" s="1469" t="s">
        <v>8253</v>
      </c>
      <c r="X1" s="1469" t="s">
        <v>8254</v>
      </c>
      <c r="Y1" s="1469" t="s">
        <v>8975</v>
      </c>
      <c r="Z1" s="1469" t="s">
        <v>8976</v>
      </c>
      <c r="AA1" s="1469" t="s">
        <v>8256</v>
      </c>
      <c r="AB1" s="1469" t="s">
        <v>8977</v>
      </c>
      <c r="AC1" s="1469" t="s">
        <v>8978</v>
      </c>
      <c r="AD1" s="1465" t="s">
        <v>8979</v>
      </c>
      <c r="AE1" s="1465" t="s">
        <v>8980</v>
      </c>
      <c r="AF1" s="1470" t="s">
        <v>8260</v>
      </c>
      <c r="AG1" s="1470" t="s">
        <v>8981</v>
      </c>
      <c r="AH1" s="1470" t="s">
        <v>8982</v>
      </c>
      <c r="AI1" s="1470" t="s">
        <v>8261</v>
      </c>
      <c r="AJ1" s="1470" t="s">
        <v>8983</v>
      </c>
      <c r="AK1" s="1470" t="s">
        <v>8984</v>
      </c>
      <c r="AL1" s="1470" t="s">
        <v>8985</v>
      </c>
      <c r="AM1" s="1471" t="s">
        <v>8262</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6317</v>
      </c>
      <c r="I2" s="1481" t="s">
        <v>9002</v>
      </c>
      <c r="J2" s="1482" t="s">
        <v>5201</v>
      </c>
      <c r="K2" s="1483" t="s">
        <v>9003</v>
      </c>
      <c r="L2" s="1483" t="s">
        <v>234</v>
      </c>
      <c r="M2" s="1483" t="s">
        <v>6292</v>
      </c>
      <c r="N2" s="1483" t="s">
        <v>4067</v>
      </c>
      <c r="O2" s="1483" t="s">
        <v>9004</v>
      </c>
      <c r="P2" s="1483" t="s">
        <v>9005</v>
      </c>
      <c r="Q2" s="1484" t="s">
        <v>9006</v>
      </c>
      <c r="R2" s="1485" t="s">
        <v>9007</v>
      </c>
      <c r="S2" s="1484" t="s">
        <v>6807</v>
      </c>
      <c r="T2" s="1485" t="s">
        <v>3273</v>
      </c>
      <c r="U2" s="1484" t="s">
        <v>6987</v>
      </c>
      <c r="V2" s="1484" t="s">
        <v>3772</v>
      </c>
      <c r="W2" s="1486" t="s">
        <v>6512</v>
      </c>
      <c r="X2" s="1487" t="s">
        <v>9008</v>
      </c>
      <c r="Y2" s="1487" t="s">
        <v>5883</v>
      </c>
      <c r="Z2" s="1488" t="s">
        <v>6870</v>
      </c>
      <c r="AA2" s="1487" t="s">
        <v>9009</v>
      </c>
      <c r="AB2" s="1487" t="s">
        <v>9010</v>
      </c>
      <c r="AC2" s="1488" t="s">
        <v>4093</v>
      </c>
      <c r="AD2" s="1489" t="s">
        <v>9011</v>
      </c>
      <c r="AE2" s="1490" t="s">
        <v>4796</v>
      </c>
      <c r="AF2" s="1491" t="s">
        <v>9012</v>
      </c>
      <c r="AG2" s="1491" t="s">
        <v>9013</v>
      </c>
      <c r="AH2" s="1491" t="s">
        <v>3848</v>
      </c>
      <c r="AI2" s="1492" t="s">
        <v>5414</v>
      </c>
      <c r="AJ2" s="1492" t="s">
        <v>9014</v>
      </c>
      <c r="AK2" s="1492" t="s">
        <v>9015</v>
      </c>
      <c r="AL2" s="1492" t="s">
        <v>5661</v>
      </c>
      <c r="AM2" s="1493" t="s">
        <v>9016</v>
      </c>
      <c r="AN2" s="1494" t="s">
        <v>9017</v>
      </c>
      <c r="AO2" s="1494" t="s">
        <v>7088</v>
      </c>
      <c r="AP2" s="1495" t="s">
        <v>9018</v>
      </c>
      <c r="AQ2" s="1493" t="s">
        <v>9019</v>
      </c>
      <c r="AR2" s="1494" t="s">
        <v>9020</v>
      </c>
      <c r="AS2" s="1493" t="s">
        <v>1331</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6701</v>
      </c>
      <c r="F3" s="1502" t="s">
        <v>9026</v>
      </c>
      <c r="G3" s="1502" t="s">
        <v>9027</v>
      </c>
      <c r="H3" s="1503" t="s">
        <v>9028</v>
      </c>
      <c r="I3" s="1503" t="s">
        <v>9029</v>
      </c>
      <c r="J3" s="1504" t="s">
        <v>1350</v>
      </c>
      <c r="K3" s="1504" t="s">
        <v>9030</v>
      </c>
      <c r="L3" s="1504" t="s">
        <v>2948</v>
      </c>
      <c r="M3" s="1504" t="s">
        <v>9031</v>
      </c>
      <c r="N3" s="1504" t="s">
        <v>2500</v>
      </c>
      <c r="O3" s="1504" t="s">
        <v>9032</v>
      </c>
      <c r="P3" s="1504" t="s">
        <v>5599</v>
      </c>
      <c r="Q3" s="1505" t="s">
        <v>5834</v>
      </c>
      <c r="R3" s="1505" t="s">
        <v>9033</v>
      </c>
      <c r="S3" s="1505" t="s">
        <v>9034</v>
      </c>
      <c r="T3" s="1505" t="s">
        <v>9035</v>
      </c>
      <c r="U3" s="1506" t="s">
        <v>7351</v>
      </c>
      <c r="V3" s="1505" t="s">
        <v>9036</v>
      </c>
      <c r="W3" s="1507" t="s">
        <v>4149</v>
      </c>
      <c r="X3" s="1507" t="s">
        <v>6016</v>
      </c>
      <c r="Y3" s="1508" t="s">
        <v>9037</v>
      </c>
      <c r="Z3" s="1508" t="s">
        <v>1337</v>
      </c>
      <c r="AA3" s="1508" t="s">
        <v>5785</v>
      </c>
      <c r="AB3" s="1507" t="s">
        <v>6790</v>
      </c>
      <c r="AC3" s="1508" t="s">
        <v>9038</v>
      </c>
      <c r="AD3" s="1502" t="s">
        <v>9039</v>
      </c>
      <c r="AE3" s="1502" t="s">
        <v>9040</v>
      </c>
      <c r="AF3" s="1509" t="s">
        <v>9041</v>
      </c>
      <c r="AG3" s="1510" t="s">
        <v>4608</v>
      </c>
      <c r="AH3" s="1510" t="s">
        <v>9042</v>
      </c>
      <c r="AI3" s="1510" t="s">
        <v>9043</v>
      </c>
      <c r="AJ3" s="1509" t="s">
        <v>9044</v>
      </c>
      <c r="AK3" s="1510" t="s">
        <v>3377</v>
      </c>
      <c r="AL3" s="1510" t="s">
        <v>9045</v>
      </c>
      <c r="AM3" s="1511" t="s">
        <v>9046</v>
      </c>
      <c r="AN3" s="1511" t="s">
        <v>4749</v>
      </c>
      <c r="AO3" s="1512" t="s">
        <v>7299</v>
      </c>
      <c r="AP3" s="1512" t="s">
        <v>9047</v>
      </c>
      <c r="AQ3" s="1512" t="s">
        <v>9048</v>
      </c>
      <c r="AR3" s="1512" t="s">
        <v>4074</v>
      </c>
      <c r="AS3" s="1511" t="s">
        <v>4874</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6339</v>
      </c>
      <c r="L4" s="1520" t="s">
        <v>3806</v>
      </c>
      <c r="M4" s="1520" t="s">
        <v>9059</v>
      </c>
      <c r="N4" s="1520" t="s">
        <v>9016</v>
      </c>
      <c r="O4" s="1520" t="s">
        <v>9060</v>
      </c>
      <c r="P4" s="1520" t="s">
        <v>9061</v>
      </c>
      <c r="Q4" s="1521" t="s">
        <v>9062</v>
      </c>
      <c r="R4" s="1521" t="s">
        <v>9063</v>
      </c>
      <c r="S4" s="1521" t="s">
        <v>2267</v>
      </c>
      <c r="T4" s="1521" t="s">
        <v>9064</v>
      </c>
      <c r="U4" s="1521" t="s">
        <v>9065</v>
      </c>
      <c r="V4" s="1521" t="s">
        <v>4286</v>
      </c>
      <c r="W4" s="1522" t="s">
        <v>9066</v>
      </c>
      <c r="X4" s="1522" t="s">
        <v>9067</v>
      </c>
      <c r="Y4" s="1522">
        <v>47.93</v>
      </c>
      <c r="Z4" s="1522" t="s">
        <v>9068</v>
      </c>
      <c r="AA4" s="1522" t="s">
        <v>9069</v>
      </c>
      <c r="AB4" s="1522" t="s">
        <v>9070</v>
      </c>
      <c r="AC4" s="1522">
        <v>49.24</v>
      </c>
      <c r="AD4" s="1523" t="s">
        <v>9071</v>
      </c>
      <c r="AE4" s="1524" t="s">
        <v>5579</v>
      </c>
      <c r="AF4" s="1525" t="s">
        <v>2804</v>
      </c>
      <c r="AG4" s="1525" t="s">
        <v>4603</v>
      </c>
      <c r="AH4" s="1525" t="s">
        <v>5267</v>
      </c>
      <c r="AI4" s="1525" t="s">
        <v>9072</v>
      </c>
      <c r="AJ4" s="1525" t="s">
        <v>9073</v>
      </c>
      <c r="AK4" s="1525" t="s">
        <v>884</v>
      </c>
      <c r="AL4" s="1525" t="s">
        <v>9074</v>
      </c>
      <c r="AM4" s="1526" t="s">
        <v>9075</v>
      </c>
      <c r="AN4" s="1527" t="s">
        <v>9076</v>
      </c>
      <c r="AO4" s="1526" t="s">
        <v>9077</v>
      </c>
      <c r="AP4" s="1527" t="s">
        <v>9078</v>
      </c>
      <c r="AQ4" s="1526" t="s">
        <v>9079</v>
      </c>
      <c r="AR4" s="1526" t="s">
        <v>7506</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6317</v>
      </c>
      <c r="I5" s="1534" t="s">
        <v>9002</v>
      </c>
      <c r="J5" s="1536" t="s">
        <v>5201</v>
      </c>
      <c r="K5" s="1537" t="s">
        <v>9083</v>
      </c>
      <c r="L5" s="1535" t="s">
        <v>2309</v>
      </c>
      <c r="M5" s="1537" t="s">
        <v>2572</v>
      </c>
      <c r="N5" s="1538" t="s">
        <v>4067</v>
      </c>
      <c r="O5" s="1539" t="s">
        <v>9084</v>
      </c>
      <c r="P5" s="1538" t="s">
        <v>9005</v>
      </c>
      <c r="Q5" s="1538" t="s">
        <v>9006</v>
      </c>
      <c r="R5" s="1536" t="s">
        <v>9007</v>
      </c>
      <c r="S5" s="1538" t="s">
        <v>6807</v>
      </c>
      <c r="T5" s="1536" t="s">
        <v>3273</v>
      </c>
      <c r="U5" s="1538" t="s">
        <v>6987</v>
      </c>
      <c r="V5" s="1540" t="s">
        <v>3772</v>
      </c>
      <c r="W5" s="1534" t="s">
        <v>6512</v>
      </c>
      <c r="X5" s="1536" t="s">
        <v>9008</v>
      </c>
      <c r="Y5" s="1536" t="s">
        <v>5883</v>
      </c>
      <c r="Z5" s="1539" t="s">
        <v>5060</v>
      </c>
      <c r="AA5" s="1536" t="s">
        <v>9009</v>
      </c>
      <c r="AB5" s="1535" t="s">
        <v>3294</v>
      </c>
      <c r="AC5" s="1538" t="s">
        <v>4093</v>
      </c>
      <c r="AD5" s="1536" t="s">
        <v>9011</v>
      </c>
      <c r="AE5" s="1537" t="s">
        <v>8075</v>
      </c>
      <c r="AF5" s="1451" t="s">
        <v>9085</v>
      </c>
      <c r="AG5" s="1329" t="s">
        <v>9086</v>
      </c>
      <c r="AH5" s="1535" t="s">
        <v>5651</v>
      </c>
      <c r="AI5" s="1538" t="s">
        <v>5414</v>
      </c>
      <c r="AJ5" s="1329" t="s">
        <v>9087</v>
      </c>
      <c r="AK5" s="1538" t="s">
        <v>9015</v>
      </c>
      <c r="AL5" s="1536" t="s">
        <v>5661</v>
      </c>
      <c r="AM5" s="1536" t="s">
        <v>9016</v>
      </c>
      <c r="AN5" s="1539" t="s">
        <v>5349</v>
      </c>
      <c r="AO5" s="1537" t="s">
        <v>6808</v>
      </c>
      <c r="AP5" s="1536" t="s">
        <v>9018</v>
      </c>
      <c r="AQ5" s="1536" t="s">
        <v>9019</v>
      </c>
      <c r="AR5" s="1329" t="s">
        <v>9088</v>
      </c>
      <c r="AS5" s="1539" t="s">
        <v>4497</v>
      </c>
      <c r="AT5" s="1535" t="s">
        <v>9089</v>
      </c>
      <c r="AU5" s="1541" t="s">
        <v>9090</v>
      </c>
      <c r="AV5" s="1451" t="str">
        <f t="shared" si="1"/>
        <v>2:03</v>
      </c>
      <c r="AW5" s="1542" t="s">
        <v>9091</v>
      </c>
    </row>
    <row r="6">
      <c r="A6" s="1543" t="s">
        <v>2543</v>
      </c>
      <c r="B6" s="1544" t="s">
        <v>8997</v>
      </c>
      <c r="C6" s="1545">
        <v>0.04926921296296296</v>
      </c>
      <c r="D6" s="1546" t="s">
        <v>9092</v>
      </c>
      <c r="E6" s="1546" t="s">
        <v>2780</v>
      </c>
      <c r="F6" s="1546" t="s">
        <v>9093</v>
      </c>
      <c r="G6" s="1546" t="s">
        <v>9094</v>
      </c>
      <c r="H6" s="1547" t="s">
        <v>9095</v>
      </c>
      <c r="I6" s="1547" t="s">
        <v>2552</v>
      </c>
      <c r="J6" s="1548" t="s">
        <v>9096</v>
      </c>
      <c r="K6" s="1548" t="s">
        <v>7509</v>
      </c>
      <c r="L6" s="1548" t="s">
        <v>9097</v>
      </c>
      <c r="M6" s="1548" t="s">
        <v>9098</v>
      </c>
      <c r="N6" s="1548" t="s">
        <v>102</v>
      </c>
      <c r="O6" s="1548" t="s">
        <v>9099</v>
      </c>
      <c r="P6" s="1548" t="s">
        <v>1090</v>
      </c>
      <c r="Q6" s="1549" t="s">
        <v>9100</v>
      </c>
      <c r="R6" s="1549" t="s">
        <v>3640</v>
      </c>
      <c r="S6" s="1549" t="s">
        <v>9101</v>
      </c>
      <c r="T6" s="1549" t="s">
        <v>3021</v>
      </c>
      <c r="U6" s="1549" t="s">
        <v>9102</v>
      </c>
      <c r="V6" s="1549" t="s">
        <v>9103</v>
      </c>
      <c r="W6" s="1550" t="s">
        <v>9104</v>
      </c>
      <c r="X6" s="1550" t="s">
        <v>4783</v>
      </c>
      <c r="Y6" s="1550" t="s">
        <v>9105</v>
      </c>
      <c r="Z6" s="1550" t="s">
        <v>7042</v>
      </c>
      <c r="AA6" s="1550" t="s">
        <v>9106</v>
      </c>
      <c r="AB6" s="1550" t="s">
        <v>9107</v>
      </c>
      <c r="AC6" s="1550" t="s">
        <v>8523</v>
      </c>
      <c r="AD6" s="1546" t="s">
        <v>9108</v>
      </c>
      <c r="AE6" s="1546" t="s">
        <v>9109</v>
      </c>
      <c r="AF6" s="1551" t="s">
        <v>9110</v>
      </c>
      <c r="AG6" s="1551" t="s">
        <v>6039</v>
      </c>
      <c r="AH6" s="1551" t="s">
        <v>3267</v>
      </c>
      <c r="AI6" s="1551" t="s">
        <v>9111</v>
      </c>
      <c r="AJ6" s="1551" t="s">
        <v>9112</v>
      </c>
      <c r="AK6" s="1551" t="s">
        <v>9016</v>
      </c>
      <c r="AL6" s="1551" t="s">
        <v>1738</v>
      </c>
      <c r="AM6" s="1552" t="s">
        <v>5026</v>
      </c>
      <c r="AN6" s="1552" t="s">
        <v>6305</v>
      </c>
      <c r="AO6" s="1552" t="s">
        <v>9113</v>
      </c>
      <c r="AP6" s="1552" t="s">
        <v>9114</v>
      </c>
      <c r="AQ6" s="1552" t="s">
        <v>4768</v>
      </c>
      <c r="AR6" s="1552" t="s">
        <v>6838</v>
      </c>
      <c r="AS6" s="1552" t="s">
        <v>2070</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2572</v>
      </c>
      <c r="N7" s="1558" t="s">
        <v>9125</v>
      </c>
      <c r="O7" s="1558" t="s">
        <v>9126</v>
      </c>
      <c r="P7" s="1558" t="s">
        <v>1283</v>
      </c>
      <c r="Q7" s="1560" t="s">
        <v>1565</v>
      </c>
      <c r="R7" s="1558" t="s">
        <v>4447</v>
      </c>
      <c r="S7" s="1558" t="s">
        <v>9123</v>
      </c>
      <c r="T7" s="1558" t="s">
        <v>5229</v>
      </c>
      <c r="U7" s="1560" t="s">
        <v>9127</v>
      </c>
      <c r="V7" s="1561" t="s">
        <v>8840</v>
      </c>
      <c r="W7" s="1558" t="s">
        <v>9128</v>
      </c>
      <c r="X7" s="1558" t="s">
        <v>6621</v>
      </c>
      <c r="Y7" s="1562">
        <v>46.72</v>
      </c>
      <c r="Z7" s="1562" t="s">
        <v>3700</v>
      </c>
      <c r="AA7" s="1558" t="s">
        <v>3712</v>
      </c>
      <c r="AB7" s="1563" t="s">
        <v>9010</v>
      </c>
      <c r="AC7" s="1558" t="s">
        <v>5511</v>
      </c>
      <c r="AD7" s="1558" t="s">
        <v>7006</v>
      </c>
      <c r="AE7" s="1564" t="s">
        <v>4796</v>
      </c>
      <c r="AF7" s="1562" t="s">
        <v>9129</v>
      </c>
      <c r="AG7" s="1561" t="s">
        <v>6180</v>
      </c>
      <c r="AH7" s="1563" t="s">
        <v>3848</v>
      </c>
      <c r="AI7" s="1558" t="s">
        <v>6075</v>
      </c>
      <c r="AJ7" s="1562" t="s">
        <v>9130</v>
      </c>
      <c r="AK7" s="1562" t="s">
        <v>5987</v>
      </c>
      <c r="AL7" s="1561" t="s">
        <v>6305</v>
      </c>
      <c r="AM7" s="1558" t="s">
        <v>9131</v>
      </c>
      <c r="AN7" s="1561" t="s">
        <v>4252</v>
      </c>
      <c r="AO7" s="1561" t="s">
        <v>2845</v>
      </c>
      <c r="AP7" s="1561" t="s">
        <v>9132</v>
      </c>
      <c r="AQ7" s="1451" t="s">
        <v>9133</v>
      </c>
      <c r="AR7" s="1561" t="s">
        <v>9134</v>
      </c>
      <c r="AS7" s="1561" t="s">
        <v>9135</v>
      </c>
      <c r="AT7" s="1561" t="s">
        <v>9136</v>
      </c>
      <c r="AU7" s="1565" t="s">
        <v>9137</v>
      </c>
      <c r="AV7" s="1451" t="str">
        <f t="shared" si="1"/>
        <v>2:15</v>
      </c>
      <c r="AW7" s="1542"/>
    </row>
    <row r="8" ht="15.75" customHeight="1">
      <c r="A8" s="1531" t="s">
        <v>6719</v>
      </c>
      <c r="B8" s="1532" t="s">
        <v>8997</v>
      </c>
      <c r="C8" s="1533">
        <v>0.049444444444444444</v>
      </c>
      <c r="D8" s="1539" t="s">
        <v>9138</v>
      </c>
      <c r="E8" s="1539" t="s">
        <v>9139</v>
      </c>
      <c r="F8" s="1559" t="s">
        <v>9140</v>
      </c>
      <c r="G8" s="1537" t="s">
        <v>9141</v>
      </c>
      <c r="H8" s="1559" t="s">
        <v>9142</v>
      </c>
      <c r="I8" s="1559" t="s">
        <v>2954</v>
      </c>
      <c r="J8" s="1539" t="s">
        <v>9143</v>
      </c>
      <c r="K8" s="1559" t="s">
        <v>3531</v>
      </c>
      <c r="L8" s="1559" t="s">
        <v>4189</v>
      </c>
      <c r="M8" s="1559" t="s">
        <v>6609</v>
      </c>
      <c r="N8" s="1539" t="s">
        <v>9144</v>
      </c>
      <c r="O8" s="1559" t="s">
        <v>9145</v>
      </c>
      <c r="P8" s="1451" t="s">
        <v>8065</v>
      </c>
      <c r="Q8" s="1539" t="s">
        <v>9146</v>
      </c>
      <c r="R8" s="1559" t="s">
        <v>6798</v>
      </c>
      <c r="S8" s="1559" t="s">
        <v>3438</v>
      </c>
      <c r="T8" s="1451" t="s">
        <v>9147</v>
      </c>
      <c r="U8" s="1559" t="s">
        <v>9148</v>
      </c>
      <c r="V8" s="1559" t="s">
        <v>5209</v>
      </c>
      <c r="W8" s="1566" t="s">
        <v>9149</v>
      </c>
      <c r="X8" s="1451" t="s">
        <v>2571</v>
      </c>
      <c r="Y8" s="1567" t="s">
        <v>9150</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6800</v>
      </c>
      <c r="AL8" s="1559" t="s">
        <v>9155</v>
      </c>
      <c r="AM8" s="1539" t="s">
        <v>4541</v>
      </c>
      <c r="AN8" s="1539" t="s">
        <v>2784</v>
      </c>
      <c r="AO8" s="1539" t="s">
        <v>6002</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1809</v>
      </c>
      <c r="B9" s="1532" t="s">
        <v>8997</v>
      </c>
      <c r="C9" s="1533">
        <v>0.04949074074074074</v>
      </c>
      <c r="D9" s="1571" t="s">
        <v>9162</v>
      </c>
      <c r="E9" s="1567" t="s">
        <v>9163</v>
      </c>
      <c r="F9" s="1567" t="s">
        <v>2134</v>
      </c>
      <c r="G9" s="1567" t="s">
        <v>9164</v>
      </c>
      <c r="H9" s="1539" t="s">
        <v>9165</v>
      </c>
      <c r="I9" s="1558">
        <v>47.34</v>
      </c>
      <c r="J9" s="1567" t="s">
        <v>1636</v>
      </c>
      <c r="K9" s="1567" t="s">
        <v>7364</v>
      </c>
      <c r="L9" s="1567">
        <v>55.97</v>
      </c>
      <c r="M9" s="1567" t="s">
        <v>2049</v>
      </c>
      <c r="N9" s="1567" t="s">
        <v>9166</v>
      </c>
      <c r="O9" s="1572" t="s">
        <v>9004</v>
      </c>
      <c r="P9" s="1567">
        <v>47.49</v>
      </c>
      <c r="Q9" s="1567" t="s">
        <v>9167</v>
      </c>
      <c r="R9" s="1567" t="s">
        <v>1225</v>
      </c>
      <c r="S9" s="1573" t="s">
        <v>1832</v>
      </c>
      <c r="T9" s="1567" t="s">
        <v>9168</v>
      </c>
      <c r="U9" s="1539" t="s">
        <v>9169</v>
      </c>
      <c r="V9" s="1567">
        <v>59.32</v>
      </c>
      <c r="W9" s="1571" t="s">
        <v>9170</v>
      </c>
      <c r="X9" s="1574" t="s">
        <v>9171</v>
      </c>
      <c r="Y9" s="1567">
        <v>46.65</v>
      </c>
      <c r="Z9" s="1567" t="s">
        <v>9172</v>
      </c>
      <c r="AA9" s="1567" t="s">
        <v>2497</v>
      </c>
      <c r="AB9" s="1567" t="s">
        <v>9173</v>
      </c>
      <c r="AC9" s="1567">
        <v>47.89</v>
      </c>
      <c r="AD9" s="1567" t="s">
        <v>1831</v>
      </c>
      <c r="AE9" s="1567">
        <v>47.98</v>
      </c>
      <c r="AF9" s="1574" t="s">
        <v>9174</v>
      </c>
      <c r="AG9" s="1567" t="s">
        <v>9175</v>
      </c>
      <c r="AH9" s="1567">
        <v>57.45</v>
      </c>
      <c r="AI9" s="1562" t="s">
        <v>6724</v>
      </c>
      <c r="AJ9" s="1575" t="s">
        <v>9087</v>
      </c>
      <c r="AK9" s="1567" t="s">
        <v>5479</v>
      </c>
      <c r="AL9" s="1567">
        <v>56.23</v>
      </c>
      <c r="AM9" s="1571" t="s">
        <v>4021</v>
      </c>
      <c r="AN9" s="1571" t="s">
        <v>9176</v>
      </c>
      <c r="AO9" s="1567" t="s">
        <v>9177</v>
      </c>
      <c r="AP9" s="1567" t="s">
        <v>9178</v>
      </c>
      <c r="AQ9" s="1567" t="s">
        <v>9179</v>
      </c>
      <c r="AR9" s="1574" t="s">
        <v>3922</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4549</v>
      </c>
      <c r="J10" s="1558" t="s">
        <v>1488</v>
      </c>
      <c r="K10" s="1561" t="s">
        <v>9185</v>
      </c>
      <c r="L10" s="1561" t="s">
        <v>9186</v>
      </c>
      <c r="M10" s="1564" t="s">
        <v>6292</v>
      </c>
      <c r="N10" s="1561" t="s">
        <v>5928</v>
      </c>
      <c r="O10" s="1561" t="s">
        <v>9187</v>
      </c>
      <c r="P10" s="1561" t="s">
        <v>6209</v>
      </c>
      <c r="Q10" s="1561" t="s">
        <v>4791</v>
      </c>
      <c r="R10" s="1561" t="s">
        <v>5788</v>
      </c>
      <c r="S10" s="1539" t="s">
        <v>2903</v>
      </c>
      <c r="T10" s="1561" t="s">
        <v>9188</v>
      </c>
      <c r="U10" s="1561" t="s">
        <v>9189</v>
      </c>
      <c r="V10" s="1561" t="s">
        <v>9190</v>
      </c>
      <c r="W10" s="1561" t="s">
        <v>9191</v>
      </c>
      <c r="X10" s="1539" t="s">
        <v>9192</v>
      </c>
      <c r="Y10" s="1561" t="s">
        <v>6209</v>
      </c>
      <c r="Z10" s="1572" t="s">
        <v>6870</v>
      </c>
      <c r="AA10" s="1539" t="s">
        <v>9043</v>
      </c>
      <c r="AB10" s="1561" t="s">
        <v>415</v>
      </c>
      <c r="AC10" s="1561" t="s">
        <v>3794</v>
      </c>
      <c r="AD10" s="1579" t="s">
        <v>3725</v>
      </c>
      <c r="AE10" s="1562">
        <v>47.81</v>
      </c>
      <c r="AF10" s="1561" t="s">
        <v>9193</v>
      </c>
      <c r="AG10" s="1561" t="s">
        <v>9194</v>
      </c>
      <c r="AH10" s="1561" t="s">
        <v>749</v>
      </c>
      <c r="AI10" s="1561" t="s">
        <v>9195</v>
      </c>
      <c r="AJ10" s="1561" t="s">
        <v>9196</v>
      </c>
      <c r="AK10" s="1561" t="s">
        <v>9197</v>
      </c>
      <c r="AL10" s="1561" t="s">
        <v>8643</v>
      </c>
      <c r="AM10" s="1561" t="s">
        <v>4541</v>
      </c>
      <c r="AN10" s="1572" t="s">
        <v>9017</v>
      </c>
      <c r="AO10" s="1572" t="s">
        <v>7088</v>
      </c>
      <c r="AP10" s="1561" t="s">
        <v>9198</v>
      </c>
      <c r="AQ10" s="1561" t="s">
        <v>9199</v>
      </c>
      <c r="AR10" s="1572" t="s">
        <v>9020</v>
      </c>
      <c r="AS10" s="1564" t="s">
        <v>1331</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5427</v>
      </c>
      <c r="I11" s="1561" t="s">
        <v>1385</v>
      </c>
      <c r="J11" s="1113" t="s">
        <v>9206</v>
      </c>
      <c r="K11" s="1561" t="s">
        <v>7810</v>
      </c>
      <c r="L11" s="1563" t="s">
        <v>234</v>
      </c>
      <c r="M11" s="1113" t="s">
        <v>9207</v>
      </c>
      <c r="N11" s="1558" t="s">
        <v>9208</v>
      </c>
      <c r="O11" s="1113" t="s">
        <v>9209</v>
      </c>
      <c r="P11" s="1561" t="s">
        <v>6600</v>
      </c>
      <c r="Q11" s="1561" t="s">
        <v>9167</v>
      </c>
      <c r="R11" s="1561" t="s">
        <v>5708</v>
      </c>
      <c r="S11" s="1561" t="s">
        <v>9210</v>
      </c>
      <c r="T11" s="1561" t="s">
        <v>4076</v>
      </c>
      <c r="U11" s="1561" t="s">
        <v>6289</v>
      </c>
      <c r="V11" s="980" t="s">
        <v>5564</v>
      </c>
      <c r="W11" s="1585" t="s">
        <v>9211</v>
      </c>
      <c r="X11" s="1561" t="s">
        <v>9212</v>
      </c>
      <c r="Y11" s="1558">
        <v>46.63</v>
      </c>
      <c r="Z11" s="1067" t="s">
        <v>306</v>
      </c>
      <c r="AA11" s="1558" t="s">
        <v>9213</v>
      </c>
      <c r="AB11" s="1563" t="s">
        <v>9010</v>
      </c>
      <c r="AC11" s="1561" t="s">
        <v>5509</v>
      </c>
      <c r="AD11" s="1561" t="s">
        <v>9214</v>
      </c>
      <c r="AE11" s="1562" t="s">
        <v>9215</v>
      </c>
      <c r="AF11" s="1558" t="s">
        <v>9216</v>
      </c>
      <c r="AG11" s="1567" t="s">
        <v>9217</v>
      </c>
      <c r="AH11" s="1561" t="s">
        <v>9218</v>
      </c>
      <c r="AI11" s="980" t="s">
        <v>9219</v>
      </c>
      <c r="AJ11" s="1562" t="s">
        <v>9220</v>
      </c>
      <c r="AK11" s="1561" t="s">
        <v>1296</v>
      </c>
      <c r="AL11" s="1561" t="s">
        <v>5181</v>
      </c>
      <c r="AM11" s="1561" t="s">
        <v>4076</v>
      </c>
      <c r="AN11" s="1113" t="s">
        <v>9221</v>
      </c>
      <c r="AO11" s="1561" t="s">
        <v>9134</v>
      </c>
      <c r="AP11" s="1561" t="s">
        <v>9222</v>
      </c>
      <c r="AQ11" s="1561" t="s">
        <v>9223</v>
      </c>
      <c r="AR11" s="1561" t="s">
        <v>4628</v>
      </c>
      <c r="AS11" s="1561" t="s">
        <v>9224</v>
      </c>
      <c r="AT11" s="1586" t="s">
        <v>9225</v>
      </c>
      <c r="AU11" s="1580" t="s">
        <v>9226</v>
      </c>
      <c r="AV11" s="1451" t="str">
        <f t="shared" si="1"/>
        <v>2:59</v>
      </c>
      <c r="AW11" s="1587"/>
    </row>
    <row r="12">
      <c r="A12" s="1556" t="s">
        <v>6604</v>
      </c>
      <c r="B12" s="1588" t="s">
        <v>8997</v>
      </c>
      <c r="C12" s="1533">
        <v>0.04958333333333333</v>
      </c>
      <c r="D12" s="980" t="s">
        <v>9227</v>
      </c>
      <c r="E12" s="1567" t="s">
        <v>6564</v>
      </c>
      <c r="F12" s="1567" t="s">
        <v>9228</v>
      </c>
      <c r="G12" s="1567" t="s">
        <v>9229</v>
      </c>
      <c r="H12" s="1571" t="s">
        <v>9230</v>
      </c>
      <c r="I12" s="1571" t="s">
        <v>5774</v>
      </c>
      <c r="J12" s="1571" t="s">
        <v>151</v>
      </c>
      <c r="K12" s="1571" t="s">
        <v>6997</v>
      </c>
      <c r="L12" s="1567">
        <v>56.42</v>
      </c>
      <c r="M12" s="1567" t="s">
        <v>1118</v>
      </c>
      <c r="N12" s="1567" t="s">
        <v>9231</v>
      </c>
      <c r="O12" s="1571" t="s">
        <v>9232</v>
      </c>
      <c r="P12" s="1571" t="s">
        <v>280</v>
      </c>
      <c r="Q12" s="1571" t="s">
        <v>9233</v>
      </c>
      <c r="R12" s="1567" t="s">
        <v>9234</v>
      </c>
      <c r="S12" s="1571" t="s">
        <v>9235</v>
      </c>
      <c r="T12" s="1571" t="s">
        <v>5026</v>
      </c>
      <c r="U12" s="1571" t="s">
        <v>9236</v>
      </c>
      <c r="V12" s="1567">
        <v>59.45</v>
      </c>
      <c r="W12" s="1571" t="s">
        <v>9237</v>
      </c>
      <c r="X12" s="1571" t="s">
        <v>9238</v>
      </c>
      <c r="Y12" s="1571" t="s">
        <v>5133</v>
      </c>
      <c r="Z12" s="1567" t="s">
        <v>4183</v>
      </c>
      <c r="AA12" s="1567" t="s">
        <v>3216</v>
      </c>
      <c r="AB12" s="1567" t="s">
        <v>4596</v>
      </c>
      <c r="AC12" s="1571" t="s">
        <v>4903</v>
      </c>
      <c r="AD12" s="1571" t="s">
        <v>9239</v>
      </c>
      <c r="AE12" s="1567">
        <v>47.89</v>
      </c>
      <c r="AF12" s="1567" t="s">
        <v>9240</v>
      </c>
      <c r="AG12" s="1564" t="s">
        <v>9013</v>
      </c>
      <c r="AH12" s="1567">
        <v>57.71</v>
      </c>
      <c r="AI12" s="1571" t="s">
        <v>2228</v>
      </c>
      <c r="AJ12" s="1567" t="s">
        <v>9241</v>
      </c>
      <c r="AK12" s="1571" t="s">
        <v>6811</v>
      </c>
      <c r="AL12" s="1567">
        <v>56.69</v>
      </c>
      <c r="AM12" s="1571" t="s">
        <v>9242</v>
      </c>
      <c r="AN12" s="1571" t="s">
        <v>4144</v>
      </c>
      <c r="AO12" s="1571" t="s">
        <v>2938</v>
      </c>
      <c r="AP12" s="1567" t="s">
        <v>9243</v>
      </c>
      <c r="AQ12" s="1571" t="s">
        <v>9244</v>
      </c>
      <c r="AR12" s="1571" t="s">
        <v>9245</v>
      </c>
      <c r="AS12" s="1567">
        <v>43.65</v>
      </c>
      <c r="AT12" s="1571" t="s">
        <v>9246</v>
      </c>
      <c r="AU12" s="1565" t="s">
        <v>9247</v>
      </c>
      <c r="AV12" s="1451" t="str">
        <f t="shared" si="1"/>
        <v>1:34</v>
      </c>
      <c r="AW12" s="1589" t="s">
        <v>9248</v>
      </c>
    </row>
    <row r="13" ht="15.75" customHeight="1">
      <c r="A13" s="1590" t="s">
        <v>7129</v>
      </c>
      <c r="B13" s="1532" t="s">
        <v>8997</v>
      </c>
      <c r="C13" s="1533">
        <v>0.04967592592592593</v>
      </c>
      <c r="D13" s="980" t="s">
        <v>9249</v>
      </c>
      <c r="E13" s="1559" t="s">
        <v>954</v>
      </c>
      <c r="F13" s="1559" t="s">
        <v>9250</v>
      </c>
      <c r="G13" s="1559" t="s">
        <v>9251</v>
      </c>
      <c r="H13" s="980" t="s">
        <v>9252</v>
      </c>
      <c r="I13" s="1559" t="s">
        <v>9253</v>
      </c>
      <c r="J13" s="1559" t="s">
        <v>9254</v>
      </c>
      <c r="K13" s="1559" t="s">
        <v>6527</v>
      </c>
      <c r="L13" s="1559" t="s">
        <v>4502</v>
      </c>
      <c r="M13" s="1559" t="s">
        <v>8817</v>
      </c>
      <c r="N13" s="1559" t="s">
        <v>2224</v>
      </c>
      <c r="O13" s="1559" t="s">
        <v>3334</v>
      </c>
      <c r="P13" s="1559" t="s">
        <v>9253</v>
      </c>
      <c r="Q13" s="1559" t="s">
        <v>9255</v>
      </c>
      <c r="R13" s="1559" t="s">
        <v>1225</v>
      </c>
      <c r="S13" s="1591" t="s">
        <v>9256</v>
      </c>
      <c r="T13" s="1559" t="s">
        <v>4917</v>
      </c>
      <c r="U13" s="1559" t="s">
        <v>9257</v>
      </c>
      <c r="V13" s="1559" t="s">
        <v>9258</v>
      </c>
      <c r="W13" s="1559" t="s">
        <v>9259</v>
      </c>
      <c r="X13" s="1559" t="s">
        <v>1047</v>
      </c>
      <c r="Y13" s="1559" t="s">
        <v>4389</v>
      </c>
      <c r="Z13" s="1559" t="s">
        <v>9260</v>
      </c>
      <c r="AA13" s="1559" t="s">
        <v>9261</v>
      </c>
      <c r="AB13" s="1559" t="s">
        <v>1840</v>
      </c>
      <c r="AC13" s="1559" t="s">
        <v>759</v>
      </c>
      <c r="AD13" s="1559" t="s">
        <v>9262</v>
      </c>
      <c r="AE13" s="1559" t="s">
        <v>5464</v>
      </c>
      <c r="AF13" s="1539" t="s">
        <v>9263</v>
      </c>
      <c r="AG13" s="1559" t="s">
        <v>9264</v>
      </c>
      <c r="AH13" s="1559" t="s">
        <v>4816</v>
      </c>
      <c r="AI13" s="1559" t="s">
        <v>3019</v>
      </c>
      <c r="AJ13" s="1559" t="s">
        <v>9265</v>
      </c>
      <c r="AK13" s="1559" t="s">
        <v>4191</v>
      </c>
      <c r="AL13" s="1559" t="s">
        <v>9266</v>
      </c>
      <c r="AM13" s="1559" t="s">
        <v>9267</v>
      </c>
      <c r="AN13" s="980" t="s">
        <v>9124</v>
      </c>
      <c r="AO13" s="1559" t="s">
        <v>9268</v>
      </c>
      <c r="AP13" s="1559" t="s">
        <v>9269</v>
      </c>
      <c r="AQ13" s="1539" t="s">
        <v>9270</v>
      </c>
      <c r="AR13" s="1559" t="s">
        <v>1844</v>
      </c>
      <c r="AS13" s="1559" t="s">
        <v>1571</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3297</v>
      </c>
      <c r="F14" s="980" t="s">
        <v>9275</v>
      </c>
      <c r="G14" s="1593" t="s">
        <v>9276</v>
      </c>
      <c r="H14" s="1594" t="s">
        <v>9028</v>
      </c>
      <c r="I14" s="980" t="s">
        <v>9277</v>
      </c>
      <c r="J14" s="980" t="s">
        <v>9278</v>
      </c>
      <c r="K14" s="1595" t="s">
        <v>9030</v>
      </c>
      <c r="L14" s="1596" t="s">
        <v>4726</v>
      </c>
      <c r="M14" s="980" t="s">
        <v>6587</v>
      </c>
      <c r="N14" s="1597" t="s">
        <v>5277</v>
      </c>
      <c r="O14" s="980" t="s">
        <v>6911</v>
      </c>
      <c r="P14" s="1597" t="s">
        <v>5509</v>
      </c>
      <c r="Q14" s="980" t="s">
        <v>9279</v>
      </c>
      <c r="R14" s="1595" t="s">
        <v>9033</v>
      </c>
      <c r="S14" s="1598" t="s">
        <v>9034</v>
      </c>
      <c r="T14" s="1599" t="s">
        <v>4021</v>
      </c>
      <c r="U14" s="1600" t="s">
        <v>9280</v>
      </c>
      <c r="V14" s="1601" t="s">
        <v>9036</v>
      </c>
      <c r="W14" s="1602" t="s">
        <v>4149</v>
      </c>
      <c r="X14" s="1602" t="s">
        <v>6016</v>
      </c>
      <c r="Y14" s="1595" t="s">
        <v>9037</v>
      </c>
      <c r="Z14" s="1602" t="s">
        <v>1337</v>
      </c>
      <c r="AA14" s="1603" t="s">
        <v>5785</v>
      </c>
      <c r="AB14" s="1595" t="s">
        <v>6790</v>
      </c>
      <c r="AC14" s="1604" t="s">
        <v>9038</v>
      </c>
      <c r="AD14" s="980" t="s">
        <v>9281</v>
      </c>
      <c r="AE14" s="1605" t="s">
        <v>9040</v>
      </c>
      <c r="AF14" s="1329" t="s">
        <v>9282</v>
      </c>
      <c r="AG14" s="1602" t="s">
        <v>4608</v>
      </c>
      <c r="AH14" s="1606" t="s">
        <v>9042</v>
      </c>
      <c r="AI14" s="1606" t="s">
        <v>9043</v>
      </c>
      <c r="AJ14" s="980" t="s">
        <v>9283</v>
      </c>
      <c r="AK14" s="1602" t="s">
        <v>3377</v>
      </c>
      <c r="AL14" s="1602" t="s">
        <v>9045</v>
      </c>
      <c r="AM14" s="980" t="s">
        <v>885</v>
      </c>
      <c r="AN14" s="1607" t="s">
        <v>4749</v>
      </c>
      <c r="AO14" s="1595" t="s">
        <v>7299</v>
      </c>
      <c r="AP14" s="1608" t="s">
        <v>9047</v>
      </c>
      <c r="AQ14" s="1609" t="s">
        <v>9048</v>
      </c>
      <c r="AR14" s="1609" t="s">
        <v>4074</v>
      </c>
      <c r="AS14" s="1610" t="s">
        <v>4874</v>
      </c>
      <c r="AT14" s="1595" t="s">
        <v>9049</v>
      </c>
      <c r="AU14" s="1580" t="s">
        <v>9284</v>
      </c>
      <c r="AV14" s="1451" t="str">
        <f t="shared" si="1"/>
        <v>4:01</v>
      </c>
      <c r="AW14" s="1581" t="s">
        <v>9285</v>
      </c>
    </row>
    <row r="15" ht="15.75" customHeight="1">
      <c r="A15" s="1611" t="s">
        <v>2771</v>
      </c>
      <c r="B15" s="1532" t="s">
        <v>8997</v>
      </c>
      <c r="C15" s="1612">
        <v>0.04971064814814815</v>
      </c>
      <c r="D15" s="1403" t="s">
        <v>9286</v>
      </c>
      <c r="E15" s="1613" t="s">
        <v>511</v>
      </c>
      <c r="F15" s="1613" t="s">
        <v>9287</v>
      </c>
      <c r="G15" s="1613" t="s">
        <v>9288</v>
      </c>
      <c r="H15" s="1539" t="s">
        <v>9289</v>
      </c>
      <c r="I15" s="905" t="s">
        <v>5786</v>
      </c>
      <c r="J15" s="1597" t="s">
        <v>2546</v>
      </c>
      <c r="K15" s="1597" t="s">
        <v>4343</v>
      </c>
      <c r="L15" s="1597" t="s">
        <v>4726</v>
      </c>
      <c r="M15" s="1614" t="s">
        <v>6292</v>
      </c>
      <c r="N15" s="1597" t="s">
        <v>2697</v>
      </c>
      <c r="O15" s="1597" t="s">
        <v>9290</v>
      </c>
      <c r="P15" s="1597" t="s">
        <v>9291</v>
      </c>
      <c r="Q15" s="1539" t="s">
        <v>9292</v>
      </c>
      <c r="R15" s="1600" t="s">
        <v>9293</v>
      </c>
      <c r="S15" s="1539" t="s">
        <v>1832</v>
      </c>
      <c r="T15" s="1600" t="s">
        <v>9294</v>
      </c>
      <c r="U15" s="1539" t="s">
        <v>9295</v>
      </c>
      <c r="V15" s="1600" t="s">
        <v>3454</v>
      </c>
      <c r="W15" s="1615" t="s">
        <v>9296</v>
      </c>
      <c r="X15" s="1615" t="s">
        <v>4105</v>
      </c>
      <c r="Y15" s="1615" t="s">
        <v>8076</v>
      </c>
      <c r="Z15" s="1615" t="s">
        <v>9297</v>
      </c>
      <c r="AA15" s="1615" t="s">
        <v>6180</v>
      </c>
      <c r="AB15" s="1615" t="s">
        <v>4428</v>
      </c>
      <c r="AC15" s="1615" t="s">
        <v>1143</v>
      </c>
      <c r="AD15" s="1613" t="s">
        <v>9298</v>
      </c>
      <c r="AE15" s="1613" t="s">
        <v>5385</v>
      </c>
      <c r="AF15" s="1616" t="s">
        <v>9299</v>
      </c>
      <c r="AG15" s="1616" t="s">
        <v>7404</v>
      </c>
      <c r="AH15" s="1616" t="s">
        <v>5395</v>
      </c>
      <c r="AI15" s="1616" t="s">
        <v>9300</v>
      </c>
      <c r="AJ15" s="1616" t="s">
        <v>9301</v>
      </c>
      <c r="AK15" s="1616" t="s">
        <v>9302</v>
      </c>
      <c r="AL15" s="1616" t="s">
        <v>3579</v>
      </c>
      <c r="AM15" s="1617" t="s">
        <v>9303</v>
      </c>
      <c r="AN15" s="1618" t="s">
        <v>4726</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1879</v>
      </c>
      <c r="B16" s="1588" t="s">
        <v>8997</v>
      </c>
      <c r="C16" s="1620">
        <v>0.04976851851851852</v>
      </c>
      <c r="D16" s="1571" t="s">
        <v>9311</v>
      </c>
      <c r="E16" s="1571" t="s">
        <v>9312</v>
      </c>
      <c r="F16" s="1571" t="s">
        <v>6975</v>
      </c>
      <c r="G16" s="1574" t="s">
        <v>9313</v>
      </c>
      <c r="H16" s="1571" t="s">
        <v>9314</v>
      </c>
      <c r="I16" s="1571" t="s">
        <v>3753</v>
      </c>
      <c r="J16" s="1571" t="s">
        <v>9315</v>
      </c>
      <c r="K16" s="1576" t="s">
        <v>9003</v>
      </c>
      <c r="L16" s="1571" t="s">
        <v>8688</v>
      </c>
      <c r="M16" s="1571" t="s">
        <v>9316</v>
      </c>
      <c r="N16" s="1571" t="s">
        <v>688</v>
      </c>
      <c r="O16" s="1571" t="s">
        <v>9317</v>
      </c>
      <c r="P16" s="1571" t="s">
        <v>6600</v>
      </c>
      <c r="Q16" s="1571" t="s">
        <v>9318</v>
      </c>
      <c r="R16" s="1571" t="s">
        <v>6936</v>
      </c>
      <c r="S16" s="1571" t="s">
        <v>9319</v>
      </c>
      <c r="T16" s="1571" t="s">
        <v>5892</v>
      </c>
      <c r="U16" s="1571" t="s">
        <v>9320</v>
      </c>
      <c r="V16" s="1571" t="s">
        <v>9321</v>
      </c>
      <c r="W16" s="1571" t="s">
        <v>9322</v>
      </c>
      <c r="X16" s="1571" t="s">
        <v>9323</v>
      </c>
      <c r="Y16" s="1571" t="s">
        <v>9150</v>
      </c>
      <c r="Z16" s="1571" t="s">
        <v>9324</v>
      </c>
      <c r="AA16" s="1571" t="s">
        <v>9325</v>
      </c>
      <c r="AB16" s="1571" t="s">
        <v>9326</v>
      </c>
      <c r="AC16" s="1571" t="s">
        <v>596</v>
      </c>
      <c r="AD16" s="1571" t="s">
        <v>3236</v>
      </c>
      <c r="AE16" s="1571" t="s">
        <v>5625</v>
      </c>
      <c r="AF16" s="1571" t="s">
        <v>9327</v>
      </c>
      <c r="AG16" s="1571" t="s">
        <v>309</v>
      </c>
      <c r="AH16" s="1571" t="s">
        <v>9328</v>
      </c>
      <c r="AI16" s="1571" t="s">
        <v>3216</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6402</v>
      </c>
      <c r="B17" s="1623" t="s">
        <v>8997</v>
      </c>
      <c r="C17" s="1533">
        <v>0.04982638888888889</v>
      </c>
      <c r="D17" s="1403" t="s">
        <v>9336</v>
      </c>
      <c r="E17" s="1403" t="s">
        <v>4840</v>
      </c>
      <c r="F17" s="1403" t="s">
        <v>9337</v>
      </c>
      <c r="G17" s="1403" t="s">
        <v>9338</v>
      </c>
      <c r="H17" s="1403" t="s">
        <v>9339</v>
      </c>
      <c r="I17" s="1403" t="s">
        <v>5526</v>
      </c>
      <c r="J17" s="1403" t="s">
        <v>9340</v>
      </c>
      <c r="K17" s="980" t="s">
        <v>9341</v>
      </c>
      <c r="L17" s="1403" t="s">
        <v>9342</v>
      </c>
      <c r="M17" s="1403" t="s">
        <v>9343</v>
      </c>
      <c r="N17" s="1403" t="s">
        <v>2098</v>
      </c>
      <c r="O17" s="1403" t="s">
        <v>9344</v>
      </c>
      <c r="P17" s="980" t="s">
        <v>4476</v>
      </c>
      <c r="Q17" s="1403" t="s">
        <v>9345</v>
      </c>
      <c r="R17" s="1403" t="s">
        <v>1871</v>
      </c>
      <c r="S17" s="1403" t="s">
        <v>3438</v>
      </c>
      <c r="T17" s="1403" t="s">
        <v>9346</v>
      </c>
      <c r="U17" s="1403" t="s">
        <v>9347</v>
      </c>
      <c r="V17" s="1403" t="s">
        <v>7689</v>
      </c>
      <c r="W17" s="1403" t="s">
        <v>5497</v>
      </c>
      <c r="X17" s="1403" t="s">
        <v>9013</v>
      </c>
      <c r="Y17" s="1403" t="s">
        <v>9122</v>
      </c>
      <c r="Z17" s="1403" t="s">
        <v>7818</v>
      </c>
      <c r="AA17" s="1624" t="s">
        <v>9348</v>
      </c>
      <c r="AB17" s="1403" t="s">
        <v>5928</v>
      </c>
      <c r="AC17" s="1403" t="s">
        <v>1025</v>
      </c>
      <c r="AD17" s="1403" t="s">
        <v>7035</v>
      </c>
      <c r="AE17" s="1403" t="s">
        <v>4965</v>
      </c>
      <c r="AF17" s="1403" t="s">
        <v>9349</v>
      </c>
      <c r="AG17" s="1403" t="s">
        <v>1529</v>
      </c>
      <c r="AH17" s="980" t="s">
        <v>9350</v>
      </c>
      <c r="AI17" s="1403" t="s">
        <v>8732</v>
      </c>
      <c r="AJ17" s="1403" t="s">
        <v>9351</v>
      </c>
      <c r="AK17" s="1403" t="s">
        <v>9352</v>
      </c>
      <c r="AL17" s="1403" t="s">
        <v>4420</v>
      </c>
      <c r="AM17" s="1403" t="s">
        <v>3461</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2647</v>
      </c>
      <c r="B18" s="1578" t="s">
        <v>9024</v>
      </c>
      <c r="C18" s="1627">
        <v>0.04985763888888889</v>
      </c>
      <c r="D18" s="1329" t="s">
        <v>9360</v>
      </c>
      <c r="E18" s="1628" t="s">
        <v>9361</v>
      </c>
      <c r="F18" s="1613" t="s">
        <v>1145</v>
      </c>
      <c r="G18" s="1628" t="s">
        <v>9362</v>
      </c>
      <c r="H18" s="1075" t="s">
        <v>9363</v>
      </c>
      <c r="I18" s="802" t="s">
        <v>239</v>
      </c>
      <c r="J18" s="1629" t="s">
        <v>9364</v>
      </c>
      <c r="K18" s="1630" t="s">
        <v>1619</v>
      </c>
      <c r="L18" s="1629" t="s">
        <v>9365</v>
      </c>
      <c r="M18" s="1629" t="s">
        <v>9366</v>
      </c>
      <c r="N18" s="1630" t="s">
        <v>9367</v>
      </c>
      <c r="O18" s="1629" t="s">
        <v>9368</v>
      </c>
      <c r="P18" s="1629" t="s">
        <v>4547</v>
      </c>
      <c r="Q18" s="1631" t="s">
        <v>9369</v>
      </c>
      <c r="R18" s="1632" t="s">
        <v>5561</v>
      </c>
      <c r="S18" s="1631" t="s">
        <v>9370</v>
      </c>
      <c r="T18" s="1176" t="s">
        <v>9371</v>
      </c>
      <c r="U18" s="1176" t="s">
        <v>9372</v>
      </c>
      <c r="V18" s="1632" t="s">
        <v>6419</v>
      </c>
      <c r="W18" s="1633" t="s">
        <v>9373</v>
      </c>
      <c r="X18" s="1634" t="s">
        <v>6867</v>
      </c>
      <c r="Y18" s="1615" t="s">
        <v>8523</v>
      </c>
      <c r="Z18" s="1634" t="s">
        <v>9374</v>
      </c>
      <c r="AA18" s="1635" t="s">
        <v>1925</v>
      </c>
      <c r="AB18" s="1633" t="s">
        <v>9375</v>
      </c>
      <c r="AC18" s="1633" t="s">
        <v>4965</v>
      </c>
      <c r="AD18" s="1628" t="s">
        <v>9376</v>
      </c>
      <c r="AE18" s="1628" t="s">
        <v>5352</v>
      </c>
      <c r="AF18" s="1636" t="s">
        <v>9377</v>
      </c>
      <c r="AG18" s="1637" t="s">
        <v>156</v>
      </c>
      <c r="AH18" s="1637" t="s">
        <v>9378</v>
      </c>
      <c r="AI18" s="1636" t="s">
        <v>9379</v>
      </c>
      <c r="AJ18" s="1637" t="s">
        <v>9380</v>
      </c>
      <c r="AK18" s="1637" t="s">
        <v>2334</v>
      </c>
      <c r="AL18" s="1636" t="s">
        <v>4137</v>
      </c>
      <c r="AM18" s="1609" t="s">
        <v>9046</v>
      </c>
      <c r="AN18" s="1638" t="s">
        <v>4621</v>
      </c>
      <c r="AO18" s="1638" t="s">
        <v>9381</v>
      </c>
      <c r="AP18" s="1638" t="s">
        <v>9382</v>
      </c>
      <c r="AQ18" s="1638" t="s">
        <v>4565</v>
      </c>
      <c r="AR18" s="1638" t="s">
        <v>9383</v>
      </c>
      <c r="AS18" s="1638" t="s">
        <v>929</v>
      </c>
      <c r="AT18" s="1629" t="s">
        <v>9384</v>
      </c>
      <c r="AU18" s="1639" t="s">
        <v>9358</v>
      </c>
      <c r="AV18" s="1640" t="str">
        <f t="shared" si="1"/>
        <v>2:15</v>
      </c>
      <c r="AW18" s="1641"/>
    </row>
    <row r="19" ht="15.75" customHeight="1">
      <c r="A19" s="1531" t="s">
        <v>2087</v>
      </c>
      <c r="B19" s="1532" t="s">
        <v>8997</v>
      </c>
      <c r="C19" s="1533">
        <v>0.049895833333333334</v>
      </c>
      <c r="D19" s="980" t="s">
        <v>9385</v>
      </c>
      <c r="E19" s="1642" t="s">
        <v>954</v>
      </c>
      <c r="F19" s="1613" t="s">
        <v>9386</v>
      </c>
      <c r="G19" s="1642" t="s">
        <v>9387</v>
      </c>
      <c r="H19" s="802" t="s">
        <v>9388</v>
      </c>
      <c r="I19" s="905" t="s">
        <v>5627</v>
      </c>
      <c r="J19" s="1597" t="s">
        <v>9389</v>
      </c>
      <c r="K19" s="1643" t="s">
        <v>9390</v>
      </c>
      <c r="L19" s="1597" t="s">
        <v>9097</v>
      </c>
      <c r="M19" s="1597" t="s">
        <v>5062</v>
      </c>
      <c r="N19" s="1597" t="s">
        <v>9391</v>
      </c>
      <c r="O19" s="1643" t="s">
        <v>9392</v>
      </c>
      <c r="P19" s="980" t="s">
        <v>1067</v>
      </c>
      <c r="Q19" s="1600" t="s">
        <v>3514</v>
      </c>
      <c r="R19" s="1644" t="s">
        <v>7815</v>
      </c>
      <c r="S19" s="1644" t="s">
        <v>9393</v>
      </c>
      <c r="T19" s="1644" t="s">
        <v>9394</v>
      </c>
      <c r="U19" s="1644" t="s">
        <v>1829</v>
      </c>
      <c r="V19" s="1600" t="s">
        <v>4455</v>
      </c>
      <c r="W19" s="1615" t="s">
        <v>9395</v>
      </c>
      <c r="X19" s="1645" t="s">
        <v>9396</v>
      </c>
      <c r="Y19" s="1615" t="s">
        <v>9397</v>
      </c>
      <c r="Z19" s="1615" t="s">
        <v>9398</v>
      </c>
      <c r="AA19" s="1615" t="s">
        <v>3321</v>
      </c>
      <c r="AB19" s="1645" t="s">
        <v>7375</v>
      </c>
      <c r="AC19" s="1645" t="s">
        <v>1218</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3161</v>
      </c>
      <c r="AO19" s="1618" t="s">
        <v>6982</v>
      </c>
      <c r="AP19" s="1617" t="s">
        <v>5715</v>
      </c>
      <c r="AQ19" s="1618" t="s">
        <v>9408</v>
      </c>
      <c r="AR19" s="1617" t="s">
        <v>1159</v>
      </c>
      <c r="AS19" s="1617" t="s">
        <v>3948</v>
      </c>
      <c r="AT19" s="1643" t="s">
        <v>6584</v>
      </c>
      <c r="AU19" s="1640" t="s">
        <v>9409</v>
      </c>
      <c r="AV19" s="1451" t="str">
        <f t="shared" si="1"/>
        <v>2:22</v>
      </c>
      <c r="AW19" s="1587" t="s">
        <v>9410</v>
      </c>
    </row>
    <row r="20">
      <c r="A20" s="1590" t="s">
        <v>1550</v>
      </c>
      <c r="B20" s="1578" t="s">
        <v>8997</v>
      </c>
      <c r="C20" s="1533">
        <v>0.04991898148148148</v>
      </c>
      <c r="D20" s="1647" t="s">
        <v>9411</v>
      </c>
      <c r="E20" s="1648" t="s">
        <v>9412</v>
      </c>
      <c r="F20" s="1648" t="s">
        <v>9413</v>
      </c>
      <c r="G20" s="1648" t="s">
        <v>9414</v>
      </c>
      <c r="H20" s="1648" t="s">
        <v>9415</v>
      </c>
      <c r="I20" s="1648">
        <v>48.07</v>
      </c>
      <c r="J20" s="1648" t="s">
        <v>9374</v>
      </c>
      <c r="K20" s="1648" t="s">
        <v>1790</v>
      </c>
      <c r="L20" s="1648">
        <v>56.32</v>
      </c>
      <c r="M20" s="1648" t="s">
        <v>175</v>
      </c>
      <c r="N20" s="1648" t="s">
        <v>9416</v>
      </c>
      <c r="O20" s="1648" t="s">
        <v>9417</v>
      </c>
      <c r="P20" s="1648">
        <v>47.77</v>
      </c>
      <c r="Q20" s="1648" t="s">
        <v>9418</v>
      </c>
      <c r="R20" s="1648" t="s">
        <v>6840</v>
      </c>
      <c r="S20" s="1648" t="s">
        <v>9419</v>
      </c>
      <c r="T20" s="1648" t="s">
        <v>2664</v>
      </c>
      <c r="U20" s="1648" t="s">
        <v>9420</v>
      </c>
      <c r="V20" s="1648">
        <v>59.79</v>
      </c>
      <c r="W20" s="1648" t="s">
        <v>9421</v>
      </c>
      <c r="X20" s="1648" t="s">
        <v>1925</v>
      </c>
      <c r="Y20" s="1648">
        <v>47.0</v>
      </c>
      <c r="Z20" s="1648" t="s">
        <v>9422</v>
      </c>
      <c r="AA20" s="1648" t="s">
        <v>9423</v>
      </c>
      <c r="AB20" s="1648" t="s">
        <v>6790</v>
      </c>
      <c r="AC20" s="1648">
        <v>47.56</v>
      </c>
      <c r="AD20" s="1648" t="s">
        <v>9039</v>
      </c>
      <c r="AE20" s="1648">
        <v>47.95</v>
      </c>
      <c r="AF20" s="1648" t="s">
        <v>9424</v>
      </c>
      <c r="AG20" s="1648" t="s">
        <v>9425</v>
      </c>
      <c r="AH20" s="1648">
        <v>57.67</v>
      </c>
      <c r="AI20" s="1648" t="s">
        <v>1047</v>
      </c>
      <c r="AJ20" s="1648" t="s">
        <v>9426</v>
      </c>
      <c r="AK20" s="1648" t="s">
        <v>7399</v>
      </c>
      <c r="AL20" s="1648">
        <v>56.37</v>
      </c>
      <c r="AM20" s="1648" t="s">
        <v>9427</v>
      </c>
      <c r="AN20" s="1648">
        <v>55.92</v>
      </c>
      <c r="AO20" s="1648" t="s">
        <v>4507</v>
      </c>
      <c r="AP20" s="1648" t="s">
        <v>8896</v>
      </c>
      <c r="AQ20" s="1648" t="s">
        <v>9428</v>
      </c>
      <c r="AR20" s="1648" t="s">
        <v>7505</v>
      </c>
      <c r="AS20" s="1648">
        <v>46.83</v>
      </c>
      <c r="AT20" s="1649" t="s">
        <v>9429</v>
      </c>
      <c r="AU20" s="1571" t="s">
        <v>9430</v>
      </c>
      <c r="AV20" s="1451" t="str">
        <f t="shared" si="1"/>
        <v>1:53</v>
      </c>
      <c r="AW20" s="1581" t="s">
        <v>9431</v>
      </c>
    </row>
    <row r="21">
      <c r="A21" s="1590" t="s">
        <v>2105</v>
      </c>
      <c r="B21" s="1578" t="s">
        <v>8997</v>
      </c>
      <c r="C21" s="1650">
        <v>0.049930555555555554</v>
      </c>
      <c r="D21" s="1651" t="s">
        <v>9432</v>
      </c>
      <c r="E21" s="1571" t="s">
        <v>6457</v>
      </c>
      <c r="F21" s="1571" t="s">
        <v>4232</v>
      </c>
      <c r="G21" s="1571" t="s">
        <v>9433</v>
      </c>
      <c r="H21" s="1571" t="s">
        <v>9434</v>
      </c>
      <c r="I21" s="1571" t="s">
        <v>5774</v>
      </c>
      <c r="J21" s="1571" t="s">
        <v>6429</v>
      </c>
      <c r="K21" s="1571" t="s">
        <v>9435</v>
      </c>
      <c r="L21" s="1571" t="s">
        <v>3579</v>
      </c>
      <c r="M21" s="1571" t="s">
        <v>1086</v>
      </c>
      <c r="N21" s="1571" t="s">
        <v>9436</v>
      </c>
      <c r="O21" s="1571" t="s">
        <v>798</v>
      </c>
      <c r="P21" s="1567">
        <v>47.54</v>
      </c>
      <c r="Q21" s="1652" t="s">
        <v>5781</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2925</v>
      </c>
      <c r="AJ21" s="1567" t="s">
        <v>9447</v>
      </c>
      <c r="AK21" s="1539" t="s">
        <v>9448</v>
      </c>
      <c r="AL21" s="1652">
        <v>55.92</v>
      </c>
      <c r="AM21" s="1652" t="s">
        <v>2966</v>
      </c>
      <c r="AN21" s="1539" t="s">
        <v>5790</v>
      </c>
      <c r="AO21" s="1652" t="s">
        <v>7805</v>
      </c>
      <c r="AP21" s="1652" t="s">
        <v>9449</v>
      </c>
      <c r="AQ21" s="1652" t="s">
        <v>7005</v>
      </c>
      <c r="AR21" s="1652" t="s">
        <v>6530</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2880</v>
      </c>
      <c r="F22" s="1559" t="s">
        <v>9454</v>
      </c>
      <c r="G22" s="1539" t="s">
        <v>9455</v>
      </c>
      <c r="H22" s="1559" t="s">
        <v>9456</v>
      </c>
      <c r="I22" s="1654" t="s">
        <v>9400</v>
      </c>
      <c r="J22" s="1559" t="s">
        <v>1417</v>
      </c>
      <c r="K22" s="1559" t="s">
        <v>5199</v>
      </c>
      <c r="L22" s="1559" t="s">
        <v>9457</v>
      </c>
      <c r="M22" s="1559" t="s">
        <v>9458</v>
      </c>
      <c r="N22" s="1559" t="s">
        <v>9459</v>
      </c>
      <c r="O22" s="1559" t="s">
        <v>9460</v>
      </c>
      <c r="P22" s="1559" t="s">
        <v>7704</v>
      </c>
      <c r="Q22" s="1559" t="s">
        <v>4622</v>
      </c>
      <c r="R22" s="1600" t="s">
        <v>5561</v>
      </c>
      <c r="S22" s="1559" t="s">
        <v>4067</v>
      </c>
      <c r="T22" s="1559" t="s">
        <v>9192</v>
      </c>
      <c r="U22" s="1559" t="s">
        <v>9461</v>
      </c>
      <c r="V22" s="1559" t="s">
        <v>9462</v>
      </c>
      <c r="W22" s="1559" t="s">
        <v>9463</v>
      </c>
      <c r="X22" s="1559" t="s">
        <v>7376</v>
      </c>
      <c r="Y22" s="1559" t="s">
        <v>4348</v>
      </c>
      <c r="Z22" s="1559" t="s">
        <v>9464</v>
      </c>
      <c r="AA22" s="1559" t="s">
        <v>7376</v>
      </c>
      <c r="AB22" s="1559" t="s">
        <v>9465</v>
      </c>
      <c r="AC22" s="1559" t="s">
        <v>5677</v>
      </c>
      <c r="AD22" s="1559" t="s">
        <v>7416</v>
      </c>
      <c r="AE22" s="1559" t="s">
        <v>5968</v>
      </c>
      <c r="AF22" s="1559" t="s">
        <v>9466</v>
      </c>
      <c r="AG22" s="1559" t="s">
        <v>5067</v>
      </c>
      <c r="AH22" s="1559" t="s">
        <v>5217</v>
      </c>
      <c r="AI22" s="1559" t="s">
        <v>9467</v>
      </c>
      <c r="AJ22" s="1538" t="s">
        <v>9014</v>
      </c>
      <c r="AK22" s="1559" t="s">
        <v>2530</v>
      </c>
      <c r="AL22" s="1559" t="s">
        <v>9468</v>
      </c>
      <c r="AM22" s="1559" t="s">
        <v>9171</v>
      </c>
      <c r="AN22" s="1559" t="s">
        <v>557</v>
      </c>
      <c r="AO22" s="1559" t="s">
        <v>9469</v>
      </c>
      <c r="AP22" s="1559" t="s">
        <v>9470</v>
      </c>
      <c r="AQ22" s="1559" t="s">
        <v>4826</v>
      </c>
      <c r="AR22" s="1559" t="s">
        <v>7506</v>
      </c>
      <c r="AS22" s="1559" t="s">
        <v>9471</v>
      </c>
      <c r="AT22" s="1559" t="s">
        <v>3121</v>
      </c>
      <c r="AU22" s="1559" t="s">
        <v>9472</v>
      </c>
      <c r="AV22" s="1451" t="str">
        <f t="shared" si="1"/>
        <v>3:21</v>
      </c>
      <c r="AW22" s="1625" t="s">
        <v>9473</v>
      </c>
    </row>
    <row r="23" ht="15.75" customHeight="1">
      <c r="A23" s="1531" t="s">
        <v>9474</v>
      </c>
      <c r="B23" s="1532" t="s">
        <v>8997</v>
      </c>
      <c r="C23" s="1533">
        <v>0.049965277777777775</v>
      </c>
      <c r="D23" s="980" t="s">
        <v>9475</v>
      </c>
      <c r="E23" s="1559" t="s">
        <v>4371</v>
      </c>
      <c r="F23" s="1559" t="s">
        <v>9476</v>
      </c>
      <c r="G23" s="1559" t="s">
        <v>9477</v>
      </c>
      <c r="H23" s="1451" t="s">
        <v>2288</v>
      </c>
      <c r="I23" s="1559" t="s">
        <v>1385</v>
      </c>
      <c r="J23" s="1559" t="s">
        <v>382</v>
      </c>
      <c r="K23" s="1559" t="s">
        <v>9478</v>
      </c>
      <c r="L23" s="1559" t="s">
        <v>5432</v>
      </c>
      <c r="M23" s="1559" t="s">
        <v>6609</v>
      </c>
      <c r="N23" s="1559" t="s">
        <v>9479</v>
      </c>
      <c r="O23" s="1559" t="s">
        <v>2613</v>
      </c>
      <c r="P23" s="1451" t="s">
        <v>5280</v>
      </c>
      <c r="Q23" s="1559" t="s">
        <v>9480</v>
      </c>
      <c r="R23" s="1559" t="s">
        <v>3299</v>
      </c>
      <c r="S23" s="1559" t="s">
        <v>7257</v>
      </c>
      <c r="T23" s="1559" t="s">
        <v>8785</v>
      </c>
      <c r="U23" s="1559" t="s">
        <v>9481</v>
      </c>
      <c r="V23" s="1559" t="s">
        <v>5039</v>
      </c>
      <c r="W23" s="1559" t="s">
        <v>9482</v>
      </c>
      <c r="X23" s="1451" t="s">
        <v>6867</v>
      </c>
      <c r="Y23" s="1451" t="s">
        <v>5611</v>
      </c>
      <c r="Z23" s="1559" t="s">
        <v>9483</v>
      </c>
      <c r="AA23" s="1559" t="s">
        <v>2331</v>
      </c>
      <c r="AB23" s="1559" t="s">
        <v>9484</v>
      </c>
      <c r="AC23" s="1559" t="s">
        <v>784</v>
      </c>
      <c r="AD23" s="1559" t="s">
        <v>5292</v>
      </c>
      <c r="AE23" s="1559" t="s">
        <v>9485</v>
      </c>
      <c r="AF23" s="1559" t="s">
        <v>943</v>
      </c>
      <c r="AG23" s="1559" t="s">
        <v>9486</v>
      </c>
      <c r="AH23" s="1559" t="s">
        <v>6170</v>
      </c>
      <c r="AI23" s="1559" t="s">
        <v>690</v>
      </c>
      <c r="AJ23" s="1451" t="s">
        <v>9487</v>
      </c>
      <c r="AK23" s="1616" t="s">
        <v>7182</v>
      </c>
      <c r="AL23" s="1559" t="s">
        <v>4614</v>
      </c>
      <c r="AM23" s="1559" t="s">
        <v>3712</v>
      </c>
      <c r="AN23" s="1451" t="s">
        <v>6305</v>
      </c>
      <c r="AO23" s="1451" t="s">
        <v>7506</v>
      </c>
      <c r="AP23" s="1451" t="s">
        <v>9488</v>
      </c>
      <c r="AQ23" s="1451" t="s">
        <v>9133</v>
      </c>
      <c r="AR23" s="1451" t="s">
        <v>490</v>
      </c>
      <c r="AS23" s="1451" t="s">
        <v>5883</v>
      </c>
      <c r="AT23" s="1451" t="s">
        <v>9349</v>
      </c>
      <c r="AU23" s="1559" t="s">
        <v>9489</v>
      </c>
      <c r="AV23" s="1451" t="str">
        <f t="shared" si="1"/>
        <v>3:46</v>
      </c>
      <c r="AW23" s="1622" t="s">
        <v>8556</v>
      </c>
    </row>
    <row r="24" ht="15.75" customHeight="1">
      <c r="A24" s="1655" t="s">
        <v>6361</v>
      </c>
      <c r="B24" s="1532" t="s">
        <v>8997</v>
      </c>
      <c r="C24" s="1533">
        <v>0.05</v>
      </c>
      <c r="D24" s="980" t="s">
        <v>9490</v>
      </c>
      <c r="E24" s="1559" t="s">
        <v>8817</v>
      </c>
      <c r="F24" s="1559" t="s">
        <v>9454</v>
      </c>
      <c r="G24" s="1451" t="s">
        <v>9491</v>
      </c>
      <c r="H24" s="1559" t="s">
        <v>9492</v>
      </c>
      <c r="I24" s="1451" t="s">
        <v>1848</v>
      </c>
      <c r="J24" s="1559" t="s">
        <v>2868</v>
      </c>
      <c r="K24" s="1559" t="s">
        <v>9493</v>
      </c>
      <c r="L24" s="1559" t="s">
        <v>3319</v>
      </c>
      <c r="M24" s="1559" t="s">
        <v>9494</v>
      </c>
      <c r="N24" s="1559" t="s">
        <v>9495</v>
      </c>
      <c r="O24" s="1559" t="s">
        <v>9440</v>
      </c>
      <c r="P24" s="1451" t="s">
        <v>4015</v>
      </c>
      <c r="Q24" s="1559" t="s">
        <v>1852</v>
      </c>
      <c r="R24" s="1559" t="s">
        <v>6807</v>
      </c>
      <c r="S24" s="1559" t="s">
        <v>7990</v>
      </c>
      <c r="T24" s="1559" t="s">
        <v>6842</v>
      </c>
      <c r="U24" s="1559" t="s">
        <v>9496</v>
      </c>
      <c r="V24" s="1559" t="s">
        <v>9497</v>
      </c>
      <c r="W24" s="1559" t="s">
        <v>9498</v>
      </c>
      <c r="X24" s="1559" t="s">
        <v>9325</v>
      </c>
      <c r="Y24" s="1559" t="s">
        <v>9499</v>
      </c>
      <c r="Z24" s="1559" t="s">
        <v>9500</v>
      </c>
      <c r="AA24" s="1559" t="s">
        <v>9323</v>
      </c>
      <c r="AB24" s="1559" t="s">
        <v>9501</v>
      </c>
      <c r="AC24" s="1451" t="s">
        <v>1889</v>
      </c>
      <c r="AD24" s="1559" t="s">
        <v>9502</v>
      </c>
      <c r="AE24" s="1451" t="s">
        <v>5599</v>
      </c>
      <c r="AF24" s="1656" t="s">
        <v>9012</v>
      </c>
      <c r="AG24" s="1559" t="s">
        <v>607</v>
      </c>
      <c r="AH24" s="1559" t="s">
        <v>7973</v>
      </c>
      <c r="AI24" s="1559" t="s">
        <v>309</v>
      </c>
      <c r="AJ24" s="1451" t="s">
        <v>9503</v>
      </c>
      <c r="AK24" s="1559" t="s">
        <v>9504</v>
      </c>
      <c r="AL24" s="1451" t="s">
        <v>3267</v>
      </c>
      <c r="AM24" s="1559" t="s">
        <v>2057</v>
      </c>
      <c r="AN24" s="1451" t="s">
        <v>2631</v>
      </c>
      <c r="AO24" s="1559" t="s">
        <v>3488</v>
      </c>
      <c r="AP24" s="1559" t="s">
        <v>9505</v>
      </c>
      <c r="AQ24" s="1451" t="s">
        <v>9506</v>
      </c>
      <c r="AR24" s="1559" t="s">
        <v>1757</v>
      </c>
      <c r="AS24" s="1451" t="s">
        <v>9356</v>
      </c>
      <c r="AT24" s="1559" t="s">
        <v>9507</v>
      </c>
      <c r="AU24" s="1559" t="s">
        <v>9508</v>
      </c>
      <c r="AV24" s="1451" t="str">
        <f t="shared" si="1"/>
        <v>1:53</v>
      </c>
      <c r="AW24" s="1622"/>
    </row>
    <row r="25" ht="15.75" customHeight="1">
      <c r="A25" s="1590" t="s">
        <v>2678</v>
      </c>
      <c r="B25" s="1578" t="s">
        <v>9024</v>
      </c>
      <c r="C25" s="1533">
        <v>0.05008101851851852</v>
      </c>
      <c r="D25" s="980" t="s">
        <v>9509</v>
      </c>
      <c r="E25" s="980" t="s">
        <v>9510</v>
      </c>
      <c r="F25" s="980" t="s">
        <v>9420</v>
      </c>
      <c r="G25" s="980" t="s">
        <v>9511</v>
      </c>
      <c r="H25" s="980" t="s">
        <v>9512</v>
      </c>
      <c r="I25" s="980" t="s">
        <v>9513</v>
      </c>
      <c r="J25" s="1595" t="s">
        <v>1350</v>
      </c>
      <c r="K25" s="980" t="s">
        <v>1089</v>
      </c>
      <c r="L25" s="980" t="s">
        <v>9365</v>
      </c>
      <c r="M25" s="1597" t="s">
        <v>9343</v>
      </c>
      <c r="N25" s="1595" t="s">
        <v>2500</v>
      </c>
      <c r="O25" s="980" t="s">
        <v>9514</v>
      </c>
      <c r="P25" s="1595" t="s">
        <v>5599</v>
      </c>
      <c r="Q25" s="1595" t="s">
        <v>5834</v>
      </c>
      <c r="R25" s="980" t="s">
        <v>6764</v>
      </c>
      <c r="S25" s="980" t="s">
        <v>336</v>
      </c>
      <c r="T25" s="1595" t="s">
        <v>9035</v>
      </c>
      <c r="U25" s="980" t="s">
        <v>9515</v>
      </c>
      <c r="V25" s="980" t="s">
        <v>9516</v>
      </c>
      <c r="W25" s="980" t="s">
        <v>6730</v>
      </c>
      <c r="X25" s="980" t="s">
        <v>5892</v>
      </c>
      <c r="Y25" s="980" t="s">
        <v>5133</v>
      </c>
      <c r="Z25" s="980" t="s">
        <v>1128</v>
      </c>
      <c r="AA25" s="980" t="s">
        <v>9379</v>
      </c>
      <c r="AB25" s="980" t="s">
        <v>2518</v>
      </c>
      <c r="AC25" s="980" t="s">
        <v>1833</v>
      </c>
      <c r="AD25" s="980" t="s">
        <v>6317</v>
      </c>
      <c r="AE25" s="980" t="s">
        <v>3313</v>
      </c>
      <c r="AF25" s="980" t="s">
        <v>9044</v>
      </c>
      <c r="AG25" s="980" t="s">
        <v>9517</v>
      </c>
      <c r="AH25" s="980" t="s">
        <v>5006</v>
      </c>
      <c r="AI25" s="980" t="s">
        <v>3423</v>
      </c>
      <c r="AJ25" s="980" t="s">
        <v>9518</v>
      </c>
      <c r="AK25" s="980" t="s">
        <v>9519</v>
      </c>
      <c r="AL25" s="980" t="s">
        <v>9520</v>
      </c>
      <c r="AM25" s="980" t="s">
        <v>9111</v>
      </c>
      <c r="AN25" s="980" t="s">
        <v>4412</v>
      </c>
      <c r="AO25" s="980" t="s">
        <v>6923</v>
      </c>
      <c r="AP25" s="980" t="s">
        <v>9521</v>
      </c>
      <c r="AQ25" s="980" t="s">
        <v>9522</v>
      </c>
      <c r="AR25" s="980" t="s">
        <v>9523</v>
      </c>
      <c r="AS25" s="980" t="s">
        <v>4665</v>
      </c>
      <c r="AT25" s="980" t="s">
        <v>9524</v>
      </c>
      <c r="AU25" s="1616" t="s">
        <v>9050</v>
      </c>
      <c r="AV25" s="1451" t="str">
        <f t="shared" si="1"/>
        <v>2:51</v>
      </c>
      <c r="AW25" s="1657"/>
    </row>
    <row r="26">
      <c r="A26" s="1590" t="s">
        <v>7484</v>
      </c>
      <c r="B26" s="1588" t="s">
        <v>9024</v>
      </c>
      <c r="C26" s="1533">
        <v>0.05016203703703704</v>
      </c>
      <c r="D26" s="1567" t="s">
        <v>9525</v>
      </c>
      <c r="E26" s="1658" t="s">
        <v>6701</v>
      </c>
      <c r="F26" s="1567" t="s">
        <v>9526</v>
      </c>
      <c r="G26" s="1567" t="s">
        <v>9527</v>
      </c>
      <c r="H26" s="1567" t="s">
        <v>9528</v>
      </c>
      <c r="I26" s="1567" t="s">
        <v>5352</v>
      </c>
      <c r="J26" s="1567" t="s">
        <v>9529</v>
      </c>
      <c r="K26" s="1567" t="s">
        <v>5242</v>
      </c>
      <c r="L26" s="980" t="s">
        <v>5128</v>
      </c>
      <c r="M26" s="1595" t="s">
        <v>9031</v>
      </c>
      <c r="N26" s="1567" t="s">
        <v>9530</v>
      </c>
      <c r="O26" s="1567" t="s">
        <v>9531</v>
      </c>
      <c r="P26" s="1567" t="s">
        <v>5943</v>
      </c>
      <c r="Q26" s="1567" t="s">
        <v>2806</v>
      </c>
      <c r="R26" s="1567" t="s">
        <v>967</v>
      </c>
      <c r="S26" s="1567" t="s">
        <v>9532</v>
      </c>
      <c r="T26" s="1567" t="s">
        <v>1390</v>
      </c>
      <c r="U26" s="1567" t="s">
        <v>9372</v>
      </c>
      <c r="V26" s="1567" t="s">
        <v>9533</v>
      </c>
      <c r="W26" s="1567" t="s">
        <v>9534</v>
      </c>
      <c r="X26" s="1567" t="s">
        <v>1299</v>
      </c>
      <c r="Y26" s="1567" t="s">
        <v>1090</v>
      </c>
      <c r="Z26" s="1567" t="s">
        <v>9442</v>
      </c>
      <c r="AA26" s="1567" t="s">
        <v>9535</v>
      </c>
      <c r="AB26" s="1567" t="s">
        <v>9536</v>
      </c>
      <c r="AC26" s="1567" t="s">
        <v>4796</v>
      </c>
      <c r="AD26" s="1567" t="s">
        <v>9537</v>
      </c>
      <c r="AE26" s="1567" t="s">
        <v>2654</v>
      </c>
      <c r="AF26" s="1567" t="s">
        <v>5848</v>
      </c>
      <c r="AG26" s="1567" t="s">
        <v>9538</v>
      </c>
      <c r="AH26" s="1567" t="s">
        <v>4291</v>
      </c>
      <c r="AI26" s="1559" t="s">
        <v>4161</v>
      </c>
      <c r="AJ26" s="1567" t="s">
        <v>9539</v>
      </c>
      <c r="AK26" s="1567" t="s">
        <v>9364</v>
      </c>
      <c r="AL26" s="1567" t="s">
        <v>2512</v>
      </c>
      <c r="AM26" s="1567" t="s">
        <v>4072</v>
      </c>
      <c r="AN26" s="1567" t="s">
        <v>6079</v>
      </c>
      <c r="AO26" s="1567" t="s">
        <v>9540</v>
      </c>
      <c r="AP26" s="1567" t="s">
        <v>9541</v>
      </c>
      <c r="AQ26" s="1567" t="s">
        <v>4057</v>
      </c>
      <c r="AR26" s="1567" t="s">
        <v>2742</v>
      </c>
      <c r="AS26" s="1567" t="s">
        <v>754</v>
      </c>
      <c r="AT26" s="1567" t="s">
        <v>9542</v>
      </c>
      <c r="AU26" s="1559" t="s">
        <v>9543</v>
      </c>
      <c r="AV26" s="1451" t="str">
        <f t="shared" si="1"/>
        <v>3:20</v>
      </c>
      <c r="AW26" s="1065"/>
    </row>
    <row r="27" ht="15.75" customHeight="1">
      <c r="A27" s="1556" t="s">
        <v>1413</v>
      </c>
      <c r="B27" s="1532" t="s">
        <v>8997</v>
      </c>
      <c r="C27" s="1533">
        <v>0.05025462962962963</v>
      </c>
      <c r="D27" s="980" t="s">
        <v>9544</v>
      </c>
      <c r="E27" s="1613" t="s">
        <v>9545</v>
      </c>
      <c r="F27" s="1642" t="s">
        <v>9546</v>
      </c>
      <c r="G27" s="1539" t="s">
        <v>9547</v>
      </c>
      <c r="H27" s="905" t="s">
        <v>9548</v>
      </c>
      <c r="I27" s="905" t="s">
        <v>1042</v>
      </c>
      <c r="J27" s="1597" t="s">
        <v>7364</v>
      </c>
      <c r="K27" s="1643" t="s">
        <v>8103</v>
      </c>
      <c r="L27" s="1643" t="s">
        <v>5177</v>
      </c>
      <c r="M27" s="1659" t="str">
        <f>HYPERLINK("https://youtu.be/teAIifUZjFw","1:14.18")</f>
        <v>1:14.18</v>
      </c>
      <c r="N27" s="1643" t="s">
        <v>3775</v>
      </c>
      <c r="O27" s="1643" t="s">
        <v>9549</v>
      </c>
      <c r="P27" s="1643" t="s">
        <v>2096</v>
      </c>
      <c r="Q27" s="1644" t="s">
        <v>9550</v>
      </c>
      <c r="R27" s="1600" t="s">
        <v>9551</v>
      </c>
      <c r="S27" s="1600" t="s">
        <v>5488</v>
      </c>
      <c r="T27" s="1660" t="str">
        <f>HYPERLINK("https://youtu.be/AiXricVH5ss","1:24.99")</f>
        <v>1:24.99</v>
      </c>
      <c r="U27" s="1661" t="str">
        <f>HYPERLINK("https://www.twitch.tv/videos/450151935","2:00.31")</f>
        <v>2:00.31</v>
      </c>
      <c r="V27" s="1600" t="s">
        <v>9036</v>
      </c>
      <c r="W27" s="1662" t="str">
        <f>HYPERLINK("https://youtu.be/eafNhBoXVWA","1:46.09")</f>
        <v>1:46.09</v>
      </c>
      <c r="X27" s="1645" t="s">
        <v>4473</v>
      </c>
      <c r="Y27" s="1645" t="s">
        <v>9253</v>
      </c>
      <c r="Z27" s="1645" t="s">
        <v>9552</v>
      </c>
      <c r="AA27" s="1615" t="s">
        <v>9217</v>
      </c>
      <c r="AB27" s="1645" t="s">
        <v>7164</v>
      </c>
      <c r="AC27" s="1645" t="s">
        <v>7220</v>
      </c>
      <c r="AD27" s="1663" t="str">
        <f>HYPERLINK("https://youtu.be/8FEcTKESSh0","1:49.80")</f>
        <v>1:49.80</v>
      </c>
      <c r="AE27" s="1613" t="s">
        <v>5464</v>
      </c>
      <c r="AF27" s="1646" t="s">
        <v>9553</v>
      </c>
      <c r="AG27" s="1646" t="s">
        <v>9554</v>
      </c>
      <c r="AH27" s="1646" t="s">
        <v>9555</v>
      </c>
      <c r="AI27" s="1646" t="s">
        <v>4073</v>
      </c>
      <c r="AJ27" s="1646" t="s">
        <v>9556</v>
      </c>
      <c r="AK27" s="1616" t="s">
        <v>9438</v>
      </c>
      <c r="AL27" s="1646" t="s">
        <v>9557</v>
      </c>
      <c r="AM27" s="1618" t="s">
        <v>9407</v>
      </c>
      <c r="AN27" s="1618" t="s">
        <v>8786</v>
      </c>
      <c r="AO27" s="1618" t="s">
        <v>9523</v>
      </c>
      <c r="AP27" s="1617" t="s">
        <v>9558</v>
      </c>
      <c r="AQ27" s="1617" t="s">
        <v>9559</v>
      </c>
      <c r="AR27" s="1618" t="s">
        <v>9560</v>
      </c>
      <c r="AS27" s="1617" t="s">
        <v>5655</v>
      </c>
      <c r="AT27" s="1659" t="str">
        <f>HYPERLINK("https://youtu.be/xDirVtS1AZ4?t=4416","2:27.45")</f>
        <v>2:27.45</v>
      </c>
      <c r="AU27" s="1640" t="s">
        <v>9561</v>
      </c>
      <c r="AV27" s="1451" t="str">
        <f t="shared" si="1"/>
        <v>2:34</v>
      </c>
      <c r="AW27" s="1587" t="s">
        <v>9562</v>
      </c>
    </row>
    <row r="28">
      <c r="A28" s="1590" t="s">
        <v>7013</v>
      </c>
      <c r="B28" s="1588" t="s">
        <v>8997</v>
      </c>
      <c r="C28" s="1533">
        <v>0.0502662037037037</v>
      </c>
      <c r="D28" s="980" t="s">
        <v>9563</v>
      </c>
      <c r="E28" s="1559" t="s">
        <v>9207</v>
      </c>
      <c r="F28" s="1559" t="s">
        <v>9564</v>
      </c>
      <c r="G28" s="1559" t="s">
        <v>9565</v>
      </c>
      <c r="H28" s="1559" t="s">
        <v>9566</v>
      </c>
      <c r="I28" s="980" t="s">
        <v>263</v>
      </c>
      <c r="J28" s="980" t="s">
        <v>6184</v>
      </c>
      <c r="K28" s="1559" t="s">
        <v>9493</v>
      </c>
      <c r="L28" s="1559" t="s">
        <v>3579</v>
      </c>
      <c r="M28" s="980" t="s">
        <v>2788</v>
      </c>
      <c r="N28" s="1559" t="s">
        <v>9567</v>
      </c>
      <c r="O28" s="1559" t="s">
        <v>9568</v>
      </c>
      <c r="P28" s="980" t="s">
        <v>9569</v>
      </c>
      <c r="Q28" s="1559" t="s">
        <v>9570</v>
      </c>
      <c r="R28" s="980" t="s">
        <v>9571</v>
      </c>
      <c r="S28" s="1559" t="s">
        <v>9572</v>
      </c>
      <c r="T28" s="980" t="s">
        <v>9573</v>
      </c>
      <c r="U28" s="1559" t="s">
        <v>1027</v>
      </c>
      <c r="V28" s="980" t="s">
        <v>5039</v>
      </c>
      <c r="W28" s="980" t="s">
        <v>6732</v>
      </c>
      <c r="X28" s="980" t="s">
        <v>6867</v>
      </c>
      <c r="Y28" s="980" t="s">
        <v>881</v>
      </c>
      <c r="Z28" s="980" t="s">
        <v>9574</v>
      </c>
      <c r="AA28" s="1559" t="s">
        <v>9575</v>
      </c>
      <c r="AB28" s="980" t="s">
        <v>7219</v>
      </c>
      <c r="AC28" s="1559" t="s">
        <v>9513</v>
      </c>
      <c r="AD28" s="980" t="s">
        <v>6343</v>
      </c>
      <c r="AE28" s="1559" t="s">
        <v>9109</v>
      </c>
      <c r="AF28" s="1559" t="s">
        <v>9576</v>
      </c>
      <c r="AG28" s="980" t="s">
        <v>1913</v>
      </c>
      <c r="AH28" s="980" t="s">
        <v>2638</v>
      </c>
      <c r="AI28" s="1559" t="s">
        <v>9577</v>
      </c>
      <c r="AJ28" s="980" t="s">
        <v>9578</v>
      </c>
      <c r="AK28" s="980" t="s">
        <v>6621</v>
      </c>
      <c r="AL28" s="980" t="s">
        <v>4614</v>
      </c>
      <c r="AM28" s="980" t="s">
        <v>9579</v>
      </c>
      <c r="AN28" s="980" t="s">
        <v>4614</v>
      </c>
      <c r="AO28" s="980" t="s">
        <v>1845</v>
      </c>
      <c r="AP28" s="1559" t="s">
        <v>9580</v>
      </c>
      <c r="AQ28" s="980" t="s">
        <v>2227</v>
      </c>
      <c r="AR28" s="1559" t="s">
        <v>8894</v>
      </c>
      <c r="AS28" s="980" t="s">
        <v>1970</v>
      </c>
      <c r="AT28" s="1559" t="s">
        <v>9581</v>
      </c>
      <c r="AU28" s="1559" t="s">
        <v>9582</v>
      </c>
      <c r="AV28" s="1451" t="str">
        <f t="shared" si="1"/>
        <v>2:28</v>
      </c>
      <c r="AW28" s="1589" t="s">
        <v>9583</v>
      </c>
    </row>
    <row r="29">
      <c r="A29" s="1590" t="s">
        <v>9584</v>
      </c>
      <c r="B29" s="1664" t="s">
        <v>8997</v>
      </c>
      <c r="C29" s="1533">
        <v>0.0503125</v>
      </c>
      <c r="D29" s="980" t="s">
        <v>9585</v>
      </c>
      <c r="E29" s="1613" t="s">
        <v>9586</v>
      </c>
      <c r="F29" s="1613" t="s">
        <v>9587</v>
      </c>
      <c r="G29" s="1613" t="s">
        <v>9588</v>
      </c>
      <c r="H29" s="840" t="s">
        <v>9589</v>
      </c>
      <c r="I29" s="840" t="s">
        <v>8075</v>
      </c>
      <c r="J29" s="1597" t="s">
        <v>1841</v>
      </c>
      <c r="K29" s="1597" t="s">
        <v>6100</v>
      </c>
      <c r="L29" s="1597" t="s">
        <v>3518</v>
      </c>
      <c r="M29" s="1597" t="s">
        <v>9590</v>
      </c>
      <c r="N29" s="1597" t="s">
        <v>7103</v>
      </c>
      <c r="O29" s="1597" t="s">
        <v>4149</v>
      </c>
      <c r="P29" s="1597" t="s">
        <v>4707</v>
      </c>
      <c r="Q29" s="1600" t="s">
        <v>9591</v>
      </c>
      <c r="R29" s="1600" t="s">
        <v>9592</v>
      </c>
      <c r="S29" s="1600" t="s">
        <v>549</v>
      </c>
      <c r="T29" s="1600" t="s">
        <v>9593</v>
      </c>
      <c r="U29" s="1600" t="s">
        <v>9594</v>
      </c>
      <c r="V29" s="1600" t="s">
        <v>9595</v>
      </c>
      <c r="W29" s="1615" t="s">
        <v>9596</v>
      </c>
      <c r="X29" s="1615" t="s">
        <v>4473</v>
      </c>
      <c r="Y29" s="1615" t="s">
        <v>1546</v>
      </c>
      <c r="Z29" s="1615" t="s">
        <v>2403</v>
      </c>
      <c r="AA29" s="1615" t="s">
        <v>9597</v>
      </c>
      <c r="AB29" s="1615" t="s">
        <v>3804</v>
      </c>
      <c r="AC29" s="1615" t="s">
        <v>9598</v>
      </c>
      <c r="AD29" s="1613" t="s">
        <v>9599</v>
      </c>
      <c r="AE29" s="1613" t="s">
        <v>5968</v>
      </c>
      <c r="AF29" s="1616" t="s">
        <v>9600</v>
      </c>
      <c r="AG29" s="1616" t="s">
        <v>7435</v>
      </c>
      <c r="AH29" s="1616" t="s">
        <v>9601</v>
      </c>
      <c r="AI29" s="1616" t="s">
        <v>5147</v>
      </c>
      <c r="AJ29" s="1616" t="s">
        <v>9602</v>
      </c>
      <c r="AK29" s="1616" t="s">
        <v>9603</v>
      </c>
      <c r="AL29" s="1616" t="s">
        <v>9604</v>
      </c>
      <c r="AM29" s="1618" t="s">
        <v>9300</v>
      </c>
      <c r="AN29" s="1618" t="s">
        <v>9605</v>
      </c>
      <c r="AO29" s="1618" t="s">
        <v>3215</v>
      </c>
      <c r="AP29" s="1618" t="s">
        <v>9606</v>
      </c>
      <c r="AQ29" s="1618" t="s">
        <v>9607</v>
      </c>
      <c r="AR29" s="1618" t="s">
        <v>3017</v>
      </c>
      <c r="AS29" s="1618" t="s">
        <v>302</v>
      </c>
      <c r="AT29" s="1597" t="s">
        <v>9608</v>
      </c>
      <c r="AU29" s="1580" t="s">
        <v>9609</v>
      </c>
      <c r="AV29" s="1451" t="str">
        <f t="shared" si="1"/>
        <v>2:59</v>
      </c>
      <c r="AW29" s="1581" t="s">
        <v>9610</v>
      </c>
    </row>
    <row r="30" ht="15.75" customHeight="1">
      <c r="A30" s="1531" t="s">
        <v>9611</v>
      </c>
      <c r="B30" s="1623" t="s">
        <v>9024</v>
      </c>
      <c r="C30" s="1533">
        <v>0.05042824074074074</v>
      </c>
      <c r="D30" s="980" t="s">
        <v>9336</v>
      </c>
      <c r="E30" s="1613" t="s">
        <v>6375</v>
      </c>
      <c r="F30" s="1613" t="s">
        <v>9612</v>
      </c>
      <c r="G30" s="1642" t="s">
        <v>9613</v>
      </c>
      <c r="H30" s="905" t="s">
        <v>9614</v>
      </c>
      <c r="I30" s="840" t="s">
        <v>3365</v>
      </c>
      <c r="J30" s="1597" t="s">
        <v>4860</v>
      </c>
      <c r="K30" s="1597" t="s">
        <v>5242</v>
      </c>
      <c r="L30" s="1597" t="s">
        <v>2474</v>
      </c>
      <c r="M30" s="1597" t="s">
        <v>1901</v>
      </c>
      <c r="N30" s="1597" t="s">
        <v>4192</v>
      </c>
      <c r="O30" s="1597" t="s">
        <v>9615</v>
      </c>
      <c r="P30" s="1643" t="s">
        <v>759</v>
      </c>
      <c r="Q30" s="1600" t="s">
        <v>9616</v>
      </c>
      <c r="R30" s="1600" t="s">
        <v>3438</v>
      </c>
      <c r="S30" s="1600" t="s">
        <v>7193</v>
      </c>
      <c r="T30" s="1644" t="s">
        <v>3216</v>
      </c>
      <c r="U30" s="1600" t="s">
        <v>9169</v>
      </c>
      <c r="V30" s="1644" t="s">
        <v>5020</v>
      </c>
      <c r="W30" s="1645" t="s">
        <v>6902</v>
      </c>
      <c r="X30" s="1615" t="s">
        <v>2610</v>
      </c>
      <c r="Y30" s="1645" t="s">
        <v>9617</v>
      </c>
      <c r="Z30" s="1615" t="s">
        <v>9618</v>
      </c>
      <c r="AA30" s="1645" t="s">
        <v>9619</v>
      </c>
      <c r="AB30" s="980" t="s">
        <v>9620</v>
      </c>
      <c r="AC30" s="1645" t="s">
        <v>3689</v>
      </c>
      <c r="AD30" s="1605" t="s">
        <v>9039</v>
      </c>
      <c r="AE30" s="1613" t="s">
        <v>3313</v>
      </c>
      <c r="AF30" s="1616" t="s">
        <v>9621</v>
      </c>
      <c r="AG30" s="1646" t="s">
        <v>3996</v>
      </c>
      <c r="AH30" s="1646" t="s">
        <v>6166</v>
      </c>
      <c r="AI30" s="1451" t="s">
        <v>9575</v>
      </c>
      <c r="AJ30" s="1646" t="s">
        <v>9622</v>
      </c>
      <c r="AK30" s="1616" t="s">
        <v>9623</v>
      </c>
      <c r="AL30" s="1646" t="s">
        <v>3694</v>
      </c>
      <c r="AM30" s="1618" t="s">
        <v>9624</v>
      </c>
      <c r="AN30" s="1618" t="s">
        <v>5115</v>
      </c>
      <c r="AO30" s="1618" t="s">
        <v>1937</v>
      </c>
      <c r="AP30" s="1618" t="s">
        <v>9625</v>
      </c>
      <c r="AQ30" s="1617" t="s">
        <v>9626</v>
      </c>
      <c r="AR30" s="1617" t="s">
        <v>3739</v>
      </c>
      <c r="AS30" s="1617" t="s">
        <v>5215</v>
      </c>
      <c r="AT30" s="1597" t="s">
        <v>9627</v>
      </c>
      <c r="AU30" s="1580" t="s">
        <v>9628</v>
      </c>
      <c r="AV30" s="1451" t="str">
        <f t="shared" si="1"/>
        <v>2:55</v>
      </c>
      <c r="AW30" s="1641"/>
    </row>
    <row r="31" ht="15.75" customHeight="1">
      <c r="A31" s="1531" t="s">
        <v>4341</v>
      </c>
      <c r="B31" s="1532" t="s">
        <v>8997</v>
      </c>
      <c r="C31" s="1665">
        <v>0.05043981481481481</v>
      </c>
      <c r="D31" s="980" t="s">
        <v>9629</v>
      </c>
      <c r="E31" s="1451" t="s">
        <v>6928</v>
      </c>
      <c r="F31" s="1451" t="s">
        <v>1573</v>
      </c>
      <c r="G31" s="1451" t="s">
        <v>9630</v>
      </c>
      <c r="H31" s="1451" t="s">
        <v>9230</v>
      </c>
      <c r="I31" s="1451" t="s">
        <v>4747</v>
      </c>
      <c r="J31" s="1451" t="s">
        <v>4483</v>
      </c>
      <c r="K31" s="1451" t="s">
        <v>9478</v>
      </c>
      <c r="L31" s="1451" t="s">
        <v>3876</v>
      </c>
      <c r="M31" s="1451" t="s">
        <v>9631</v>
      </c>
      <c r="N31" s="1451" t="s">
        <v>9035</v>
      </c>
      <c r="O31" s="1451" t="s">
        <v>9632</v>
      </c>
      <c r="P31" s="1451" t="s">
        <v>5385</v>
      </c>
      <c r="Q31" s="1451" t="s">
        <v>9633</v>
      </c>
      <c r="R31" s="1451" t="s">
        <v>9634</v>
      </c>
      <c r="S31" s="1451" t="s">
        <v>9635</v>
      </c>
      <c r="T31" s="1451" t="s">
        <v>9636</v>
      </c>
      <c r="U31" s="1451" t="s">
        <v>9637</v>
      </c>
      <c r="V31" s="1451" t="s">
        <v>2284</v>
      </c>
      <c r="W31" s="1451" t="s">
        <v>9638</v>
      </c>
      <c r="X31" s="1451" t="s">
        <v>9639</v>
      </c>
      <c r="Y31" s="1451" t="s">
        <v>9499</v>
      </c>
      <c r="Z31" s="1451" t="s">
        <v>1128</v>
      </c>
      <c r="AA31" s="1451" t="s">
        <v>3423</v>
      </c>
      <c r="AB31" s="1451" t="s">
        <v>4860</v>
      </c>
      <c r="AC31" s="1451" t="s">
        <v>7220</v>
      </c>
      <c r="AD31" s="1451" t="s">
        <v>6317</v>
      </c>
      <c r="AE31" s="1451" t="s">
        <v>5625</v>
      </c>
      <c r="AF31" s="1451" t="s">
        <v>9640</v>
      </c>
      <c r="AG31" s="1451" t="s">
        <v>5958</v>
      </c>
      <c r="AH31" s="1451" t="s">
        <v>4101</v>
      </c>
      <c r="AI31" s="1451" t="s">
        <v>5147</v>
      </c>
      <c r="AJ31" s="1451" t="s">
        <v>9641</v>
      </c>
      <c r="AK31" s="1451" t="s">
        <v>9642</v>
      </c>
      <c r="AL31" s="1451" t="s">
        <v>6037</v>
      </c>
      <c r="AM31" s="1451" t="s">
        <v>1230</v>
      </c>
      <c r="AN31" s="1451" t="s">
        <v>4195</v>
      </c>
      <c r="AO31" s="1451" t="s">
        <v>9643</v>
      </c>
      <c r="AP31" s="1569" t="str">
        <f>HYPERLINK("https://www.twitch.tv/videos/511415405","2:00.79")</f>
        <v>2:00.79</v>
      </c>
      <c r="AQ31" s="1451" t="s">
        <v>3604</v>
      </c>
      <c r="AR31" s="1451" t="s">
        <v>6923</v>
      </c>
      <c r="AS31" s="1451" t="s">
        <v>9105</v>
      </c>
      <c r="AT31" s="1451" t="s">
        <v>9644</v>
      </c>
      <c r="AU31" s="1451" t="s">
        <v>9645</v>
      </c>
      <c r="AV31" s="1451" t="str">
        <f t="shared" si="1"/>
        <v>2:36</v>
      </c>
      <c r="AW31" s="1570" t="s">
        <v>7554</v>
      </c>
    </row>
    <row r="32">
      <c r="A32" s="1590" t="s">
        <v>1194</v>
      </c>
      <c r="B32" s="1578" t="s">
        <v>8997</v>
      </c>
      <c r="C32" s="1533">
        <v>0.050486111111111114</v>
      </c>
      <c r="D32" s="1613" t="s">
        <v>9646</v>
      </c>
      <c r="E32" s="1613" t="s">
        <v>4267</v>
      </c>
      <c r="F32" s="1613" t="s">
        <v>9647</v>
      </c>
      <c r="G32" s="1613" t="s">
        <v>9648</v>
      </c>
      <c r="H32" s="980" t="s">
        <v>9649</v>
      </c>
      <c r="I32" s="840" t="s">
        <v>925</v>
      </c>
      <c r="J32" s="1597" t="s">
        <v>5921</v>
      </c>
      <c r="K32" s="1597" t="s">
        <v>7448</v>
      </c>
      <c r="L32" s="1597" t="s">
        <v>6570</v>
      </c>
      <c r="M32" s="1597" t="s">
        <v>5030</v>
      </c>
      <c r="N32" s="1597" t="s">
        <v>9650</v>
      </c>
      <c r="O32" s="1597" t="s">
        <v>9651</v>
      </c>
      <c r="P32" s="1597" t="s">
        <v>9400</v>
      </c>
      <c r="Q32" s="1600" t="s">
        <v>170</v>
      </c>
      <c r="R32" s="1600" t="s">
        <v>4806</v>
      </c>
      <c r="S32" s="1600" t="s">
        <v>9364</v>
      </c>
      <c r="T32" s="1600" t="s">
        <v>9652</v>
      </c>
      <c r="U32" s="1600" t="s">
        <v>9653</v>
      </c>
      <c r="V32" s="1600" t="s">
        <v>9654</v>
      </c>
      <c r="W32" s="1615" t="s">
        <v>9655</v>
      </c>
      <c r="X32" s="1615" t="s">
        <v>9656</v>
      </c>
      <c r="Y32" s="1615" t="s">
        <v>8038</v>
      </c>
      <c r="Z32" s="1615" t="s">
        <v>9657</v>
      </c>
      <c r="AA32" s="1559" t="s">
        <v>9658</v>
      </c>
      <c r="AB32" s="1615" t="s">
        <v>3405</v>
      </c>
      <c r="AC32" s="1615" t="s">
        <v>1042</v>
      </c>
      <c r="AD32" s="1613" t="s">
        <v>9659</v>
      </c>
      <c r="AE32" s="1613" t="s">
        <v>2223</v>
      </c>
      <c r="AF32" s="1616" t="s">
        <v>9660</v>
      </c>
      <c r="AG32" s="1616" t="s">
        <v>528</v>
      </c>
      <c r="AH32" s="1616" t="s">
        <v>9661</v>
      </c>
      <c r="AI32" s="1616" t="s">
        <v>2707</v>
      </c>
      <c r="AJ32" s="1616" t="s">
        <v>9662</v>
      </c>
      <c r="AK32" s="1616" t="s">
        <v>7023</v>
      </c>
      <c r="AL32" s="1616" t="s">
        <v>2889</v>
      </c>
      <c r="AM32" s="1618" t="s">
        <v>9663</v>
      </c>
      <c r="AN32" s="1618" t="s">
        <v>9365</v>
      </c>
      <c r="AO32" s="1618" t="s">
        <v>9664</v>
      </c>
      <c r="AP32" s="1618" t="s">
        <v>9665</v>
      </c>
      <c r="AQ32" s="1618" t="s">
        <v>9666</v>
      </c>
      <c r="AR32" s="1618" t="s">
        <v>1156</v>
      </c>
      <c r="AS32" s="1618" t="s">
        <v>1546</v>
      </c>
      <c r="AT32" s="1597" t="s">
        <v>9667</v>
      </c>
      <c r="AU32" s="1580" t="s">
        <v>9668</v>
      </c>
      <c r="AV32" s="1451" t="str">
        <f t="shared" si="1"/>
        <v>3:47</v>
      </c>
      <c r="AW32" s="1581"/>
    </row>
    <row r="33" ht="15.75" customHeight="1">
      <c r="A33" s="1590" t="s">
        <v>1722</v>
      </c>
      <c r="B33" s="1532" t="s">
        <v>8997</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6530</v>
      </c>
      <c r="K33" s="1597" t="s">
        <v>7504</v>
      </c>
      <c r="L33" s="1659" t="str">
        <f>HYPERLINK("https://www.youtube.com/watch?v=tJdjPKdAbw4","57.01")</f>
        <v>57.01</v>
      </c>
      <c r="M33" s="1643" t="s">
        <v>6798</v>
      </c>
      <c r="N33" s="1597" t="s">
        <v>2303</v>
      </c>
      <c r="O33" s="1643" t="s">
        <v>9373</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3311</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9400</v>
      </c>
      <c r="AF33" s="1646" t="s">
        <v>9674</v>
      </c>
      <c r="AG33" s="1667" t="str">
        <f>HYPERLINK("https://www.youtube.com/watch?v=KXwTRrVVluY","1:30.62")</f>
        <v>1:30.62</v>
      </c>
      <c r="AH33" s="1646" t="s">
        <v>3054</v>
      </c>
      <c r="AI33" s="1646" t="s">
        <v>9554</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5647</v>
      </c>
      <c r="AT33" s="1659" t="str">
        <f>HYPERLINK("https://www.youtube.com/watch?v=H67SXBLcISI","2:29.09")</f>
        <v>2:29.09</v>
      </c>
      <c r="AU33" s="1640" t="s">
        <v>9681</v>
      </c>
      <c r="AV33" s="1451" t="str">
        <f t="shared" si="1"/>
        <v>2:03</v>
      </c>
      <c r="AW33" s="1669" t="s">
        <v>9682</v>
      </c>
    </row>
    <row r="34">
      <c r="A34" s="1590" t="s">
        <v>3096</v>
      </c>
      <c r="B34" s="1578" t="s">
        <v>9024</v>
      </c>
      <c r="C34" s="1533">
        <v>0.050520833333333334</v>
      </c>
      <c r="D34" s="1613" t="s">
        <v>9683</v>
      </c>
      <c r="E34" s="1651" t="s">
        <v>4600</v>
      </c>
      <c r="F34" s="1651" t="s">
        <v>9047</v>
      </c>
      <c r="G34" s="1613" t="s">
        <v>9684</v>
      </c>
      <c r="H34" s="1651" t="s">
        <v>9363</v>
      </c>
      <c r="I34" s="1651" t="s">
        <v>3120</v>
      </c>
      <c r="J34" s="1597" t="s">
        <v>9685</v>
      </c>
      <c r="K34" s="1670" t="s">
        <v>9686</v>
      </c>
      <c r="L34" s="1597" t="s">
        <v>9687</v>
      </c>
      <c r="M34" s="1539" t="s">
        <v>5866</v>
      </c>
      <c r="N34" s="1597" t="s">
        <v>885</v>
      </c>
      <c r="O34" s="1597" t="s">
        <v>9549</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9166</v>
      </c>
      <c r="AA34" s="1559" t="s">
        <v>9693</v>
      </c>
      <c r="AB34" s="1615" t="s">
        <v>4145</v>
      </c>
      <c r="AC34" s="1615" t="s">
        <v>940</v>
      </c>
      <c r="AD34" s="1613" t="s">
        <v>3955</v>
      </c>
      <c r="AE34" s="1613" t="s">
        <v>5943</v>
      </c>
      <c r="AF34" s="1616" t="s">
        <v>9694</v>
      </c>
      <c r="AG34" s="1651" t="s">
        <v>4635</v>
      </c>
      <c r="AH34" s="1616" t="s">
        <v>9695</v>
      </c>
      <c r="AI34" s="1616" t="s">
        <v>7806</v>
      </c>
      <c r="AJ34" s="1616" t="s">
        <v>9696</v>
      </c>
      <c r="AK34" s="1616" t="s">
        <v>9697</v>
      </c>
      <c r="AL34" s="1616" t="s">
        <v>9698</v>
      </c>
      <c r="AM34" s="1618" t="s">
        <v>3216</v>
      </c>
      <c r="AN34" s="1618" t="s">
        <v>9403</v>
      </c>
      <c r="AO34" s="1618" t="s">
        <v>3017</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8997</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3209</v>
      </c>
      <c r="N35" s="1597" t="s">
        <v>9714</v>
      </c>
      <c r="O35" s="1597" t="s">
        <v>9615</v>
      </c>
      <c r="P35" s="1597" t="s">
        <v>4903</v>
      </c>
      <c r="Q35" s="1600" t="s">
        <v>9715</v>
      </c>
      <c r="R35" s="1600" t="s">
        <v>2712</v>
      </c>
      <c r="S35" s="1600" t="s">
        <v>6953</v>
      </c>
      <c r="T35" s="1600" t="s">
        <v>9716</v>
      </c>
      <c r="U35" s="1600" t="s">
        <v>9717</v>
      </c>
      <c r="V35" s="1600" t="s">
        <v>9036</v>
      </c>
      <c r="W35" s="1615" t="s">
        <v>9718</v>
      </c>
      <c r="X35" s="1615" t="s">
        <v>9719</v>
      </c>
      <c r="Y35" s="1615" t="s">
        <v>9720</v>
      </c>
      <c r="Z35" s="1615" t="s">
        <v>1381</v>
      </c>
      <c r="AA35" s="1615" t="s">
        <v>9721</v>
      </c>
      <c r="AB35" s="1615" t="s">
        <v>7065</v>
      </c>
      <c r="AC35" s="1645" t="s">
        <v>2173</v>
      </c>
      <c r="AD35" s="1613" t="s">
        <v>9722</v>
      </c>
      <c r="AE35" s="1613" t="s">
        <v>9400</v>
      </c>
      <c r="AF35" s="1616" t="s">
        <v>9723</v>
      </c>
      <c r="AG35" s="1616" t="s">
        <v>9724</v>
      </c>
      <c r="AH35" s="1616" t="s">
        <v>5678</v>
      </c>
      <c r="AI35" s="1616" t="s">
        <v>9725</v>
      </c>
      <c r="AJ35" s="1616" t="s">
        <v>9726</v>
      </c>
      <c r="AK35" s="1616" t="s">
        <v>4473</v>
      </c>
      <c r="AL35" s="1616" t="s">
        <v>5765</v>
      </c>
      <c r="AM35" s="1618" t="s">
        <v>1925</v>
      </c>
      <c r="AN35" s="1618" t="s">
        <v>4621</v>
      </c>
      <c r="AO35" s="1618" t="s">
        <v>9727</v>
      </c>
      <c r="AP35" s="1618" t="s">
        <v>9728</v>
      </c>
      <c r="AQ35" s="1618" t="s">
        <v>9729</v>
      </c>
      <c r="AR35" s="1618" t="s">
        <v>9416</v>
      </c>
      <c r="AS35" s="1618" t="s">
        <v>881</v>
      </c>
      <c r="AT35" s="1597" t="s">
        <v>9730</v>
      </c>
      <c r="AU35" s="1580" t="s">
        <v>9731</v>
      </c>
      <c r="AV35" s="1451" t="str">
        <f t="shared" si="1"/>
        <v>2:07</v>
      </c>
      <c r="AW35" s="1641"/>
    </row>
    <row r="36">
      <c r="A36" s="1590" t="s">
        <v>644</v>
      </c>
      <c r="B36" s="1578" t="s">
        <v>8997</v>
      </c>
      <c r="C36" s="1533">
        <v>0.050555555555555555</v>
      </c>
      <c r="D36" s="980" t="s">
        <v>9732</v>
      </c>
      <c r="E36" s="980" t="s">
        <v>9733</v>
      </c>
      <c r="F36" s="980" t="s">
        <v>9734</v>
      </c>
      <c r="G36" s="980" t="s">
        <v>9735</v>
      </c>
      <c r="H36" s="980" t="s">
        <v>9736</v>
      </c>
      <c r="I36" s="980" t="s">
        <v>2556</v>
      </c>
      <c r="J36" s="980" t="s">
        <v>1300</v>
      </c>
      <c r="K36" s="980" t="s">
        <v>9737</v>
      </c>
      <c r="L36" s="980" t="s">
        <v>4261</v>
      </c>
      <c r="M36" s="980" t="s">
        <v>4172</v>
      </c>
      <c r="N36" s="980" t="s">
        <v>9738</v>
      </c>
      <c r="O36" s="980" t="s">
        <v>9739</v>
      </c>
      <c r="P36" s="980" t="s">
        <v>9740</v>
      </c>
      <c r="Q36" s="980" t="s">
        <v>9741</v>
      </c>
      <c r="R36" s="980" t="s">
        <v>1938</v>
      </c>
      <c r="S36" s="980" t="s">
        <v>9742</v>
      </c>
      <c r="T36" s="980" t="s">
        <v>9603</v>
      </c>
      <c r="U36" s="980" t="s">
        <v>9743</v>
      </c>
      <c r="V36" s="980" t="s">
        <v>9744</v>
      </c>
      <c r="W36" s="980" t="s">
        <v>4756</v>
      </c>
      <c r="X36" s="980" t="s">
        <v>9745</v>
      </c>
      <c r="Y36" s="980" t="s">
        <v>5133</v>
      </c>
      <c r="Z36" s="980" t="s">
        <v>9746</v>
      </c>
      <c r="AA36" s="980" t="s">
        <v>9747</v>
      </c>
      <c r="AB36" s="980" t="s">
        <v>9748</v>
      </c>
      <c r="AC36" s="980" t="s">
        <v>7220</v>
      </c>
      <c r="AD36" s="980" t="s">
        <v>9749</v>
      </c>
      <c r="AE36" s="980" t="s">
        <v>9215</v>
      </c>
      <c r="AF36" s="980" t="s">
        <v>9750</v>
      </c>
      <c r="AG36" s="980" t="s">
        <v>5129</v>
      </c>
      <c r="AH36" s="980" t="s">
        <v>4443</v>
      </c>
      <c r="AI36" s="980" t="s">
        <v>9751</v>
      </c>
      <c r="AJ36" s="980" t="s">
        <v>9752</v>
      </c>
      <c r="AK36" s="980" t="s">
        <v>1673</v>
      </c>
      <c r="AL36" s="980" t="s">
        <v>9753</v>
      </c>
      <c r="AM36" s="980" t="s">
        <v>4042</v>
      </c>
      <c r="AN36" s="980" t="s">
        <v>4079</v>
      </c>
      <c r="AO36" s="980" t="s">
        <v>6379</v>
      </c>
      <c r="AP36" s="980" t="s">
        <v>9754</v>
      </c>
      <c r="AQ36" s="980" t="s">
        <v>9755</v>
      </c>
      <c r="AR36" s="980" t="s">
        <v>9304</v>
      </c>
      <c r="AS36" s="980" t="s">
        <v>837</v>
      </c>
      <c r="AT36" s="980" t="s">
        <v>9756</v>
      </c>
      <c r="AU36" s="1580" t="s">
        <v>9645</v>
      </c>
      <c r="AV36" s="1451" t="str">
        <f t="shared" si="1"/>
        <v>2:26</v>
      </c>
      <c r="AW36" s="1581" t="s">
        <v>9757</v>
      </c>
    </row>
    <row r="37" ht="15.75" customHeight="1">
      <c r="A37" s="1531" t="s">
        <v>739</v>
      </c>
      <c r="B37" s="1623" t="s">
        <v>9024</v>
      </c>
      <c r="C37" s="1533">
        <v>0.05056712962962963</v>
      </c>
      <c r="D37" s="1595" t="s">
        <v>9025</v>
      </c>
      <c r="E37" s="1642" t="s">
        <v>9545</v>
      </c>
      <c r="F37" s="1658" t="s">
        <v>9026</v>
      </c>
      <c r="G37" s="1559" t="s">
        <v>9758</v>
      </c>
      <c r="H37" s="1559" t="s">
        <v>9102</v>
      </c>
      <c r="I37" s="1658" t="s">
        <v>9029</v>
      </c>
      <c r="J37" s="1559" t="s">
        <v>1101</v>
      </c>
      <c r="K37" s="1559" t="s">
        <v>4917</v>
      </c>
      <c r="L37" s="1559" t="s">
        <v>2290</v>
      </c>
      <c r="M37" s="1559" t="s">
        <v>2243</v>
      </c>
      <c r="N37" s="1559" t="s">
        <v>9504</v>
      </c>
      <c r="O37" s="1559" t="s">
        <v>9759</v>
      </c>
      <c r="P37" s="1559" t="s">
        <v>4015</v>
      </c>
      <c r="Q37" s="1559" t="s">
        <v>9760</v>
      </c>
      <c r="R37" s="1559" t="s">
        <v>3117</v>
      </c>
      <c r="S37" s="1559" t="s">
        <v>9113</v>
      </c>
      <c r="T37" s="1559" t="s">
        <v>2359</v>
      </c>
      <c r="U37" s="1559" t="s">
        <v>9250</v>
      </c>
      <c r="V37" s="1559" t="s">
        <v>2883</v>
      </c>
      <c r="W37" s="1559" t="s">
        <v>9761</v>
      </c>
      <c r="X37" s="1559" t="s">
        <v>9762</v>
      </c>
      <c r="Y37" s="1559" t="s">
        <v>861</v>
      </c>
      <c r="Z37" s="1559" t="s">
        <v>9422</v>
      </c>
      <c r="AA37" s="1559" t="s">
        <v>7023</v>
      </c>
      <c r="AB37" s="1559" t="s">
        <v>6179</v>
      </c>
      <c r="AC37" s="1451" t="s">
        <v>536</v>
      </c>
      <c r="AD37" s="1559" t="s">
        <v>9763</v>
      </c>
      <c r="AE37" s="1559" t="s">
        <v>2654</v>
      </c>
      <c r="AF37" s="1559" t="s">
        <v>9764</v>
      </c>
      <c r="AG37" s="1559" t="s">
        <v>9603</v>
      </c>
      <c r="AH37" s="1559" t="s">
        <v>2962</v>
      </c>
      <c r="AI37" s="1559" t="s">
        <v>9765</v>
      </c>
      <c r="AJ37" s="1559" t="s">
        <v>3226</v>
      </c>
      <c r="AK37" s="1559" t="s">
        <v>5237</v>
      </c>
      <c r="AL37" s="1559" t="s">
        <v>4195</v>
      </c>
      <c r="AM37" s="1559" t="s">
        <v>3321</v>
      </c>
      <c r="AN37" s="1559" t="s">
        <v>344</v>
      </c>
      <c r="AO37" s="1559" t="s">
        <v>9766</v>
      </c>
      <c r="AP37" s="1559" t="s">
        <v>9767</v>
      </c>
      <c r="AQ37" s="1559" t="s">
        <v>6940</v>
      </c>
      <c r="AR37" s="1559" t="s">
        <v>2697</v>
      </c>
      <c r="AS37" s="1559" t="s">
        <v>4093</v>
      </c>
      <c r="AT37" s="1559" t="s">
        <v>5560</v>
      </c>
      <c r="AU37" s="1559" t="s">
        <v>9451</v>
      </c>
      <c r="AV37" s="1451" t="str">
        <f t="shared" si="1"/>
        <v>3:34</v>
      </c>
      <c r="AW37" s="1589" t="s">
        <v>9768</v>
      </c>
    </row>
    <row r="38" ht="15.75" customHeight="1">
      <c r="A38" s="1590" t="s">
        <v>644</v>
      </c>
      <c r="B38" s="1623" t="s">
        <v>9024</v>
      </c>
      <c r="C38" s="1665">
        <v>0.05056712962962963</v>
      </c>
      <c r="D38" s="980" t="s">
        <v>9769</v>
      </c>
      <c r="E38" s="1451" t="s">
        <v>9770</v>
      </c>
      <c r="F38" s="1451" t="s">
        <v>9481</v>
      </c>
      <c r="G38" s="1451" t="s">
        <v>9771</v>
      </c>
      <c r="H38" s="1451" t="s">
        <v>4446</v>
      </c>
      <c r="I38" s="1451" t="s">
        <v>1179</v>
      </c>
      <c r="J38" s="1559" t="s">
        <v>3475</v>
      </c>
      <c r="K38" s="1559" t="s">
        <v>3475</v>
      </c>
      <c r="L38" s="1451" t="s">
        <v>9772</v>
      </c>
      <c r="M38" s="1451" t="s">
        <v>9773</v>
      </c>
      <c r="N38" s="1451" t="s">
        <v>9427</v>
      </c>
      <c r="O38" s="1658" t="s">
        <v>9032</v>
      </c>
      <c r="P38" s="1451" t="s">
        <v>8072</v>
      </c>
      <c r="Q38" s="1451" t="s">
        <v>785</v>
      </c>
      <c r="R38" s="1559" t="s">
        <v>3475</v>
      </c>
      <c r="S38" s="1451" t="s">
        <v>9774</v>
      </c>
      <c r="T38" s="1451" t="s">
        <v>156</v>
      </c>
      <c r="U38" s="1451" t="s">
        <v>9775</v>
      </c>
      <c r="V38" s="1451" t="s">
        <v>9776</v>
      </c>
      <c r="W38" s="1451" t="s">
        <v>9777</v>
      </c>
      <c r="X38" s="1451" t="s">
        <v>9597</v>
      </c>
      <c r="Y38" s="1451" t="s">
        <v>9598</v>
      </c>
      <c r="Z38" s="1451" t="s">
        <v>151</v>
      </c>
      <c r="AA38" s="1451" t="s">
        <v>9778</v>
      </c>
      <c r="AB38" s="1451" t="s">
        <v>9268</v>
      </c>
      <c r="AC38" s="1451" t="s">
        <v>4476</v>
      </c>
      <c r="AD38" s="1451" t="s">
        <v>2323</v>
      </c>
      <c r="AE38" s="1451" t="s">
        <v>9720</v>
      </c>
      <c r="AF38" s="1451" t="s">
        <v>9779</v>
      </c>
      <c r="AG38" s="1451" t="s">
        <v>9780</v>
      </c>
      <c r="AH38" s="1451" t="s">
        <v>4463</v>
      </c>
      <c r="AI38" s="1451" t="s">
        <v>3801</v>
      </c>
      <c r="AJ38" s="1451" t="s">
        <v>9781</v>
      </c>
      <c r="AK38" s="1451" t="s">
        <v>1159</v>
      </c>
      <c r="AL38" s="1451" t="s">
        <v>9601</v>
      </c>
      <c r="AM38" s="1451" t="s">
        <v>872</v>
      </c>
      <c r="AN38" s="1559" t="s">
        <v>9782</v>
      </c>
      <c r="AO38" s="1559" t="s">
        <v>3475</v>
      </c>
      <c r="AP38" s="1451" t="s">
        <v>5406</v>
      </c>
      <c r="AQ38" s="1451" t="s">
        <v>252</v>
      </c>
      <c r="AR38" s="1451" t="s">
        <v>9783</v>
      </c>
      <c r="AS38" s="1451" t="s">
        <v>9784</v>
      </c>
      <c r="AT38" s="1451" t="s">
        <v>9785</v>
      </c>
      <c r="AU38" s="1559" t="s">
        <v>9786</v>
      </c>
      <c r="AV38" s="1451" t="str">
        <f t="shared" si="1"/>
        <v>3:07</v>
      </c>
      <c r="AW38" s="1622" t="s">
        <v>9787</v>
      </c>
    </row>
    <row r="39" ht="15.75" customHeight="1">
      <c r="A39" s="1531" t="s">
        <v>4257</v>
      </c>
      <c r="B39" s="1532" t="s">
        <v>8997</v>
      </c>
      <c r="C39" s="1665">
        <v>0.05060185185185185</v>
      </c>
      <c r="D39" s="980" t="s">
        <v>9788</v>
      </c>
      <c r="E39" s="1642" t="s">
        <v>3297</v>
      </c>
      <c r="F39" s="1642" t="s">
        <v>6117</v>
      </c>
      <c r="G39" s="1642" t="s">
        <v>9789</v>
      </c>
      <c r="H39" s="905" t="s">
        <v>9790</v>
      </c>
      <c r="I39" s="905" t="s">
        <v>4780</v>
      </c>
      <c r="J39" s="1643" t="s">
        <v>9231</v>
      </c>
      <c r="K39" s="1643" t="s">
        <v>7448</v>
      </c>
      <c r="L39" s="1643" t="s">
        <v>5626</v>
      </c>
      <c r="M39" s="1643" t="s">
        <v>9791</v>
      </c>
      <c r="N39" s="1643" t="s">
        <v>5322</v>
      </c>
      <c r="O39" s="1643" t="s">
        <v>9792</v>
      </c>
      <c r="P39" s="1643" t="s">
        <v>5968</v>
      </c>
      <c r="Q39" s="1644" t="s">
        <v>9793</v>
      </c>
      <c r="R39" s="1644" t="s">
        <v>5506</v>
      </c>
      <c r="S39" s="1644" t="s">
        <v>7065</v>
      </c>
      <c r="T39" s="1644" t="s">
        <v>9794</v>
      </c>
      <c r="U39" s="1644" t="s">
        <v>6253</v>
      </c>
      <c r="V39" s="1644" t="s">
        <v>3920</v>
      </c>
      <c r="W39" s="1645" t="s">
        <v>9795</v>
      </c>
      <c r="X39" s="1645" t="s">
        <v>7438</v>
      </c>
      <c r="Y39" s="1645" t="s">
        <v>1916</v>
      </c>
      <c r="Z39" s="1645" t="s">
        <v>1841</v>
      </c>
      <c r="AA39" s="1645" t="s">
        <v>9796</v>
      </c>
      <c r="AB39" s="1645" t="s">
        <v>9268</v>
      </c>
      <c r="AC39" s="1645" t="s">
        <v>5627</v>
      </c>
      <c r="AD39" s="1642" t="s">
        <v>6595</v>
      </c>
      <c r="AE39" s="1642" t="s">
        <v>7704</v>
      </c>
      <c r="AF39" s="1646" t="s">
        <v>9797</v>
      </c>
      <c r="AG39" s="1646" t="s">
        <v>9724</v>
      </c>
      <c r="AH39" s="1646" t="s">
        <v>8153</v>
      </c>
      <c r="AI39" s="1646" t="s">
        <v>5622</v>
      </c>
      <c r="AJ39" s="1646" t="s">
        <v>9798</v>
      </c>
      <c r="AK39" s="1646" t="s">
        <v>9799</v>
      </c>
      <c r="AL39" s="1646" t="s">
        <v>9800</v>
      </c>
      <c r="AM39" s="1617" t="s">
        <v>9801</v>
      </c>
      <c r="AN39" s="1617" t="s">
        <v>9802</v>
      </c>
      <c r="AO39" s="1617" t="s">
        <v>9803</v>
      </c>
      <c r="AP39" s="1617" t="s">
        <v>9804</v>
      </c>
      <c r="AQ39" s="1617" t="s">
        <v>9666</v>
      </c>
      <c r="AR39" s="1617" t="s">
        <v>9805</v>
      </c>
      <c r="AS39" s="1617" t="s">
        <v>4389</v>
      </c>
      <c r="AT39" s="1643" t="s">
        <v>9806</v>
      </c>
      <c r="AU39" s="1640" t="s">
        <v>9807</v>
      </c>
      <c r="AV39" s="1451" t="str">
        <f t="shared" si="1"/>
        <v>1:56</v>
      </c>
      <c r="AW39" s="1641"/>
    </row>
    <row r="40" ht="15.75" customHeight="1">
      <c r="A40" s="1556" t="s">
        <v>897</v>
      </c>
      <c r="B40" s="1532" t="s">
        <v>8997</v>
      </c>
      <c r="C40" s="1533">
        <v>0.05061342592592592</v>
      </c>
      <c r="D40" s="980" t="s">
        <v>9808</v>
      </c>
      <c r="E40" s="1559" t="s">
        <v>9207</v>
      </c>
      <c r="F40" s="1559" t="s">
        <v>5444</v>
      </c>
      <c r="G40" s="1451" t="s">
        <v>9809</v>
      </c>
      <c r="H40" s="1559" t="s">
        <v>9810</v>
      </c>
      <c r="I40" s="1559" t="s">
        <v>388</v>
      </c>
      <c r="J40" s="1559" t="s">
        <v>7808</v>
      </c>
      <c r="K40" s="1451" t="s">
        <v>9478</v>
      </c>
      <c r="L40" s="1559" t="s">
        <v>9811</v>
      </c>
      <c r="M40" s="1559" t="s">
        <v>9812</v>
      </c>
      <c r="N40" s="1559" t="s">
        <v>4396</v>
      </c>
      <c r="O40" s="1559" t="s">
        <v>9813</v>
      </c>
      <c r="P40" s="1559" t="s">
        <v>1585</v>
      </c>
      <c r="Q40" s="1537" t="s">
        <v>9814</v>
      </c>
      <c r="R40" s="1559" t="s">
        <v>9815</v>
      </c>
      <c r="S40" s="1451" t="s">
        <v>9816</v>
      </c>
      <c r="T40" s="1559" t="s">
        <v>9579</v>
      </c>
      <c r="U40" s="1559" t="s">
        <v>6704</v>
      </c>
      <c r="V40" s="1559" t="s">
        <v>2479</v>
      </c>
      <c r="W40" s="1568" t="str">
        <f>HYPERLINK("https://www.youtube.com/watch?v=nn1ub1z3NYM","1:45.96")</f>
        <v>1:45.96</v>
      </c>
      <c r="X40" s="1559" t="s">
        <v>5763</v>
      </c>
      <c r="Y40" s="1451" t="s">
        <v>5611</v>
      </c>
      <c r="Z40" s="1559" t="s">
        <v>1500</v>
      </c>
      <c r="AA40" s="1559" t="s">
        <v>9817</v>
      </c>
      <c r="AB40" s="1559" t="s">
        <v>9818</v>
      </c>
      <c r="AC40" s="1559" t="s">
        <v>1042</v>
      </c>
      <c r="AD40" s="1559" t="s">
        <v>9819</v>
      </c>
      <c r="AE40" s="1537" t="s">
        <v>4619</v>
      </c>
      <c r="AF40" s="1451" t="s">
        <v>9820</v>
      </c>
      <c r="AG40" s="1559" t="s">
        <v>1936</v>
      </c>
      <c r="AH40" s="1559" t="s">
        <v>3054</v>
      </c>
      <c r="AI40" s="1559" t="s">
        <v>9821</v>
      </c>
      <c r="AJ40" s="1451" t="s">
        <v>8421</v>
      </c>
      <c r="AK40" s="1559" t="s">
        <v>9822</v>
      </c>
      <c r="AL40" s="1451" t="s">
        <v>4349</v>
      </c>
      <c r="AM40" s="1451" t="s">
        <v>9823</v>
      </c>
      <c r="AN40" s="1451" t="s">
        <v>2512</v>
      </c>
      <c r="AO40" s="1559" t="s">
        <v>3605</v>
      </c>
      <c r="AP40" s="1559" t="s">
        <v>9824</v>
      </c>
      <c r="AQ40" s="1559" t="s">
        <v>9825</v>
      </c>
      <c r="AR40" s="1559" t="s">
        <v>1300</v>
      </c>
      <c r="AS40" s="1559" t="s">
        <v>4703</v>
      </c>
      <c r="AT40" s="1559" t="s">
        <v>9826</v>
      </c>
      <c r="AU40" s="1559" t="s">
        <v>9827</v>
      </c>
      <c r="AV40" s="1451" t="str">
        <f t="shared" si="1"/>
        <v>2:25</v>
      </c>
      <c r="AW40" s="1589"/>
    </row>
    <row r="41">
      <c r="A41" s="1556" t="s">
        <v>9828</v>
      </c>
      <c r="B41" s="1588" t="s">
        <v>8997</v>
      </c>
      <c r="C41" s="1533">
        <v>0.050625</v>
      </c>
      <c r="D41" s="1671" t="s">
        <v>9829</v>
      </c>
      <c r="E41" s="1559" t="s">
        <v>4732</v>
      </c>
      <c r="F41" s="1559" t="s">
        <v>9830</v>
      </c>
      <c r="G41" s="1559" t="s">
        <v>9831</v>
      </c>
      <c r="H41" s="1559" t="s">
        <v>1745</v>
      </c>
      <c r="I41" s="1559" t="s">
        <v>1833</v>
      </c>
      <c r="J41" s="1559" t="s">
        <v>9832</v>
      </c>
      <c r="K41" s="1559" t="s">
        <v>3626</v>
      </c>
      <c r="L41" s="1559" t="s">
        <v>9833</v>
      </c>
      <c r="M41" s="1559" t="s">
        <v>9834</v>
      </c>
      <c r="N41" s="1559" t="s">
        <v>9835</v>
      </c>
      <c r="O41" s="1559" t="s">
        <v>9836</v>
      </c>
      <c r="P41" s="1559" t="s">
        <v>9720</v>
      </c>
      <c r="Q41" s="1559" t="s">
        <v>4639</v>
      </c>
      <c r="R41" s="1559" t="s">
        <v>4012</v>
      </c>
      <c r="S41" s="1559" t="s">
        <v>2682</v>
      </c>
      <c r="T41" s="1559" t="s">
        <v>2359</v>
      </c>
      <c r="U41" s="1559" t="s">
        <v>9837</v>
      </c>
      <c r="V41" s="1559" t="s">
        <v>2214</v>
      </c>
      <c r="W41" s="1559" t="s">
        <v>7122</v>
      </c>
      <c r="X41" s="1559" t="s">
        <v>9838</v>
      </c>
      <c r="Y41" s="1559" t="s">
        <v>9839</v>
      </c>
      <c r="Z41" s="1559" t="s">
        <v>9840</v>
      </c>
      <c r="AA41" s="1559" t="s">
        <v>9841</v>
      </c>
      <c r="AB41" s="1559"/>
      <c r="AC41" s="1559" t="s">
        <v>9842</v>
      </c>
      <c r="AD41" s="1559" t="s">
        <v>9843</v>
      </c>
      <c r="AE41" s="1559" t="s">
        <v>4965</v>
      </c>
      <c r="AF41" s="1559" t="s">
        <v>9844</v>
      </c>
      <c r="AG41" s="1559" t="s">
        <v>9845</v>
      </c>
      <c r="AH41" s="1559" t="s">
        <v>9846</v>
      </c>
      <c r="AI41" s="1559" t="s">
        <v>726</v>
      </c>
      <c r="AJ41" s="1559" t="s">
        <v>9847</v>
      </c>
      <c r="AK41" s="1559" t="s">
        <v>9008</v>
      </c>
      <c r="AL41" s="1559" t="s">
        <v>9848</v>
      </c>
      <c r="AM41" s="1559" t="s">
        <v>9849</v>
      </c>
      <c r="AN41" s="1559" t="s">
        <v>9076</v>
      </c>
      <c r="AO41" s="1559" t="s">
        <v>5457</v>
      </c>
      <c r="AP41" s="1559" t="s">
        <v>9850</v>
      </c>
      <c r="AQ41" s="1559" t="s">
        <v>9851</v>
      </c>
      <c r="AR41" s="1559" t="s">
        <v>7508</v>
      </c>
      <c r="AS41" s="1559" t="s">
        <v>5842</v>
      </c>
      <c r="AT41" s="1559" t="s">
        <v>8722</v>
      </c>
      <c r="AU41" s="1559" t="s">
        <v>9852</v>
      </c>
      <c r="AV41" s="1451" t="str">
        <f t="shared" si="1"/>
        <v>2:05</v>
      </c>
      <c r="AW41" s="1622"/>
    </row>
    <row r="42">
      <c r="A42" s="1556" t="s">
        <v>9853</v>
      </c>
      <c r="B42" s="1578" t="s">
        <v>8997</v>
      </c>
      <c r="C42" s="1533">
        <v>0.0506712962962963</v>
      </c>
      <c r="D42" s="1671" t="s">
        <v>9854</v>
      </c>
      <c r="E42" s="1613" t="s">
        <v>3297</v>
      </c>
      <c r="F42" s="1613" t="s">
        <v>9347</v>
      </c>
      <c r="G42" s="1613" t="s">
        <v>9855</v>
      </c>
      <c r="H42" s="840" t="s">
        <v>9856</v>
      </c>
      <c r="I42" s="840" t="s">
        <v>9857</v>
      </c>
      <c r="J42" s="1597" t="s">
        <v>9858</v>
      </c>
      <c r="K42" s="1597" t="s">
        <v>8110</v>
      </c>
      <c r="L42" s="1597" t="s">
        <v>4323</v>
      </c>
      <c r="M42" s="1597" t="s">
        <v>8111</v>
      </c>
      <c r="N42" s="1597" t="s">
        <v>9859</v>
      </c>
      <c r="O42" s="1597" t="s">
        <v>2247</v>
      </c>
      <c r="P42" s="1597" t="s">
        <v>8075</v>
      </c>
      <c r="Q42" s="1600" t="s">
        <v>7358</v>
      </c>
      <c r="R42" s="1600" t="s">
        <v>9860</v>
      </c>
      <c r="S42" s="1600" t="s">
        <v>9861</v>
      </c>
      <c r="T42" s="1600" t="s">
        <v>9862</v>
      </c>
      <c r="U42" s="1600" t="s">
        <v>9863</v>
      </c>
      <c r="V42" s="1600" t="s">
        <v>9864</v>
      </c>
      <c r="W42" s="1615" t="s">
        <v>9865</v>
      </c>
      <c r="X42" s="1615" t="s">
        <v>9866</v>
      </c>
      <c r="Y42" s="1615" t="s">
        <v>6309</v>
      </c>
      <c r="Z42" s="1615" t="s">
        <v>9867</v>
      </c>
      <c r="AA42" s="1559" t="s">
        <v>1678</v>
      </c>
      <c r="AB42" s="1615" t="s">
        <v>9868</v>
      </c>
      <c r="AC42" s="1615" t="s">
        <v>7220</v>
      </c>
      <c r="AD42" s="1613" t="s">
        <v>9869</v>
      </c>
      <c r="AE42" s="1613" t="s">
        <v>536</v>
      </c>
      <c r="AF42" s="1616" t="s">
        <v>9870</v>
      </c>
      <c r="AG42" s="1616" t="s">
        <v>3996</v>
      </c>
      <c r="AH42" s="1616" t="s">
        <v>5217</v>
      </c>
      <c r="AI42" s="1616" t="s">
        <v>9871</v>
      </c>
      <c r="AJ42" s="1616" t="s">
        <v>9872</v>
      </c>
      <c r="AK42" s="1616" t="s">
        <v>174</v>
      </c>
      <c r="AL42" s="1616" t="s">
        <v>2622</v>
      </c>
      <c r="AM42" s="1618" t="s">
        <v>9348</v>
      </c>
      <c r="AN42" s="1618" t="s">
        <v>9604</v>
      </c>
      <c r="AO42" s="1618" t="s">
        <v>9540</v>
      </c>
      <c r="AP42" s="1618" t="s">
        <v>9873</v>
      </c>
      <c r="AQ42" s="1618" t="s">
        <v>9874</v>
      </c>
      <c r="AR42" s="1618" t="s">
        <v>4865</v>
      </c>
      <c r="AS42" s="1618" t="s">
        <v>9875</v>
      </c>
      <c r="AT42" s="1597" t="s">
        <v>9876</v>
      </c>
      <c r="AU42" s="1580" t="s">
        <v>9668</v>
      </c>
      <c r="AV42" s="1451" t="str">
        <f t="shared" si="1"/>
        <v>3:31</v>
      </c>
      <c r="AW42" s="1641"/>
    </row>
    <row r="43" ht="15.75" customHeight="1">
      <c r="A43" s="1655" t="s">
        <v>9877</v>
      </c>
      <c r="B43" s="1532" t="s">
        <v>8997</v>
      </c>
      <c r="C43" s="1533">
        <v>0.05070601851851852</v>
      </c>
      <c r="D43" s="980" t="s">
        <v>9878</v>
      </c>
      <c r="E43" s="1642" t="s">
        <v>3196</v>
      </c>
      <c r="F43" s="1642" t="s">
        <v>9198</v>
      </c>
      <c r="G43" s="1642" t="s">
        <v>9879</v>
      </c>
      <c r="H43" s="905" t="s">
        <v>9880</v>
      </c>
      <c r="I43" s="905" t="s">
        <v>388</v>
      </c>
      <c r="J43" s="1643" t="s">
        <v>9881</v>
      </c>
      <c r="K43" s="1643" t="s">
        <v>3549</v>
      </c>
      <c r="L43" s="1643" t="s">
        <v>5453</v>
      </c>
      <c r="M43" s="1643" t="s">
        <v>9882</v>
      </c>
      <c r="N43" s="1643" t="s">
        <v>9716</v>
      </c>
      <c r="O43" s="1643" t="s">
        <v>9883</v>
      </c>
      <c r="P43" s="1643" t="s">
        <v>5473</v>
      </c>
      <c r="Q43" s="1644" t="s">
        <v>9884</v>
      </c>
      <c r="R43" s="1644" t="s">
        <v>730</v>
      </c>
      <c r="S43" s="1644" t="s">
        <v>5457</v>
      </c>
      <c r="T43" s="1644" t="s">
        <v>9719</v>
      </c>
      <c r="U43" s="1644" t="s">
        <v>9885</v>
      </c>
      <c r="V43" s="1644" t="s">
        <v>2479</v>
      </c>
      <c r="W43" s="1645" t="s">
        <v>9886</v>
      </c>
      <c r="X43" s="1645" t="s">
        <v>6180</v>
      </c>
      <c r="Y43" s="1645" t="s">
        <v>8222</v>
      </c>
      <c r="Z43" s="1645" t="s">
        <v>9088</v>
      </c>
      <c r="AA43" s="1645" t="s">
        <v>9887</v>
      </c>
      <c r="AB43" s="1645" t="s">
        <v>2641</v>
      </c>
      <c r="AC43" s="1645" t="s">
        <v>3113</v>
      </c>
      <c r="AD43" s="1642" t="s">
        <v>9888</v>
      </c>
      <c r="AE43" s="1642" t="s">
        <v>6311</v>
      </c>
      <c r="AF43" s="1646" t="s">
        <v>9152</v>
      </c>
      <c r="AG43" s="1646" t="s">
        <v>9889</v>
      </c>
      <c r="AH43" s="1646" t="s">
        <v>2256</v>
      </c>
      <c r="AI43" s="1646" t="s">
        <v>9890</v>
      </c>
      <c r="AJ43" s="1646" t="s">
        <v>9891</v>
      </c>
      <c r="AK43" s="1646" t="s">
        <v>9892</v>
      </c>
      <c r="AL43" s="1646" t="s">
        <v>5423</v>
      </c>
      <c r="AM43" s="1617" t="s">
        <v>9745</v>
      </c>
      <c r="AN43" s="1617" t="s">
        <v>5423</v>
      </c>
      <c r="AO43" s="1617" t="s">
        <v>2303</v>
      </c>
      <c r="AP43" s="1617" t="s">
        <v>9893</v>
      </c>
      <c r="AQ43" s="1617" t="s">
        <v>9894</v>
      </c>
      <c r="AR43" s="1617" t="s">
        <v>4687</v>
      </c>
      <c r="AS43" s="1617" t="s">
        <v>4392</v>
      </c>
      <c r="AT43" s="1643" t="s">
        <v>9895</v>
      </c>
      <c r="AU43" s="1640" t="s">
        <v>9896</v>
      </c>
      <c r="AV43" s="1451" t="str">
        <f t="shared" si="1"/>
        <v>2:54</v>
      </c>
      <c r="AW43" s="1641"/>
    </row>
    <row r="44">
      <c r="A44" s="1590" t="s">
        <v>2824</v>
      </c>
      <c r="B44" s="1588" t="s">
        <v>8997</v>
      </c>
      <c r="C44" s="1533">
        <v>0.050826388888888886</v>
      </c>
      <c r="D44" s="1559" t="s">
        <v>9897</v>
      </c>
      <c r="E44" s="1559" t="s">
        <v>6984</v>
      </c>
      <c r="F44" s="1613" t="s">
        <v>9898</v>
      </c>
      <c r="G44" s="1559" t="s">
        <v>9899</v>
      </c>
      <c r="H44" s="1559" t="s">
        <v>6580</v>
      </c>
      <c r="I44" s="1559" t="s">
        <v>1290</v>
      </c>
      <c r="J44" s="1559" t="s">
        <v>9900</v>
      </c>
      <c r="K44" s="1559" t="s">
        <v>3970</v>
      </c>
      <c r="L44" s="1559" t="s">
        <v>5956</v>
      </c>
      <c r="M44" s="1559" t="s">
        <v>9901</v>
      </c>
      <c r="N44" s="1559" t="s">
        <v>6829</v>
      </c>
      <c r="O44" s="1559" t="s">
        <v>9902</v>
      </c>
      <c r="P44" s="1559" t="s">
        <v>9485</v>
      </c>
      <c r="Q44" s="1559" t="s">
        <v>9903</v>
      </c>
      <c r="R44" s="1559" t="s">
        <v>9904</v>
      </c>
      <c r="S44" s="1559" t="s">
        <v>9905</v>
      </c>
      <c r="T44" s="1559" t="s">
        <v>1706</v>
      </c>
      <c r="U44" s="1559" t="s">
        <v>9906</v>
      </c>
      <c r="V44" s="1559" t="s">
        <v>8155</v>
      </c>
      <c r="W44" s="1559" t="s">
        <v>5505</v>
      </c>
      <c r="X44" s="1559" t="s">
        <v>9907</v>
      </c>
      <c r="Y44" s="1559" t="s">
        <v>8066</v>
      </c>
      <c r="Z44" s="1559" t="s">
        <v>9908</v>
      </c>
      <c r="AA44" s="1615" t="s">
        <v>9909</v>
      </c>
      <c r="AB44" s="1559" t="s">
        <v>1841</v>
      </c>
      <c r="AC44" s="1559" t="s">
        <v>7220</v>
      </c>
      <c r="AD44" s="1559" t="s">
        <v>9910</v>
      </c>
      <c r="AE44" s="1559" t="s">
        <v>4965</v>
      </c>
      <c r="AF44" s="1559" t="s">
        <v>9911</v>
      </c>
      <c r="AG44" s="1559" t="s">
        <v>1173</v>
      </c>
      <c r="AH44" s="1559" t="s">
        <v>3895</v>
      </c>
      <c r="AI44" s="1559" t="s">
        <v>9912</v>
      </c>
      <c r="AJ44" s="1559" t="s">
        <v>9913</v>
      </c>
      <c r="AK44" s="1559" t="s">
        <v>9822</v>
      </c>
      <c r="AL44" s="1559" t="s">
        <v>4354</v>
      </c>
      <c r="AM44" s="1559" t="s">
        <v>9822</v>
      </c>
      <c r="AN44" s="1559" t="s">
        <v>9076</v>
      </c>
      <c r="AO44" s="1559" t="s">
        <v>6923</v>
      </c>
      <c r="AP44" s="1559" t="s">
        <v>9914</v>
      </c>
      <c r="AQ44" s="1559" t="s">
        <v>9915</v>
      </c>
      <c r="AR44" s="1559" t="s">
        <v>5154</v>
      </c>
      <c r="AS44" s="1559" t="s">
        <v>6147</v>
      </c>
      <c r="AT44" s="1559" t="s">
        <v>9916</v>
      </c>
      <c r="AU44" s="1559" t="s">
        <v>9917</v>
      </c>
      <c r="AV44" s="1451" t="str">
        <f t="shared" si="1"/>
        <v>2:25</v>
      </c>
      <c r="AW44" s="1622"/>
    </row>
    <row r="45" ht="15.75" customHeight="1">
      <c r="A45" s="1590" t="s">
        <v>4640</v>
      </c>
      <c r="B45" s="1532" t="s">
        <v>8997</v>
      </c>
      <c r="C45" s="1665">
        <v>0.050868055555555555</v>
      </c>
      <c r="D45" s="980" t="s">
        <v>9918</v>
      </c>
      <c r="E45" s="1451" t="s">
        <v>7185</v>
      </c>
      <c r="F45" s="1451" t="s">
        <v>9919</v>
      </c>
      <c r="G45" s="1451" t="s">
        <v>9920</v>
      </c>
      <c r="H45" s="1451" t="s">
        <v>9102</v>
      </c>
      <c r="I45" s="1451" t="s">
        <v>1290</v>
      </c>
      <c r="J45" s="1451" t="s">
        <v>4865</v>
      </c>
      <c r="K45" s="1451" t="s">
        <v>9493</v>
      </c>
      <c r="L45" s="1451" t="s">
        <v>9350</v>
      </c>
      <c r="M45" s="1451" t="s">
        <v>5383</v>
      </c>
      <c r="N45" s="1451" t="s">
        <v>8522</v>
      </c>
      <c r="O45" s="1451" t="s">
        <v>9921</v>
      </c>
      <c r="P45" s="1451" t="s">
        <v>2552</v>
      </c>
      <c r="Q45" s="1451" t="s">
        <v>9922</v>
      </c>
      <c r="R45" s="1451" t="s">
        <v>6848</v>
      </c>
      <c r="S45" s="1451" t="s">
        <v>9307</v>
      </c>
      <c r="T45" s="1451" t="s">
        <v>4608</v>
      </c>
      <c r="U45" s="1451" t="s">
        <v>9923</v>
      </c>
      <c r="V45" s="1451" t="s">
        <v>9533</v>
      </c>
      <c r="W45" s="1451" t="s">
        <v>9924</v>
      </c>
      <c r="X45" s="1451" t="s">
        <v>9538</v>
      </c>
      <c r="Y45" s="1451" t="s">
        <v>3633</v>
      </c>
      <c r="Z45" s="1451" t="s">
        <v>9925</v>
      </c>
      <c r="AA45" s="1451" t="s">
        <v>9926</v>
      </c>
      <c r="AB45" s="1451" t="s">
        <v>194</v>
      </c>
      <c r="AC45" s="1451" t="s">
        <v>3016</v>
      </c>
      <c r="AD45" s="1451" t="s">
        <v>9927</v>
      </c>
      <c r="AE45" s="1451" t="s">
        <v>618</v>
      </c>
      <c r="AF45" s="1451" t="s">
        <v>9928</v>
      </c>
      <c r="AG45" s="1451" t="s">
        <v>6045</v>
      </c>
      <c r="AH45" s="1451" t="s">
        <v>9103</v>
      </c>
      <c r="AI45" s="1451" t="s">
        <v>6949</v>
      </c>
      <c r="AJ45" s="1451" t="s">
        <v>9929</v>
      </c>
      <c r="AK45" s="1451" t="s">
        <v>5411</v>
      </c>
      <c r="AL45" s="1451" t="s">
        <v>3205</v>
      </c>
      <c r="AM45" s="1451" t="s">
        <v>9930</v>
      </c>
      <c r="AN45" s="1451" t="s">
        <v>3341</v>
      </c>
      <c r="AO45" s="1451" t="s">
        <v>9478</v>
      </c>
      <c r="AP45" s="1451" t="s">
        <v>9931</v>
      </c>
      <c r="AQ45" s="1451" t="s">
        <v>9932</v>
      </c>
      <c r="AR45" s="1451" t="s">
        <v>9341</v>
      </c>
      <c r="AS45" s="1451" t="s">
        <v>5118</v>
      </c>
      <c r="AT45" s="1451" t="s">
        <v>9933</v>
      </c>
      <c r="AU45" s="1451" t="s">
        <v>9934</v>
      </c>
      <c r="AV45" s="1451" t="str">
        <f t="shared" si="1"/>
        <v>2:44</v>
      </c>
      <c r="AW45" s="1570"/>
    </row>
    <row r="46" ht="15.75" customHeight="1">
      <c r="A46" s="1590" t="s">
        <v>1809</v>
      </c>
      <c r="B46" s="1672" t="s">
        <v>9052</v>
      </c>
      <c r="C46" s="1673">
        <v>0.05092592592592592</v>
      </c>
      <c r="D46" s="1674" t="s">
        <v>9053</v>
      </c>
      <c r="E46" s="1675" t="s">
        <v>9054</v>
      </c>
      <c r="F46" s="1674" t="s">
        <v>9055</v>
      </c>
      <c r="G46" s="1559" t="s">
        <v>9935</v>
      </c>
      <c r="H46" s="1674" t="s">
        <v>9057</v>
      </c>
      <c r="I46" s="1451" t="s">
        <v>1408</v>
      </c>
      <c r="J46" s="1642" t="s">
        <v>9936</v>
      </c>
      <c r="K46" s="1451" t="s">
        <v>9716</v>
      </c>
      <c r="L46" s="1642" t="s">
        <v>2329</v>
      </c>
      <c r="M46" s="1451" t="s">
        <v>2712</v>
      </c>
      <c r="N46" s="1674" t="s">
        <v>9016</v>
      </c>
      <c r="O46" s="1451" t="s">
        <v>9937</v>
      </c>
      <c r="P46" s="1642" t="s">
        <v>636</v>
      </c>
      <c r="Q46" s="1675" t="s">
        <v>9062</v>
      </c>
      <c r="R46" s="1674" t="s">
        <v>9063</v>
      </c>
      <c r="S46" s="1451" t="s">
        <v>1159</v>
      </c>
      <c r="T46" s="1642" t="s">
        <v>7261</v>
      </c>
      <c r="U46" s="1675" t="s">
        <v>9065</v>
      </c>
      <c r="V46" s="1674" t="s">
        <v>4286</v>
      </c>
      <c r="W46" s="1451" t="s">
        <v>9938</v>
      </c>
      <c r="X46" s="1674" t="s">
        <v>9067</v>
      </c>
      <c r="Y46" s="1451" t="s">
        <v>5712</v>
      </c>
      <c r="Z46" s="1613" t="s">
        <v>9939</v>
      </c>
      <c r="AA46" s="1451" t="s">
        <v>2305</v>
      </c>
      <c r="AB46" s="1642" t="s">
        <v>9381</v>
      </c>
      <c r="AC46" s="1559" t="s">
        <v>9940</v>
      </c>
      <c r="AD46" s="1642" t="s">
        <v>9941</v>
      </c>
      <c r="AE46" s="1559" t="s">
        <v>9942</v>
      </c>
      <c r="AF46" s="1642" t="s">
        <v>9943</v>
      </c>
      <c r="AG46" s="1451" t="s">
        <v>7979</v>
      </c>
      <c r="AH46" s="1613" t="s">
        <v>9833</v>
      </c>
      <c r="AI46" s="1675" t="s">
        <v>9072</v>
      </c>
      <c r="AJ46" s="1642" t="s">
        <v>9944</v>
      </c>
      <c r="AK46" s="1451" t="s">
        <v>5928</v>
      </c>
      <c r="AL46" s="1674" t="s">
        <v>9074</v>
      </c>
      <c r="AM46" s="1451" t="s">
        <v>9443</v>
      </c>
      <c r="AN46" s="1642" t="s">
        <v>3915</v>
      </c>
      <c r="AO46" s="1559" t="s">
        <v>4880</v>
      </c>
      <c r="AP46" s="1613" t="s">
        <v>9945</v>
      </c>
      <c r="AQ46" s="1559" t="s">
        <v>9946</v>
      </c>
      <c r="AR46" s="1613" t="s">
        <v>9947</v>
      </c>
      <c r="AS46" s="1451" t="s">
        <v>971</v>
      </c>
      <c r="AT46" s="1674" t="s">
        <v>9080</v>
      </c>
      <c r="AU46" s="1675" t="s">
        <v>9081</v>
      </c>
      <c r="AV46" s="1451" t="str">
        <f t="shared" si="1"/>
        <v>2:24</v>
      </c>
      <c r="AW46" s="1589"/>
    </row>
    <row r="47">
      <c r="A47" s="1590" t="s">
        <v>2579</v>
      </c>
      <c r="B47" s="1592" t="s">
        <v>9024</v>
      </c>
      <c r="C47" s="1533">
        <v>0.05092592592592592</v>
      </c>
      <c r="D47" s="980" t="s">
        <v>9948</v>
      </c>
      <c r="E47" s="1613" t="s">
        <v>9949</v>
      </c>
      <c r="F47" s="1613" t="s">
        <v>9950</v>
      </c>
      <c r="G47" s="1613" t="s">
        <v>9951</v>
      </c>
      <c r="H47" s="840" t="s">
        <v>9952</v>
      </c>
      <c r="I47" s="840" t="s">
        <v>2960</v>
      </c>
      <c r="J47" s="1597" t="s">
        <v>9168</v>
      </c>
      <c r="K47" s="1597" t="s">
        <v>3591</v>
      </c>
      <c r="L47" s="1597" t="s">
        <v>5858</v>
      </c>
      <c r="M47" s="1597" t="s">
        <v>3131</v>
      </c>
      <c r="N47" s="1597" t="s">
        <v>872</v>
      </c>
      <c r="O47" s="1597" t="s">
        <v>9953</v>
      </c>
      <c r="P47" s="1597" t="s">
        <v>772</v>
      </c>
      <c r="Q47" s="1600" t="s">
        <v>7249</v>
      </c>
      <c r="R47" s="1600" t="s">
        <v>6895</v>
      </c>
      <c r="S47" s="1600" t="s">
        <v>7504</v>
      </c>
      <c r="T47" s="1600" t="s">
        <v>9954</v>
      </c>
      <c r="U47" s="1676" t="s">
        <v>7351</v>
      </c>
      <c r="V47" s="1600" t="s">
        <v>9955</v>
      </c>
      <c r="W47" s="1615" t="s">
        <v>6869</v>
      </c>
      <c r="X47" s="1615" t="s">
        <v>9956</v>
      </c>
      <c r="Y47" s="1615" t="s">
        <v>9957</v>
      </c>
      <c r="Z47" s="1615" t="s">
        <v>7193</v>
      </c>
      <c r="AA47" s="1615" t="s">
        <v>1868</v>
      </c>
      <c r="AB47" s="1615" t="s">
        <v>9958</v>
      </c>
      <c r="AC47" s="1615" t="s">
        <v>2448</v>
      </c>
      <c r="AD47" s="1613" t="s">
        <v>9959</v>
      </c>
      <c r="AE47" s="1613" t="s">
        <v>5223</v>
      </c>
      <c r="AF47" s="1616" t="s">
        <v>9960</v>
      </c>
      <c r="AG47" s="1616" t="s">
        <v>5235</v>
      </c>
      <c r="AH47" s="1616" t="s">
        <v>4463</v>
      </c>
      <c r="AI47" s="1616" t="s">
        <v>9961</v>
      </c>
      <c r="AJ47" s="1606" t="s">
        <v>9044</v>
      </c>
      <c r="AK47" s="1616" t="s">
        <v>194</v>
      </c>
      <c r="AL47" s="1616" t="s">
        <v>5929</v>
      </c>
      <c r="AM47" s="1618" t="s">
        <v>4073</v>
      </c>
      <c r="AN47" s="1618" t="s">
        <v>3730</v>
      </c>
      <c r="AO47" s="1618" t="s">
        <v>2401</v>
      </c>
      <c r="AP47" s="1618" t="s">
        <v>9962</v>
      </c>
      <c r="AQ47" s="1618" t="s">
        <v>4306</v>
      </c>
      <c r="AR47" s="1618" t="s">
        <v>7238</v>
      </c>
      <c r="AS47" s="1618" t="s">
        <v>6600</v>
      </c>
      <c r="AT47" s="1597" t="s">
        <v>9963</v>
      </c>
      <c r="AU47" s="1019" t="s">
        <v>9964</v>
      </c>
      <c r="AV47" s="1451" t="str">
        <f t="shared" si="1"/>
        <v>4:25</v>
      </c>
      <c r="AW47" s="1587"/>
    </row>
    <row r="48" ht="15.75" customHeight="1">
      <c r="A48" s="1531" t="s">
        <v>4493</v>
      </c>
      <c r="B48" s="1623" t="s">
        <v>9024</v>
      </c>
      <c r="C48" s="1533">
        <v>0.05100810185185185</v>
      </c>
      <c r="D48" s="980" t="s">
        <v>9965</v>
      </c>
      <c r="E48" s="1613" t="s">
        <v>9966</v>
      </c>
      <c r="F48" s="1613" t="s">
        <v>9967</v>
      </c>
      <c r="G48" s="1642" t="s">
        <v>9968</v>
      </c>
      <c r="H48" s="840" t="s">
        <v>9969</v>
      </c>
      <c r="I48" s="840" t="s">
        <v>1408</v>
      </c>
      <c r="J48" s="1597" t="s">
        <v>5154</v>
      </c>
      <c r="K48" s="1597" t="s">
        <v>9714</v>
      </c>
      <c r="L48" s="1597" t="s">
        <v>4408</v>
      </c>
      <c r="M48" s="1597" t="s">
        <v>1451</v>
      </c>
      <c r="N48" s="1597" t="s">
        <v>9970</v>
      </c>
      <c r="O48" s="1597" t="s">
        <v>9211</v>
      </c>
      <c r="P48" s="1597" t="s">
        <v>9971</v>
      </c>
      <c r="Q48" s="1600" t="s">
        <v>9972</v>
      </c>
      <c r="R48" s="1600" t="s">
        <v>3438</v>
      </c>
      <c r="S48" s="1600" t="s">
        <v>7164</v>
      </c>
      <c r="T48" s="1600" t="s">
        <v>9973</v>
      </c>
      <c r="U48" s="1600" t="s">
        <v>9974</v>
      </c>
      <c r="V48" s="1644" t="s">
        <v>1362</v>
      </c>
      <c r="W48" s="1615" t="s">
        <v>9975</v>
      </c>
      <c r="X48" s="1615" t="s">
        <v>9765</v>
      </c>
      <c r="Y48" s="1615" t="s">
        <v>4015</v>
      </c>
      <c r="Z48" s="1615" t="s">
        <v>7121</v>
      </c>
      <c r="AA48" s="1615" t="s">
        <v>1020</v>
      </c>
      <c r="AB48" s="1615" t="s">
        <v>3943</v>
      </c>
      <c r="AC48" s="1645" t="s">
        <v>7669</v>
      </c>
      <c r="AD48" s="1613" t="s">
        <v>9976</v>
      </c>
      <c r="AE48" s="1642" t="s">
        <v>4953</v>
      </c>
      <c r="AF48" s="1616" t="s">
        <v>9977</v>
      </c>
      <c r="AG48" s="1616" t="s">
        <v>9978</v>
      </c>
      <c r="AH48" s="1616" t="s">
        <v>9979</v>
      </c>
      <c r="AI48" s="1616" t="s">
        <v>9425</v>
      </c>
      <c r="AJ48" s="1616" t="s">
        <v>9980</v>
      </c>
      <c r="AK48" s="1616" t="s">
        <v>9981</v>
      </c>
      <c r="AL48" s="1616" t="s">
        <v>4527</v>
      </c>
      <c r="AM48" s="1618" t="s">
        <v>9982</v>
      </c>
      <c r="AN48" s="1618" t="s">
        <v>3413</v>
      </c>
      <c r="AO48" s="1618" t="s">
        <v>9983</v>
      </c>
      <c r="AP48" s="1618" t="s">
        <v>9984</v>
      </c>
      <c r="AQ48" s="1618" t="s">
        <v>4306</v>
      </c>
      <c r="AR48" s="1618" t="s">
        <v>9985</v>
      </c>
      <c r="AS48" s="1618" t="s">
        <v>4549</v>
      </c>
      <c r="AT48" s="1597" t="s">
        <v>9986</v>
      </c>
      <c r="AU48" s="1580" t="s">
        <v>9987</v>
      </c>
      <c r="AV48" s="1451" t="str">
        <f t="shared" si="1"/>
        <v>3:17</v>
      </c>
      <c r="AW48" s="1581" t="s">
        <v>9988</v>
      </c>
    </row>
    <row r="49" ht="15.75" customHeight="1">
      <c r="A49" s="1590" t="s">
        <v>979</v>
      </c>
      <c r="B49" s="1578" t="s">
        <v>9024</v>
      </c>
      <c r="C49" s="1533">
        <v>0.05112268518518519</v>
      </c>
      <c r="D49" s="1613" t="s">
        <v>9989</v>
      </c>
      <c r="E49" s="1613" t="s">
        <v>4652</v>
      </c>
      <c r="F49" s="1613" t="s">
        <v>9990</v>
      </c>
      <c r="G49" s="1613" t="s">
        <v>9991</v>
      </c>
      <c r="H49" s="980" t="s">
        <v>9992</v>
      </c>
      <c r="I49" s="840" t="s">
        <v>5352</v>
      </c>
      <c r="J49" s="1597" t="s">
        <v>4076</v>
      </c>
      <c r="K49" s="1597" t="s">
        <v>9993</v>
      </c>
      <c r="L49" s="1539" t="s">
        <v>3648</v>
      </c>
      <c r="M49" s="1597" t="s">
        <v>4447</v>
      </c>
      <c r="N49" s="1597" t="s">
        <v>9745</v>
      </c>
      <c r="O49" s="1597" t="s">
        <v>9994</v>
      </c>
      <c r="P49" s="1597" t="s">
        <v>1524</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2845</v>
      </c>
      <c r="AC49" s="1615" t="s">
        <v>5058</v>
      </c>
      <c r="AD49" s="1613" t="s">
        <v>10004</v>
      </c>
      <c r="AE49" s="1613" t="s">
        <v>5579</v>
      </c>
      <c r="AF49" s="1616" t="s">
        <v>9229</v>
      </c>
      <c r="AG49" s="1616" t="s">
        <v>274</v>
      </c>
      <c r="AH49" s="1616" t="s">
        <v>463</v>
      </c>
      <c r="AI49" s="1616" t="s">
        <v>10005</v>
      </c>
      <c r="AJ49" s="1616" t="s">
        <v>10006</v>
      </c>
      <c r="AK49" s="1616" t="s">
        <v>4148</v>
      </c>
      <c r="AL49" s="1616" t="s">
        <v>10007</v>
      </c>
      <c r="AM49" s="1618" t="s">
        <v>10008</v>
      </c>
      <c r="AN49" s="1678" t="s">
        <v>3217</v>
      </c>
      <c r="AO49" s="1618" t="s">
        <v>8110</v>
      </c>
      <c r="AP49" s="1618" t="s">
        <v>10009</v>
      </c>
      <c r="AQ49" s="1618" t="s">
        <v>10010</v>
      </c>
      <c r="AR49" s="1618" t="s">
        <v>10011</v>
      </c>
      <c r="AS49" s="1618" t="s">
        <v>8955</v>
      </c>
      <c r="AT49" s="1597" t="s">
        <v>10012</v>
      </c>
      <c r="AU49" s="1580" t="s">
        <v>10013</v>
      </c>
      <c r="AV49" s="1451" t="str">
        <f t="shared" si="1"/>
        <v>4:57</v>
      </c>
      <c r="AW49" s="1641"/>
    </row>
    <row r="50">
      <c r="A50" s="1590" t="s">
        <v>2374</v>
      </c>
      <c r="B50" s="1588" t="s">
        <v>9024</v>
      </c>
      <c r="C50" s="1533">
        <v>0.05112268518518519</v>
      </c>
      <c r="D50" s="1559" t="s">
        <v>10014</v>
      </c>
      <c r="E50" s="1559" t="s">
        <v>4513</v>
      </c>
      <c r="F50" s="1559" t="s">
        <v>6159</v>
      </c>
      <c r="G50" s="1658" t="s">
        <v>9027</v>
      </c>
      <c r="H50" s="980" t="s">
        <v>10015</v>
      </c>
      <c r="I50" s="1559" t="s">
        <v>765</v>
      </c>
      <c r="J50" s="1559" t="s">
        <v>7507</v>
      </c>
      <c r="K50" s="1559" t="s">
        <v>2501</v>
      </c>
      <c r="L50" s="1559" t="s">
        <v>1362</v>
      </c>
      <c r="M50" s="1559" t="s">
        <v>10016</v>
      </c>
      <c r="N50" s="1559" t="s">
        <v>9111</v>
      </c>
      <c r="O50" s="1559" t="s">
        <v>10017</v>
      </c>
      <c r="P50" s="1559" t="s">
        <v>3633</v>
      </c>
      <c r="Q50" s="1559" t="s">
        <v>10018</v>
      </c>
      <c r="R50" s="1559" t="s">
        <v>10019</v>
      </c>
      <c r="S50" s="1559" t="s">
        <v>3778</v>
      </c>
      <c r="T50" s="1559" t="s">
        <v>7438</v>
      </c>
      <c r="U50" s="1600" t="s">
        <v>9449</v>
      </c>
      <c r="V50" s="1559" t="s">
        <v>10020</v>
      </c>
      <c r="W50" s="1559" t="s">
        <v>10021</v>
      </c>
      <c r="X50" s="1559" t="s">
        <v>1484</v>
      </c>
      <c r="Y50" s="1559" t="s">
        <v>8072</v>
      </c>
      <c r="Z50" s="1559" t="s">
        <v>9254</v>
      </c>
      <c r="AA50" s="1615" t="s">
        <v>613</v>
      </c>
      <c r="AB50" s="1559" t="s">
        <v>10022</v>
      </c>
      <c r="AC50" s="1559" t="s">
        <v>5223</v>
      </c>
      <c r="AD50" s="1559" t="s">
        <v>10023</v>
      </c>
      <c r="AE50" s="1559" t="s">
        <v>3633</v>
      </c>
      <c r="AF50" s="1559" t="s">
        <v>10024</v>
      </c>
      <c r="AG50" s="1559" t="s">
        <v>10025</v>
      </c>
      <c r="AH50" s="1559" t="s">
        <v>2525</v>
      </c>
      <c r="AI50" s="1559" t="s">
        <v>6192</v>
      </c>
      <c r="AJ50" s="1559" t="s">
        <v>10026</v>
      </c>
      <c r="AK50" s="1559" t="s">
        <v>9540</v>
      </c>
      <c r="AL50" s="1559" t="s">
        <v>10027</v>
      </c>
      <c r="AM50" s="1559" t="s">
        <v>2707</v>
      </c>
      <c r="AN50" s="1559" t="s">
        <v>10028</v>
      </c>
      <c r="AO50" s="1559" t="s">
        <v>7364</v>
      </c>
      <c r="AP50" s="1559" t="s">
        <v>10029</v>
      </c>
      <c r="AQ50" s="1559" t="s">
        <v>10030</v>
      </c>
      <c r="AR50" s="1559" t="s">
        <v>2255</v>
      </c>
      <c r="AS50" s="1559" t="s">
        <v>8066</v>
      </c>
      <c r="AT50" s="1559" t="s">
        <v>10031</v>
      </c>
      <c r="AU50" s="1559" t="s">
        <v>10032</v>
      </c>
      <c r="AV50" s="1451" t="str">
        <f t="shared" si="1"/>
        <v>3:15</v>
      </c>
      <c r="AW50" s="1032"/>
    </row>
    <row r="51">
      <c r="A51" s="1590" t="s">
        <v>2713</v>
      </c>
      <c r="B51" s="1588" t="s">
        <v>8997</v>
      </c>
      <c r="C51" s="1533">
        <v>0.051145833333333335</v>
      </c>
      <c r="D51" s="980" t="s">
        <v>10033</v>
      </c>
      <c r="E51" s="1654" t="s">
        <v>4133</v>
      </c>
      <c r="F51" s="1654" t="s">
        <v>1683</v>
      </c>
      <c r="G51" s="1654" t="s">
        <v>10034</v>
      </c>
      <c r="H51" s="980" t="s">
        <v>10035</v>
      </c>
      <c r="I51" s="1654" t="s">
        <v>9940</v>
      </c>
      <c r="J51" s="1654" t="s">
        <v>10036</v>
      </c>
      <c r="K51" s="1654" t="s">
        <v>10036</v>
      </c>
      <c r="L51" s="1654" t="s">
        <v>4137</v>
      </c>
      <c r="M51" s="1654" t="s">
        <v>3463</v>
      </c>
      <c r="N51" s="1654" t="s">
        <v>10037</v>
      </c>
      <c r="O51" s="1654" t="s">
        <v>10038</v>
      </c>
      <c r="P51" s="1654" t="s">
        <v>9040</v>
      </c>
      <c r="Q51" s="1654" t="s">
        <v>10039</v>
      </c>
      <c r="R51" s="1654" t="s">
        <v>10040</v>
      </c>
      <c r="S51" s="1535" t="s">
        <v>6771</v>
      </c>
      <c r="T51" s="1654" t="s">
        <v>10041</v>
      </c>
      <c r="U51" s="1654" t="s">
        <v>230</v>
      </c>
      <c r="V51" s="1654" t="s">
        <v>10042</v>
      </c>
      <c r="W51" s="1654" t="s">
        <v>10043</v>
      </c>
      <c r="X51" s="1654" t="s">
        <v>10044</v>
      </c>
      <c r="Y51" s="1654" t="s">
        <v>596</v>
      </c>
      <c r="Z51" s="1654" t="s">
        <v>10045</v>
      </c>
      <c r="AA51" s="1654" t="s">
        <v>9778</v>
      </c>
      <c r="AB51" s="1654" t="s">
        <v>5921</v>
      </c>
      <c r="AC51" s="1654" t="s">
        <v>1232</v>
      </c>
      <c r="AD51" s="1654" t="s">
        <v>10046</v>
      </c>
      <c r="AE51" s="1654" t="s">
        <v>9485</v>
      </c>
      <c r="AF51" s="1654" t="s">
        <v>10047</v>
      </c>
      <c r="AG51" s="1654" t="s">
        <v>10048</v>
      </c>
      <c r="AH51" s="1654" t="s">
        <v>3758</v>
      </c>
      <c r="AI51" s="1654" t="s">
        <v>10049</v>
      </c>
      <c r="AJ51" s="1654" t="s">
        <v>10050</v>
      </c>
      <c r="AK51" s="1654" t="s">
        <v>10051</v>
      </c>
      <c r="AL51" s="1654" t="s">
        <v>4974</v>
      </c>
      <c r="AM51" s="1654" t="s">
        <v>3616</v>
      </c>
      <c r="AN51" s="1654" t="s">
        <v>5651</v>
      </c>
      <c r="AO51" s="1654" t="s">
        <v>5154</v>
      </c>
      <c r="AP51" s="1654" t="s">
        <v>10052</v>
      </c>
      <c r="AQ51" s="1654" t="s">
        <v>3369</v>
      </c>
      <c r="AR51" s="1654" t="s">
        <v>10053</v>
      </c>
      <c r="AS51" s="1654" t="s">
        <v>1396</v>
      </c>
      <c r="AT51" s="1654" t="s">
        <v>699</v>
      </c>
      <c r="AU51" s="1654" t="s">
        <v>10054</v>
      </c>
      <c r="AV51" s="1451" t="str">
        <f t="shared" si="1"/>
        <v>3:47</v>
      </c>
      <c r="AW51" s="1679" t="s">
        <v>10055</v>
      </c>
    </row>
    <row r="52" ht="15.75" customHeight="1">
      <c r="A52" s="1531" t="s">
        <v>10056</v>
      </c>
      <c r="B52" s="1680" t="s">
        <v>8997</v>
      </c>
      <c r="C52" s="1533">
        <v>0.051180555555555556</v>
      </c>
      <c r="D52" s="980" t="s">
        <v>10057</v>
      </c>
      <c r="E52" s="1559" t="s">
        <v>10058</v>
      </c>
      <c r="F52" s="1559" t="s">
        <v>4150</v>
      </c>
      <c r="G52" s="1559" t="s">
        <v>10059</v>
      </c>
      <c r="H52" s="1559" t="s">
        <v>10060</v>
      </c>
      <c r="I52" s="1559" t="s">
        <v>161</v>
      </c>
      <c r="J52" s="1559" t="s">
        <v>885</v>
      </c>
      <c r="K52" s="1559" t="s">
        <v>7103</v>
      </c>
      <c r="L52" s="1559" t="s">
        <v>9218</v>
      </c>
      <c r="M52" s="1559" t="s">
        <v>5970</v>
      </c>
      <c r="N52" s="1559" t="s">
        <v>10061</v>
      </c>
      <c r="O52" s="1559" t="s">
        <v>10062</v>
      </c>
      <c r="P52" s="1559" t="s">
        <v>5610</v>
      </c>
      <c r="Q52" s="1559" t="s">
        <v>6816</v>
      </c>
      <c r="R52" s="1559" t="s">
        <v>10063</v>
      </c>
      <c r="S52" s="1559" t="s">
        <v>8894</v>
      </c>
      <c r="T52" s="1451" t="s">
        <v>4193</v>
      </c>
      <c r="U52" s="1451" t="s">
        <v>10064</v>
      </c>
      <c r="V52" s="1559" t="s">
        <v>1964</v>
      </c>
      <c r="W52" s="1559" t="s">
        <v>10065</v>
      </c>
      <c r="X52" s="1559" t="s">
        <v>10066</v>
      </c>
      <c r="Y52" s="1559" t="s">
        <v>9485</v>
      </c>
      <c r="Z52" s="1559" t="s">
        <v>10067</v>
      </c>
      <c r="AA52" s="1559" t="s">
        <v>10068</v>
      </c>
      <c r="AB52" s="1559" t="s">
        <v>10069</v>
      </c>
      <c r="AC52" s="1559" t="s">
        <v>847</v>
      </c>
      <c r="AD52" s="1559" t="s">
        <v>9976</v>
      </c>
      <c r="AE52" s="1559" t="s">
        <v>3214</v>
      </c>
      <c r="AF52" s="1451" t="s">
        <v>10070</v>
      </c>
      <c r="AG52" s="1559" t="s">
        <v>387</v>
      </c>
      <c r="AH52" s="1559" t="s">
        <v>10071</v>
      </c>
      <c r="AI52" s="1559" t="s">
        <v>10072</v>
      </c>
      <c r="AJ52" s="1559" t="s">
        <v>10073</v>
      </c>
      <c r="AK52" s="1559" t="s">
        <v>10074</v>
      </c>
      <c r="AL52" s="1559" t="s">
        <v>4875</v>
      </c>
      <c r="AM52" s="1559" t="s">
        <v>6920</v>
      </c>
      <c r="AN52" s="1559" t="s">
        <v>9677</v>
      </c>
      <c r="AO52" s="1568" t="str">
        <f>HYPERLINK("https://clips.twitch.tv/AltruisticEmpathicManateeDoritosChip","1:20.90")</f>
        <v>1:20.90</v>
      </c>
      <c r="AP52" s="1559" t="s">
        <v>10075</v>
      </c>
      <c r="AQ52" s="1559" t="s">
        <v>10076</v>
      </c>
      <c r="AR52" s="1559" t="s">
        <v>10077</v>
      </c>
      <c r="AS52" s="1559" t="s">
        <v>9105</v>
      </c>
      <c r="AT52" s="1559" t="s">
        <v>10078</v>
      </c>
      <c r="AU52" s="1559" t="s">
        <v>10079</v>
      </c>
      <c r="AV52" s="1451" t="str">
        <f t="shared" si="1"/>
        <v>2:40</v>
      </c>
      <c r="AW52" s="1622" t="s">
        <v>10080</v>
      </c>
    </row>
    <row r="53" ht="15.75" customHeight="1">
      <c r="A53" s="1590" t="s">
        <v>3746</v>
      </c>
      <c r="B53" s="1672" t="s">
        <v>8997</v>
      </c>
      <c r="C53" s="1681">
        <v>0.05123738425925926</v>
      </c>
      <c r="D53" s="1613" t="s">
        <v>10081</v>
      </c>
      <c r="E53" s="1613" t="s">
        <v>3906</v>
      </c>
      <c r="F53" s="1613" t="s">
        <v>10082</v>
      </c>
      <c r="G53" s="1613" t="s">
        <v>9503</v>
      </c>
      <c r="H53" s="840" t="s">
        <v>10083</v>
      </c>
      <c r="I53" s="840" t="s">
        <v>2556</v>
      </c>
      <c r="J53" s="1597" t="s">
        <v>9714</v>
      </c>
      <c r="K53" s="1597" t="s">
        <v>6835</v>
      </c>
      <c r="L53" s="1597" t="s">
        <v>10084</v>
      </c>
      <c r="M53" s="1597" t="s">
        <v>5561</v>
      </c>
      <c r="N53" s="1682" t="s">
        <v>1158</v>
      </c>
      <c r="O53" s="1597" t="s">
        <v>3456</v>
      </c>
      <c r="P53" s="1597" t="s">
        <v>9151</v>
      </c>
      <c r="Q53" s="1600" t="s">
        <v>10085</v>
      </c>
      <c r="R53" s="1600" t="s">
        <v>9672</v>
      </c>
      <c r="S53" s="1600" t="s">
        <v>10086</v>
      </c>
      <c r="T53" s="1600" t="s">
        <v>10087</v>
      </c>
      <c r="U53" s="1600" t="s">
        <v>10088</v>
      </c>
      <c r="V53" s="1600" t="s">
        <v>4220</v>
      </c>
      <c r="W53" s="1615" t="s">
        <v>10089</v>
      </c>
      <c r="X53" s="1615" t="s">
        <v>10090</v>
      </c>
      <c r="Y53" s="1615" t="s">
        <v>10091</v>
      </c>
      <c r="Z53" s="1615" t="s">
        <v>1350</v>
      </c>
      <c r="AA53" s="1615" t="s">
        <v>9425</v>
      </c>
      <c r="AB53" s="1615" t="s">
        <v>9816</v>
      </c>
      <c r="AC53" s="1615" t="s">
        <v>482</v>
      </c>
      <c r="AD53" s="1613" t="s">
        <v>10092</v>
      </c>
      <c r="AE53" s="1613" t="s">
        <v>5464</v>
      </c>
      <c r="AF53" s="1616" t="s">
        <v>10093</v>
      </c>
      <c r="AG53" s="1616" t="s">
        <v>10094</v>
      </c>
      <c r="AH53" s="1616" t="s">
        <v>10095</v>
      </c>
      <c r="AI53" s="1616" t="s">
        <v>312</v>
      </c>
      <c r="AJ53" s="1616" t="s">
        <v>10096</v>
      </c>
      <c r="AK53" s="1586" t="s">
        <v>9577</v>
      </c>
      <c r="AL53" s="1616" t="s">
        <v>9365</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1722</v>
      </c>
      <c r="B54" s="1684" t="s">
        <v>9052</v>
      </c>
      <c r="C54" s="1665">
        <v>0.051319444444444445</v>
      </c>
      <c r="D54" s="980" t="s">
        <v>10106</v>
      </c>
      <c r="E54" s="1451" t="s">
        <v>10107</v>
      </c>
      <c r="F54" s="1451" t="s">
        <v>10108</v>
      </c>
      <c r="G54" s="1451" t="s">
        <v>10109</v>
      </c>
      <c r="H54" s="1451" t="s">
        <v>5071</v>
      </c>
      <c r="I54" s="1451" t="s">
        <v>6612</v>
      </c>
      <c r="J54" s="1451" t="s">
        <v>10110</v>
      </c>
      <c r="K54" s="1451" t="s">
        <v>9171</v>
      </c>
      <c r="L54" s="1451" t="s">
        <v>3896</v>
      </c>
      <c r="M54" s="1451" t="s">
        <v>9860</v>
      </c>
      <c r="N54" s="1451" t="s">
        <v>9656</v>
      </c>
      <c r="O54" s="1451" t="s">
        <v>10111</v>
      </c>
      <c r="P54" s="1685" t="s">
        <v>9061</v>
      </c>
      <c r="Q54" s="1451" t="s">
        <v>10112</v>
      </c>
      <c r="R54" s="1451" t="s">
        <v>5959</v>
      </c>
      <c r="S54" s="1451" t="s">
        <v>1156</v>
      </c>
      <c r="T54" s="1451" t="s">
        <v>10113</v>
      </c>
      <c r="U54" s="1451" t="s">
        <v>1002</v>
      </c>
      <c r="V54" s="1451" t="s">
        <v>451</v>
      </c>
      <c r="W54" s="1451" t="s">
        <v>10114</v>
      </c>
      <c r="X54" s="1451" t="s">
        <v>309</v>
      </c>
      <c r="Y54" s="1451" t="s">
        <v>10115</v>
      </c>
      <c r="Z54" s="1451" t="s">
        <v>6925</v>
      </c>
      <c r="AA54" s="1451" t="s">
        <v>9890</v>
      </c>
      <c r="AB54" s="1451" t="s">
        <v>4507</v>
      </c>
      <c r="AC54" s="1451" t="s">
        <v>6148</v>
      </c>
      <c r="AD54" s="1451" t="s">
        <v>10116</v>
      </c>
      <c r="AE54" s="1685" t="s">
        <v>5579</v>
      </c>
      <c r="AF54" s="1685" t="s">
        <v>2804</v>
      </c>
      <c r="AG54" s="1451" t="s">
        <v>4590</v>
      </c>
      <c r="AH54" s="1451" t="s">
        <v>10117</v>
      </c>
      <c r="AI54" s="1451" t="s">
        <v>10118</v>
      </c>
      <c r="AJ54" s="1451" t="s">
        <v>10119</v>
      </c>
      <c r="AK54" s="1451" t="s">
        <v>6100</v>
      </c>
      <c r="AL54" s="1451" t="s">
        <v>6330</v>
      </c>
      <c r="AM54" s="1685" t="s">
        <v>9075</v>
      </c>
      <c r="AN54" s="1559" t="s">
        <v>2474</v>
      </c>
      <c r="AO54" s="1451" t="s">
        <v>4950</v>
      </c>
      <c r="AP54" s="1451" t="s">
        <v>10120</v>
      </c>
      <c r="AQ54" s="1451" t="s">
        <v>10121</v>
      </c>
      <c r="AR54" s="1451" t="s">
        <v>8103</v>
      </c>
      <c r="AS54" s="1451" t="s">
        <v>4436</v>
      </c>
      <c r="AT54" s="1451" t="s">
        <v>10122</v>
      </c>
      <c r="AU54" s="1451" t="s">
        <v>10123</v>
      </c>
      <c r="AV54" s="1451" t="str">
        <f t="shared" si="1"/>
        <v>3:15</v>
      </c>
      <c r="AW54" s="1622" t="s">
        <v>10124</v>
      </c>
    </row>
    <row r="55">
      <c r="A55" s="1590" t="s">
        <v>1946</v>
      </c>
      <c r="B55" s="1578" t="s">
        <v>8997</v>
      </c>
      <c r="C55" s="1533">
        <v>0.05133101851851852</v>
      </c>
      <c r="D55" s="1671" t="s">
        <v>10125</v>
      </c>
      <c r="E55" s="1613" t="s">
        <v>10126</v>
      </c>
      <c r="F55" s="1613" t="s">
        <v>10127</v>
      </c>
      <c r="G55" s="1613" t="s">
        <v>10128</v>
      </c>
      <c r="H55" s="840" t="s">
        <v>10129</v>
      </c>
      <c r="I55" s="840" t="s">
        <v>3113</v>
      </c>
      <c r="J55" s="1597" t="s">
        <v>1866</v>
      </c>
      <c r="K55" s="1597" t="s">
        <v>10130</v>
      </c>
      <c r="L55" s="1597" t="s">
        <v>4181</v>
      </c>
      <c r="M55" s="1597" t="s">
        <v>10131</v>
      </c>
      <c r="N55" s="1597" t="s">
        <v>9261</v>
      </c>
      <c r="O55" s="1597" t="s">
        <v>10132</v>
      </c>
      <c r="P55" s="1597" t="s">
        <v>9215</v>
      </c>
      <c r="Q55" s="1600" t="s">
        <v>10133</v>
      </c>
      <c r="R55" s="1600" t="s">
        <v>9904</v>
      </c>
      <c r="S55" s="1600" t="s">
        <v>7456</v>
      </c>
      <c r="T55" s="1600" t="s">
        <v>9909</v>
      </c>
      <c r="U55" s="1600" t="s">
        <v>10134</v>
      </c>
      <c r="V55" s="1600" t="s">
        <v>9691</v>
      </c>
      <c r="W55" s="1615" t="s">
        <v>10135</v>
      </c>
      <c r="X55" s="1615" t="s">
        <v>10136</v>
      </c>
      <c r="Y55" s="1615" t="s">
        <v>5509</v>
      </c>
      <c r="Z55" s="1615" t="s">
        <v>1500</v>
      </c>
      <c r="AA55" s="1615" t="s">
        <v>10137</v>
      </c>
      <c r="AB55" s="1615" t="s">
        <v>6395</v>
      </c>
      <c r="AC55" s="1615" t="s">
        <v>263</v>
      </c>
      <c r="AD55" s="1613" t="s">
        <v>9492</v>
      </c>
      <c r="AE55" s="1613" t="s">
        <v>5509</v>
      </c>
      <c r="AF55" s="1616" t="s">
        <v>10138</v>
      </c>
      <c r="AG55" s="1616" t="s">
        <v>5890</v>
      </c>
      <c r="AH55" s="1616" t="s">
        <v>4063</v>
      </c>
      <c r="AI55" s="1616" t="s">
        <v>10139</v>
      </c>
      <c r="AJ55" s="1616" t="s">
        <v>10140</v>
      </c>
      <c r="AK55" s="1616" t="s">
        <v>10066</v>
      </c>
      <c r="AL55" s="1616" t="s">
        <v>3231</v>
      </c>
      <c r="AM55" s="1618" t="s">
        <v>9517</v>
      </c>
      <c r="AN55" s="1618" t="s">
        <v>4071</v>
      </c>
      <c r="AO55" s="1618" t="s">
        <v>10141</v>
      </c>
      <c r="AP55" s="1618" t="s">
        <v>10142</v>
      </c>
      <c r="AQ55" s="1618" t="s">
        <v>9729</v>
      </c>
      <c r="AR55" s="1618" t="s">
        <v>10143</v>
      </c>
      <c r="AS55" s="1618" t="s">
        <v>9005</v>
      </c>
      <c r="AT55" s="1597" t="s">
        <v>10144</v>
      </c>
      <c r="AU55" s="1580" t="s">
        <v>10145</v>
      </c>
      <c r="AV55" s="1451" t="str">
        <f t="shared" si="1"/>
        <v>1:34</v>
      </c>
      <c r="AW55" s="1641"/>
    </row>
    <row r="56">
      <c r="A56" s="1590" t="s">
        <v>2992</v>
      </c>
      <c r="B56" s="1578" t="s">
        <v>8997</v>
      </c>
      <c r="C56" s="1533">
        <v>0.05134259259259259</v>
      </c>
      <c r="D56" s="1613" t="s">
        <v>10146</v>
      </c>
      <c r="E56" s="1613" t="s">
        <v>6609</v>
      </c>
      <c r="F56" s="1613" t="s">
        <v>10147</v>
      </c>
      <c r="G56" s="1613" t="s">
        <v>10148</v>
      </c>
      <c r="H56" s="1613" t="s">
        <v>10149</v>
      </c>
      <c r="I56" s="1613" t="s">
        <v>1290</v>
      </c>
      <c r="J56" s="1597" t="s">
        <v>5026</v>
      </c>
      <c r="K56" s="1597" t="s">
        <v>6811</v>
      </c>
      <c r="L56" s="1597" t="s">
        <v>4885</v>
      </c>
      <c r="M56" s="1597" t="s">
        <v>3640</v>
      </c>
      <c r="N56" s="1597" t="s">
        <v>2075</v>
      </c>
      <c r="O56" s="1597" t="s">
        <v>10150</v>
      </c>
      <c r="P56" s="1597" t="s">
        <v>4547</v>
      </c>
      <c r="Q56" s="1600" t="s">
        <v>10151</v>
      </c>
      <c r="R56" s="1600" t="s">
        <v>2597</v>
      </c>
      <c r="S56" s="1600" t="s">
        <v>10152</v>
      </c>
      <c r="T56" s="1600" t="s">
        <v>10153</v>
      </c>
      <c r="U56" s="1600" t="s">
        <v>9998</v>
      </c>
      <c r="V56" s="1600" t="s">
        <v>10154</v>
      </c>
      <c r="W56" s="1615" t="s">
        <v>10155</v>
      </c>
      <c r="X56" s="1615" t="s">
        <v>9072</v>
      </c>
      <c r="Y56" s="1615" t="s">
        <v>9740</v>
      </c>
      <c r="Z56" s="1615" t="s">
        <v>3037</v>
      </c>
      <c r="AA56" s="1559" t="s">
        <v>591</v>
      </c>
      <c r="AB56" s="1615" t="s">
        <v>9331</v>
      </c>
      <c r="AC56" s="1615" t="s">
        <v>9617</v>
      </c>
      <c r="AD56" s="1613" t="s">
        <v>10156</v>
      </c>
      <c r="AE56" s="1613" t="s">
        <v>10157</v>
      </c>
      <c r="AF56" s="1616" t="s">
        <v>10158</v>
      </c>
      <c r="AG56" s="1616" t="s">
        <v>10159</v>
      </c>
      <c r="AH56" s="1616" t="s">
        <v>1971</v>
      </c>
      <c r="AI56" s="1616" t="s">
        <v>419</v>
      </c>
      <c r="AJ56" s="1616" t="s">
        <v>10160</v>
      </c>
      <c r="AK56" s="1616" t="s">
        <v>10161</v>
      </c>
      <c r="AL56" s="1616" t="s">
        <v>5749</v>
      </c>
      <c r="AM56" s="1618" t="s">
        <v>10162</v>
      </c>
      <c r="AN56" s="1618" t="s">
        <v>6570</v>
      </c>
      <c r="AO56" s="1618" t="s">
        <v>10163</v>
      </c>
      <c r="AP56" s="1618" t="s">
        <v>10164</v>
      </c>
      <c r="AQ56" s="1618" t="s">
        <v>9729</v>
      </c>
      <c r="AR56" s="1618" t="s">
        <v>9367</v>
      </c>
      <c r="AS56" s="1618" t="s">
        <v>1970</v>
      </c>
      <c r="AT56" s="1597" t="s">
        <v>10165</v>
      </c>
      <c r="AU56" s="1580" t="s">
        <v>10032</v>
      </c>
      <c r="AV56" s="1451" t="str">
        <f t="shared" si="1"/>
        <v>2:56</v>
      </c>
      <c r="AW56" s="1581" t="s">
        <v>10166</v>
      </c>
    </row>
    <row r="57" ht="15.75" customHeight="1">
      <c r="A57" s="1556" t="s">
        <v>1413</v>
      </c>
      <c r="B57" s="1684" t="s">
        <v>9052</v>
      </c>
      <c r="C57" s="1665">
        <v>0.05134259259259259</v>
      </c>
      <c r="D57" s="980" t="s">
        <v>10167</v>
      </c>
      <c r="E57" s="1642" t="s">
        <v>6026</v>
      </c>
      <c r="F57" s="1642" t="s">
        <v>10147</v>
      </c>
      <c r="G57" s="1642" t="s">
        <v>10168</v>
      </c>
      <c r="H57" s="905" t="s">
        <v>10169</v>
      </c>
      <c r="I57" s="1686" t="s">
        <v>350</v>
      </c>
      <c r="J57" s="1643" t="s">
        <v>10170</v>
      </c>
      <c r="K57" s="1643" t="s">
        <v>4042</v>
      </c>
      <c r="L57" s="1687" t="s">
        <v>3806</v>
      </c>
      <c r="M57" s="1643" t="s">
        <v>5708</v>
      </c>
      <c r="N57" s="1643" t="s">
        <v>7365</v>
      </c>
      <c r="O57" s="1687" t="s">
        <v>9060</v>
      </c>
      <c r="P57" s="1643" t="s">
        <v>388</v>
      </c>
      <c r="Q57" s="1644" t="s">
        <v>10171</v>
      </c>
      <c r="R57" s="1644" t="s">
        <v>1623</v>
      </c>
      <c r="S57" s="1644" t="s">
        <v>10172</v>
      </c>
      <c r="T57" s="1688" t="s">
        <v>9064</v>
      </c>
      <c r="U57" s="1644" t="s">
        <v>10173</v>
      </c>
      <c r="V57" s="1644" t="s">
        <v>4065</v>
      </c>
      <c r="W57" s="1689" t="s">
        <v>9066</v>
      </c>
      <c r="X57" s="1645" t="s">
        <v>4363</v>
      </c>
      <c r="Y57" s="1645" t="s">
        <v>6612</v>
      </c>
      <c r="Z57" s="1645" t="s">
        <v>7203</v>
      </c>
      <c r="AA57" s="1645" t="s">
        <v>9577</v>
      </c>
      <c r="AB57" s="1689" t="s">
        <v>9070</v>
      </c>
      <c r="AC57" s="1645" t="s">
        <v>7520</v>
      </c>
      <c r="AD57" s="1618" t="s">
        <v>10174</v>
      </c>
      <c r="AE57" s="1642" t="s">
        <v>10175</v>
      </c>
      <c r="AF57" s="1646" t="s">
        <v>10176</v>
      </c>
      <c r="AG57" s="1646" t="s">
        <v>10177</v>
      </c>
      <c r="AH57" s="1646" t="s">
        <v>10178</v>
      </c>
      <c r="AI57" s="1646" t="s">
        <v>10179</v>
      </c>
      <c r="AJ57" s="1646" t="s">
        <v>10180</v>
      </c>
      <c r="AK57" s="1690" t="s">
        <v>884</v>
      </c>
      <c r="AL57" s="1646" t="s">
        <v>1563</v>
      </c>
      <c r="AM57" s="1617" t="s">
        <v>10025</v>
      </c>
      <c r="AN57" s="1618" t="s">
        <v>4679</v>
      </c>
      <c r="AO57" s="1617" t="s">
        <v>10181</v>
      </c>
      <c r="AP57" s="1617" t="s">
        <v>10182</v>
      </c>
      <c r="AQ57" s="1617" t="s">
        <v>10183</v>
      </c>
      <c r="AR57" s="1617" t="s">
        <v>10184</v>
      </c>
      <c r="AS57" s="1617" t="s">
        <v>4619</v>
      </c>
      <c r="AT57" s="1643" t="s">
        <v>10185</v>
      </c>
      <c r="AU57" s="1640" t="s">
        <v>10186</v>
      </c>
      <c r="AV57" s="1451" t="str">
        <f t="shared" si="1"/>
        <v>1:58</v>
      </c>
      <c r="AW57" s="1641"/>
    </row>
    <row r="58" ht="15.75" customHeight="1">
      <c r="A58" s="1531" t="s">
        <v>3378</v>
      </c>
      <c r="B58" s="1532" t="s">
        <v>8997</v>
      </c>
      <c r="C58" s="1665">
        <v>0.05134259259259259</v>
      </c>
      <c r="D58" s="980" t="s">
        <v>10187</v>
      </c>
      <c r="E58" s="1451" t="s">
        <v>10188</v>
      </c>
      <c r="F58" s="1451" t="s">
        <v>10189</v>
      </c>
      <c r="G58" s="1451" t="s">
        <v>7234</v>
      </c>
      <c r="H58" s="1451" t="s">
        <v>9250</v>
      </c>
      <c r="I58" s="1451" t="s">
        <v>6333</v>
      </c>
      <c r="J58" s="1451" t="s">
        <v>10190</v>
      </c>
      <c r="K58" s="1451" t="s">
        <v>3970</v>
      </c>
      <c r="L58" s="1451" t="s">
        <v>10191</v>
      </c>
      <c r="M58" s="1451" t="s">
        <v>10192</v>
      </c>
      <c r="N58" s="1451" t="s">
        <v>2925</v>
      </c>
      <c r="O58" s="1451" t="s">
        <v>10193</v>
      </c>
      <c r="P58" s="1451" t="s">
        <v>1080</v>
      </c>
      <c r="Q58" s="1451" t="s">
        <v>2465</v>
      </c>
      <c r="R58" s="1451" t="s">
        <v>9904</v>
      </c>
      <c r="S58" s="1451" t="s">
        <v>9774</v>
      </c>
      <c r="T58" s="1451" t="s">
        <v>10194</v>
      </c>
      <c r="U58" s="1451" t="s">
        <v>10195</v>
      </c>
      <c r="V58" s="1451" t="s">
        <v>9516</v>
      </c>
      <c r="W58" s="1451" t="s">
        <v>10196</v>
      </c>
      <c r="X58" s="1451" t="s">
        <v>10197</v>
      </c>
      <c r="Y58" s="1451" t="s">
        <v>388</v>
      </c>
      <c r="Z58" s="1451" t="s">
        <v>7164</v>
      </c>
      <c r="AA58" s="1451" t="s">
        <v>9724</v>
      </c>
      <c r="AB58" s="1451" t="s">
        <v>9134</v>
      </c>
      <c r="AC58" s="1451" t="s">
        <v>847</v>
      </c>
      <c r="AD58" s="1451" t="s">
        <v>10198</v>
      </c>
      <c r="AE58" s="1451" t="s">
        <v>388</v>
      </c>
      <c r="AF58" s="1451" t="s">
        <v>10199</v>
      </c>
      <c r="AG58" s="1451" t="s">
        <v>10200</v>
      </c>
      <c r="AH58" s="1451" t="s">
        <v>5210</v>
      </c>
      <c r="AI58" s="1451" t="s">
        <v>10201</v>
      </c>
      <c r="AJ58" s="1451" t="s">
        <v>10140</v>
      </c>
      <c r="AK58" s="1451" t="s">
        <v>6892</v>
      </c>
      <c r="AL58" s="1451" t="s">
        <v>3315</v>
      </c>
      <c r="AM58" s="1451" t="s">
        <v>4146</v>
      </c>
      <c r="AN58" s="1451" t="s">
        <v>5805</v>
      </c>
      <c r="AO58" s="1451" t="s">
        <v>6527</v>
      </c>
      <c r="AP58" s="1451" t="s">
        <v>10202</v>
      </c>
      <c r="AQ58" s="1451" t="s">
        <v>10203</v>
      </c>
      <c r="AR58" s="1451" t="s">
        <v>10204</v>
      </c>
      <c r="AS58" s="1617" t="s">
        <v>4424</v>
      </c>
      <c r="AT58" s="1451" t="s">
        <v>10205</v>
      </c>
      <c r="AU58" s="1451" t="s">
        <v>9451</v>
      </c>
      <c r="AV58" s="1451" t="str">
        <f t="shared" si="1"/>
        <v>2:27</v>
      </c>
      <c r="AW58" s="1622"/>
    </row>
    <row r="59" ht="15.75" customHeight="1">
      <c r="A59" s="1590" t="s">
        <v>1345</v>
      </c>
      <c r="B59" s="1588" t="s">
        <v>9052</v>
      </c>
      <c r="C59" s="1533">
        <v>0.05140046296296296</v>
      </c>
      <c r="D59" s="1559" t="s">
        <v>10206</v>
      </c>
      <c r="E59" s="1559" t="s">
        <v>1746</v>
      </c>
      <c r="F59" s="1559" t="s">
        <v>10207</v>
      </c>
      <c r="G59" s="1675" t="s">
        <v>9056</v>
      </c>
      <c r="H59" s="980" t="s">
        <v>10208</v>
      </c>
      <c r="I59" s="1559" t="s">
        <v>1669</v>
      </c>
      <c r="J59" s="1675" t="s">
        <v>9058</v>
      </c>
      <c r="K59" s="1559" t="s">
        <v>7126</v>
      </c>
      <c r="L59" s="1559" t="s">
        <v>10209</v>
      </c>
      <c r="M59" s="1675" t="s">
        <v>9059</v>
      </c>
      <c r="N59" s="1559" t="s">
        <v>10210</v>
      </c>
      <c r="O59" s="1559" t="s">
        <v>10211</v>
      </c>
      <c r="P59" s="1559" t="s">
        <v>1042</v>
      </c>
      <c r="Q59" s="1559" t="s">
        <v>9995</v>
      </c>
      <c r="R59" s="1559" t="s">
        <v>10212</v>
      </c>
      <c r="S59" s="1559" t="s">
        <v>9046</v>
      </c>
      <c r="T59" s="1559" t="s">
        <v>10213</v>
      </c>
      <c r="U59" s="1559" t="s">
        <v>9919</v>
      </c>
      <c r="V59" s="1559" t="s">
        <v>5982</v>
      </c>
      <c r="W59" s="1559" t="s">
        <v>10214</v>
      </c>
      <c r="X59" s="1559" t="s">
        <v>628</v>
      </c>
      <c r="Y59" s="1559" t="s">
        <v>10215</v>
      </c>
      <c r="Z59" s="1559" t="s">
        <v>10216</v>
      </c>
      <c r="AA59" s="1691" t="s">
        <v>9069</v>
      </c>
      <c r="AB59" s="1559" t="s">
        <v>6074</v>
      </c>
      <c r="AC59" s="1559" t="s">
        <v>10217</v>
      </c>
      <c r="AD59" s="1559" t="s">
        <v>9434</v>
      </c>
      <c r="AE59" s="1559" t="s">
        <v>2603</v>
      </c>
      <c r="AF59" s="1559" t="s">
        <v>10218</v>
      </c>
      <c r="AG59" s="1675" t="s">
        <v>4603</v>
      </c>
      <c r="AH59" s="1675" t="s">
        <v>5267</v>
      </c>
      <c r="AI59" s="1559" t="s">
        <v>10219</v>
      </c>
      <c r="AJ59" s="1559" t="s">
        <v>10220</v>
      </c>
      <c r="AK59" s="1559" t="s">
        <v>7182</v>
      </c>
      <c r="AL59" s="1559" t="s">
        <v>3895</v>
      </c>
      <c r="AM59" s="1559" t="s">
        <v>10221</v>
      </c>
      <c r="AN59" s="1559" t="s">
        <v>3817</v>
      </c>
      <c r="AO59" s="1675" t="s">
        <v>9077</v>
      </c>
      <c r="AP59" s="1692" t="s">
        <v>9078</v>
      </c>
      <c r="AQ59" s="1559" t="s">
        <v>3242</v>
      </c>
      <c r="AR59" s="1559" t="s">
        <v>1619</v>
      </c>
      <c r="AS59" s="1559" t="s">
        <v>4707</v>
      </c>
      <c r="AT59" s="1559" t="s">
        <v>10222</v>
      </c>
      <c r="AU59" s="1559" t="s">
        <v>9451</v>
      </c>
      <c r="AV59" s="1451" t="str">
        <f t="shared" si="1"/>
        <v>2:22</v>
      </c>
      <c r="AW59" s="1589" t="s">
        <v>10223</v>
      </c>
    </row>
    <row r="60" ht="15.75" customHeight="1">
      <c r="A60" s="1590" t="s">
        <v>4048</v>
      </c>
      <c r="B60" s="1578" t="s">
        <v>8997</v>
      </c>
      <c r="C60" s="1533">
        <v>0.05153935185185185</v>
      </c>
      <c r="D60" s="1654" t="s">
        <v>10224</v>
      </c>
      <c r="E60" s="1654" t="s">
        <v>7731</v>
      </c>
      <c r="F60" s="1654" t="s">
        <v>10225</v>
      </c>
      <c r="G60" s="1654" t="s">
        <v>4958</v>
      </c>
      <c r="H60" s="980" t="s">
        <v>10226</v>
      </c>
      <c r="I60" s="1654" t="s">
        <v>1290</v>
      </c>
      <c r="J60" s="1654" t="s">
        <v>10227</v>
      </c>
      <c r="K60" s="1654" t="s">
        <v>3675</v>
      </c>
      <c r="L60" s="1654" t="s">
        <v>4220</v>
      </c>
      <c r="M60" s="1654" t="s">
        <v>6722</v>
      </c>
      <c r="N60" s="1654" t="s">
        <v>10228</v>
      </c>
      <c r="O60" s="1654" t="s">
        <v>3799</v>
      </c>
      <c r="P60" s="1654" t="s">
        <v>8072</v>
      </c>
      <c r="Q60" s="1654" t="s">
        <v>10229</v>
      </c>
      <c r="R60" s="1654" t="s">
        <v>3438</v>
      </c>
      <c r="S60" s="1693" t="s">
        <v>9858</v>
      </c>
      <c r="T60" s="1654" t="s">
        <v>9676</v>
      </c>
      <c r="U60" s="1654" t="s">
        <v>10230</v>
      </c>
      <c r="V60" s="1654" t="s">
        <v>1703</v>
      </c>
      <c r="W60" s="1654" t="s">
        <v>10231</v>
      </c>
      <c r="X60" s="1654" t="s">
        <v>1762</v>
      </c>
      <c r="Y60" s="1654" t="s">
        <v>3689</v>
      </c>
      <c r="Z60" s="1654" t="s">
        <v>6916</v>
      </c>
      <c r="AA60" s="1654" t="s">
        <v>962</v>
      </c>
      <c r="AB60" s="1654" t="s">
        <v>10232</v>
      </c>
      <c r="AC60" s="1654" t="s">
        <v>10217</v>
      </c>
      <c r="AD60" s="1654" t="s">
        <v>10233</v>
      </c>
      <c r="AE60" s="1654" t="s">
        <v>4965</v>
      </c>
      <c r="AF60" s="1539" t="s">
        <v>10234</v>
      </c>
      <c r="AG60" s="1654" t="s">
        <v>10235</v>
      </c>
      <c r="AH60" s="1654" t="s">
        <v>10236</v>
      </c>
      <c r="AI60" s="1654" t="s">
        <v>10237</v>
      </c>
      <c r="AJ60" s="1654" t="s">
        <v>10238</v>
      </c>
      <c r="AK60" s="1654" t="s">
        <v>5129</v>
      </c>
      <c r="AL60" s="1654" t="s">
        <v>10027</v>
      </c>
      <c r="AM60" s="1654" t="s">
        <v>10219</v>
      </c>
      <c r="AN60" s="1654" t="s">
        <v>2592</v>
      </c>
      <c r="AO60" s="1654" t="s">
        <v>5773</v>
      </c>
      <c r="AP60" s="1693" t="s">
        <v>9962</v>
      </c>
      <c r="AQ60" s="1654" t="s">
        <v>10239</v>
      </c>
      <c r="AR60" s="1654" t="s">
        <v>5026</v>
      </c>
      <c r="AS60" s="1654" t="s">
        <v>9105</v>
      </c>
      <c r="AT60" s="1654" t="s">
        <v>10240</v>
      </c>
      <c r="AU60" s="1654" t="s">
        <v>10241</v>
      </c>
      <c r="AV60" s="1451" t="str">
        <f t="shared" si="1"/>
        <v>2:41</v>
      </c>
      <c r="AW60" s="1694" t="s">
        <v>10242</v>
      </c>
    </row>
    <row r="61" ht="15.75" customHeight="1">
      <c r="A61" s="1531" t="s">
        <v>2026</v>
      </c>
      <c r="B61" s="1532" t="s">
        <v>8997</v>
      </c>
      <c r="C61" s="1533">
        <v>0.05157407407407407</v>
      </c>
      <c r="D61" s="980" t="s">
        <v>10243</v>
      </c>
      <c r="E61" s="1613" t="s">
        <v>10244</v>
      </c>
      <c r="F61" s="1613" t="s">
        <v>10245</v>
      </c>
      <c r="G61" s="1642" t="s">
        <v>9735</v>
      </c>
      <c r="H61" s="905" t="s">
        <v>10246</v>
      </c>
      <c r="I61" s="905" t="s">
        <v>2099</v>
      </c>
      <c r="J61" s="1643" t="s">
        <v>5479</v>
      </c>
      <c r="K61" s="1643" t="s">
        <v>3549</v>
      </c>
      <c r="L61" s="1643" t="s">
        <v>10247</v>
      </c>
      <c r="M61" s="1643" t="s">
        <v>9901</v>
      </c>
      <c r="N61" s="1643" t="s">
        <v>1228</v>
      </c>
      <c r="O61" s="1643" t="s">
        <v>10214</v>
      </c>
      <c r="P61" s="1643" t="s">
        <v>10248</v>
      </c>
      <c r="Q61" s="1644" t="s">
        <v>10249</v>
      </c>
      <c r="R61" s="1644" t="s">
        <v>10250</v>
      </c>
      <c r="S61" s="1644" t="s">
        <v>10251</v>
      </c>
      <c r="T61" s="1644" t="s">
        <v>6920</v>
      </c>
      <c r="U61" s="1644" t="s">
        <v>2749</v>
      </c>
      <c r="V61" s="1644" t="s">
        <v>5098</v>
      </c>
      <c r="W61" s="1645" t="s">
        <v>10252</v>
      </c>
      <c r="X61" s="1645" t="s">
        <v>10253</v>
      </c>
      <c r="Y61" s="1645" t="s">
        <v>10115</v>
      </c>
      <c r="Z61" s="1645" t="s">
        <v>9070</v>
      </c>
      <c r="AA61" s="1645" t="s">
        <v>6192</v>
      </c>
      <c r="AB61" s="1645" t="s">
        <v>5921</v>
      </c>
      <c r="AC61" s="1645" t="s">
        <v>6477</v>
      </c>
      <c r="AD61" s="1613" t="s">
        <v>10254</v>
      </c>
      <c r="AE61" s="1642" t="s">
        <v>5599</v>
      </c>
      <c r="AF61" s="1646" t="s">
        <v>10255</v>
      </c>
      <c r="AG61" s="1646" t="s">
        <v>10256</v>
      </c>
      <c r="AH61" s="1646" t="s">
        <v>10257</v>
      </c>
      <c r="AI61" s="1646" t="s">
        <v>1033</v>
      </c>
      <c r="AJ61" s="1646" t="s">
        <v>10258</v>
      </c>
      <c r="AK61" s="1616" t="s">
        <v>628</v>
      </c>
      <c r="AL61" s="1616" t="s">
        <v>10259</v>
      </c>
      <c r="AM61" s="1617" t="s">
        <v>3729</v>
      </c>
      <c r="AN61" s="1617" t="s">
        <v>10260</v>
      </c>
      <c r="AO61" s="1617" t="s">
        <v>10261</v>
      </c>
      <c r="AP61" s="1617" t="s">
        <v>10262</v>
      </c>
      <c r="AQ61" s="1617" t="s">
        <v>10263</v>
      </c>
      <c r="AR61" s="1618" t="s">
        <v>7448</v>
      </c>
      <c r="AS61" s="1617" t="s">
        <v>4424</v>
      </c>
      <c r="AT61" s="1643" t="s">
        <v>10264</v>
      </c>
      <c r="AU61" s="1640" t="s">
        <v>10265</v>
      </c>
      <c r="AV61" s="1451" t="str">
        <f t="shared" si="1"/>
        <v>4:40</v>
      </c>
      <c r="AW61" s="1641" t="s">
        <v>10266</v>
      </c>
    </row>
    <row r="62" ht="15.75" customHeight="1">
      <c r="A62" s="1590" t="s">
        <v>10267</v>
      </c>
      <c r="B62" s="1578" t="s">
        <v>8997</v>
      </c>
      <c r="C62" s="1533">
        <v>0.051631944444444446</v>
      </c>
      <c r="D62" s="1613" t="s">
        <v>10268</v>
      </c>
      <c r="E62" s="1613" t="s">
        <v>7574</v>
      </c>
      <c r="F62" s="1613" t="s">
        <v>9198</v>
      </c>
      <c r="G62" s="1613" t="s">
        <v>10269</v>
      </c>
      <c r="H62" s="840" t="s">
        <v>10270</v>
      </c>
      <c r="I62" s="840" t="s">
        <v>10271</v>
      </c>
      <c r="J62" s="1597" t="s">
        <v>10272</v>
      </c>
      <c r="K62" s="1597" t="s">
        <v>7182</v>
      </c>
      <c r="L62" s="1597" t="s">
        <v>4455</v>
      </c>
      <c r="M62" s="1597" t="s">
        <v>10273</v>
      </c>
      <c r="N62" s="1597" t="s">
        <v>9673</v>
      </c>
      <c r="O62" s="1597" t="s">
        <v>10274</v>
      </c>
      <c r="P62" s="1597" t="s">
        <v>2173</v>
      </c>
      <c r="Q62" s="1600" t="s">
        <v>10275</v>
      </c>
      <c r="R62" s="1600" t="s">
        <v>5959</v>
      </c>
      <c r="S62" s="1600" t="s">
        <v>5671</v>
      </c>
      <c r="T62" s="1600" t="s">
        <v>6315</v>
      </c>
      <c r="U62" s="1600" t="s">
        <v>10276</v>
      </c>
      <c r="V62" s="1600" t="s">
        <v>10277</v>
      </c>
      <c r="W62" s="1615" t="s">
        <v>10278</v>
      </c>
      <c r="X62" s="1615" t="s">
        <v>628</v>
      </c>
      <c r="Y62" s="1615" t="s">
        <v>5089</v>
      </c>
      <c r="Z62" s="1615" t="s">
        <v>10279</v>
      </c>
      <c r="AA62" s="1559" t="s">
        <v>10280</v>
      </c>
      <c r="AB62" s="1615" t="s">
        <v>9868</v>
      </c>
      <c r="AC62" s="1615" t="s">
        <v>4747</v>
      </c>
      <c r="AD62" s="1613" t="s">
        <v>10281</v>
      </c>
      <c r="AE62" s="1613" t="s">
        <v>9569</v>
      </c>
      <c r="AF62" s="1695" t="s">
        <v>10282</v>
      </c>
      <c r="AG62" s="1616" t="s">
        <v>7701</v>
      </c>
      <c r="AH62" s="1616" t="s">
        <v>10257</v>
      </c>
      <c r="AI62" s="1616" t="s">
        <v>4119</v>
      </c>
      <c r="AJ62" s="1616" t="s">
        <v>10283</v>
      </c>
      <c r="AK62" s="1616" t="s">
        <v>1521</v>
      </c>
      <c r="AL62" s="1616" t="s">
        <v>3484</v>
      </c>
      <c r="AM62" s="1618" t="s">
        <v>6192</v>
      </c>
      <c r="AN62" s="1618" t="s">
        <v>5749</v>
      </c>
      <c r="AO62" s="1618" t="s">
        <v>7506</v>
      </c>
      <c r="AP62" s="1618" t="s">
        <v>10284</v>
      </c>
      <c r="AQ62" s="1618" t="s">
        <v>3557</v>
      </c>
      <c r="AR62" s="1618" t="s">
        <v>9835</v>
      </c>
      <c r="AS62" s="1618" t="s">
        <v>4093</v>
      </c>
      <c r="AT62" s="1597" t="s">
        <v>10285</v>
      </c>
      <c r="AU62" s="1580" t="s">
        <v>10286</v>
      </c>
      <c r="AV62" s="1451" t="str">
        <f t="shared" si="1"/>
        <v>2:25</v>
      </c>
      <c r="AW62" s="1657" t="s">
        <v>10287</v>
      </c>
    </row>
    <row r="63" ht="15.75" customHeight="1">
      <c r="A63" s="1655" t="s">
        <v>10288</v>
      </c>
      <c r="B63" s="1532" t="s">
        <v>8997</v>
      </c>
      <c r="C63" s="1665">
        <v>0.051631944444444446</v>
      </c>
      <c r="D63" s="980" t="s">
        <v>10289</v>
      </c>
      <c r="E63" s="336" t="s">
        <v>8660</v>
      </c>
      <c r="F63" s="336" t="s">
        <v>9078</v>
      </c>
      <c r="G63" s="336" t="s">
        <v>10290</v>
      </c>
      <c r="H63" s="336" t="s">
        <v>10291</v>
      </c>
      <c r="I63" s="336" t="s">
        <v>10217</v>
      </c>
      <c r="J63" s="336" t="s">
        <v>3550</v>
      </c>
      <c r="K63" s="336" t="s">
        <v>10292</v>
      </c>
      <c r="L63" s="336" t="s">
        <v>5234</v>
      </c>
      <c r="M63" s="336" t="s">
        <v>712</v>
      </c>
      <c r="N63" s="336" t="s">
        <v>10293</v>
      </c>
      <c r="O63" s="336" t="s">
        <v>4756</v>
      </c>
      <c r="P63" s="336" t="s">
        <v>9029</v>
      </c>
      <c r="Q63" s="336" t="s">
        <v>10294</v>
      </c>
      <c r="R63" s="336" t="s">
        <v>10295</v>
      </c>
      <c r="S63" s="336" t="s">
        <v>10077</v>
      </c>
      <c r="T63" s="336" t="s">
        <v>9517</v>
      </c>
      <c r="U63" s="336" t="s">
        <v>10296</v>
      </c>
      <c r="V63" s="336" t="s">
        <v>10297</v>
      </c>
      <c r="W63" s="336" t="s">
        <v>10298</v>
      </c>
      <c r="X63" s="336" t="s">
        <v>10219</v>
      </c>
      <c r="Y63" s="336" t="s">
        <v>4747</v>
      </c>
      <c r="Z63" s="336" t="s">
        <v>6772</v>
      </c>
      <c r="AA63" s="336" t="s">
        <v>5958</v>
      </c>
      <c r="AB63" s="336" t="s">
        <v>10299</v>
      </c>
      <c r="AC63" s="336" t="s">
        <v>388</v>
      </c>
      <c r="AD63" s="336" t="s">
        <v>6138</v>
      </c>
      <c r="AE63" s="336" t="s">
        <v>3113</v>
      </c>
      <c r="AF63" s="336" t="s">
        <v>9968</v>
      </c>
      <c r="AG63" s="336" t="s">
        <v>10300</v>
      </c>
      <c r="AH63" s="336" t="s">
        <v>5425</v>
      </c>
      <c r="AI63" s="336" t="s">
        <v>3580</v>
      </c>
      <c r="AJ63" s="336" t="s">
        <v>10301</v>
      </c>
      <c r="AK63" s="336" t="s">
        <v>10137</v>
      </c>
      <c r="AL63" s="336" t="s">
        <v>5203</v>
      </c>
      <c r="AM63" s="336" t="s">
        <v>10302</v>
      </c>
      <c r="AN63" s="336" t="s">
        <v>8871</v>
      </c>
      <c r="AO63" s="336" t="s">
        <v>5140</v>
      </c>
      <c r="AP63" s="336" t="s">
        <v>10303</v>
      </c>
      <c r="AQ63" s="336" t="s">
        <v>3695</v>
      </c>
      <c r="AR63" s="336" t="s">
        <v>9658</v>
      </c>
      <c r="AS63" s="336" t="s">
        <v>4733</v>
      </c>
      <c r="AT63" s="336" t="s">
        <v>10304</v>
      </c>
      <c r="AU63" s="1696" t="str">
        <f>HYPERLINK("https://splits.io/pc9","1:16:48")</f>
        <v>1:16:48</v>
      </c>
      <c r="AV63" s="1451" t="str">
        <f t="shared" si="1"/>
        <v>2:27</v>
      </c>
      <c r="AW63" s="1697" t="s">
        <v>10305</v>
      </c>
    </row>
    <row r="64" ht="15.75" customHeight="1">
      <c r="A64" s="1531" t="s">
        <v>5918</v>
      </c>
      <c r="B64" s="1532" t="s">
        <v>8997</v>
      </c>
      <c r="C64" s="1665">
        <v>0.051631944444444446</v>
      </c>
      <c r="D64" s="980" t="s">
        <v>10306</v>
      </c>
      <c r="E64" s="336" t="s">
        <v>7731</v>
      </c>
      <c r="F64" s="336" t="s">
        <v>10307</v>
      </c>
      <c r="G64" s="336" t="s">
        <v>5356</v>
      </c>
      <c r="H64" s="336" t="s">
        <v>9880</v>
      </c>
      <c r="I64" s="336" t="s">
        <v>4747</v>
      </c>
      <c r="J64" s="336" t="s">
        <v>9188</v>
      </c>
      <c r="K64" s="336" t="s">
        <v>8884</v>
      </c>
      <c r="L64" s="336" t="s">
        <v>5904</v>
      </c>
      <c r="M64" s="336" t="s">
        <v>935</v>
      </c>
      <c r="N64" s="336" t="s">
        <v>10308</v>
      </c>
      <c r="O64" s="336" t="s">
        <v>10111</v>
      </c>
      <c r="P64" s="336" t="s">
        <v>9971</v>
      </c>
      <c r="Q64" s="336" t="s">
        <v>10309</v>
      </c>
      <c r="R64" s="336" t="s">
        <v>10250</v>
      </c>
      <c r="S64" s="336" t="s">
        <v>6800</v>
      </c>
      <c r="T64" s="336" t="s">
        <v>10310</v>
      </c>
      <c r="U64" s="336" t="s">
        <v>10311</v>
      </c>
      <c r="V64" s="336" t="s">
        <v>10312</v>
      </c>
      <c r="W64" s="336" t="s">
        <v>10313</v>
      </c>
      <c r="X64" s="336" t="s">
        <v>10314</v>
      </c>
      <c r="Y64" s="336" t="s">
        <v>1161</v>
      </c>
      <c r="Z64" s="336" t="s">
        <v>4860</v>
      </c>
      <c r="AA64" s="336" t="s">
        <v>10315</v>
      </c>
      <c r="AB64" s="336" t="s">
        <v>6864</v>
      </c>
      <c r="AC64" s="336" t="s">
        <v>10316</v>
      </c>
      <c r="AD64" s="336" t="s">
        <v>10317</v>
      </c>
      <c r="AE64" s="1654" t="s">
        <v>5509</v>
      </c>
      <c r="AF64" s="336" t="s">
        <v>10318</v>
      </c>
      <c r="AG64" s="336" t="s">
        <v>10319</v>
      </c>
      <c r="AH64" s="336" t="s">
        <v>2253</v>
      </c>
      <c r="AI64" s="336" t="s">
        <v>5268</v>
      </c>
      <c r="AJ64" s="336" t="s">
        <v>8717</v>
      </c>
      <c r="AK64" s="336" t="s">
        <v>1793</v>
      </c>
      <c r="AL64" s="336" t="s">
        <v>5749</v>
      </c>
      <c r="AM64" s="336" t="s">
        <v>10320</v>
      </c>
      <c r="AN64" s="336" t="s">
        <v>10321</v>
      </c>
      <c r="AO64" s="336" t="s">
        <v>9294</v>
      </c>
      <c r="AP64" s="336" t="s">
        <v>4870</v>
      </c>
      <c r="AQ64" s="336" t="s">
        <v>10322</v>
      </c>
      <c r="AR64" s="336" t="s">
        <v>4847</v>
      </c>
      <c r="AS64" s="336" t="s">
        <v>3041</v>
      </c>
      <c r="AT64" s="336" t="s">
        <v>10323</v>
      </c>
      <c r="AU64" s="336" t="s">
        <v>10324</v>
      </c>
      <c r="AV64" s="1451" t="str">
        <f t="shared" si="1"/>
        <v>3:33</v>
      </c>
      <c r="AW64" s="1697"/>
    </row>
    <row r="65" ht="15.75" customHeight="1">
      <c r="A65" s="1531" t="s">
        <v>4237</v>
      </c>
      <c r="B65" s="1532" t="s">
        <v>8997</v>
      </c>
      <c r="C65" s="1665">
        <v>0.05164351851851852</v>
      </c>
      <c r="D65" s="980" t="s">
        <v>10325</v>
      </c>
      <c r="E65" s="336" t="s">
        <v>9207</v>
      </c>
      <c r="F65" s="336" t="s">
        <v>10326</v>
      </c>
      <c r="G65" s="336" t="s">
        <v>9056</v>
      </c>
      <c r="H65" s="336" t="s">
        <v>10327</v>
      </c>
      <c r="I65" s="336" t="s">
        <v>1290</v>
      </c>
      <c r="J65" s="336" t="s">
        <v>804</v>
      </c>
      <c r="K65" s="336" t="s">
        <v>6749</v>
      </c>
      <c r="L65" s="336" t="s">
        <v>3730</v>
      </c>
      <c r="M65" s="336" t="s">
        <v>10273</v>
      </c>
      <c r="N65" s="336" t="s">
        <v>9396</v>
      </c>
      <c r="O65" s="336" t="s">
        <v>9975</v>
      </c>
      <c r="P65" s="336" t="s">
        <v>5187</v>
      </c>
      <c r="Q65" s="336" t="s">
        <v>10328</v>
      </c>
      <c r="R65" s="336" t="s">
        <v>8925</v>
      </c>
      <c r="S65" s="336" t="s">
        <v>10329</v>
      </c>
      <c r="T65" s="336" t="s">
        <v>10330</v>
      </c>
      <c r="U65" s="336" t="s">
        <v>10331</v>
      </c>
      <c r="V65" s="336" t="s">
        <v>10332</v>
      </c>
      <c r="W65" s="336" t="s">
        <v>10333</v>
      </c>
      <c r="X65" s="336" t="s">
        <v>607</v>
      </c>
      <c r="Y65" s="336" t="s">
        <v>10334</v>
      </c>
      <c r="Z65" s="336" t="s">
        <v>7203</v>
      </c>
      <c r="AA65" s="336" t="s">
        <v>5675</v>
      </c>
      <c r="AB65" s="336" t="s">
        <v>7507</v>
      </c>
      <c r="AC65" s="336" t="s">
        <v>7669</v>
      </c>
      <c r="AD65" s="336" t="s">
        <v>10335</v>
      </c>
      <c r="AE65" s="336" t="s">
        <v>1848</v>
      </c>
      <c r="AF65" s="336" t="s">
        <v>10336</v>
      </c>
      <c r="AG65" s="336" t="s">
        <v>527</v>
      </c>
      <c r="AH65" s="336" t="s">
        <v>5425</v>
      </c>
      <c r="AI65" s="336" t="s">
        <v>10337</v>
      </c>
      <c r="AJ65" s="336" t="s">
        <v>10338</v>
      </c>
      <c r="AK65" s="336" t="s">
        <v>10339</v>
      </c>
      <c r="AL65" s="336" t="s">
        <v>5184</v>
      </c>
      <c r="AM65" s="336" t="s">
        <v>9778</v>
      </c>
      <c r="AN65" s="336" t="s">
        <v>9457</v>
      </c>
      <c r="AO65" s="336" t="s">
        <v>10184</v>
      </c>
      <c r="AP65" s="336" t="s">
        <v>10340</v>
      </c>
      <c r="AQ65" s="336" t="s">
        <v>10341</v>
      </c>
      <c r="AR65" s="336" t="s">
        <v>3626</v>
      </c>
      <c r="AS65" s="336" t="s">
        <v>10342</v>
      </c>
      <c r="AT65" s="336" t="s">
        <v>10138</v>
      </c>
      <c r="AU65" s="336" t="s">
        <v>10343</v>
      </c>
      <c r="AV65" s="1451" t="str">
        <f t="shared" si="1"/>
        <v>3:13</v>
      </c>
      <c r="AW65" s="1697" t="s">
        <v>10344</v>
      </c>
    </row>
    <row r="66" ht="15.75" customHeight="1">
      <c r="A66" s="1556" t="s">
        <v>897</v>
      </c>
      <c r="B66" s="1684" t="s">
        <v>9052</v>
      </c>
      <c r="C66" s="1665">
        <v>0.05167824074074074</v>
      </c>
      <c r="D66" s="980" t="s">
        <v>10345</v>
      </c>
      <c r="E66" s="336" t="s">
        <v>10346</v>
      </c>
      <c r="F66" s="336" t="s">
        <v>5964</v>
      </c>
      <c r="G66" s="336" t="s">
        <v>10347</v>
      </c>
      <c r="H66" s="336" t="s">
        <v>10348</v>
      </c>
      <c r="I66" s="336" t="s">
        <v>1837</v>
      </c>
      <c r="J66" s="336" t="s">
        <v>10210</v>
      </c>
      <c r="K66" s="336" t="s">
        <v>9352</v>
      </c>
      <c r="L66" s="336" t="s">
        <v>1964</v>
      </c>
      <c r="M66" s="336" t="s">
        <v>6848</v>
      </c>
      <c r="N66" s="336" t="s">
        <v>10349</v>
      </c>
      <c r="O66" s="336" t="s">
        <v>10350</v>
      </c>
      <c r="P66" s="336" t="s">
        <v>2384</v>
      </c>
      <c r="Q66" s="336" t="s">
        <v>719</v>
      </c>
      <c r="R66" s="336" t="s">
        <v>10351</v>
      </c>
      <c r="S66" s="336" t="s">
        <v>10352</v>
      </c>
      <c r="T66" s="336" t="s">
        <v>10353</v>
      </c>
      <c r="U66" s="336" t="s">
        <v>9931</v>
      </c>
      <c r="V66" s="336" t="s">
        <v>487</v>
      </c>
      <c r="W66" s="336" t="s">
        <v>5998</v>
      </c>
      <c r="X66" s="336" t="s">
        <v>10354</v>
      </c>
      <c r="Y66" s="336" t="s">
        <v>940</v>
      </c>
      <c r="Z66" s="336" t="s">
        <v>3943</v>
      </c>
      <c r="AA66" s="336" t="s">
        <v>1620</v>
      </c>
      <c r="AB66" s="336" t="s">
        <v>10355</v>
      </c>
      <c r="AC66" s="336" t="s">
        <v>9277</v>
      </c>
      <c r="AD66" s="1654" t="s">
        <v>10356</v>
      </c>
      <c r="AE66" s="336" t="s">
        <v>1862</v>
      </c>
      <c r="AF66" s="336" t="s">
        <v>9820</v>
      </c>
      <c r="AG66" s="336" t="s">
        <v>7813</v>
      </c>
      <c r="AH66" s="336" t="s">
        <v>4455</v>
      </c>
      <c r="AI66" s="336" t="s">
        <v>6434</v>
      </c>
      <c r="AJ66" s="336" t="s">
        <v>10357</v>
      </c>
      <c r="AK66" s="336" t="s">
        <v>9147</v>
      </c>
      <c r="AL66" s="336" t="s">
        <v>5267</v>
      </c>
      <c r="AM66" s="336" t="s">
        <v>10358</v>
      </c>
      <c r="AN66" s="336" t="s">
        <v>10359</v>
      </c>
      <c r="AO66" s="336" t="s">
        <v>10360</v>
      </c>
      <c r="AP66" s="336" t="s">
        <v>10361</v>
      </c>
      <c r="AQ66" s="336" t="s">
        <v>10362</v>
      </c>
      <c r="AR66" s="336" t="s">
        <v>10363</v>
      </c>
      <c r="AS66" s="336" t="s">
        <v>2575</v>
      </c>
      <c r="AT66" s="336" t="s">
        <v>10364</v>
      </c>
      <c r="AU66" s="336" t="s">
        <v>10365</v>
      </c>
      <c r="AV66" s="1451" t="str">
        <f t="shared" si="1"/>
        <v>2:51</v>
      </c>
      <c r="AW66" s="1698"/>
    </row>
    <row r="67" ht="15.75" customHeight="1">
      <c r="A67" s="1590" t="s">
        <v>4640</v>
      </c>
      <c r="B67" s="1623" t="s">
        <v>9024</v>
      </c>
      <c r="C67" s="1665">
        <v>0.05170138888888889</v>
      </c>
      <c r="D67" s="980" t="s">
        <v>10366</v>
      </c>
      <c r="E67" s="336" t="s">
        <v>4272</v>
      </c>
      <c r="F67" s="336" t="s">
        <v>9923</v>
      </c>
      <c r="G67" s="336" t="s">
        <v>9831</v>
      </c>
      <c r="H67" s="336" t="s">
        <v>10367</v>
      </c>
      <c r="I67" s="336" t="s">
        <v>10368</v>
      </c>
      <c r="J67" s="336" t="s">
        <v>9936</v>
      </c>
      <c r="K67" s="336" t="s">
        <v>9294</v>
      </c>
      <c r="L67" s="336" t="s">
        <v>4096</v>
      </c>
      <c r="M67" s="336" t="s">
        <v>7094</v>
      </c>
      <c r="N67" s="336" t="s">
        <v>6208</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5850</v>
      </c>
      <c r="AD67" s="336" t="s">
        <v>9992</v>
      </c>
      <c r="AE67" s="336" t="s">
        <v>143</v>
      </c>
      <c r="AF67" s="336" t="s">
        <v>10372</v>
      </c>
      <c r="AG67" s="336" t="s">
        <v>10373</v>
      </c>
      <c r="AH67" s="336" t="s">
        <v>10374</v>
      </c>
      <c r="AI67" s="336" t="s">
        <v>10375</v>
      </c>
      <c r="AJ67" s="336" t="s">
        <v>10376</v>
      </c>
      <c r="AK67" s="336" t="s">
        <v>9381</v>
      </c>
      <c r="AL67" s="336" t="s">
        <v>4530</v>
      </c>
      <c r="AM67" s="336" t="s">
        <v>10237</v>
      </c>
      <c r="AN67" s="336" t="s">
        <v>10377</v>
      </c>
      <c r="AO67" s="336" t="s">
        <v>9983</v>
      </c>
      <c r="AP67" s="336" t="s">
        <v>3328</v>
      </c>
      <c r="AQ67" s="336" t="s">
        <v>10378</v>
      </c>
      <c r="AR67" s="336" t="s">
        <v>10379</v>
      </c>
      <c r="AS67" s="336" t="s">
        <v>6600</v>
      </c>
      <c r="AT67" s="336" t="s">
        <v>10380</v>
      </c>
      <c r="AU67" s="336" t="s">
        <v>10381</v>
      </c>
      <c r="AV67" s="1451" t="str">
        <f t="shared" si="1"/>
        <v>2:37</v>
      </c>
      <c r="AW67" s="1698" t="s">
        <v>10382</v>
      </c>
    </row>
    <row r="68" ht="15.75" customHeight="1">
      <c r="A68" s="1590" t="s">
        <v>5103</v>
      </c>
      <c r="B68" s="1588" t="s">
        <v>9024</v>
      </c>
      <c r="C68" s="1533">
        <v>0.05171296296296296</v>
      </c>
      <c r="D68" s="1671" t="s">
        <v>10383</v>
      </c>
      <c r="E68" s="1654" t="s">
        <v>10384</v>
      </c>
      <c r="F68" s="1654" t="s">
        <v>1466</v>
      </c>
      <c r="G68" s="1654" t="s">
        <v>10385</v>
      </c>
      <c r="H68" s="1654" t="s">
        <v>10386</v>
      </c>
      <c r="I68" s="1654" t="s">
        <v>10387</v>
      </c>
      <c r="J68" s="1654" t="s">
        <v>885</v>
      </c>
      <c r="K68" s="1654" t="s">
        <v>4917</v>
      </c>
      <c r="L68" s="1654" t="s">
        <v>1955</v>
      </c>
      <c r="M68" s="1699" t="s">
        <v>10388</v>
      </c>
      <c r="N68" s="1654" t="s">
        <v>10389</v>
      </c>
      <c r="O68" s="1654" t="s">
        <v>1696</v>
      </c>
      <c r="P68" s="1654" t="s">
        <v>5089</v>
      </c>
      <c r="Q68" s="1654" t="s">
        <v>2675</v>
      </c>
      <c r="R68" s="1654" t="s">
        <v>10390</v>
      </c>
      <c r="S68" s="1654" t="s">
        <v>9131</v>
      </c>
      <c r="T68" s="1654" t="s">
        <v>10391</v>
      </c>
      <c r="U68" s="1654" t="s">
        <v>10189</v>
      </c>
      <c r="V68" s="1699" t="s">
        <v>10392</v>
      </c>
      <c r="W68" s="1699" t="s">
        <v>10393</v>
      </c>
      <c r="X68" s="1654" t="s">
        <v>10068</v>
      </c>
      <c r="Y68" s="980" t="s">
        <v>2556</v>
      </c>
      <c r="Z68" s="1654" t="s">
        <v>1519</v>
      </c>
      <c r="AA68" s="1654" t="s">
        <v>200</v>
      </c>
      <c r="AB68" s="1699" t="s">
        <v>10394</v>
      </c>
      <c r="AC68" s="1654" t="s">
        <v>1848</v>
      </c>
      <c r="AD68" s="1654" t="s">
        <v>10395</v>
      </c>
      <c r="AE68" s="1654" t="s">
        <v>3851</v>
      </c>
      <c r="AF68" s="1654" t="s">
        <v>10396</v>
      </c>
      <c r="AG68" s="1654" t="s">
        <v>527</v>
      </c>
      <c r="AH68" s="1654" t="s">
        <v>10397</v>
      </c>
      <c r="AI68" s="1654" t="s">
        <v>5450</v>
      </c>
      <c r="AJ68" s="1654" t="s">
        <v>10398</v>
      </c>
      <c r="AK68" s="1654" t="s">
        <v>10399</v>
      </c>
      <c r="AL68" s="1654" t="s">
        <v>1749</v>
      </c>
      <c r="AM68" s="1654" t="s">
        <v>10228</v>
      </c>
      <c r="AN68" s="1654" t="s">
        <v>10400</v>
      </c>
      <c r="AO68" s="1654" t="s">
        <v>2901</v>
      </c>
      <c r="AP68" s="1654" t="s">
        <v>2073</v>
      </c>
      <c r="AQ68" s="1654" t="s">
        <v>757</v>
      </c>
      <c r="AR68" s="1654" t="s">
        <v>10011</v>
      </c>
      <c r="AS68" s="1654" t="s">
        <v>8076</v>
      </c>
      <c r="AT68" s="1654" t="s">
        <v>10401</v>
      </c>
      <c r="AU68" s="1654" t="s">
        <v>10402</v>
      </c>
      <c r="AV68" s="1451" t="str">
        <f t="shared" si="1"/>
        <v>4:14</v>
      </c>
      <c r="AW68" s="1694" t="s">
        <v>10403</v>
      </c>
    </row>
    <row r="69" ht="15.75" customHeight="1">
      <c r="A69" s="1590" t="s">
        <v>2189</v>
      </c>
      <c r="B69" s="1680" t="s">
        <v>9024</v>
      </c>
      <c r="C69" s="1533">
        <v>0.05173611111111111</v>
      </c>
      <c r="D69" s="980" t="s">
        <v>10404</v>
      </c>
      <c r="E69" s="1654" t="s">
        <v>10405</v>
      </c>
      <c r="F69" s="1654" t="s">
        <v>10406</v>
      </c>
      <c r="G69" s="1654" t="s">
        <v>10407</v>
      </c>
      <c r="H69" s="1654" t="s">
        <v>6966</v>
      </c>
      <c r="I69" s="1654" t="s">
        <v>495</v>
      </c>
      <c r="J69" s="1654" t="s">
        <v>9438</v>
      </c>
      <c r="K69" s="1654" t="s">
        <v>9009</v>
      </c>
      <c r="L69" s="1654" t="s">
        <v>8151</v>
      </c>
      <c r="M69" s="1654" t="s">
        <v>3643</v>
      </c>
      <c r="N69" s="1654" t="s">
        <v>10408</v>
      </c>
      <c r="O69" s="1654" t="s">
        <v>10409</v>
      </c>
      <c r="P69" s="1654" t="s">
        <v>3753</v>
      </c>
      <c r="Q69" s="1654" t="s">
        <v>10410</v>
      </c>
      <c r="R69" s="1654" t="s">
        <v>10351</v>
      </c>
      <c r="S69" s="1654" t="s">
        <v>5645</v>
      </c>
      <c r="T69" s="1654" t="s">
        <v>10411</v>
      </c>
      <c r="U69" s="1654" t="s">
        <v>10412</v>
      </c>
      <c r="V69" s="1654" t="s">
        <v>360</v>
      </c>
      <c r="W69" s="1654" t="s">
        <v>5679</v>
      </c>
      <c r="X69" s="1654" t="s">
        <v>10256</v>
      </c>
      <c r="Y69" s="1654" t="s">
        <v>1161</v>
      </c>
      <c r="Z69" s="1654" t="s">
        <v>10413</v>
      </c>
      <c r="AA69" s="1654" t="s">
        <v>5958</v>
      </c>
      <c r="AB69" s="1654" t="s">
        <v>7505</v>
      </c>
      <c r="AC69" s="1654" t="s">
        <v>161</v>
      </c>
      <c r="AD69" s="1654" t="s">
        <v>10281</v>
      </c>
      <c r="AE69" s="1654" t="s">
        <v>9710</v>
      </c>
      <c r="AF69" s="1654" t="s">
        <v>9723</v>
      </c>
      <c r="AG69" s="1654" t="s">
        <v>10414</v>
      </c>
      <c r="AH69" s="1654" t="s">
        <v>10415</v>
      </c>
      <c r="AI69" s="1654" t="s">
        <v>10416</v>
      </c>
      <c r="AJ69" s="1654" t="s">
        <v>6164</v>
      </c>
      <c r="AK69" s="1654" t="s">
        <v>6982</v>
      </c>
      <c r="AL69" s="1654" t="s">
        <v>10417</v>
      </c>
      <c r="AM69" s="1654" t="s">
        <v>2981</v>
      </c>
      <c r="AN69" s="1654" t="s">
        <v>5184</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9052</v>
      </c>
      <c r="C70" s="1533">
        <v>0.051805555555555556</v>
      </c>
      <c r="D70" s="1654" t="s">
        <v>10424</v>
      </c>
      <c r="E70" s="1654" t="s">
        <v>10425</v>
      </c>
      <c r="F70" s="980" t="s">
        <v>10426</v>
      </c>
      <c r="G70" s="1654" t="s">
        <v>10427</v>
      </c>
      <c r="H70" s="1562" t="s">
        <v>10428</v>
      </c>
      <c r="I70" s="1562">
        <v>49.81</v>
      </c>
      <c r="J70" s="1562" t="s">
        <v>10429</v>
      </c>
      <c r="K70" s="1562" t="s">
        <v>6332</v>
      </c>
      <c r="L70" s="1562">
        <v>59.57</v>
      </c>
      <c r="M70" s="1562" t="s">
        <v>10430</v>
      </c>
      <c r="N70" s="1562" t="s">
        <v>10431</v>
      </c>
      <c r="O70" s="1561" t="s">
        <v>6902</v>
      </c>
      <c r="P70" s="1561" t="s">
        <v>10432</v>
      </c>
      <c r="Q70" s="1561" t="s">
        <v>10433</v>
      </c>
      <c r="R70" s="1562" t="s">
        <v>10434</v>
      </c>
      <c r="S70" s="1562" t="s">
        <v>10077</v>
      </c>
      <c r="T70" s="1562" t="s">
        <v>10435</v>
      </c>
      <c r="U70" s="1562" t="s">
        <v>10436</v>
      </c>
      <c r="V70" s="1562" t="s">
        <v>4319</v>
      </c>
      <c r="W70" s="1562" t="s">
        <v>10437</v>
      </c>
      <c r="X70" s="1562" t="s">
        <v>10438</v>
      </c>
      <c r="Y70" s="1561" t="s">
        <v>9940</v>
      </c>
      <c r="Z70" s="1700" t="s">
        <v>9068</v>
      </c>
      <c r="AA70" s="1562" t="s">
        <v>964</v>
      </c>
      <c r="AB70" s="1561" t="s">
        <v>4343</v>
      </c>
      <c r="AC70" s="1562">
        <v>49.53</v>
      </c>
      <c r="AD70" s="1562" t="s">
        <v>2004</v>
      </c>
      <c r="AE70" s="1561" t="s">
        <v>10439</v>
      </c>
      <c r="AF70" s="1562" t="s">
        <v>9196</v>
      </c>
      <c r="AG70" s="1562" t="s">
        <v>10440</v>
      </c>
      <c r="AH70" s="1562">
        <v>59.93</v>
      </c>
      <c r="AI70" s="1562" t="s">
        <v>10441</v>
      </c>
      <c r="AJ70" s="1562" t="s">
        <v>10442</v>
      </c>
      <c r="AK70" s="1562" t="s">
        <v>5987</v>
      </c>
      <c r="AL70" s="1562">
        <v>59.13</v>
      </c>
      <c r="AM70" s="1562" t="s">
        <v>10379</v>
      </c>
      <c r="AN70" s="1562">
        <v>57.86</v>
      </c>
      <c r="AO70" s="1562" t="s">
        <v>7260</v>
      </c>
      <c r="AP70" s="1562" t="s">
        <v>10443</v>
      </c>
      <c r="AQ70" s="1562" t="s">
        <v>9946</v>
      </c>
      <c r="AR70" s="1562" t="s">
        <v>6265</v>
      </c>
      <c r="AS70" s="1562">
        <v>47.67</v>
      </c>
      <c r="AT70" s="1654" t="s">
        <v>10444</v>
      </c>
      <c r="AU70" s="1654" t="s">
        <v>10445</v>
      </c>
      <c r="AV70" s="1451" t="str">
        <f t="shared" si="1"/>
        <v>2:57</v>
      </c>
      <c r="AW70" s="1679" t="s">
        <v>10446</v>
      </c>
    </row>
    <row r="71">
      <c r="A71" s="954" t="s">
        <v>1254</v>
      </c>
      <c r="B71" s="1588" t="s">
        <v>9024</v>
      </c>
      <c r="C71" s="1701">
        <v>0.05181712962962963</v>
      </c>
      <c r="D71" s="1539" t="s">
        <v>10447</v>
      </c>
      <c r="E71" s="1539" t="s">
        <v>7580</v>
      </c>
      <c r="F71" s="1539" t="s">
        <v>10448</v>
      </c>
      <c r="G71" s="1539" t="s">
        <v>10449</v>
      </c>
      <c r="H71" s="1539" t="s">
        <v>10450</v>
      </c>
      <c r="I71" s="1539" t="s">
        <v>5048</v>
      </c>
      <c r="J71" s="1539" t="s">
        <v>9423</v>
      </c>
      <c r="K71" s="1539" t="s">
        <v>9035</v>
      </c>
      <c r="L71" s="1539" t="s">
        <v>10415</v>
      </c>
      <c r="M71" s="1539" t="s">
        <v>1452</v>
      </c>
      <c r="N71" s="1539" t="s">
        <v>9912</v>
      </c>
      <c r="O71" s="1539" t="s">
        <v>7035</v>
      </c>
      <c r="P71" s="1539" t="s">
        <v>9513</v>
      </c>
      <c r="Q71" s="1539" t="s">
        <v>10451</v>
      </c>
      <c r="R71" s="1539" t="s">
        <v>6870</v>
      </c>
      <c r="S71" s="1539" t="s">
        <v>3650</v>
      </c>
      <c r="T71" s="1539" t="s">
        <v>10452</v>
      </c>
      <c r="U71" s="1539" t="s">
        <v>10453</v>
      </c>
      <c r="V71" s="1539" t="s">
        <v>10370</v>
      </c>
      <c r="W71" s="1539" t="s">
        <v>9108</v>
      </c>
      <c r="X71" s="1539" t="s">
        <v>10001</v>
      </c>
      <c r="Y71" s="1539" t="s">
        <v>10454</v>
      </c>
      <c r="Z71" s="1539" t="s">
        <v>6416</v>
      </c>
      <c r="AA71" s="1539" t="s">
        <v>955</v>
      </c>
      <c r="AB71" s="1539" t="s">
        <v>10455</v>
      </c>
      <c r="AC71" s="1539" t="s">
        <v>2099</v>
      </c>
      <c r="AD71" s="1539" t="s">
        <v>10456</v>
      </c>
      <c r="AE71" s="1539" t="s">
        <v>2173</v>
      </c>
      <c r="AF71" s="1539" t="s">
        <v>10138</v>
      </c>
      <c r="AG71" s="1539" t="s">
        <v>174</v>
      </c>
      <c r="AH71" s="1539" t="s">
        <v>10457</v>
      </c>
      <c r="AI71" s="1539" t="s">
        <v>246</v>
      </c>
      <c r="AJ71" s="1539" t="s">
        <v>10458</v>
      </c>
      <c r="AK71" s="1539" t="s">
        <v>9727</v>
      </c>
      <c r="AL71" s="1539" t="s">
        <v>4761</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3132</v>
      </c>
      <c r="B72" s="1623" t="s">
        <v>9024</v>
      </c>
      <c r="C72" s="1665">
        <v>0.051863425925925924</v>
      </c>
      <c r="D72" s="980" t="s">
        <v>10467</v>
      </c>
      <c r="E72" s="336" t="s">
        <v>6587</v>
      </c>
      <c r="F72" s="336" t="s">
        <v>10468</v>
      </c>
      <c r="G72" s="336" t="s">
        <v>10469</v>
      </c>
      <c r="H72" s="336" t="s">
        <v>10470</v>
      </c>
      <c r="I72" s="336" t="s">
        <v>10471</v>
      </c>
      <c r="J72" s="336" t="s">
        <v>1673</v>
      </c>
      <c r="K72" s="336" t="s">
        <v>1590</v>
      </c>
      <c r="L72" s="336" t="s">
        <v>3140</v>
      </c>
      <c r="M72" s="336" t="s">
        <v>10250</v>
      </c>
      <c r="N72" s="336" t="s">
        <v>5129</v>
      </c>
      <c r="O72" s="336" t="s">
        <v>10472</v>
      </c>
      <c r="P72" s="336" t="s">
        <v>1232</v>
      </c>
      <c r="Q72" s="336" t="s">
        <v>10473</v>
      </c>
      <c r="R72" s="336" t="s">
        <v>5827</v>
      </c>
      <c r="S72" s="336" t="s">
        <v>10474</v>
      </c>
      <c r="T72" s="336" t="s">
        <v>10475</v>
      </c>
      <c r="U72" s="336" t="s">
        <v>10476</v>
      </c>
      <c r="V72" s="336" t="s">
        <v>10020</v>
      </c>
      <c r="W72" s="336" t="s">
        <v>10477</v>
      </c>
      <c r="X72" s="336" t="s">
        <v>10375</v>
      </c>
      <c r="Y72" s="336" t="s">
        <v>3365</v>
      </c>
      <c r="Z72" s="336" t="s">
        <v>10478</v>
      </c>
      <c r="AA72" s="336" t="s">
        <v>10479</v>
      </c>
      <c r="AB72" s="336" t="s">
        <v>8894</v>
      </c>
      <c r="AC72" s="336" t="s">
        <v>5850</v>
      </c>
      <c r="AD72" s="336" t="s">
        <v>10480</v>
      </c>
      <c r="AE72" s="336" t="s">
        <v>1179</v>
      </c>
      <c r="AF72" s="336" t="s">
        <v>10481</v>
      </c>
      <c r="AG72" s="336" t="s">
        <v>10482</v>
      </c>
      <c r="AH72" s="336" t="s">
        <v>5234</v>
      </c>
      <c r="AI72" s="336" t="s">
        <v>10416</v>
      </c>
      <c r="AJ72" s="336" t="s">
        <v>10483</v>
      </c>
      <c r="AK72" s="336" t="s">
        <v>1841</v>
      </c>
      <c r="AL72" s="336" t="s">
        <v>10457</v>
      </c>
      <c r="AM72" s="336" t="s">
        <v>10484</v>
      </c>
      <c r="AN72" s="336" t="s">
        <v>3205</v>
      </c>
      <c r="AO72" s="336" t="s">
        <v>9192</v>
      </c>
      <c r="AP72" s="336" t="s">
        <v>10485</v>
      </c>
      <c r="AQ72" s="336" t="s">
        <v>10486</v>
      </c>
      <c r="AR72" s="336" t="s">
        <v>2228</v>
      </c>
      <c r="AS72" s="336" t="s">
        <v>4838</v>
      </c>
      <c r="AT72" s="336" t="s">
        <v>10487</v>
      </c>
      <c r="AU72" s="336" t="s">
        <v>10488</v>
      </c>
      <c r="AV72" s="1451" t="str">
        <f t="shared" si="1"/>
        <v>2:06</v>
      </c>
      <c r="AW72" s="1694" t="s">
        <v>10489</v>
      </c>
    </row>
    <row r="73" ht="15.75" customHeight="1">
      <c r="A73" s="1531" t="s">
        <v>1124</v>
      </c>
      <c r="B73" s="1532" t="s">
        <v>8997</v>
      </c>
      <c r="C73" s="1665">
        <v>0.051875</v>
      </c>
      <c r="D73" s="980" t="s">
        <v>10490</v>
      </c>
      <c r="E73" s="336" t="s">
        <v>3210</v>
      </c>
      <c r="F73" s="336" t="s">
        <v>10491</v>
      </c>
      <c r="G73" s="336" t="s">
        <v>10492</v>
      </c>
      <c r="H73" s="336" t="s">
        <v>10493</v>
      </c>
      <c r="I73" s="336" t="s">
        <v>10494</v>
      </c>
      <c r="J73" s="336" t="s">
        <v>2530</v>
      </c>
      <c r="K73" s="336" t="s">
        <v>10495</v>
      </c>
      <c r="L73" s="336" t="s">
        <v>9258</v>
      </c>
      <c r="M73" s="336" t="s">
        <v>7144</v>
      </c>
      <c r="N73" s="336" t="s">
        <v>9517</v>
      </c>
      <c r="O73" s="336" t="s">
        <v>4469</v>
      </c>
      <c r="P73" s="336" t="s">
        <v>1524</v>
      </c>
      <c r="Q73" s="336" t="s">
        <v>10496</v>
      </c>
      <c r="R73" s="336" t="s">
        <v>1938</v>
      </c>
      <c r="S73" s="336" t="s">
        <v>4434</v>
      </c>
      <c r="T73" s="336" t="s">
        <v>10497</v>
      </c>
      <c r="U73" s="336" t="s">
        <v>10296</v>
      </c>
      <c r="V73" s="336" t="s">
        <v>6596</v>
      </c>
      <c r="W73" s="336" t="s">
        <v>4469</v>
      </c>
      <c r="X73" s="336" t="s">
        <v>9912</v>
      </c>
      <c r="Y73" s="336" t="s">
        <v>9942</v>
      </c>
      <c r="Z73" s="336" t="s">
        <v>6542</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5678</v>
      </c>
      <c r="AM73" s="336" t="s">
        <v>10504</v>
      </c>
      <c r="AN73" s="336" t="s">
        <v>6400</v>
      </c>
      <c r="AO73" s="1654" t="s">
        <v>10101</v>
      </c>
      <c r="AP73" s="336" t="s">
        <v>10505</v>
      </c>
      <c r="AQ73" s="336" t="s">
        <v>10506</v>
      </c>
      <c r="AR73" s="336" t="s">
        <v>9762</v>
      </c>
      <c r="AS73" s="336" t="s">
        <v>4703</v>
      </c>
      <c r="AT73" s="336" t="s">
        <v>10507</v>
      </c>
      <c r="AU73" s="1654" t="s">
        <v>10508</v>
      </c>
      <c r="AV73" s="1451" t="str">
        <f t="shared" si="1"/>
        <v>0:37</v>
      </c>
      <c r="AW73" s="1698" t="s">
        <v>10509</v>
      </c>
    </row>
    <row r="74">
      <c r="A74" s="1590" t="s">
        <v>7462</v>
      </c>
      <c r="B74" s="1588" t="s">
        <v>8997</v>
      </c>
      <c r="C74" s="1533">
        <v>0.05188657407407407</v>
      </c>
      <c r="D74" s="1654"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5189</v>
      </c>
      <c r="Q74" s="980" t="s">
        <v>10516</v>
      </c>
      <c r="R74" s="980" t="s">
        <v>5628</v>
      </c>
      <c r="S74" s="980" t="s">
        <v>10517</v>
      </c>
      <c r="T74" s="980" t="s">
        <v>9072</v>
      </c>
      <c r="U74" s="980" t="s">
        <v>10518</v>
      </c>
      <c r="V74" s="980" t="s">
        <v>5297</v>
      </c>
      <c r="W74" s="980" t="s">
        <v>10519</v>
      </c>
      <c r="X74" s="980" t="s">
        <v>10520</v>
      </c>
      <c r="Y74" s="980" t="s">
        <v>10521</v>
      </c>
      <c r="Z74" s="980" t="s">
        <v>9748</v>
      </c>
      <c r="AA74" s="980" t="s">
        <v>5147</v>
      </c>
      <c r="AB74" s="980" t="s">
        <v>688</v>
      </c>
      <c r="AC74" s="980" t="s">
        <v>10522</v>
      </c>
      <c r="AD74" s="980" t="s">
        <v>2729</v>
      </c>
      <c r="AE74" s="980" t="s">
        <v>5943</v>
      </c>
      <c r="AF74" s="980" t="s">
        <v>10523</v>
      </c>
      <c r="AG74" s="980" t="s">
        <v>2414</v>
      </c>
      <c r="AH74" s="980" t="s">
        <v>2882</v>
      </c>
      <c r="AI74" s="980" t="s">
        <v>199</v>
      </c>
      <c r="AJ74" s="980" t="s">
        <v>10524</v>
      </c>
      <c r="AK74" s="980" t="s">
        <v>9755</v>
      </c>
      <c r="AL74" s="980" t="s">
        <v>10209</v>
      </c>
      <c r="AM74" s="980" t="s">
        <v>9725</v>
      </c>
      <c r="AN74" s="980" t="s">
        <v>3637</v>
      </c>
      <c r="AO74" s="980" t="s">
        <v>5520</v>
      </c>
      <c r="AP74" s="980" t="s">
        <v>10164</v>
      </c>
      <c r="AQ74" s="980" t="s">
        <v>10506</v>
      </c>
      <c r="AR74" s="980" t="s">
        <v>10525</v>
      </c>
      <c r="AS74" s="980" t="s">
        <v>6600</v>
      </c>
      <c r="AT74" s="980" t="s">
        <v>9276</v>
      </c>
      <c r="AU74" s="1654" t="s">
        <v>10526</v>
      </c>
      <c r="AV74" s="1451" t="str">
        <f t="shared" si="1"/>
        <v>4:21</v>
      </c>
      <c r="AW74" s="1694" t="s">
        <v>10527</v>
      </c>
    </row>
    <row r="75">
      <c r="A75" s="1590" t="s">
        <v>8940</v>
      </c>
      <c r="B75" s="1578" t="s">
        <v>8997</v>
      </c>
      <c r="C75" s="1533">
        <v>0.05193287037037037</v>
      </c>
      <c r="D75" s="1671" t="s">
        <v>10528</v>
      </c>
      <c r="E75" s="1654" t="s">
        <v>7185</v>
      </c>
      <c r="F75" s="1654" t="s">
        <v>10529</v>
      </c>
      <c r="G75" s="1654" t="s">
        <v>10530</v>
      </c>
      <c r="H75" s="1654" t="s">
        <v>10531</v>
      </c>
      <c r="I75" s="1654" t="s">
        <v>2384</v>
      </c>
      <c r="J75" s="1654" t="s">
        <v>4256</v>
      </c>
      <c r="K75" s="1654" t="s">
        <v>9678</v>
      </c>
      <c r="L75" s="1654"/>
      <c r="M75" s="1654" t="s">
        <v>6755</v>
      </c>
      <c r="N75" s="1654" t="s">
        <v>4687</v>
      </c>
      <c r="O75" s="1654" t="s">
        <v>9066</v>
      </c>
      <c r="P75" s="1654" t="s">
        <v>10157</v>
      </c>
      <c r="Q75" s="1654" t="s">
        <v>10532</v>
      </c>
      <c r="R75" s="1654" t="s">
        <v>10533</v>
      </c>
      <c r="S75" s="1654" t="s">
        <v>9331</v>
      </c>
      <c r="T75" s="1654" t="s">
        <v>9693</v>
      </c>
      <c r="U75" s="1654" t="s">
        <v>2269</v>
      </c>
      <c r="V75" s="1654" t="s">
        <v>9533</v>
      </c>
      <c r="W75" s="1654" t="s">
        <v>5992</v>
      </c>
      <c r="X75" s="1654" t="s">
        <v>628</v>
      </c>
      <c r="Y75" s="1654" t="s">
        <v>9499</v>
      </c>
      <c r="Z75" s="1654" t="s">
        <v>9088</v>
      </c>
      <c r="AA75" s="1654" t="s">
        <v>7272</v>
      </c>
      <c r="AB75" s="1654" t="s">
        <v>9367</v>
      </c>
      <c r="AC75" s="1654" t="s">
        <v>3016</v>
      </c>
      <c r="AD75" s="1654" t="s">
        <v>10534</v>
      </c>
      <c r="AE75" s="1654" t="s">
        <v>10535</v>
      </c>
      <c r="AF75" s="1654" t="s">
        <v>10536</v>
      </c>
      <c r="AG75" s="1654" t="s">
        <v>10300</v>
      </c>
      <c r="AH75" s="1654" t="s">
        <v>10537</v>
      </c>
      <c r="AI75" s="1654" t="s">
        <v>10538</v>
      </c>
      <c r="AJ75" s="1654" t="s">
        <v>10539</v>
      </c>
      <c r="AK75" s="1654" t="s">
        <v>10540</v>
      </c>
      <c r="AL75" s="1654" t="s">
        <v>3361</v>
      </c>
      <c r="AM75" s="1654" t="s">
        <v>10541</v>
      </c>
      <c r="AN75" s="1654" t="s">
        <v>3648</v>
      </c>
      <c r="AO75" s="1654" t="s">
        <v>10542</v>
      </c>
      <c r="AP75" s="1654" t="s">
        <v>10543</v>
      </c>
      <c r="AQ75" s="1654" t="s">
        <v>10544</v>
      </c>
      <c r="AR75" s="1654" t="s">
        <v>10545</v>
      </c>
      <c r="AS75" s="1654" t="s">
        <v>3794</v>
      </c>
      <c r="AT75" s="1654" t="s">
        <v>10546</v>
      </c>
      <c r="AU75" s="1654" t="s">
        <v>10547</v>
      </c>
      <c r="AV75" s="1451" t="str">
        <f t="shared" si="1"/>
        <v>4:12</v>
      </c>
      <c r="AW75" s="1698"/>
    </row>
    <row r="76" ht="15.75" customHeight="1">
      <c r="A76" s="1655" t="s">
        <v>10548</v>
      </c>
      <c r="B76" s="1532" t="s">
        <v>8997</v>
      </c>
      <c r="C76" s="1665">
        <v>0.05199074074074074</v>
      </c>
      <c r="D76" s="980" t="s">
        <v>10549</v>
      </c>
      <c r="E76" s="336" t="s">
        <v>10550</v>
      </c>
      <c r="F76" s="336" t="s">
        <v>10551</v>
      </c>
      <c r="G76" s="336" t="s">
        <v>10552</v>
      </c>
      <c r="H76" s="336" t="s">
        <v>7073</v>
      </c>
      <c r="I76" s="336" t="s">
        <v>10115</v>
      </c>
      <c r="J76" s="336" t="s">
        <v>10553</v>
      </c>
      <c r="K76" s="336" t="s">
        <v>10554</v>
      </c>
      <c r="L76" s="336" t="s">
        <v>3140</v>
      </c>
      <c r="M76" s="336" t="s">
        <v>10555</v>
      </c>
      <c r="N76" s="336" t="s">
        <v>9822</v>
      </c>
      <c r="O76" s="336" t="s">
        <v>10556</v>
      </c>
      <c r="P76" s="336" t="s">
        <v>2438</v>
      </c>
      <c r="Q76" s="336" t="s">
        <v>5106</v>
      </c>
      <c r="R76" s="336" t="s">
        <v>5347</v>
      </c>
      <c r="S76" s="336" t="s">
        <v>10557</v>
      </c>
      <c r="T76" s="336" t="s">
        <v>5890</v>
      </c>
      <c r="U76" s="336" t="s">
        <v>10558</v>
      </c>
      <c r="V76" s="336" t="s">
        <v>6596</v>
      </c>
      <c r="W76" s="336" t="s">
        <v>7468</v>
      </c>
      <c r="X76" s="336" t="s">
        <v>10559</v>
      </c>
      <c r="Y76" s="336" t="s">
        <v>2099</v>
      </c>
      <c r="Z76" s="336" t="s">
        <v>10560</v>
      </c>
      <c r="AA76" s="336" t="s">
        <v>10253</v>
      </c>
      <c r="AB76" s="336" t="s">
        <v>10561</v>
      </c>
      <c r="AC76" s="336" t="s">
        <v>5579</v>
      </c>
      <c r="AD76" s="336" t="s">
        <v>10562</v>
      </c>
      <c r="AE76" s="336" t="s">
        <v>7669</v>
      </c>
      <c r="AF76" s="336" t="s">
        <v>10563</v>
      </c>
      <c r="AG76" s="336" t="s">
        <v>10503</v>
      </c>
      <c r="AH76" s="336" t="s">
        <v>10564</v>
      </c>
      <c r="AI76" s="336" t="s">
        <v>10565</v>
      </c>
      <c r="AJ76" s="336" t="s">
        <v>10566</v>
      </c>
      <c r="AK76" s="336" t="s">
        <v>808</v>
      </c>
      <c r="AL76" s="336" t="s">
        <v>3341</v>
      </c>
      <c r="AM76" s="336" t="s">
        <v>10005</v>
      </c>
      <c r="AN76" s="336" t="s">
        <v>10567</v>
      </c>
      <c r="AO76" s="1654" t="s">
        <v>6954</v>
      </c>
      <c r="AP76" s="1654" t="s">
        <v>10568</v>
      </c>
      <c r="AQ76" s="336" t="s">
        <v>5387</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8997</v>
      </c>
      <c r="C77" s="1665">
        <v>0.052002314814814814</v>
      </c>
      <c r="D77" s="980" t="s">
        <v>10571</v>
      </c>
      <c r="E77" s="336" t="s">
        <v>9343</v>
      </c>
      <c r="F77" s="336" t="s">
        <v>10572</v>
      </c>
      <c r="G77" s="336" t="s">
        <v>10573</v>
      </c>
      <c r="H77" s="336" t="s">
        <v>10574</v>
      </c>
      <c r="I77" s="336" t="s">
        <v>3649</v>
      </c>
      <c r="J77" s="336" t="s">
        <v>9714</v>
      </c>
      <c r="K77" s="336" t="s">
        <v>4434</v>
      </c>
      <c r="L77" s="336" t="s">
        <v>3544</v>
      </c>
      <c r="M77" s="336" t="s">
        <v>10295</v>
      </c>
      <c r="N77" s="336" t="s">
        <v>4473</v>
      </c>
      <c r="O77" s="336" t="s">
        <v>10575</v>
      </c>
      <c r="P77" s="336" t="s">
        <v>10576</v>
      </c>
      <c r="Q77" s="336" t="s">
        <v>4930</v>
      </c>
      <c r="R77" s="336" t="s">
        <v>1452</v>
      </c>
      <c r="S77" s="336" t="s">
        <v>9794</v>
      </c>
      <c r="T77" s="336" t="s">
        <v>528</v>
      </c>
      <c r="U77" s="336" t="s">
        <v>1990</v>
      </c>
      <c r="V77" s="336" t="s">
        <v>464</v>
      </c>
      <c r="W77" s="336" t="s">
        <v>5778</v>
      </c>
      <c r="X77" s="336" t="s">
        <v>10072</v>
      </c>
      <c r="Y77" s="336" t="s">
        <v>2448</v>
      </c>
      <c r="Z77" s="336" t="s">
        <v>5277</v>
      </c>
      <c r="AA77" s="336" t="s">
        <v>9822</v>
      </c>
      <c r="AB77" s="336" t="s">
        <v>10577</v>
      </c>
      <c r="AC77" s="336" t="s">
        <v>3113</v>
      </c>
      <c r="AD77" s="336" t="s">
        <v>10578</v>
      </c>
      <c r="AE77" s="336" t="s">
        <v>5189</v>
      </c>
      <c r="AF77" s="336" t="s">
        <v>10579</v>
      </c>
      <c r="AG77" s="336" t="s">
        <v>10580</v>
      </c>
      <c r="AH77" s="336" t="s">
        <v>2253</v>
      </c>
      <c r="AI77" s="336" t="s">
        <v>10581</v>
      </c>
      <c r="AJ77" s="336" t="s">
        <v>10582</v>
      </c>
      <c r="AK77" s="336" t="s">
        <v>4635</v>
      </c>
      <c r="AL77" s="336" t="s">
        <v>6170</v>
      </c>
      <c r="AM77" s="336" t="s">
        <v>1457</v>
      </c>
      <c r="AN77" s="336" t="s">
        <v>5564</v>
      </c>
      <c r="AO77" s="336" t="s">
        <v>5242</v>
      </c>
      <c r="AP77" s="336" t="s">
        <v>4682</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9024</v>
      </c>
      <c r="C78" s="1665">
        <v>0.05201388888888889</v>
      </c>
      <c r="D78" s="980" t="s">
        <v>10590</v>
      </c>
      <c r="E78" s="1654"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6895</v>
      </c>
      <c r="S78" s="336" t="s">
        <v>10601</v>
      </c>
      <c r="T78" s="336" t="s">
        <v>10602</v>
      </c>
      <c r="U78" s="336" t="s">
        <v>10603</v>
      </c>
      <c r="V78" s="336" t="s">
        <v>8358</v>
      </c>
      <c r="W78" s="336" t="s">
        <v>10604</v>
      </c>
      <c r="X78" s="336" t="s">
        <v>10072</v>
      </c>
      <c r="Y78" s="336" t="s">
        <v>209</v>
      </c>
      <c r="Z78" s="336" t="s">
        <v>2378</v>
      </c>
      <c r="AA78" s="336" t="s">
        <v>5931</v>
      </c>
      <c r="AB78" s="336" t="s">
        <v>9391</v>
      </c>
      <c r="AC78" s="336" t="s">
        <v>925</v>
      </c>
      <c r="AD78" s="336" t="s">
        <v>10605</v>
      </c>
      <c r="AE78" s="336" t="s">
        <v>1161</v>
      </c>
      <c r="AF78" s="336" t="s">
        <v>10606</v>
      </c>
      <c r="AG78" s="336" t="s">
        <v>2981</v>
      </c>
      <c r="AH78" s="336" t="s">
        <v>6211</v>
      </c>
      <c r="AI78" s="336" t="s">
        <v>1569</v>
      </c>
      <c r="AJ78" s="336" t="s">
        <v>10607</v>
      </c>
      <c r="AK78" s="336" t="s">
        <v>3626</v>
      </c>
      <c r="AL78" s="336" t="s">
        <v>3896</v>
      </c>
      <c r="AM78" s="336" t="s">
        <v>839</v>
      </c>
      <c r="AN78" s="336" t="s">
        <v>4530</v>
      </c>
      <c r="AO78" s="336" t="s">
        <v>2255</v>
      </c>
      <c r="AP78" s="336" t="s">
        <v>10608</v>
      </c>
      <c r="AQ78" s="336" t="s">
        <v>999</v>
      </c>
      <c r="AR78" s="336" t="s">
        <v>9067</v>
      </c>
      <c r="AS78" s="336" t="s">
        <v>9005</v>
      </c>
      <c r="AT78" s="336" t="s">
        <v>10609</v>
      </c>
      <c r="AU78" s="336" t="s">
        <v>10610</v>
      </c>
      <c r="AV78" s="1451" t="str">
        <f t="shared" si="1"/>
        <v>2:58</v>
      </c>
      <c r="AW78" s="1698" t="s">
        <v>10611</v>
      </c>
    </row>
    <row r="79" ht="15.75" customHeight="1">
      <c r="A79" s="1531" t="s">
        <v>7129</v>
      </c>
      <c r="B79" s="1623" t="s">
        <v>9024</v>
      </c>
      <c r="C79" s="1665">
        <v>0.05207175925925926</v>
      </c>
      <c r="D79" s="980" t="s">
        <v>10612</v>
      </c>
      <c r="E79" s="336" t="s">
        <v>10613</v>
      </c>
      <c r="F79" s="336" t="s">
        <v>10614</v>
      </c>
      <c r="G79" s="336" t="s">
        <v>10615</v>
      </c>
      <c r="H79" s="336" t="s">
        <v>9275</v>
      </c>
      <c r="I79" s="336" t="s">
        <v>4915</v>
      </c>
      <c r="J79" s="336" t="s">
        <v>9624</v>
      </c>
      <c r="K79" s="336" t="s">
        <v>10261</v>
      </c>
      <c r="L79" s="336" t="s">
        <v>10616</v>
      </c>
      <c r="M79" s="336" t="s">
        <v>2820</v>
      </c>
      <c r="N79" s="336" t="s">
        <v>10617</v>
      </c>
      <c r="O79" s="336" t="s">
        <v>10618</v>
      </c>
      <c r="P79" s="336" t="s">
        <v>765</v>
      </c>
      <c r="Q79" s="336" t="s">
        <v>10619</v>
      </c>
      <c r="R79" s="336" t="s">
        <v>4949</v>
      </c>
      <c r="S79" s="336" t="s">
        <v>6188</v>
      </c>
      <c r="T79" s="336" t="s">
        <v>5890</v>
      </c>
      <c r="U79" s="336" t="s">
        <v>10620</v>
      </c>
      <c r="V79" s="336" t="s">
        <v>2420</v>
      </c>
      <c r="W79" s="336" t="s">
        <v>9071</v>
      </c>
      <c r="X79" s="336" t="s">
        <v>10621</v>
      </c>
      <c r="Y79" s="336" t="s">
        <v>1408</v>
      </c>
      <c r="Z79" s="336" t="s">
        <v>6839</v>
      </c>
      <c r="AA79" s="336" t="s">
        <v>1483</v>
      </c>
      <c r="AB79" s="336" t="s">
        <v>10622</v>
      </c>
      <c r="AC79" s="336" t="s">
        <v>239</v>
      </c>
      <c r="AD79" s="336" t="s">
        <v>4263</v>
      </c>
      <c r="AE79" s="336" t="s">
        <v>6148</v>
      </c>
      <c r="AF79" s="336" t="s">
        <v>10623</v>
      </c>
      <c r="AG79" s="336" t="s">
        <v>10072</v>
      </c>
      <c r="AH79" s="336" t="s">
        <v>8154</v>
      </c>
      <c r="AI79" s="336" t="s">
        <v>10416</v>
      </c>
      <c r="AJ79" s="336" t="s">
        <v>10624</v>
      </c>
      <c r="AK79" s="336" t="s">
        <v>10625</v>
      </c>
      <c r="AL79" s="336" t="s">
        <v>4356</v>
      </c>
      <c r="AM79" s="336" t="s">
        <v>10179</v>
      </c>
      <c r="AN79" s="336" t="s">
        <v>3896</v>
      </c>
      <c r="AO79" s="336" t="s">
        <v>4215</v>
      </c>
      <c r="AP79" s="336" t="s">
        <v>9903</v>
      </c>
      <c r="AQ79" s="336" t="s">
        <v>10626</v>
      </c>
      <c r="AR79" s="336" t="s">
        <v>1482</v>
      </c>
      <c r="AS79" s="336" t="s">
        <v>6309</v>
      </c>
      <c r="AT79" s="336" t="s">
        <v>7234</v>
      </c>
      <c r="AU79" s="336" t="s">
        <v>10627</v>
      </c>
      <c r="AV79" s="1451" t="str">
        <f t="shared" si="1"/>
        <v>3:10</v>
      </c>
      <c r="AW79" s="1698" t="s">
        <v>10628</v>
      </c>
    </row>
    <row r="80">
      <c r="A80" s="954" t="s">
        <v>3901</v>
      </c>
      <c r="B80" s="1684" t="s">
        <v>9052</v>
      </c>
      <c r="C80" s="1627">
        <v>0.052141203703703703</v>
      </c>
      <c r="D80" s="980" t="s">
        <v>10629</v>
      </c>
      <c r="E80" s="1613" t="s">
        <v>3008</v>
      </c>
      <c r="F80" s="1613" t="s">
        <v>10630</v>
      </c>
      <c r="G80" s="1651" t="s">
        <v>10631</v>
      </c>
      <c r="H80" s="1651" t="s">
        <v>10632</v>
      </c>
      <c r="I80" s="1651" t="s">
        <v>2433</v>
      </c>
      <c r="J80" s="1651" t="s">
        <v>7986</v>
      </c>
      <c r="K80" s="1703" t="s">
        <v>6339</v>
      </c>
      <c r="L80" s="1704" t="s">
        <v>8151</v>
      </c>
      <c r="M80" s="1651" t="s">
        <v>10633</v>
      </c>
      <c r="N80" s="1651" t="s">
        <v>5890</v>
      </c>
      <c r="O80" s="1651" t="s">
        <v>5631</v>
      </c>
      <c r="P80" s="1651" t="s">
        <v>1848</v>
      </c>
      <c r="Q80" s="1651" t="s">
        <v>10634</v>
      </c>
      <c r="R80" s="1651" t="s">
        <v>10635</v>
      </c>
      <c r="S80" s="1705" t="s">
        <v>2267</v>
      </c>
      <c r="T80" s="1651" t="s">
        <v>9323</v>
      </c>
      <c r="U80" s="1651" t="s">
        <v>3514</v>
      </c>
      <c r="V80" s="1651" t="s">
        <v>10636</v>
      </c>
      <c r="W80" s="1651" t="s">
        <v>10637</v>
      </c>
      <c r="X80" s="1651" t="s">
        <v>4458</v>
      </c>
      <c r="Y80" s="1651" t="s">
        <v>3689</v>
      </c>
      <c r="Z80" s="1651" t="s">
        <v>4184</v>
      </c>
      <c r="AA80" s="1651" t="s">
        <v>174</v>
      </c>
      <c r="AB80" s="1651" t="s">
        <v>625</v>
      </c>
      <c r="AC80" s="1651" t="s">
        <v>6148</v>
      </c>
      <c r="AD80" s="1539" t="s">
        <v>9456</v>
      </c>
      <c r="AE80" s="1651" t="s">
        <v>478</v>
      </c>
      <c r="AF80" s="1651" t="s">
        <v>10638</v>
      </c>
      <c r="AG80" s="1651" t="s">
        <v>10639</v>
      </c>
      <c r="AH80" s="1651" t="s">
        <v>4578</v>
      </c>
      <c r="AI80" s="1651" t="s">
        <v>10640</v>
      </c>
      <c r="AJ80" s="1651" t="s">
        <v>10641</v>
      </c>
      <c r="AK80" s="1651" t="s">
        <v>10642</v>
      </c>
      <c r="AL80" s="1651" t="s">
        <v>5108</v>
      </c>
      <c r="AM80" s="1651" t="s">
        <v>10302</v>
      </c>
      <c r="AN80" s="1651" t="s">
        <v>4323</v>
      </c>
      <c r="AO80" s="1651" t="s">
        <v>9438</v>
      </c>
      <c r="AP80" s="1651" t="s">
        <v>10643</v>
      </c>
      <c r="AQ80" s="1703" t="s">
        <v>9079</v>
      </c>
      <c r="AR80" s="1651" t="s">
        <v>10644</v>
      </c>
      <c r="AS80" s="1706" t="s">
        <v>754</v>
      </c>
      <c r="AT80" s="1651" t="s">
        <v>10645</v>
      </c>
      <c r="AU80" s="1580" t="s">
        <v>10646</v>
      </c>
      <c r="AV80" s="1451" t="str">
        <f t="shared" si="1"/>
        <v>4:08</v>
      </c>
      <c r="AW80" s="1639" t="s">
        <v>10647</v>
      </c>
    </row>
    <row r="81">
      <c r="A81" s="1590" t="s">
        <v>3967</v>
      </c>
      <c r="B81" s="1578" t="s">
        <v>8997</v>
      </c>
      <c r="C81" s="1533">
        <v>0.0522337962962963</v>
      </c>
      <c r="D81" s="1671" t="s">
        <v>10648</v>
      </c>
      <c r="E81" s="1654" t="s">
        <v>10649</v>
      </c>
      <c r="F81" s="1654" t="s">
        <v>10650</v>
      </c>
      <c r="G81" s="1654" t="s">
        <v>10651</v>
      </c>
      <c r="H81" s="1654" t="s">
        <v>10652</v>
      </c>
      <c r="I81" s="1654" t="s">
        <v>1975</v>
      </c>
      <c r="J81" s="1654" t="s">
        <v>8732</v>
      </c>
      <c r="K81" s="1654" t="s">
        <v>4434</v>
      </c>
      <c r="L81" s="1654" t="s">
        <v>5843</v>
      </c>
      <c r="M81" s="1654" t="s">
        <v>10653</v>
      </c>
      <c r="N81" s="1654" t="s">
        <v>10049</v>
      </c>
      <c r="O81" s="1654" t="s">
        <v>10654</v>
      </c>
      <c r="P81" s="1654" t="s">
        <v>5189</v>
      </c>
      <c r="Q81" s="1654" t="s">
        <v>10655</v>
      </c>
      <c r="R81" s="1654" t="s">
        <v>6337</v>
      </c>
      <c r="S81" s="1654" t="s">
        <v>607</v>
      </c>
      <c r="T81" s="1654" t="s">
        <v>10459</v>
      </c>
      <c r="U81" s="1654" t="s">
        <v>9480</v>
      </c>
      <c r="V81" s="1654" t="s">
        <v>10656</v>
      </c>
      <c r="W81" s="1654" t="s">
        <v>10657</v>
      </c>
      <c r="X81" s="1654" t="s">
        <v>10658</v>
      </c>
      <c r="Y81" s="1654" t="s">
        <v>759</v>
      </c>
      <c r="Z81" s="1654" t="s">
        <v>10659</v>
      </c>
      <c r="AA81" s="980" t="s">
        <v>10660</v>
      </c>
      <c r="AB81" s="1654" t="s">
        <v>6835</v>
      </c>
      <c r="AC81" s="1654" t="s">
        <v>10439</v>
      </c>
      <c r="AD81" s="1654" t="s">
        <v>7070</v>
      </c>
      <c r="AE81" s="1654" t="s">
        <v>4953</v>
      </c>
      <c r="AF81" s="1329" t="s">
        <v>10661</v>
      </c>
      <c r="AG81" s="1654" t="s">
        <v>10662</v>
      </c>
      <c r="AH81" s="1654" t="s">
        <v>5066</v>
      </c>
      <c r="AI81" s="1654" t="s">
        <v>7695</v>
      </c>
      <c r="AJ81" s="1654" t="s">
        <v>10663</v>
      </c>
      <c r="AK81" s="1654" t="s">
        <v>10664</v>
      </c>
      <c r="AL81" s="1654" t="s">
        <v>10377</v>
      </c>
      <c r="AM81" s="1654" t="s">
        <v>10051</v>
      </c>
      <c r="AN81" s="1654" t="s">
        <v>1074</v>
      </c>
      <c r="AO81" s="1654" t="s">
        <v>6513</v>
      </c>
      <c r="AP81" s="1654" t="s">
        <v>5681</v>
      </c>
      <c r="AQ81" s="1654" t="s">
        <v>10665</v>
      </c>
      <c r="AR81" s="1654" t="s">
        <v>691</v>
      </c>
      <c r="AS81" s="1329" t="s">
        <v>2828</v>
      </c>
      <c r="AT81" s="1654" t="s">
        <v>10666</v>
      </c>
      <c r="AU81" s="1654" t="s">
        <v>10667</v>
      </c>
      <c r="AV81" s="1451" t="str">
        <f t="shared" si="1"/>
        <v>4:32</v>
      </c>
      <c r="AW81" s="1694" t="s">
        <v>10668</v>
      </c>
    </row>
    <row r="82">
      <c r="A82" s="1590" t="s">
        <v>5197</v>
      </c>
      <c r="B82" s="1588" t="s">
        <v>9024</v>
      </c>
      <c r="C82" s="1533">
        <v>0.05232638888888889</v>
      </c>
      <c r="D82" s="1671" t="s">
        <v>10669</v>
      </c>
      <c r="E82" s="1654" t="s">
        <v>1229</v>
      </c>
      <c r="F82" s="1654" t="s">
        <v>10670</v>
      </c>
      <c r="G82" s="1654" t="s">
        <v>10671</v>
      </c>
      <c r="H82" s="1654" t="s">
        <v>10672</v>
      </c>
      <c r="I82" s="1654" t="s">
        <v>1349</v>
      </c>
      <c r="J82" s="1654" t="s">
        <v>7399</v>
      </c>
      <c r="K82" s="1654" t="s">
        <v>10272</v>
      </c>
      <c r="L82" s="1654" t="s">
        <v>10673</v>
      </c>
      <c r="M82" s="1654" t="s">
        <v>7058</v>
      </c>
      <c r="N82" s="1654" t="s">
        <v>10674</v>
      </c>
      <c r="O82" s="1654" t="s">
        <v>10675</v>
      </c>
      <c r="P82" s="1654" t="s">
        <v>519</v>
      </c>
      <c r="Q82" s="1654" t="s">
        <v>10112</v>
      </c>
      <c r="R82" s="1654" t="s">
        <v>5230</v>
      </c>
      <c r="S82" s="1654" t="s">
        <v>9912</v>
      </c>
      <c r="T82" s="1654" t="s">
        <v>10676</v>
      </c>
      <c r="U82" s="1654" t="s">
        <v>10677</v>
      </c>
      <c r="V82" s="1654" t="s">
        <v>10678</v>
      </c>
      <c r="W82" s="1654" t="s">
        <v>6423</v>
      </c>
      <c r="X82" s="1654" t="s">
        <v>312</v>
      </c>
      <c r="Y82" s="1654" t="s">
        <v>7521</v>
      </c>
      <c r="Z82" s="1654" t="s">
        <v>780</v>
      </c>
      <c r="AA82" s="336" t="s">
        <v>9912</v>
      </c>
      <c r="AB82" s="1654" t="s">
        <v>10679</v>
      </c>
      <c r="AC82" s="1654" t="s">
        <v>6333</v>
      </c>
      <c r="AD82" s="1654" t="s">
        <v>10680</v>
      </c>
      <c r="AE82" s="1654" t="s">
        <v>225</v>
      </c>
      <c r="AF82" s="1654" t="s">
        <v>9588</v>
      </c>
      <c r="AG82" s="1654" t="s">
        <v>4078</v>
      </c>
      <c r="AH82" s="1654" t="s">
        <v>1955</v>
      </c>
      <c r="AI82" s="1654" t="s">
        <v>418</v>
      </c>
      <c r="AJ82" s="1654" t="s">
        <v>10681</v>
      </c>
      <c r="AK82" s="1654" t="s">
        <v>10682</v>
      </c>
      <c r="AL82" s="1654" t="s">
        <v>10417</v>
      </c>
      <c r="AM82" s="1654" t="s">
        <v>2981</v>
      </c>
      <c r="AN82" s="1654" t="s">
        <v>6061</v>
      </c>
      <c r="AO82" s="1654" t="s">
        <v>3723</v>
      </c>
      <c r="AP82" s="1654" t="s">
        <v>10683</v>
      </c>
      <c r="AQ82" s="1654" t="s">
        <v>7057</v>
      </c>
      <c r="AR82" s="1654" t="s">
        <v>6332</v>
      </c>
      <c r="AS82" s="1654" t="s">
        <v>10684</v>
      </c>
      <c r="AT82" s="1654" t="s">
        <v>10685</v>
      </c>
      <c r="AU82" s="1654" t="s">
        <v>10686</v>
      </c>
      <c r="AV82" s="1451" t="str">
        <f t="shared" si="1"/>
        <v>3:48</v>
      </c>
      <c r="AW82" s="1698"/>
    </row>
    <row r="83" ht="15.75" customHeight="1">
      <c r="A83" s="1531" t="s">
        <v>10687</v>
      </c>
      <c r="B83" s="1532" t="s">
        <v>8997</v>
      </c>
      <c r="C83" s="1665">
        <v>0.05240740740740741</v>
      </c>
      <c r="D83" s="980" t="s">
        <v>10688</v>
      </c>
      <c r="E83" s="336" t="s">
        <v>1746</v>
      </c>
      <c r="F83" s="336" t="s">
        <v>7389</v>
      </c>
      <c r="G83" s="336" t="s">
        <v>10398</v>
      </c>
      <c r="H83" s="336" t="s">
        <v>10689</v>
      </c>
      <c r="I83" s="336" t="s">
        <v>10690</v>
      </c>
      <c r="J83" s="336" t="s">
        <v>10691</v>
      </c>
      <c r="K83" s="336" t="s">
        <v>10692</v>
      </c>
      <c r="L83" s="336" t="s">
        <v>4463</v>
      </c>
      <c r="M83" s="336" t="s">
        <v>3299</v>
      </c>
      <c r="N83" s="336" t="s">
        <v>4857</v>
      </c>
      <c r="O83" s="336" t="s">
        <v>10693</v>
      </c>
      <c r="P83" s="336" t="s">
        <v>10694</v>
      </c>
      <c r="Q83" s="336" t="s">
        <v>4239</v>
      </c>
      <c r="R83" s="336" t="s">
        <v>10019</v>
      </c>
      <c r="S83" s="336" t="s">
        <v>10181</v>
      </c>
      <c r="T83" s="336" t="s">
        <v>5067</v>
      </c>
      <c r="U83" s="336" t="s">
        <v>10695</v>
      </c>
      <c r="V83" s="336" t="s">
        <v>10696</v>
      </c>
      <c r="W83" s="336" t="s">
        <v>10697</v>
      </c>
      <c r="X83" s="336" t="s">
        <v>10698</v>
      </c>
      <c r="Y83" s="336" t="s">
        <v>6612</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8099</v>
      </c>
      <c r="AL83" s="336" t="s">
        <v>10703</v>
      </c>
      <c r="AM83" s="336" t="s">
        <v>1186</v>
      </c>
      <c r="AN83" s="336" t="s">
        <v>3009</v>
      </c>
      <c r="AO83" s="336" t="s">
        <v>10704</v>
      </c>
      <c r="AP83" s="336" t="s">
        <v>3658</v>
      </c>
      <c r="AQ83" s="336" t="s">
        <v>10705</v>
      </c>
      <c r="AR83" s="336" t="s">
        <v>10706</v>
      </c>
      <c r="AS83" s="336" t="s">
        <v>9105</v>
      </c>
      <c r="AT83" s="336" t="s">
        <v>9726</v>
      </c>
      <c r="AU83" s="336" t="s">
        <v>10707</v>
      </c>
      <c r="AV83" s="1451" t="str">
        <f t="shared" si="1"/>
        <v>3:40</v>
      </c>
      <c r="AW83" s="1697" t="s">
        <v>10708</v>
      </c>
    </row>
    <row r="84" ht="15.75" customHeight="1">
      <c r="A84" s="1655" t="s">
        <v>10709</v>
      </c>
      <c r="B84" s="1532" t="s">
        <v>8997</v>
      </c>
      <c r="C84" s="1665">
        <v>0.05263888888888889</v>
      </c>
      <c r="D84" s="980" t="s">
        <v>10710</v>
      </c>
      <c r="E84" s="336" t="s">
        <v>7580</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5628</v>
      </c>
      <c r="S84" s="336" t="s">
        <v>6565</v>
      </c>
      <c r="T84" s="336" t="s">
        <v>10718</v>
      </c>
      <c r="U84" s="336" t="s">
        <v>10719</v>
      </c>
      <c r="V84" s="336" t="s">
        <v>10720</v>
      </c>
      <c r="W84" s="336" t="s">
        <v>10721</v>
      </c>
      <c r="X84" s="336" t="s">
        <v>5885</v>
      </c>
      <c r="Y84" s="336" t="s">
        <v>1538</v>
      </c>
      <c r="Z84" s="336" t="s">
        <v>7507</v>
      </c>
      <c r="AA84" s="1654" t="s">
        <v>6509</v>
      </c>
      <c r="AB84" s="336" t="s">
        <v>9643</v>
      </c>
      <c r="AC84" s="336" t="s">
        <v>10454</v>
      </c>
      <c r="AD84" s="336" t="s">
        <v>3046</v>
      </c>
      <c r="AE84" s="336" t="s">
        <v>4780</v>
      </c>
      <c r="AF84" s="336" t="s">
        <v>10722</v>
      </c>
      <c r="AG84" s="336" t="s">
        <v>2890</v>
      </c>
      <c r="AH84" s="336" t="s">
        <v>7689</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1" t="str">
        <f t="shared" si="1"/>
        <v>4:28</v>
      </c>
      <c r="AW84" s="1697" t="s">
        <v>10731</v>
      </c>
    </row>
    <row r="85">
      <c r="A85" s="1590" t="s">
        <v>3622</v>
      </c>
      <c r="B85" s="1672" t="s">
        <v>9052</v>
      </c>
      <c r="C85" s="1533">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6146</v>
      </c>
      <c r="T85" s="980" t="s">
        <v>10740</v>
      </c>
      <c r="U85" s="980" t="s">
        <v>10741</v>
      </c>
      <c r="V85" s="980" t="s">
        <v>10742</v>
      </c>
      <c r="W85" s="980" t="s">
        <v>10743</v>
      </c>
      <c r="X85" s="980" t="s">
        <v>2808</v>
      </c>
      <c r="Y85" s="980" t="s">
        <v>2841</v>
      </c>
      <c r="Z85" s="980" t="s">
        <v>6429</v>
      </c>
      <c r="AA85" s="1654" t="s">
        <v>10744</v>
      </c>
      <c r="AB85" s="980" t="s">
        <v>9083</v>
      </c>
      <c r="AC85" s="980" t="s">
        <v>7520</v>
      </c>
      <c r="AD85" s="1707" t="s">
        <v>9071</v>
      </c>
      <c r="AE85" s="980" t="s">
        <v>335</v>
      </c>
      <c r="AF85" s="980" t="s">
        <v>10745</v>
      </c>
      <c r="AG85" s="980" t="s">
        <v>7037</v>
      </c>
      <c r="AH85" s="980" t="s">
        <v>3827</v>
      </c>
      <c r="AI85" s="980" t="s">
        <v>10746</v>
      </c>
      <c r="AJ85" s="980" t="s">
        <v>10747</v>
      </c>
      <c r="AK85" s="980" t="s">
        <v>10748</v>
      </c>
      <c r="AL85" s="980" t="s">
        <v>4602</v>
      </c>
      <c r="AM85" s="980" t="s">
        <v>5777</v>
      </c>
      <c r="AN85" s="1707" t="s">
        <v>9076</v>
      </c>
      <c r="AO85" s="980" t="s">
        <v>10749</v>
      </c>
      <c r="AP85" s="980" t="s">
        <v>10750</v>
      </c>
      <c r="AQ85" s="980" t="s">
        <v>10751</v>
      </c>
      <c r="AR85" s="980" t="s">
        <v>6100</v>
      </c>
      <c r="AS85" s="980" t="s">
        <v>8038</v>
      </c>
      <c r="AT85" s="980" t="s">
        <v>10752</v>
      </c>
      <c r="AU85" s="1708" t="s">
        <v>10753</v>
      </c>
      <c r="AV85" s="1451" t="str">
        <f t="shared" si="1"/>
        <v>4:43</v>
      </c>
      <c r="AW85" s="1679" t="s">
        <v>10754</v>
      </c>
    </row>
    <row r="86" ht="15.75" customHeight="1">
      <c r="A86" s="1590" t="s">
        <v>10755</v>
      </c>
      <c r="B86" s="1588" t="s">
        <v>8997</v>
      </c>
      <c r="C86" s="1533">
        <v>0.05267361111111111</v>
      </c>
      <c r="D86" s="1671" t="s">
        <v>10146</v>
      </c>
      <c r="E86" s="1654" t="s">
        <v>175</v>
      </c>
      <c r="F86" s="1654" t="s">
        <v>6965</v>
      </c>
      <c r="G86" s="1654" t="s">
        <v>10756</v>
      </c>
      <c r="H86" s="1654" t="s">
        <v>10757</v>
      </c>
      <c r="I86" s="1654" t="s">
        <v>5674</v>
      </c>
      <c r="J86" s="980" t="s">
        <v>10758</v>
      </c>
      <c r="K86" s="1654" t="s">
        <v>10759</v>
      </c>
      <c r="L86" s="1654" t="s">
        <v>3827</v>
      </c>
      <c r="M86" s="1654" t="s">
        <v>7019</v>
      </c>
      <c r="N86" s="1654" t="s">
        <v>10760</v>
      </c>
      <c r="O86" s="1654" t="s">
        <v>10761</v>
      </c>
      <c r="P86" s="1654" t="s">
        <v>10115</v>
      </c>
      <c r="Q86" s="1654" t="s">
        <v>10762</v>
      </c>
      <c r="R86" s="1654" t="s">
        <v>5691</v>
      </c>
      <c r="S86" s="1654" t="s">
        <v>10763</v>
      </c>
      <c r="T86" s="1654" t="s">
        <v>10764</v>
      </c>
      <c r="U86" s="1654" t="s">
        <v>10765</v>
      </c>
      <c r="V86" s="1654" t="s">
        <v>3920</v>
      </c>
      <c r="W86" s="1654" t="s">
        <v>10766</v>
      </c>
      <c r="X86" s="1654" t="s">
        <v>2414</v>
      </c>
      <c r="Y86" s="1654" t="s">
        <v>9710</v>
      </c>
      <c r="Z86" s="1654" t="s">
        <v>9231</v>
      </c>
      <c r="AA86" s="1654" t="s">
        <v>10767</v>
      </c>
      <c r="AB86" s="1654" t="s">
        <v>10329</v>
      </c>
      <c r="AC86" s="1654" t="s">
        <v>9598</v>
      </c>
      <c r="AD86" s="1654" t="s">
        <v>10768</v>
      </c>
      <c r="AE86" s="1654" t="s">
        <v>2384</v>
      </c>
      <c r="AF86" s="1654" t="s">
        <v>10769</v>
      </c>
      <c r="AG86" s="1654" t="s">
        <v>10770</v>
      </c>
      <c r="AH86" s="1654" t="s">
        <v>4220</v>
      </c>
      <c r="AI86" s="1654" t="s">
        <v>10771</v>
      </c>
      <c r="AJ86" s="1654" t="s">
        <v>10772</v>
      </c>
      <c r="AK86" s="1654" t="s">
        <v>1775</v>
      </c>
      <c r="AL86" s="1654" t="s">
        <v>2607</v>
      </c>
      <c r="AM86" s="1654" t="s">
        <v>1775</v>
      </c>
      <c r="AN86" s="1654" t="s">
        <v>2607</v>
      </c>
      <c r="AO86" s="1654" t="s">
        <v>6265</v>
      </c>
      <c r="AP86" s="1654" t="s">
        <v>10773</v>
      </c>
      <c r="AQ86" s="1654" t="s">
        <v>2206</v>
      </c>
      <c r="AR86" s="1654" t="s">
        <v>10583</v>
      </c>
      <c r="AS86" s="1654" t="s">
        <v>10774</v>
      </c>
      <c r="AT86" s="1654" t="s">
        <v>10775</v>
      </c>
      <c r="AU86" s="1654" t="s">
        <v>10776</v>
      </c>
      <c r="AV86" s="1451" t="str">
        <f t="shared" si="1"/>
        <v>5:58</v>
      </c>
      <c r="AW86" s="1694" t="s">
        <v>10777</v>
      </c>
    </row>
    <row r="87" ht="15.75" customHeight="1">
      <c r="A87" s="1531" t="s">
        <v>6119</v>
      </c>
      <c r="B87" s="1623" t="s">
        <v>9024</v>
      </c>
      <c r="C87" s="1665">
        <v>0.05275462962962963</v>
      </c>
      <c r="D87" s="980" t="s">
        <v>10778</v>
      </c>
      <c r="E87" s="336" t="s">
        <v>6026</v>
      </c>
      <c r="F87" s="336" t="s">
        <v>10779</v>
      </c>
      <c r="G87" s="336" t="s">
        <v>9196</v>
      </c>
      <c r="H87" s="336" t="s">
        <v>6794</v>
      </c>
      <c r="I87" s="336" t="s">
        <v>2283</v>
      </c>
      <c r="J87" s="336" t="s">
        <v>4161</v>
      </c>
      <c r="K87" s="336" t="s">
        <v>10474</v>
      </c>
      <c r="L87" s="336" t="s">
        <v>5325</v>
      </c>
      <c r="M87" s="336" t="s">
        <v>4147</v>
      </c>
      <c r="N87" s="336" t="s">
        <v>10780</v>
      </c>
      <c r="O87" s="336" t="s">
        <v>10781</v>
      </c>
      <c r="P87" s="336" t="s">
        <v>6383</v>
      </c>
      <c r="Q87" s="336" t="s">
        <v>10782</v>
      </c>
      <c r="R87" s="336" t="s">
        <v>10783</v>
      </c>
      <c r="S87" s="336" t="s">
        <v>9013</v>
      </c>
      <c r="T87" s="336" t="s">
        <v>2612</v>
      </c>
      <c r="U87" s="336" t="s">
        <v>497</v>
      </c>
      <c r="V87" s="336" t="s">
        <v>10784</v>
      </c>
      <c r="W87" s="336" t="s">
        <v>10785</v>
      </c>
      <c r="X87" s="336" t="s">
        <v>9199</v>
      </c>
      <c r="Y87" s="336" t="s">
        <v>5853</v>
      </c>
      <c r="Z87" s="336" t="s">
        <v>9391</v>
      </c>
      <c r="AA87" s="336" t="s">
        <v>10786</v>
      </c>
      <c r="AB87" s="336" t="s">
        <v>490</v>
      </c>
      <c r="AC87" s="336" t="s">
        <v>9277</v>
      </c>
      <c r="AD87" s="336" t="s">
        <v>10787</v>
      </c>
      <c r="AE87" s="336" t="s">
        <v>10788</v>
      </c>
      <c r="AF87" s="336" t="s">
        <v>9872</v>
      </c>
      <c r="AG87" s="336" t="s">
        <v>7980</v>
      </c>
      <c r="AH87" s="336" t="s">
        <v>722</v>
      </c>
      <c r="AI87" s="336" t="s">
        <v>5355</v>
      </c>
      <c r="AJ87" s="336" t="s">
        <v>10789</v>
      </c>
      <c r="AK87" s="336" t="s">
        <v>9330</v>
      </c>
      <c r="AL87" s="336" t="s">
        <v>5240</v>
      </c>
      <c r="AM87" s="336" t="s">
        <v>2725</v>
      </c>
      <c r="AN87" s="336" t="s">
        <v>6578</v>
      </c>
      <c r="AO87" s="336" t="s">
        <v>6285</v>
      </c>
      <c r="AP87" s="336" t="s">
        <v>10790</v>
      </c>
      <c r="AQ87" s="336" t="s">
        <v>10791</v>
      </c>
      <c r="AR87" s="336" t="s">
        <v>10411</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5934</v>
      </c>
      <c r="G88" s="336" t="s">
        <v>10006</v>
      </c>
      <c r="H88" s="336" t="s">
        <v>10348</v>
      </c>
      <c r="I88" s="336" t="s">
        <v>3120</v>
      </c>
      <c r="J88" s="336" t="s">
        <v>10798</v>
      </c>
      <c r="K88" s="336" t="s">
        <v>5452</v>
      </c>
      <c r="L88" s="336" t="s">
        <v>7356</v>
      </c>
      <c r="M88" s="336" t="s">
        <v>10799</v>
      </c>
      <c r="N88" s="336" t="s">
        <v>10800</v>
      </c>
      <c r="O88" s="336" t="s">
        <v>10801</v>
      </c>
      <c r="P88" s="336" t="s">
        <v>10217</v>
      </c>
      <c r="Q88" s="336" t="s">
        <v>10802</v>
      </c>
      <c r="R88" s="336" t="s">
        <v>5959</v>
      </c>
      <c r="S88" s="336" t="s">
        <v>2664</v>
      </c>
      <c r="T88" s="336" t="s">
        <v>9404</v>
      </c>
      <c r="U88" s="336" t="s">
        <v>5588</v>
      </c>
      <c r="V88" s="336" t="s">
        <v>1144</v>
      </c>
      <c r="W88" s="336" t="s">
        <v>1831</v>
      </c>
      <c r="X88" s="336" t="s">
        <v>3362</v>
      </c>
      <c r="Y88" s="336" t="s">
        <v>660</v>
      </c>
      <c r="Z88" s="336" t="s">
        <v>10803</v>
      </c>
      <c r="AA88" s="1654" t="s">
        <v>7267</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4364</v>
      </c>
      <c r="AT88" s="336" t="s">
        <v>10813</v>
      </c>
      <c r="AU88" s="336" t="s">
        <v>10814</v>
      </c>
      <c r="AV88" s="1451" t="str">
        <f t="shared" si="1"/>
        <v>2:38</v>
      </c>
      <c r="AW88" s="1698"/>
    </row>
    <row r="89" ht="15.75" customHeight="1">
      <c r="A89" s="1590" t="s">
        <v>6448</v>
      </c>
      <c r="B89" s="1578" t="s">
        <v>8997</v>
      </c>
      <c r="C89" s="1533">
        <v>0.05324074074074074</v>
      </c>
      <c r="D89" s="980" t="s">
        <v>10815</v>
      </c>
      <c r="E89" s="980" t="s">
        <v>10816</v>
      </c>
      <c r="F89" s="980" t="s">
        <v>10817</v>
      </c>
      <c r="G89" s="980" t="s">
        <v>9752</v>
      </c>
      <c r="H89" s="980" t="s">
        <v>10818</v>
      </c>
      <c r="I89" s="980" t="s">
        <v>6148</v>
      </c>
      <c r="J89" s="980" t="s">
        <v>1706</v>
      </c>
      <c r="K89" s="980" t="s">
        <v>4280</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5674</v>
      </c>
      <c r="Z89" s="980" t="s">
        <v>3572</v>
      </c>
      <c r="AA89" s="1654" t="s">
        <v>10830</v>
      </c>
      <c r="AB89" s="980" t="s">
        <v>10152</v>
      </c>
      <c r="AC89" s="980" t="s">
        <v>5627</v>
      </c>
      <c r="AD89" s="980" t="s">
        <v>10831</v>
      </c>
      <c r="AE89" s="980" t="s">
        <v>9942</v>
      </c>
      <c r="AF89" s="980" t="s">
        <v>10832</v>
      </c>
      <c r="AG89" s="980" t="s">
        <v>10639</v>
      </c>
      <c r="AH89" s="980" t="s">
        <v>5780</v>
      </c>
      <c r="AI89" s="980" t="s">
        <v>10833</v>
      </c>
      <c r="AJ89" s="980" t="s">
        <v>10834</v>
      </c>
      <c r="AK89" s="1654" t="s">
        <v>10835</v>
      </c>
      <c r="AL89" s="980" t="s">
        <v>10457</v>
      </c>
      <c r="AM89" s="980" t="s">
        <v>8427</v>
      </c>
      <c r="AN89" s="980" t="s">
        <v>10297</v>
      </c>
      <c r="AO89" s="980" t="s">
        <v>4536</v>
      </c>
      <c r="AP89" s="980" t="s">
        <v>10836</v>
      </c>
      <c r="AQ89" s="980" t="s">
        <v>10837</v>
      </c>
      <c r="AR89" s="1654" t="s">
        <v>3826</v>
      </c>
      <c r="AS89" s="980" t="s">
        <v>10838</v>
      </c>
      <c r="AT89" s="980" t="s">
        <v>10839</v>
      </c>
      <c r="AU89" s="1654" t="s">
        <v>10753</v>
      </c>
      <c r="AV89" s="1451" t="str">
        <f t="shared" si="1"/>
        <v>3:53</v>
      </c>
      <c r="AW89" s="1694" t="s">
        <v>10840</v>
      </c>
    </row>
    <row r="90">
      <c r="A90" s="1590" t="s">
        <v>4793</v>
      </c>
      <c r="B90" s="1588" t="s">
        <v>9052</v>
      </c>
      <c r="C90" s="1533">
        <v>0.05331018518518518</v>
      </c>
      <c r="D90" s="1654" t="s">
        <v>10841</v>
      </c>
      <c r="E90" s="1654" t="s">
        <v>7449</v>
      </c>
      <c r="F90" s="1654" t="s">
        <v>10614</v>
      </c>
      <c r="G90" s="1654" t="s">
        <v>10842</v>
      </c>
      <c r="H90" s="980" t="s">
        <v>10843</v>
      </c>
      <c r="I90" s="1654" t="s">
        <v>10844</v>
      </c>
      <c r="J90" s="1654" t="s">
        <v>10389</v>
      </c>
      <c r="K90" s="1654" t="s">
        <v>9192</v>
      </c>
      <c r="L90" s="1654" t="s">
        <v>4470</v>
      </c>
      <c r="M90" s="1654" t="s">
        <v>10845</v>
      </c>
      <c r="N90" s="1654" t="s">
        <v>10179</v>
      </c>
      <c r="O90" s="1654" t="s">
        <v>10846</v>
      </c>
      <c r="P90" s="1654" t="s">
        <v>6333</v>
      </c>
      <c r="Q90" s="1654" t="s">
        <v>10847</v>
      </c>
      <c r="R90" s="1654" t="s">
        <v>2149</v>
      </c>
      <c r="S90" s="1654" t="s">
        <v>7302</v>
      </c>
      <c r="T90" s="1654" t="s">
        <v>6776</v>
      </c>
      <c r="U90" s="1654" t="s">
        <v>10848</v>
      </c>
      <c r="V90" s="1654" t="s">
        <v>10370</v>
      </c>
      <c r="W90" s="1654" t="s">
        <v>10849</v>
      </c>
      <c r="X90" s="1654" t="s">
        <v>7981</v>
      </c>
      <c r="Y90" s="1654" t="s">
        <v>5489</v>
      </c>
      <c r="Z90" s="1654" t="s">
        <v>10181</v>
      </c>
      <c r="AA90" s="1654" t="s">
        <v>10850</v>
      </c>
      <c r="AB90" s="1654" t="s">
        <v>3531</v>
      </c>
      <c r="AC90" s="1654" t="s">
        <v>10851</v>
      </c>
      <c r="AD90" s="1654" t="s">
        <v>10852</v>
      </c>
      <c r="AE90" s="1654" t="s">
        <v>5853</v>
      </c>
      <c r="AF90" s="1654" t="s">
        <v>10853</v>
      </c>
      <c r="AG90" s="1654" t="s">
        <v>9522</v>
      </c>
      <c r="AH90" s="1654" t="s">
        <v>10854</v>
      </c>
      <c r="AI90" s="1654" t="s">
        <v>10855</v>
      </c>
      <c r="AJ90" s="1654" t="s">
        <v>10856</v>
      </c>
      <c r="AK90" s="1654" t="s">
        <v>2228</v>
      </c>
      <c r="AL90" s="1654" t="s">
        <v>2197</v>
      </c>
      <c r="AM90" s="1654" t="s">
        <v>10857</v>
      </c>
      <c r="AN90" s="1654" t="s">
        <v>4676</v>
      </c>
      <c r="AO90" s="1654" t="s">
        <v>10858</v>
      </c>
      <c r="AP90" s="1654" t="s">
        <v>2814</v>
      </c>
      <c r="AQ90" s="1654" t="s">
        <v>10859</v>
      </c>
      <c r="AR90" s="1654" t="s">
        <v>1761</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10649</v>
      </c>
      <c r="F91" s="336" t="s">
        <v>6577</v>
      </c>
      <c r="G91" s="336" t="s">
        <v>10864</v>
      </c>
      <c r="H91" s="336" t="s">
        <v>10865</v>
      </c>
      <c r="I91" s="336" t="s">
        <v>2350</v>
      </c>
      <c r="J91" s="336" t="s">
        <v>9573</v>
      </c>
      <c r="K91" s="336" t="s">
        <v>9064</v>
      </c>
      <c r="L91" s="336" t="s">
        <v>4855</v>
      </c>
      <c r="M91" s="336" t="s">
        <v>10866</v>
      </c>
      <c r="N91" s="336" t="s">
        <v>10867</v>
      </c>
      <c r="O91" s="336" t="s">
        <v>4325</v>
      </c>
      <c r="P91" s="336" t="s">
        <v>925</v>
      </c>
      <c r="Q91" s="1654" t="s">
        <v>10868</v>
      </c>
      <c r="R91" s="336" t="s">
        <v>10434</v>
      </c>
      <c r="S91" s="336" t="s">
        <v>9780</v>
      </c>
      <c r="T91" s="336" t="s">
        <v>10621</v>
      </c>
      <c r="U91" s="336" t="s">
        <v>10869</v>
      </c>
      <c r="V91" s="336" t="s">
        <v>3227</v>
      </c>
      <c r="W91" s="336" t="s">
        <v>10870</v>
      </c>
      <c r="X91" s="336" t="s">
        <v>3145</v>
      </c>
      <c r="Y91" s="336" t="s">
        <v>1426</v>
      </c>
      <c r="Z91" s="336" t="s">
        <v>9478</v>
      </c>
      <c r="AA91" s="1654" t="s">
        <v>10871</v>
      </c>
      <c r="AB91" s="336" t="s">
        <v>10190</v>
      </c>
      <c r="AC91" s="336" t="s">
        <v>1151</v>
      </c>
      <c r="AD91" s="336" t="s">
        <v>10872</v>
      </c>
      <c r="AE91" s="336" t="s">
        <v>585</v>
      </c>
      <c r="AF91" s="1654" t="s">
        <v>10873</v>
      </c>
      <c r="AG91" s="336" t="s">
        <v>5871</v>
      </c>
      <c r="AH91" s="336" t="s">
        <v>9654</v>
      </c>
      <c r="AI91" s="336" t="s">
        <v>2637</v>
      </c>
      <c r="AJ91" s="336" t="s">
        <v>10874</v>
      </c>
      <c r="AK91" s="336" t="s">
        <v>9493</v>
      </c>
      <c r="AL91" s="336" t="s">
        <v>10875</v>
      </c>
      <c r="AM91" s="336" t="s">
        <v>9244</v>
      </c>
      <c r="AN91" s="336" t="s">
        <v>10457</v>
      </c>
      <c r="AO91" s="336" t="s">
        <v>9171</v>
      </c>
      <c r="AP91" s="336" t="s">
        <v>10876</v>
      </c>
      <c r="AQ91" s="336" t="s">
        <v>4460</v>
      </c>
      <c r="AR91" s="336" t="s">
        <v>1380</v>
      </c>
      <c r="AS91" s="336" t="s">
        <v>9253</v>
      </c>
      <c r="AT91" s="336" t="s">
        <v>4734</v>
      </c>
      <c r="AU91" s="336" t="s">
        <v>10877</v>
      </c>
      <c r="AV91" s="1451" t="str">
        <f t="shared" si="1"/>
        <v>3:27</v>
      </c>
      <c r="AW91" s="1694" t="s">
        <v>10878</v>
      </c>
    </row>
    <row r="92">
      <c r="A92" s="1590" t="s">
        <v>5408</v>
      </c>
      <c r="B92" s="1578" t="s">
        <v>8997</v>
      </c>
      <c r="C92" s="1533">
        <v>0.05376157407407407</v>
      </c>
      <c r="D92" s="1654" t="s">
        <v>10879</v>
      </c>
      <c r="E92" s="1654" t="s">
        <v>10880</v>
      </c>
      <c r="F92" s="1654" t="s">
        <v>10881</v>
      </c>
      <c r="G92" s="1654" t="s">
        <v>10882</v>
      </c>
      <c r="H92" s="1709" t="s">
        <v>10883</v>
      </c>
      <c r="I92" s="980" t="s">
        <v>239</v>
      </c>
      <c r="J92" s="1654" t="s">
        <v>10068</v>
      </c>
      <c r="K92" s="1654" t="s">
        <v>10884</v>
      </c>
      <c r="L92" s="1654" t="s">
        <v>2519</v>
      </c>
      <c r="M92" s="1654" t="s">
        <v>1258</v>
      </c>
      <c r="N92" s="1654" t="s">
        <v>10885</v>
      </c>
      <c r="O92" s="1654" t="s">
        <v>10886</v>
      </c>
      <c r="P92" s="1654" t="s">
        <v>861</v>
      </c>
      <c r="Q92" s="1654" t="s">
        <v>4401</v>
      </c>
      <c r="R92" s="1654" t="s">
        <v>10887</v>
      </c>
      <c r="S92" s="1710" t="s">
        <v>10888</v>
      </c>
      <c r="T92" s="1710" t="s">
        <v>9619</v>
      </c>
      <c r="U92" s="1654" t="s">
        <v>10889</v>
      </c>
      <c r="V92" s="1654" t="s">
        <v>10890</v>
      </c>
      <c r="W92" s="1654" t="s">
        <v>7113</v>
      </c>
      <c r="X92" s="1654" t="s">
        <v>10891</v>
      </c>
      <c r="Y92" s="1654" t="s">
        <v>2124</v>
      </c>
      <c r="Z92" s="1654" t="s">
        <v>10190</v>
      </c>
      <c r="AA92" s="1654" t="s">
        <v>10892</v>
      </c>
      <c r="AB92" s="1654" t="s">
        <v>10893</v>
      </c>
      <c r="AC92" s="1654" t="s">
        <v>7220</v>
      </c>
      <c r="AD92" s="1654" t="s">
        <v>6091</v>
      </c>
      <c r="AE92" s="1654" t="s">
        <v>2448</v>
      </c>
      <c r="AF92" s="1654" t="s">
        <v>10894</v>
      </c>
      <c r="AG92" s="1654" t="s">
        <v>10895</v>
      </c>
      <c r="AH92" s="1654" t="s">
        <v>5020</v>
      </c>
      <c r="AI92" s="1654" t="s">
        <v>7049</v>
      </c>
      <c r="AJ92" s="1654" t="s">
        <v>10896</v>
      </c>
      <c r="AK92" s="1654" t="s">
        <v>4847</v>
      </c>
      <c r="AL92" s="1654" t="s">
        <v>10897</v>
      </c>
      <c r="AM92" s="1654" t="s">
        <v>4858</v>
      </c>
      <c r="AN92" s="1654" t="s">
        <v>10898</v>
      </c>
      <c r="AO92" s="1654" t="s">
        <v>6621</v>
      </c>
      <c r="AP92" s="1654" t="s">
        <v>10899</v>
      </c>
      <c r="AQ92" s="1654" t="s">
        <v>10900</v>
      </c>
      <c r="AR92" s="1654" t="s">
        <v>5185</v>
      </c>
      <c r="AS92" s="1654" t="s">
        <v>9224</v>
      </c>
      <c r="AT92" s="1654" t="s">
        <v>10901</v>
      </c>
      <c r="AU92" s="1654" t="s">
        <v>10902</v>
      </c>
      <c r="AV92" s="1451" t="str">
        <f t="shared" si="1"/>
        <v>4:58</v>
      </c>
      <c r="AW92" s="1711"/>
    </row>
    <row r="93" ht="15.75" customHeight="1">
      <c r="A93" s="1655" t="s">
        <v>6613</v>
      </c>
      <c r="B93" s="1684" t="s">
        <v>9052</v>
      </c>
      <c r="C93" s="1665">
        <v>0.05386574074074074</v>
      </c>
      <c r="D93" s="336" t="s">
        <v>10903</v>
      </c>
      <c r="E93" s="336" t="s">
        <v>6834</v>
      </c>
      <c r="F93" s="336" t="s">
        <v>10904</v>
      </c>
      <c r="G93" s="336" t="s">
        <v>4288</v>
      </c>
      <c r="H93" s="336" t="s">
        <v>10905</v>
      </c>
      <c r="I93" s="336" t="s">
        <v>10844</v>
      </c>
      <c r="J93" s="336" t="s">
        <v>10906</v>
      </c>
      <c r="K93" s="336" t="s">
        <v>10907</v>
      </c>
      <c r="L93" s="336" t="s">
        <v>1433</v>
      </c>
      <c r="M93" s="336" t="s">
        <v>4557</v>
      </c>
      <c r="N93" s="336" t="s">
        <v>7012</v>
      </c>
      <c r="O93" s="336" t="s">
        <v>10908</v>
      </c>
      <c r="P93" s="336" t="s">
        <v>6333</v>
      </c>
      <c r="Q93" s="336" t="s">
        <v>10909</v>
      </c>
      <c r="R93" s="336" t="s">
        <v>9370</v>
      </c>
      <c r="S93" s="336" t="s">
        <v>10910</v>
      </c>
      <c r="T93" s="336" t="s">
        <v>7365</v>
      </c>
      <c r="U93" s="336" t="s">
        <v>10911</v>
      </c>
      <c r="V93" s="336" t="s">
        <v>10912</v>
      </c>
      <c r="W93" s="336" t="s">
        <v>10913</v>
      </c>
      <c r="X93" s="336" t="s">
        <v>1330</v>
      </c>
      <c r="Y93" s="336" t="s">
        <v>1950</v>
      </c>
      <c r="Z93" s="336" t="s">
        <v>9035</v>
      </c>
      <c r="AA93" s="980" t="s">
        <v>10914</v>
      </c>
      <c r="AB93" s="336" t="s">
        <v>10915</v>
      </c>
      <c r="AC93" s="336" t="s">
        <v>8067</v>
      </c>
      <c r="AD93" s="336" t="s">
        <v>10916</v>
      </c>
      <c r="AE93" s="336" t="s">
        <v>10917</v>
      </c>
      <c r="AF93" s="336" t="s">
        <v>10502</v>
      </c>
      <c r="AG93" s="336" t="s">
        <v>10918</v>
      </c>
      <c r="AH93" s="336" t="s">
        <v>10919</v>
      </c>
      <c r="AI93" s="336" t="s">
        <v>3651</v>
      </c>
      <c r="AJ93" s="336" t="s">
        <v>10920</v>
      </c>
      <c r="AK93" s="336" t="s">
        <v>10921</v>
      </c>
      <c r="AL93" s="336" t="s">
        <v>10922</v>
      </c>
      <c r="AM93" s="336" t="s">
        <v>10161</v>
      </c>
      <c r="AN93" s="336" t="s">
        <v>9691</v>
      </c>
      <c r="AO93" s="1654" t="s">
        <v>9862</v>
      </c>
      <c r="AP93" s="336" t="s">
        <v>10923</v>
      </c>
      <c r="AQ93" s="336" t="s">
        <v>10924</v>
      </c>
      <c r="AR93" s="336" t="s">
        <v>10925</v>
      </c>
      <c r="AS93" s="336" t="s">
        <v>9485</v>
      </c>
      <c r="AT93" s="336" t="s">
        <v>10926</v>
      </c>
      <c r="AU93" s="336" t="s">
        <v>10861</v>
      </c>
      <c r="AV93" s="1451" t="str">
        <f t="shared" si="1"/>
        <v>3:30</v>
      </c>
      <c r="AW93" s="1698"/>
    </row>
    <row r="94">
      <c r="A94" s="1590" t="s">
        <v>5305</v>
      </c>
      <c r="B94" s="1578" t="s">
        <v>9052</v>
      </c>
      <c r="C94" s="1533">
        <v>0.05482638888888889</v>
      </c>
      <c r="D94" s="1671" t="s">
        <v>10927</v>
      </c>
      <c r="E94" s="1654" t="s">
        <v>9773</v>
      </c>
      <c r="F94" s="1654" t="s">
        <v>10928</v>
      </c>
      <c r="G94" s="1654" t="s">
        <v>10929</v>
      </c>
      <c r="H94" s="1654" t="s">
        <v>10930</v>
      </c>
      <c r="I94" s="1654" t="s">
        <v>10931</v>
      </c>
      <c r="J94" s="1654" t="s">
        <v>10932</v>
      </c>
      <c r="K94" s="1654" t="s">
        <v>10194</v>
      </c>
      <c r="L94" s="1654" t="s">
        <v>10933</v>
      </c>
      <c r="M94" s="1654" t="s">
        <v>1759</v>
      </c>
      <c r="N94" s="1654" t="s">
        <v>6518</v>
      </c>
      <c r="O94" s="1654" t="s">
        <v>10934</v>
      </c>
      <c r="P94" s="1654" t="s">
        <v>6612</v>
      </c>
      <c r="Q94" s="1654" t="s">
        <v>10935</v>
      </c>
      <c r="R94" s="1654" t="s">
        <v>9483</v>
      </c>
      <c r="S94" s="1654" t="s">
        <v>10936</v>
      </c>
      <c r="T94" s="1654" t="s">
        <v>10850</v>
      </c>
      <c r="U94" s="1654" t="s">
        <v>10937</v>
      </c>
      <c r="V94" s="1654" t="s">
        <v>840</v>
      </c>
      <c r="W94" s="1654" t="s">
        <v>6460</v>
      </c>
      <c r="X94" s="1654" t="s">
        <v>10938</v>
      </c>
      <c r="Y94" s="1654" t="s">
        <v>1679</v>
      </c>
      <c r="Z94" s="1654" t="s">
        <v>10210</v>
      </c>
      <c r="AA94" s="1654" t="s">
        <v>2390</v>
      </c>
      <c r="AB94" s="1654" t="s">
        <v>6989</v>
      </c>
      <c r="AC94" s="1654" t="s">
        <v>10939</v>
      </c>
      <c r="AD94" s="1654" t="s">
        <v>10940</v>
      </c>
      <c r="AE94" s="1654" t="s">
        <v>1538</v>
      </c>
      <c r="AF94" s="1654" t="s">
        <v>10941</v>
      </c>
      <c r="AG94" s="1654" t="s">
        <v>10942</v>
      </c>
      <c r="AH94" s="1654" t="s">
        <v>10943</v>
      </c>
      <c r="AI94" s="1654" t="s">
        <v>5831</v>
      </c>
      <c r="AJ94" s="1654" t="s">
        <v>10944</v>
      </c>
      <c r="AK94" s="1654" t="s">
        <v>246</v>
      </c>
      <c r="AL94" s="1654" t="s">
        <v>8151</v>
      </c>
      <c r="AM94" s="1654" t="s">
        <v>4292</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5274</v>
      </c>
      <c r="B95" s="1578" t="s">
        <v>8997</v>
      </c>
      <c r="C95" s="1533">
        <v>0.05482638888888889</v>
      </c>
      <c r="D95" s="1567" t="s">
        <v>10951</v>
      </c>
      <c r="E95" s="1567" t="s">
        <v>9631</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5067</v>
      </c>
      <c r="U95" s="1567" t="s">
        <v>3260</v>
      </c>
      <c r="V95" s="1567" t="s">
        <v>10961</v>
      </c>
      <c r="W95" s="1567" t="s">
        <v>10962</v>
      </c>
      <c r="X95" s="1567" t="s">
        <v>10963</v>
      </c>
      <c r="Y95" s="1567">
        <v>51.87</v>
      </c>
      <c r="Z95" s="1567" t="s">
        <v>6332</v>
      </c>
      <c r="AA95" s="1567" t="s">
        <v>6589</v>
      </c>
      <c r="AB95" s="1567" t="s">
        <v>6565</v>
      </c>
      <c r="AC95" s="1567">
        <v>49.75</v>
      </c>
      <c r="AD95" s="1567" t="s">
        <v>10964</v>
      </c>
      <c r="AE95" s="1567">
        <v>50.16</v>
      </c>
      <c r="AF95" s="1567" t="s">
        <v>10965</v>
      </c>
      <c r="AG95" s="1567" t="s">
        <v>10966</v>
      </c>
      <c r="AH95" s="1567" t="s">
        <v>6421</v>
      </c>
      <c r="AI95" s="1567" t="s">
        <v>6818</v>
      </c>
      <c r="AJ95" s="1567" t="s">
        <v>10967</v>
      </c>
      <c r="AK95" s="1567" t="s">
        <v>10885</v>
      </c>
      <c r="AL95" s="1567">
        <v>59.29</v>
      </c>
      <c r="AM95" s="1567" t="s">
        <v>4460</v>
      </c>
      <c r="AN95" s="1567" t="s">
        <v>623</v>
      </c>
      <c r="AO95" s="1567" t="s">
        <v>10968</v>
      </c>
      <c r="AP95" s="1567" t="s">
        <v>10969</v>
      </c>
      <c r="AQ95" s="1567" t="s">
        <v>10970</v>
      </c>
      <c r="AR95" s="1567" t="s">
        <v>6884</v>
      </c>
      <c r="AS95" s="1567">
        <v>47.7</v>
      </c>
      <c r="AT95" s="1567" t="s">
        <v>10971</v>
      </c>
      <c r="AU95" s="1571" t="s">
        <v>10972</v>
      </c>
      <c r="AV95" s="1451" t="str">
        <f t="shared" si="1"/>
        <v>5:51</v>
      </c>
      <c r="AW95" s="1679" t="s">
        <v>10973</v>
      </c>
    </row>
    <row r="96">
      <c r="A96" s="1590" t="s">
        <v>5589</v>
      </c>
      <c r="B96" s="1588" t="s">
        <v>8997</v>
      </c>
      <c r="C96" s="1533">
        <v>0.05559027777777778</v>
      </c>
      <c r="D96" s="1671" t="s">
        <v>10974</v>
      </c>
      <c r="E96" s="1654" t="s">
        <v>10975</v>
      </c>
      <c r="F96" s="1654" t="s">
        <v>10976</v>
      </c>
      <c r="G96" s="1654" t="s">
        <v>10977</v>
      </c>
      <c r="H96" s="1654" t="s">
        <v>5945</v>
      </c>
      <c r="I96" s="1654" t="s">
        <v>1846</v>
      </c>
      <c r="J96" s="1654" t="s">
        <v>10978</v>
      </c>
      <c r="K96" s="1654" t="s">
        <v>6336</v>
      </c>
      <c r="L96" s="1654" t="s">
        <v>8827</v>
      </c>
      <c r="M96" s="1654" t="s">
        <v>6839</v>
      </c>
      <c r="N96" s="1654" t="s">
        <v>10979</v>
      </c>
      <c r="O96" s="1654" t="s">
        <v>10980</v>
      </c>
      <c r="P96" s="1654" t="s">
        <v>190</v>
      </c>
      <c r="Q96" s="1654" t="s">
        <v>1668</v>
      </c>
      <c r="R96" s="1654" t="s">
        <v>10981</v>
      </c>
      <c r="S96" s="1654" t="s">
        <v>5218</v>
      </c>
      <c r="T96" s="1654" t="s">
        <v>10982</v>
      </c>
      <c r="U96" s="1654" t="s">
        <v>10983</v>
      </c>
      <c r="V96" s="1654" t="s">
        <v>6610</v>
      </c>
      <c r="W96" s="1654" t="s">
        <v>9102</v>
      </c>
      <c r="X96" s="1654" t="s">
        <v>5022</v>
      </c>
      <c r="Y96" s="1654" t="s">
        <v>101</v>
      </c>
      <c r="Z96" s="1654" t="s">
        <v>10984</v>
      </c>
      <c r="AA96" s="1654" t="s">
        <v>10746</v>
      </c>
      <c r="AB96" s="1654" t="s">
        <v>3549</v>
      </c>
      <c r="AC96" s="1654" t="s">
        <v>4747</v>
      </c>
      <c r="AD96" s="1654" t="s">
        <v>6159</v>
      </c>
      <c r="AE96" s="1654" t="s">
        <v>858</v>
      </c>
      <c r="AF96" s="1654" t="s">
        <v>10985</v>
      </c>
      <c r="AG96" s="1654" t="s">
        <v>10986</v>
      </c>
      <c r="AH96" s="1654" t="s">
        <v>4091</v>
      </c>
      <c r="AI96" s="1654" t="s">
        <v>10987</v>
      </c>
      <c r="AJ96" s="1654" t="s">
        <v>10988</v>
      </c>
      <c r="AK96" s="1654" t="s">
        <v>4551</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4945</v>
      </c>
      <c r="B97" s="1588" t="s">
        <v>9024</v>
      </c>
      <c r="C97" s="1620">
        <v>0.05565972222222222</v>
      </c>
      <c r="D97" s="1654" t="s">
        <v>10997</v>
      </c>
      <c r="E97" s="1654" t="s">
        <v>3209</v>
      </c>
      <c r="F97" s="1654" t="s">
        <v>8472</v>
      </c>
      <c r="G97" s="1654" t="s">
        <v>10998</v>
      </c>
      <c r="H97" s="980" t="s">
        <v>9541</v>
      </c>
      <c r="I97" s="1654" t="s">
        <v>3546</v>
      </c>
      <c r="J97" s="1654" t="s">
        <v>9765</v>
      </c>
      <c r="K97" s="1654" t="s">
        <v>804</v>
      </c>
      <c r="L97" s="1654" t="s">
        <v>10999</v>
      </c>
      <c r="M97" s="1654" t="s">
        <v>11000</v>
      </c>
      <c r="N97" s="1654" t="s">
        <v>6440</v>
      </c>
      <c r="O97" s="1654" t="s">
        <v>11001</v>
      </c>
      <c r="P97" s="1654" t="s">
        <v>10439</v>
      </c>
      <c r="Q97" s="1654" t="s">
        <v>11002</v>
      </c>
      <c r="R97" s="1654" t="s">
        <v>10212</v>
      </c>
      <c r="S97" s="1654" t="s">
        <v>418</v>
      </c>
      <c r="T97" s="1654" t="s">
        <v>11003</v>
      </c>
      <c r="U97" s="1654" t="s">
        <v>11004</v>
      </c>
      <c r="V97" s="1654" t="s">
        <v>11005</v>
      </c>
      <c r="W97" s="1654" t="s">
        <v>11006</v>
      </c>
      <c r="X97" s="1654" t="s">
        <v>11007</v>
      </c>
      <c r="Y97" s="1654" t="s">
        <v>2448</v>
      </c>
      <c r="Z97" s="1654" t="s">
        <v>5374</v>
      </c>
      <c r="AA97" s="1654" t="s">
        <v>10375</v>
      </c>
      <c r="AB97" s="1654" t="s">
        <v>10692</v>
      </c>
      <c r="AC97" s="1654" t="s">
        <v>10217</v>
      </c>
      <c r="AD97" s="1654" t="s">
        <v>11008</v>
      </c>
      <c r="AE97" s="1654" t="s">
        <v>5566</v>
      </c>
      <c r="AF97" s="1654" t="s">
        <v>11009</v>
      </c>
      <c r="AG97" s="1654" t="s">
        <v>11010</v>
      </c>
      <c r="AH97" s="1654" t="s">
        <v>11011</v>
      </c>
      <c r="AI97" s="1654" t="s">
        <v>11012</v>
      </c>
      <c r="AJ97" s="1654" t="s">
        <v>11013</v>
      </c>
      <c r="AK97" s="1654" t="s">
        <v>6776</v>
      </c>
      <c r="AL97" s="1654" t="s">
        <v>3758</v>
      </c>
      <c r="AM97" s="1654" t="s">
        <v>4858</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10080</v>
      </c>
    </row>
    <row r="98">
      <c r="A98" s="954" t="s">
        <v>5797</v>
      </c>
      <c r="B98" s="1712" t="s">
        <v>11020</v>
      </c>
      <c r="C98" s="1713">
        <v>0.05614583333333333</v>
      </c>
      <c r="D98" s="980" t="s">
        <v>11021</v>
      </c>
      <c r="E98" s="1065" t="s">
        <v>10244</v>
      </c>
      <c r="F98" s="1065" t="s">
        <v>11022</v>
      </c>
      <c r="G98" s="1065" t="s">
        <v>11023</v>
      </c>
      <c r="H98" s="1714" t="s">
        <v>1363</v>
      </c>
      <c r="I98" s="1065" t="s">
        <v>9720</v>
      </c>
      <c r="J98" s="1065" t="s">
        <v>11024</v>
      </c>
      <c r="K98" s="1065" t="s">
        <v>11025</v>
      </c>
      <c r="L98" s="1065" t="s">
        <v>4714</v>
      </c>
      <c r="M98" s="1065" t="s">
        <v>7203</v>
      </c>
      <c r="N98" s="1065" t="s">
        <v>10270</v>
      </c>
      <c r="O98" s="1065" t="s">
        <v>11026</v>
      </c>
      <c r="P98" s="1065" t="s">
        <v>9151</v>
      </c>
      <c r="Q98" s="1065" t="s">
        <v>11027</v>
      </c>
      <c r="R98" s="1065" t="s">
        <v>4012</v>
      </c>
      <c r="S98" s="1065" t="s">
        <v>5379</v>
      </c>
      <c r="T98" s="1065" t="s">
        <v>1651</v>
      </c>
      <c r="U98" s="1065" t="s">
        <v>9288</v>
      </c>
      <c r="V98" s="1065" t="s">
        <v>2752</v>
      </c>
      <c r="W98" s="1065" t="s">
        <v>11028</v>
      </c>
      <c r="X98" s="1065" t="s">
        <v>11029</v>
      </c>
      <c r="Y98" s="1065" t="s">
        <v>11030</v>
      </c>
      <c r="Z98" s="1065" t="s">
        <v>11031</v>
      </c>
      <c r="AA98" s="1089" t="s">
        <v>2130</v>
      </c>
      <c r="AB98" s="1065" t="s">
        <v>10749</v>
      </c>
      <c r="AC98" s="1065" t="s">
        <v>784</v>
      </c>
      <c r="AD98" s="1065" t="s">
        <v>9233</v>
      </c>
      <c r="AE98" s="1065" t="s">
        <v>536</v>
      </c>
      <c r="AF98" s="1065" t="s">
        <v>11032</v>
      </c>
      <c r="AG98" s="1065" t="s">
        <v>11033</v>
      </c>
      <c r="AH98" s="1065" t="s">
        <v>9776</v>
      </c>
      <c r="AI98" s="1065" t="s">
        <v>11034</v>
      </c>
      <c r="AJ98" s="1065" t="s">
        <v>11035</v>
      </c>
      <c r="AK98" s="1065" t="s">
        <v>11036</v>
      </c>
      <c r="AL98" s="1065" t="s">
        <v>10537</v>
      </c>
      <c r="AM98" s="1065" t="s">
        <v>9813</v>
      </c>
      <c r="AN98" s="1065" t="s">
        <v>11037</v>
      </c>
      <c r="AO98" s="1065" t="s">
        <v>11038</v>
      </c>
      <c r="AP98" s="1065" t="s">
        <v>11039</v>
      </c>
      <c r="AQ98" s="1065" t="s">
        <v>2817</v>
      </c>
      <c r="AR98" s="1065" t="s">
        <v>10480</v>
      </c>
      <c r="AS98" s="1065" t="s">
        <v>11040</v>
      </c>
      <c r="AT98" s="1065" t="s">
        <v>11041</v>
      </c>
      <c r="AU98" s="1065" t="s">
        <v>11042</v>
      </c>
      <c r="AV98" s="1032" t="str">
        <f t="shared" si="1"/>
        <v>8:47</v>
      </c>
      <c r="AW98" s="1589" t="s">
        <v>11043</v>
      </c>
    </row>
    <row r="99">
      <c r="A99" s="1655" t="s">
        <v>11044</v>
      </c>
      <c r="B99" s="1623" t="s">
        <v>9024</v>
      </c>
      <c r="C99" s="1665">
        <v>0.057881944444444444</v>
      </c>
      <c r="D99" s="1654" t="s">
        <v>11045</v>
      </c>
      <c r="E99" s="336" t="s">
        <v>11046</v>
      </c>
      <c r="F99" s="1654" t="s">
        <v>11047</v>
      </c>
      <c r="G99" s="1654" t="s">
        <v>11048</v>
      </c>
      <c r="H99" s="336" t="s">
        <v>5476</v>
      </c>
      <c r="I99" s="336" t="s">
        <v>1022</v>
      </c>
      <c r="J99" s="336" t="s">
        <v>11049</v>
      </c>
      <c r="K99" s="336" t="s">
        <v>3712</v>
      </c>
      <c r="L99" s="336" t="s">
        <v>11050</v>
      </c>
      <c r="M99" s="336" t="s">
        <v>7808</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9573</v>
      </c>
      <c r="AC99" s="336" t="s">
        <v>3469</v>
      </c>
      <c r="AD99" s="336" t="s">
        <v>5334</v>
      </c>
      <c r="AE99" s="336" t="s">
        <v>2614</v>
      </c>
      <c r="AF99" s="336" t="s">
        <v>11062</v>
      </c>
      <c r="AG99" s="336" t="s">
        <v>5874</v>
      </c>
      <c r="AH99" s="336" t="s">
        <v>11063</v>
      </c>
      <c r="AI99" s="336" t="s">
        <v>4892</v>
      </c>
      <c r="AJ99" s="336" t="s">
        <v>11064</v>
      </c>
      <c r="AK99" s="336" t="s">
        <v>11065</v>
      </c>
      <c r="AL99" s="336" t="s">
        <v>4027</v>
      </c>
      <c r="AM99" s="336" t="s">
        <v>4900</v>
      </c>
      <c r="AN99" s="336" t="s">
        <v>11066</v>
      </c>
      <c r="AO99" s="336" t="s">
        <v>10440</v>
      </c>
      <c r="AP99" s="336" t="s">
        <v>11067</v>
      </c>
      <c r="AQ99" s="336" t="s">
        <v>6793</v>
      </c>
      <c r="AR99" s="336" t="s">
        <v>11068</v>
      </c>
      <c r="AS99" s="336" t="s">
        <v>618</v>
      </c>
      <c r="AT99" s="336" t="s">
        <v>11069</v>
      </c>
      <c r="AU99" s="336" t="s">
        <v>11070</v>
      </c>
      <c r="AV99" s="1451" t="str">
        <f t="shared" si="1"/>
        <v>2:11</v>
      </c>
      <c r="AW99" s="1698" t="s">
        <v>11071</v>
      </c>
    </row>
    <row r="100">
      <c r="A100" s="1626" t="s">
        <v>6535</v>
      </c>
      <c r="B100" s="1715" t="s">
        <v>11020</v>
      </c>
      <c r="C100" s="1716">
        <v>0.0609375</v>
      </c>
      <c r="D100" s="1717" t="s">
        <v>11072</v>
      </c>
      <c r="E100" s="1718" t="s">
        <v>3583</v>
      </c>
      <c r="F100" s="1718" t="s">
        <v>11073</v>
      </c>
      <c r="G100" s="1718" t="s">
        <v>11074</v>
      </c>
      <c r="H100" s="1717" t="s">
        <v>11075</v>
      </c>
      <c r="I100" s="1719" t="s">
        <v>9277</v>
      </c>
      <c r="J100" s="1720" t="s">
        <v>11076</v>
      </c>
      <c r="K100" s="1720" t="s">
        <v>1673</v>
      </c>
      <c r="L100" s="1720" t="s">
        <v>6912</v>
      </c>
      <c r="M100" s="1720" t="s">
        <v>11077</v>
      </c>
      <c r="N100" s="1720" t="s">
        <v>6901</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10788</v>
      </c>
      <c r="Z100" s="1722" t="s">
        <v>6999</v>
      </c>
      <c r="AA100" s="1723" t="s">
        <v>10993</v>
      </c>
      <c r="AB100" s="1722" t="s">
        <v>11086</v>
      </c>
      <c r="AC100" s="1722" t="s">
        <v>9350</v>
      </c>
      <c r="AD100" s="1718" t="s">
        <v>11087</v>
      </c>
      <c r="AE100" s="1718" t="s">
        <v>1371</v>
      </c>
      <c r="AF100" s="1724" t="s">
        <v>11088</v>
      </c>
      <c r="AG100" s="1724" t="s">
        <v>11089</v>
      </c>
      <c r="AH100" s="1724" t="s">
        <v>11090</v>
      </c>
      <c r="AI100" s="1724" t="s">
        <v>6814</v>
      </c>
      <c r="AJ100" s="1724" t="s">
        <v>11091</v>
      </c>
      <c r="AK100" s="1724" t="s">
        <v>10520</v>
      </c>
      <c r="AL100" s="1724" t="s">
        <v>1820</v>
      </c>
      <c r="AM100" s="1725" t="s">
        <v>8839</v>
      </c>
      <c r="AN100" s="1725" t="s">
        <v>11092</v>
      </c>
      <c r="AO100" s="1725" t="s">
        <v>4481</v>
      </c>
      <c r="AP100" s="1725" t="s">
        <v>11093</v>
      </c>
      <c r="AQ100" s="1725" t="s">
        <v>6437</v>
      </c>
      <c r="AR100" s="1725" t="s">
        <v>11094</v>
      </c>
      <c r="AS100" s="1725" t="s">
        <v>9776</v>
      </c>
      <c r="AT100" s="1720" t="s">
        <v>11095</v>
      </c>
      <c r="AU100" s="1726" t="s">
        <v>11096</v>
      </c>
      <c r="AV100" s="1451" t="str">
        <f t="shared" si="1"/>
        <v>7:58</v>
      </c>
      <c r="AW100" s="1581" t="s">
        <v>11097</v>
      </c>
    </row>
    <row r="101" ht="15.75" customHeight="1">
      <c r="A101" s="1590" t="s">
        <v>6406</v>
      </c>
      <c r="B101" s="1623" t="s">
        <v>9024</v>
      </c>
      <c r="C101" s="1533">
        <v>0.06635416666666667</v>
      </c>
      <c r="D101" s="980" t="s">
        <v>11098</v>
      </c>
      <c r="E101" s="980" t="s">
        <v>8884</v>
      </c>
      <c r="F101" s="980" t="s">
        <v>11099</v>
      </c>
      <c r="G101" s="980" t="s">
        <v>11100</v>
      </c>
      <c r="H101" s="980" t="s">
        <v>11101</v>
      </c>
      <c r="I101" s="980" t="s">
        <v>3478</v>
      </c>
      <c r="J101" s="980" t="s">
        <v>11102</v>
      </c>
      <c r="K101" s="980" t="s">
        <v>3997</v>
      </c>
      <c r="L101" s="980" t="s">
        <v>6840</v>
      </c>
      <c r="M101" s="980" t="s">
        <v>934</v>
      </c>
      <c r="N101" s="980" t="s">
        <v>11103</v>
      </c>
      <c r="O101" s="980" t="s">
        <v>11104</v>
      </c>
      <c r="P101" s="980" t="s">
        <v>11105</v>
      </c>
      <c r="Q101" s="980" t="s">
        <v>11106</v>
      </c>
      <c r="R101" s="980" t="s">
        <v>4567</v>
      </c>
      <c r="S101" s="980" t="s">
        <v>11107</v>
      </c>
      <c r="T101" s="980" t="s">
        <v>6460</v>
      </c>
      <c r="U101" s="980" t="s">
        <v>11108</v>
      </c>
      <c r="V101" s="980" t="s">
        <v>7449</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9636</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7013</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4647</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11128</v>
      </c>
      <c r="E1" s="1736" t="s">
        <v>7723</v>
      </c>
      <c r="F1" s="1737" t="s">
        <v>8034</v>
      </c>
      <c r="G1" s="1738" t="s">
        <v>38</v>
      </c>
      <c r="H1" s="1739" t="s">
        <v>36</v>
      </c>
      <c r="I1" s="1735" t="s">
        <v>11129</v>
      </c>
      <c r="J1" s="1740" t="s">
        <v>39</v>
      </c>
      <c r="K1" s="1741" t="s">
        <v>7968</v>
      </c>
      <c r="L1" s="1472" t="s">
        <v>8992</v>
      </c>
      <c r="M1" s="1473" t="s">
        <v>8993</v>
      </c>
      <c r="N1" s="1742" t="s">
        <v>8994</v>
      </c>
      <c r="O1" s="1743" t="s">
        <v>8995</v>
      </c>
    </row>
    <row r="2" ht="15.75" customHeight="1">
      <c r="A2" s="1744" t="s">
        <v>8996</v>
      </c>
      <c r="B2" s="1745" t="s">
        <v>8997</v>
      </c>
      <c r="C2" s="1746">
        <v>0.0496875</v>
      </c>
      <c r="D2" s="1747" t="s">
        <v>11130</v>
      </c>
      <c r="E2" s="1748" t="s">
        <v>11131</v>
      </c>
      <c r="F2" s="1749" t="s">
        <v>11132</v>
      </c>
      <c r="G2" s="1750" t="s">
        <v>11133</v>
      </c>
      <c r="H2" s="1751" t="s">
        <v>11134</v>
      </c>
      <c r="I2" s="1752" t="s">
        <v>11135</v>
      </c>
      <c r="J2" s="1753" t="s">
        <v>11136</v>
      </c>
      <c r="K2" s="1754" t="s">
        <v>11137</v>
      </c>
      <c r="L2" s="1755" t="s">
        <v>9021</v>
      </c>
      <c r="M2" s="1746">
        <v>0.05042824074074074</v>
      </c>
      <c r="N2" s="1756" t="str">
        <f t="shared" ref="N2:N41" si="1">TEXT(M2-C2, "m:ss")</f>
        <v>1:04</v>
      </c>
      <c r="O2" s="1757"/>
    </row>
    <row r="3" ht="15.75" customHeight="1">
      <c r="A3" s="1758" t="s">
        <v>9023</v>
      </c>
      <c r="B3" s="1759" t="s">
        <v>9024</v>
      </c>
      <c r="C3" s="1760">
        <v>0.051458333333333335</v>
      </c>
      <c r="D3" s="1502" t="s">
        <v>11138</v>
      </c>
      <c r="E3" s="1503" t="s">
        <v>11139</v>
      </c>
      <c r="F3" s="1504" t="s">
        <v>11140</v>
      </c>
      <c r="G3" s="1505" t="s">
        <v>11141</v>
      </c>
      <c r="H3" s="1507" t="s">
        <v>11142</v>
      </c>
      <c r="I3" s="1502" t="s">
        <v>11143</v>
      </c>
      <c r="J3" s="1509" t="s">
        <v>11144</v>
      </c>
      <c r="K3" s="1512" t="s">
        <v>11145</v>
      </c>
      <c r="L3" s="1504" t="s">
        <v>9049</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4" t="s">
        <v>1056</v>
      </c>
      <c r="B5" s="1680" t="s">
        <v>8997</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8997</v>
      </c>
      <c r="C6" s="1783">
        <v>0.049953125</v>
      </c>
      <c r="D6" s="1784" t="s">
        <v>11158</v>
      </c>
      <c r="E6" s="1785" t="s">
        <v>11159</v>
      </c>
      <c r="F6" s="1778" t="s">
        <v>11160</v>
      </c>
      <c r="G6" s="1778" t="s">
        <v>11161</v>
      </c>
      <c r="H6" s="1776" t="s">
        <v>11162</v>
      </c>
      <c r="I6" s="1778" t="s">
        <v>8542</v>
      </c>
      <c r="J6" s="1778" t="s">
        <v>11163</v>
      </c>
      <c r="K6" s="1786" t="s">
        <v>11164</v>
      </c>
      <c r="L6" s="1778" t="s">
        <v>9115</v>
      </c>
      <c r="M6" s="1787">
        <v>0.05068287037037037</v>
      </c>
      <c r="N6" s="1787" t="str">
        <f t="shared" si="1"/>
        <v>1:03</v>
      </c>
      <c r="O6" s="1619"/>
    </row>
    <row r="7" ht="15.75" customHeight="1">
      <c r="A7" s="1727" t="s">
        <v>1809</v>
      </c>
      <c r="B7" s="1532" t="s">
        <v>8997</v>
      </c>
      <c r="C7" s="1788">
        <v>0.0499537037037037</v>
      </c>
      <c r="D7" s="1565" t="s">
        <v>11165</v>
      </c>
      <c r="E7" s="1565" t="s">
        <v>11166</v>
      </c>
      <c r="F7" s="1565" t="s">
        <v>11167</v>
      </c>
      <c r="G7" s="1565" t="s">
        <v>11168</v>
      </c>
      <c r="H7" s="1565" t="s">
        <v>11169</v>
      </c>
      <c r="I7" s="1565" t="s">
        <v>11170</v>
      </c>
      <c r="J7" s="1565" t="s">
        <v>11171</v>
      </c>
      <c r="K7" s="1789" t="s">
        <v>11172</v>
      </c>
      <c r="L7" s="1536" t="s">
        <v>9021</v>
      </c>
      <c r="M7" s="1787">
        <v>0.05056712962962963</v>
      </c>
      <c r="N7" s="1790" t="str">
        <f t="shared" si="1"/>
        <v>0:53</v>
      </c>
      <c r="O7" s="1619" t="s">
        <v>11173</v>
      </c>
    </row>
    <row r="8" ht="15.75" customHeight="1">
      <c r="A8" s="1791" t="s">
        <v>435</v>
      </c>
      <c r="B8" s="1532" t="s">
        <v>8997</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6604</v>
      </c>
      <c r="B9" s="1592" t="s">
        <v>8997</v>
      </c>
      <c r="C9" s="1788">
        <v>0.05025462962962963</v>
      </c>
      <c r="D9" s="1053"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6719</v>
      </c>
      <c r="B10" s="1532" t="s">
        <v>8997</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8997</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8997</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8997</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8997</v>
      </c>
      <c r="C14" s="1783">
        <v>0.05061342592592592</v>
      </c>
      <c r="D14" s="1065" t="s">
        <v>11223</v>
      </c>
      <c r="E14" s="1799" t="s">
        <v>11224</v>
      </c>
      <c r="F14" s="1565" t="s">
        <v>11225</v>
      </c>
      <c r="G14" s="1565" t="s">
        <v>11226</v>
      </c>
      <c r="H14" s="1565" t="s">
        <v>11227</v>
      </c>
      <c r="I14" s="1565" t="s">
        <v>11228</v>
      </c>
      <c r="J14" s="1565" t="s">
        <v>11229</v>
      </c>
      <c r="K14" s="1565" t="s">
        <v>11230</v>
      </c>
      <c r="L14" s="1565" t="s">
        <v>6584</v>
      </c>
      <c r="M14" s="1787">
        <v>0.05153935185185185</v>
      </c>
      <c r="N14" s="1790" t="str">
        <f t="shared" si="1"/>
        <v>1:20</v>
      </c>
      <c r="O14" s="1619" t="s">
        <v>11173</v>
      </c>
    </row>
    <row r="15" ht="15.75" customHeight="1">
      <c r="A15" s="1791" t="s">
        <v>330</v>
      </c>
      <c r="B15" s="1532" t="s">
        <v>8997</v>
      </c>
      <c r="C15" s="1783">
        <v>0.05068287037037037</v>
      </c>
      <c r="D15" s="1565" t="s">
        <v>11231</v>
      </c>
      <c r="E15" s="1799" t="s">
        <v>11232</v>
      </c>
      <c r="F15" s="1565" t="s">
        <v>11233</v>
      </c>
      <c r="G15" s="1565" t="s">
        <v>11234</v>
      </c>
      <c r="H15" s="1565" t="s">
        <v>11235</v>
      </c>
      <c r="I15" s="1565" t="s">
        <v>6528</v>
      </c>
      <c r="J15" s="1565" t="s">
        <v>11236</v>
      </c>
      <c r="K15" s="1565" t="s">
        <v>11237</v>
      </c>
      <c r="L15" s="1565" t="s">
        <v>9225</v>
      </c>
      <c r="M15" s="1787">
        <v>0.05164351851851852</v>
      </c>
      <c r="N15" s="1790" t="str">
        <f t="shared" si="1"/>
        <v>1:23</v>
      </c>
      <c r="O15" s="1619" t="s">
        <v>11173</v>
      </c>
    </row>
    <row r="16" ht="15.75" customHeight="1">
      <c r="A16" s="1626" t="s">
        <v>2647</v>
      </c>
      <c r="B16" s="1680" t="s">
        <v>9024</v>
      </c>
      <c r="C16" s="1800">
        <v>0.050729166666666665</v>
      </c>
      <c r="D16" s="1053" t="s">
        <v>11238</v>
      </c>
      <c r="E16" s="1777" t="s">
        <v>11239</v>
      </c>
      <c r="F16" s="1801" t="s">
        <v>11240</v>
      </c>
      <c r="G16" s="1801" t="s">
        <v>11241</v>
      </c>
      <c r="H16" s="1801" t="s">
        <v>11242</v>
      </c>
      <c r="I16" s="1801" t="s">
        <v>11243</v>
      </c>
      <c r="J16" s="1801" t="s">
        <v>11244</v>
      </c>
      <c r="K16" s="1801" t="s">
        <v>11245</v>
      </c>
      <c r="L16" s="1268" t="s">
        <v>9384</v>
      </c>
      <c r="M16" s="1787">
        <v>0.05143506944444444</v>
      </c>
      <c r="N16" s="1802" t="str">
        <f t="shared" si="1"/>
        <v>1:01</v>
      </c>
      <c r="O16" s="1619"/>
    </row>
    <row r="17" ht="15.75" customHeight="1">
      <c r="A17" s="1626" t="s">
        <v>2151</v>
      </c>
      <c r="B17" s="1680" t="s">
        <v>9024</v>
      </c>
      <c r="C17" s="1788">
        <v>0.05092592592592592</v>
      </c>
      <c r="D17" s="1053" t="s">
        <v>11246</v>
      </c>
      <c r="E17" s="1803" t="s">
        <v>11139</v>
      </c>
      <c r="F17" s="1804" t="s">
        <v>11140</v>
      </c>
      <c r="G17" s="1804" t="s">
        <v>11141</v>
      </c>
      <c r="H17" s="1804" t="s">
        <v>11247</v>
      </c>
      <c r="I17" s="1804" t="s">
        <v>11143</v>
      </c>
      <c r="J17" s="1804" t="s">
        <v>11248</v>
      </c>
      <c r="K17" s="1804" t="s">
        <v>11145</v>
      </c>
      <c r="L17" s="1805" t="s">
        <v>9049</v>
      </c>
      <c r="M17" s="1787">
        <v>0.052662037037037035</v>
      </c>
      <c r="N17" s="1790" t="str">
        <f t="shared" si="1"/>
        <v>2:30</v>
      </c>
      <c r="O17" s="1619" t="s">
        <v>11173</v>
      </c>
    </row>
    <row r="18" ht="15.75" customHeight="1">
      <c r="A18" s="1806" t="s">
        <v>2771</v>
      </c>
      <c r="B18" s="1532" t="s">
        <v>8997</v>
      </c>
      <c r="C18" s="1807">
        <v>0.05103009259259259</v>
      </c>
      <c r="D18" s="1565" t="s">
        <v>11249</v>
      </c>
      <c r="E18" s="1799" t="s">
        <v>10722</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8997</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8997</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8997</v>
      </c>
      <c r="C21" s="1783">
        <v>0.05122685185185185</v>
      </c>
      <c r="D21" s="1053" t="s">
        <v>11273</v>
      </c>
      <c r="E21" s="1566" t="s">
        <v>11274</v>
      </c>
      <c r="F21" s="1565" t="s">
        <v>11275</v>
      </c>
      <c r="G21" s="1565" t="s">
        <v>11276</v>
      </c>
      <c r="H21" s="1565" t="s">
        <v>11277</v>
      </c>
      <c r="I21" s="1565" t="s">
        <v>11278</v>
      </c>
      <c r="J21" s="1565" t="s">
        <v>11279</v>
      </c>
      <c r="K21" s="1565" t="s">
        <v>11280</v>
      </c>
      <c r="L21" s="1565" t="s">
        <v>6113</v>
      </c>
      <c r="M21" s="1787">
        <v>0.05224537037037037</v>
      </c>
      <c r="N21" s="1790" t="str">
        <f t="shared" si="1"/>
        <v>1:28</v>
      </c>
      <c r="O21" s="1619" t="s">
        <v>11281</v>
      </c>
    </row>
    <row r="22" ht="15.75" customHeight="1">
      <c r="A22" s="1626" t="s">
        <v>7013</v>
      </c>
      <c r="B22" s="1592" t="s">
        <v>8997</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8997</v>
      </c>
      <c r="C23" s="1788">
        <v>0.05144675925925926</v>
      </c>
      <c r="D23" s="1565" t="s">
        <v>11292</v>
      </c>
      <c r="E23" s="1799" t="s">
        <v>11293</v>
      </c>
      <c r="F23" s="1565" t="s">
        <v>11294</v>
      </c>
      <c r="G23" s="1565" t="s">
        <v>11295</v>
      </c>
      <c r="H23" s="1565" t="s">
        <v>11296</v>
      </c>
      <c r="I23" s="1565" t="s">
        <v>11297</v>
      </c>
      <c r="J23" s="1565" t="s">
        <v>11298</v>
      </c>
      <c r="K23" s="1565" t="s">
        <v>11299</v>
      </c>
      <c r="L23" s="1246" t="s">
        <v>9349</v>
      </c>
      <c r="M23" s="1787">
        <v>0.05258101851851852</v>
      </c>
      <c r="N23" s="1790" t="str">
        <f t="shared" si="1"/>
        <v>1:38</v>
      </c>
      <c r="O23" s="1619" t="s">
        <v>11173</v>
      </c>
    </row>
    <row r="24" ht="15.75" customHeight="1">
      <c r="A24" s="1626" t="s">
        <v>9611</v>
      </c>
      <c r="B24" s="1592" t="s">
        <v>9024</v>
      </c>
      <c r="C24" s="1783">
        <v>0.05146990740740741</v>
      </c>
      <c r="D24" s="1803" t="s">
        <v>11138</v>
      </c>
      <c r="E24" s="1566" t="s">
        <v>10552</v>
      </c>
      <c r="F24" s="1566" t="s">
        <v>11300</v>
      </c>
      <c r="G24" s="1566" t="s">
        <v>11301</v>
      </c>
      <c r="H24" s="1566" t="s">
        <v>11302</v>
      </c>
      <c r="I24" s="1565" t="s">
        <v>11303</v>
      </c>
      <c r="J24" s="1065" t="s">
        <v>11304</v>
      </c>
      <c r="K24" s="1565" t="s">
        <v>11305</v>
      </c>
      <c r="L24" s="1065" t="s">
        <v>9627</v>
      </c>
      <c r="M24" s="1808">
        <v>0.05236111111111111</v>
      </c>
      <c r="N24" s="1790" t="str">
        <f t="shared" si="1"/>
        <v>1:17</v>
      </c>
      <c r="O24" s="1619" t="s">
        <v>11173</v>
      </c>
    </row>
    <row r="25" ht="15.75" customHeight="1">
      <c r="A25" s="1791" t="s">
        <v>897</v>
      </c>
      <c r="B25" s="1532" t="s">
        <v>8997</v>
      </c>
      <c r="C25" s="1788">
        <v>0.051550925925925924</v>
      </c>
      <c r="D25" s="1565" t="s">
        <v>11306</v>
      </c>
      <c r="E25" s="1799" t="s">
        <v>10536</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4" t="s">
        <v>2824</v>
      </c>
      <c r="B27" s="1592" t="s">
        <v>8997</v>
      </c>
      <c r="C27" s="1788">
        <v>0.051706365740740744</v>
      </c>
      <c r="D27" s="1065" t="s">
        <v>11315</v>
      </c>
      <c r="E27" s="1566" t="s">
        <v>11316</v>
      </c>
      <c r="F27" s="1565" t="s">
        <v>11317</v>
      </c>
      <c r="G27" s="1565" t="s">
        <v>11318</v>
      </c>
      <c r="H27" s="1565" t="s">
        <v>11319</v>
      </c>
      <c r="I27" s="1565" t="s">
        <v>11320</v>
      </c>
      <c r="J27" s="1565" t="s">
        <v>11321</v>
      </c>
      <c r="K27" s="1565" t="s">
        <v>11322</v>
      </c>
      <c r="L27" s="1565" t="s">
        <v>9916</v>
      </c>
      <c r="M27" s="1787">
        <v>0.0525</v>
      </c>
      <c r="N27" s="1787" t="str">
        <f t="shared" si="1"/>
        <v>1:09</v>
      </c>
      <c r="O27" s="1619"/>
    </row>
    <row r="28" ht="15.75" customHeight="1">
      <c r="A28" s="1813" t="s">
        <v>2105</v>
      </c>
      <c r="B28" s="1672" t="s">
        <v>8997</v>
      </c>
      <c r="C28" s="1788">
        <v>0.05171296296296296</v>
      </c>
      <c r="D28" s="1031" t="s">
        <v>11323</v>
      </c>
      <c r="E28" s="1031" t="s">
        <v>11324</v>
      </c>
      <c r="F28" s="1031" t="s">
        <v>11325</v>
      </c>
      <c r="G28" s="1031" t="s">
        <v>11326</v>
      </c>
      <c r="H28" s="1065" t="s">
        <v>11327</v>
      </c>
      <c r="I28" s="1031" t="s">
        <v>11328</v>
      </c>
      <c r="J28" s="1065" t="s">
        <v>11329</v>
      </c>
      <c r="K28" s="1031" t="s">
        <v>11330</v>
      </c>
      <c r="L28" s="1065" t="s">
        <v>9450</v>
      </c>
      <c r="M28" s="1787">
        <v>0.054375</v>
      </c>
      <c r="N28" s="1790" t="str">
        <f t="shared" si="1"/>
        <v>3:50</v>
      </c>
      <c r="O28" s="1619" t="s">
        <v>11331</v>
      </c>
    </row>
    <row r="29" ht="15.75" customHeight="1">
      <c r="A29" s="1626" t="s">
        <v>3096</v>
      </c>
      <c r="B29" s="1592" t="s">
        <v>8997</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9052</v>
      </c>
      <c r="C30" s="1788">
        <v>0.052088194444444444</v>
      </c>
      <c r="D30" s="1065" t="s">
        <v>11341</v>
      </c>
      <c r="E30" s="1566" t="s">
        <v>11342</v>
      </c>
      <c r="F30" s="1565" t="s">
        <v>11343</v>
      </c>
      <c r="G30" s="1565" t="s">
        <v>11344</v>
      </c>
      <c r="H30" s="1565" t="s">
        <v>11345</v>
      </c>
      <c r="I30" s="1565" t="s">
        <v>11346</v>
      </c>
      <c r="J30" s="1565" t="s">
        <v>11347</v>
      </c>
      <c r="K30" s="1565" t="s">
        <v>11348</v>
      </c>
      <c r="L30" s="1565" t="s">
        <v>10222</v>
      </c>
      <c r="M30" s="1787">
        <v>0.053043981481481484</v>
      </c>
      <c r="N30" s="1790" t="str">
        <f t="shared" si="1"/>
        <v>1:23</v>
      </c>
      <c r="O30" s="1619" t="s">
        <v>11173</v>
      </c>
    </row>
    <row r="31" ht="15.75" customHeight="1">
      <c r="A31" s="954" t="s">
        <v>2579</v>
      </c>
      <c r="B31" s="1592" t="s">
        <v>9024</v>
      </c>
      <c r="C31" s="1788">
        <v>0.05215277777777778</v>
      </c>
      <c r="D31" s="1565" t="s">
        <v>11349</v>
      </c>
      <c r="E31" s="1565" t="s">
        <v>6038</v>
      </c>
      <c r="F31" s="1565" t="s">
        <v>11350</v>
      </c>
      <c r="G31" s="1565" t="s">
        <v>11351</v>
      </c>
      <c r="H31" s="1565" t="s">
        <v>11352</v>
      </c>
      <c r="I31" s="1565" t="s">
        <v>11215</v>
      </c>
      <c r="J31" s="1565" t="s">
        <v>11353</v>
      </c>
      <c r="K31" s="1565" t="s">
        <v>11354</v>
      </c>
      <c r="L31" s="1565" t="s">
        <v>9963</v>
      </c>
      <c r="M31" s="1787">
        <v>0.05399305555555556</v>
      </c>
      <c r="N31" s="1790" t="str">
        <f t="shared" si="1"/>
        <v>2:39</v>
      </c>
      <c r="O31" s="1619" t="s">
        <v>11355</v>
      </c>
    </row>
    <row r="32" ht="15.75" customHeight="1">
      <c r="A32" s="1626" t="s">
        <v>2992</v>
      </c>
      <c r="B32" s="1592" t="s">
        <v>8997</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9024</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9024</v>
      </c>
      <c r="C34" s="1783">
        <v>0.052316898148148154</v>
      </c>
      <c r="D34" s="1065" t="s">
        <v>11376</v>
      </c>
      <c r="E34" s="1566" t="s">
        <v>11377</v>
      </c>
      <c r="F34" s="1565" t="s">
        <v>11378</v>
      </c>
      <c r="G34" s="1565" t="s">
        <v>11379</v>
      </c>
      <c r="H34" s="1565" t="s">
        <v>11380</v>
      </c>
      <c r="I34" s="1565" t="s">
        <v>11381</v>
      </c>
      <c r="J34" s="1565" t="s">
        <v>11382</v>
      </c>
      <c r="K34" s="1565" t="s">
        <v>11383</v>
      </c>
      <c r="L34" s="1565" t="s">
        <v>9701</v>
      </c>
      <c r="M34" s="1787">
        <v>0.05376157407407407</v>
      </c>
      <c r="N34" s="1790" t="str">
        <f t="shared" si="1"/>
        <v>2:05</v>
      </c>
      <c r="O34" s="1619" t="s">
        <v>11173</v>
      </c>
    </row>
    <row r="35" ht="15.75" customHeight="1">
      <c r="A35" s="954" t="s">
        <v>4048</v>
      </c>
      <c r="B35" s="1592" t="s">
        <v>8997</v>
      </c>
      <c r="C35" s="1788">
        <v>0.05238425925925926</v>
      </c>
      <c r="D35" s="1053" t="s">
        <v>11384</v>
      </c>
      <c r="E35" s="1566" t="s">
        <v>11357</v>
      </c>
      <c r="F35" s="1565" t="s">
        <v>11385</v>
      </c>
      <c r="G35" s="1789" t="s">
        <v>11386</v>
      </c>
      <c r="H35" s="1565" t="s">
        <v>11387</v>
      </c>
      <c r="I35" s="1565" t="s">
        <v>11388</v>
      </c>
      <c r="J35" s="1565" t="s">
        <v>11389</v>
      </c>
      <c r="K35" s="1565" t="s">
        <v>11390</v>
      </c>
      <c r="L35" s="1565" t="s">
        <v>10240</v>
      </c>
      <c r="M35" s="1787">
        <v>0.05340277777777778</v>
      </c>
      <c r="N35" s="1790" t="str">
        <f t="shared" si="1"/>
        <v>1:28</v>
      </c>
      <c r="O35" s="1619" t="s">
        <v>11391</v>
      </c>
    </row>
    <row r="36" ht="15.75" customHeight="1">
      <c r="A36" s="954" t="s">
        <v>2713</v>
      </c>
      <c r="B36" s="1592" t="s">
        <v>8997</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10267</v>
      </c>
      <c r="B37" s="1592" t="s">
        <v>8997</v>
      </c>
      <c r="C37" s="1783">
        <v>0.05268518518518518</v>
      </c>
      <c r="D37" s="1065" t="s">
        <v>11401</v>
      </c>
      <c r="E37" s="1566" t="s">
        <v>11402</v>
      </c>
      <c r="F37" s="1565" t="s">
        <v>11403</v>
      </c>
      <c r="G37" s="1565" t="s">
        <v>11404</v>
      </c>
      <c r="H37" s="1565" t="s">
        <v>11405</v>
      </c>
      <c r="I37" s="1565" t="s">
        <v>7430</v>
      </c>
      <c r="J37" s="1565" t="s">
        <v>11406</v>
      </c>
      <c r="K37" s="1565" t="s">
        <v>11407</v>
      </c>
      <c r="L37" s="1565" t="s">
        <v>10285</v>
      </c>
      <c r="M37" s="1787">
        <v>0.05331018518518518</v>
      </c>
      <c r="N37" s="1790" t="str">
        <f t="shared" si="1"/>
        <v>0:54</v>
      </c>
      <c r="O37" s="1619" t="s">
        <v>11408</v>
      </c>
    </row>
    <row r="38" ht="15.75" customHeight="1">
      <c r="A38" s="1626" t="s">
        <v>3746</v>
      </c>
      <c r="B38" s="1795" t="s">
        <v>8997</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8997</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9024</v>
      </c>
      <c r="C40" s="1788">
        <v>0.05378472222222222</v>
      </c>
      <c r="D40" s="1065" t="s">
        <v>11427</v>
      </c>
      <c r="E40" s="1566" t="s">
        <v>11428</v>
      </c>
      <c r="F40" s="1565" t="s">
        <v>11429</v>
      </c>
      <c r="G40" s="1565" t="s">
        <v>11430</v>
      </c>
      <c r="H40" s="1565" t="s">
        <v>11431</v>
      </c>
      <c r="I40" s="1565" t="s">
        <v>9588</v>
      </c>
      <c r="J40" s="1565" t="s">
        <v>11432</v>
      </c>
      <c r="K40" s="1565" t="s">
        <v>11433</v>
      </c>
      <c r="L40" s="1565" t="s">
        <v>10012</v>
      </c>
      <c r="M40" s="1787">
        <v>0.054560185185185184</v>
      </c>
      <c r="N40" s="1790" t="str">
        <f t="shared" si="1"/>
        <v>1:07</v>
      </c>
      <c r="O40" s="1619"/>
    </row>
    <row r="41" ht="15.75" customHeight="1">
      <c r="A41" s="954" t="s">
        <v>4945</v>
      </c>
      <c r="B41" s="1680" t="s">
        <v>9024</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6535</v>
      </c>
      <c r="B42" s="1715" t="s">
        <v>11020</v>
      </c>
      <c r="C42" s="1816">
        <v>0.0609375</v>
      </c>
      <c r="D42" s="1723" t="s">
        <v>11442</v>
      </c>
      <c r="E42" s="1817" t="s">
        <v>8902</v>
      </c>
      <c r="F42" s="1817" t="s">
        <v>11443</v>
      </c>
      <c r="G42" s="1817" t="s">
        <v>11444</v>
      </c>
      <c r="H42" s="1817" t="s">
        <v>11445</v>
      </c>
      <c r="I42" s="1817" t="s">
        <v>8451</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11128</v>
      </c>
      <c r="D1" s="1845" t="s">
        <v>7723</v>
      </c>
      <c r="E1" s="1846" t="s">
        <v>8034</v>
      </c>
      <c r="F1" s="1847" t="s">
        <v>38</v>
      </c>
      <c r="G1" s="1848" t="s">
        <v>36</v>
      </c>
      <c r="H1" s="1844" t="s">
        <v>11129</v>
      </c>
      <c r="I1" s="1849" t="s">
        <v>39</v>
      </c>
      <c r="J1" s="1741" t="s">
        <v>7968</v>
      </c>
      <c r="K1" s="1473" t="s">
        <v>8993</v>
      </c>
      <c r="L1" s="1743" t="s">
        <v>8995</v>
      </c>
    </row>
    <row r="2" ht="15.75" customHeight="1">
      <c r="A2" s="1744" t="s">
        <v>8996</v>
      </c>
      <c r="B2" s="1745" t="s">
        <v>8997</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9023</v>
      </c>
      <c r="B3" s="1759" t="s">
        <v>9024</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8997</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1809</v>
      </c>
      <c r="B6" s="1860" t="s">
        <v>8997</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6604</v>
      </c>
      <c r="B7" s="1592" t="s">
        <v>8997</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4" t="s">
        <v>2543</v>
      </c>
      <c r="B8" s="1592" t="s">
        <v>8997</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435</v>
      </c>
      <c r="B9" s="1532" t="s">
        <v>8997</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6719</v>
      </c>
      <c r="B10" s="1532" t="s">
        <v>8997</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4" t="s">
        <v>1550</v>
      </c>
      <c r="B11" s="1592" t="s">
        <v>8997</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825</v>
      </c>
      <c r="B12" s="1680" t="s">
        <v>8997</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8997</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8997</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2771</v>
      </c>
      <c r="B15" s="1532" t="s">
        <v>8997</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8997</v>
      </c>
      <c r="C16" s="1881" t="s">
        <v>11552</v>
      </c>
      <c r="D16" s="1565" t="s">
        <v>11553</v>
      </c>
      <c r="E16" s="1565" t="s">
        <v>11554</v>
      </c>
      <c r="F16" s="1565" t="s">
        <v>11555</v>
      </c>
      <c r="G16" s="825" t="s">
        <v>11556</v>
      </c>
      <c r="H16" s="1861" t="s">
        <v>11557</v>
      </c>
      <c r="I16" s="1867" t="s">
        <v>11558</v>
      </c>
      <c r="J16" s="1868" t="s">
        <v>11559</v>
      </c>
      <c r="K16" s="1565" t="s">
        <v>9681</v>
      </c>
      <c r="L16" s="1619"/>
    </row>
    <row r="17" ht="15.75" customHeight="1">
      <c r="A17" s="954" t="s">
        <v>7013</v>
      </c>
      <c r="B17" s="1532" t="s">
        <v>8997</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8997</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4" t="s">
        <v>2264</v>
      </c>
      <c r="B19" s="1680" t="s">
        <v>8997</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897</v>
      </c>
      <c r="B20" s="1532" t="s">
        <v>8997</v>
      </c>
      <c r="C20" s="1565" t="s">
        <v>11584</v>
      </c>
      <c r="D20" s="1565" t="s">
        <v>11585</v>
      </c>
      <c r="E20" s="1565" t="s">
        <v>11586</v>
      </c>
      <c r="F20" s="1565" t="s">
        <v>11587</v>
      </c>
      <c r="G20" s="825" t="s">
        <v>11588</v>
      </c>
      <c r="H20" s="1861" t="s">
        <v>11589</v>
      </c>
      <c r="I20" s="1867" t="s">
        <v>11590</v>
      </c>
      <c r="J20" s="1868" t="s">
        <v>11591</v>
      </c>
      <c r="K20" s="1565" t="s">
        <v>9827</v>
      </c>
      <c r="L20" s="1619"/>
    </row>
    <row r="21" ht="15.75" customHeight="1">
      <c r="A21" s="954" t="s">
        <v>1632</v>
      </c>
      <c r="B21" s="1592" t="s">
        <v>8997</v>
      </c>
      <c r="C21" s="1565" t="s">
        <v>11592</v>
      </c>
      <c r="D21" s="1565" t="s">
        <v>11593</v>
      </c>
      <c r="E21" s="1789" t="s">
        <v>11594</v>
      </c>
      <c r="F21" s="1565" t="s">
        <v>11595</v>
      </c>
      <c r="G21" s="1871" t="s">
        <v>11596</v>
      </c>
      <c r="H21" s="1871" t="s">
        <v>11597</v>
      </c>
      <c r="I21" s="1871" t="s">
        <v>11598</v>
      </c>
      <c r="J21" s="1871" t="s">
        <v>11599</v>
      </c>
      <c r="K21" s="1565" t="s">
        <v>9609</v>
      </c>
      <c r="L21" s="1619"/>
    </row>
    <row r="22" ht="15.75" customHeight="1">
      <c r="A22" s="1727" t="s">
        <v>9474</v>
      </c>
      <c r="B22" s="1532" t="s">
        <v>8997</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2151</v>
      </c>
      <c r="B23" s="1680" t="s">
        <v>9024</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9024</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1345</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8997</v>
      </c>
      <c r="C26" s="1031" t="s">
        <v>11323</v>
      </c>
      <c r="D26" s="1565" t="s">
        <v>11619</v>
      </c>
      <c r="E26" s="1565" t="s">
        <v>11620</v>
      </c>
      <c r="F26" s="1565" t="s">
        <v>11621</v>
      </c>
      <c r="G26" s="825" t="s">
        <v>11603</v>
      </c>
      <c r="H26" s="1861" t="s">
        <v>11622</v>
      </c>
      <c r="I26" s="1867" t="s">
        <v>11623</v>
      </c>
      <c r="J26" s="1868" t="s">
        <v>11624</v>
      </c>
      <c r="K26" s="1565" t="s">
        <v>9987</v>
      </c>
      <c r="L26" s="1619"/>
    </row>
    <row r="27" ht="15.75" customHeight="1">
      <c r="A27" s="1626" t="s">
        <v>2992</v>
      </c>
      <c r="B27" s="1592" t="s">
        <v>8997</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9024</v>
      </c>
      <c r="C28" s="1881" t="s">
        <v>11635</v>
      </c>
      <c r="D28" s="1565"/>
      <c r="E28" s="1565" t="s">
        <v>11636</v>
      </c>
      <c r="F28" s="1565" t="s">
        <v>11637</v>
      </c>
      <c r="G28" s="825"/>
      <c r="H28" s="1861"/>
      <c r="I28" s="1867"/>
      <c r="J28" s="1868"/>
      <c r="K28" s="1565" t="s">
        <v>10123</v>
      </c>
      <c r="L28" s="1619"/>
    </row>
    <row r="29" ht="15.75" customHeight="1">
      <c r="A29" s="1626" t="s">
        <v>2713</v>
      </c>
      <c r="B29" s="1592" t="s">
        <v>8997</v>
      </c>
      <c r="C29" s="1881" t="s">
        <v>11638</v>
      </c>
      <c r="D29" s="1565" t="s">
        <v>11639</v>
      </c>
      <c r="E29" s="1565" t="s">
        <v>11640</v>
      </c>
      <c r="F29" s="1565" t="s">
        <v>11641</v>
      </c>
      <c r="G29" s="1871" t="s">
        <v>11642</v>
      </c>
      <c r="H29" s="1871" t="s">
        <v>11643</v>
      </c>
      <c r="I29" s="1871" t="s">
        <v>11644</v>
      </c>
      <c r="J29" s="1871" t="s">
        <v>11645</v>
      </c>
      <c r="K29" s="1565" t="s">
        <v>10054</v>
      </c>
      <c r="L29" s="1619" t="s">
        <v>11646</v>
      </c>
    </row>
    <row r="30" ht="15.75" customHeight="1">
      <c r="A30" s="954" t="s">
        <v>2579</v>
      </c>
      <c r="B30" s="1672" t="s">
        <v>9024</v>
      </c>
      <c r="C30" s="1803" t="s">
        <v>11349</v>
      </c>
      <c r="D30" s="1565" t="s">
        <v>11647</v>
      </c>
      <c r="E30" s="1565" t="s">
        <v>11648</v>
      </c>
      <c r="F30" s="1565" t="s">
        <v>11649</v>
      </c>
      <c r="G30" s="825" t="s">
        <v>11650</v>
      </c>
      <c r="H30" s="1861" t="s">
        <v>11651</v>
      </c>
      <c r="I30" s="1867" t="s">
        <v>11652</v>
      </c>
      <c r="J30" s="1868" t="s">
        <v>11653</v>
      </c>
      <c r="K30" s="1565" t="s">
        <v>9964</v>
      </c>
      <c r="L30" s="1619"/>
    </row>
    <row r="31" ht="15.75" customHeight="1">
      <c r="A31" s="1626" t="s">
        <v>5274</v>
      </c>
      <c r="B31" s="1592" t="s">
        <v>8997</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4945</v>
      </c>
      <c r="B32" s="1592" t="s">
        <v>9024</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5797</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6535</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4341</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4341</v>
      </c>
      <c r="D13" s="1916" t="s">
        <v>11712</v>
      </c>
      <c r="E13" s="1915" t="s">
        <v>11696</v>
      </c>
      <c r="F13" s="1917">
        <v>44250.0</v>
      </c>
    </row>
    <row r="14" ht="15.75" customHeight="1">
      <c r="A14" s="1913" t="s">
        <v>11713</v>
      </c>
      <c r="B14" s="1918" t="s">
        <v>11698</v>
      </c>
      <c r="C14" s="1915" t="s">
        <v>4257</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5305</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5274</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6689</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10709</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4341</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6402</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4793</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6325</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5305</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6387</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5305</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5408</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4257</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